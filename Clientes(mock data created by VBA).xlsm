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AS\Documents\Projetos\"/>
    </mc:Choice>
  </mc:AlternateContent>
  <xr:revisionPtr revIDLastSave="0" documentId="13_ncr:1_{2FA26AC6-7186-4BB8-B6A1-BC6C4304E0CA}" xr6:coauthVersionLast="47" xr6:coauthVersionMax="47" xr10:uidLastSave="{00000000-0000-0000-0000-000000000000}"/>
  <bookViews>
    <workbookView xWindow="-120" yWindow="-120" windowWidth="24240" windowHeight="13140" activeTab="6" xr2:uid="{89969B87-6C70-4991-BFF9-86AB21DE92F0}"/>
  </bookViews>
  <sheets>
    <sheet name="Códigos" sheetId="1" r:id="rId1"/>
    <sheet name="Registro_Vendas" sheetId="7" r:id="rId2"/>
    <sheet name="Clientes" sheetId="2" r:id="rId3"/>
    <sheet name="Vendedores" sheetId="3" r:id="rId4"/>
    <sheet name="Lojas" sheetId="4" r:id="rId5"/>
    <sheet name="Produtos" sheetId="5" r:id="rId6"/>
    <sheet name="Vendas" sheetId="6" r:id="rId7"/>
  </sheets>
  <definedNames>
    <definedName name="_xlnm._FilterDatabase" localSheetId="2" hidden="1">Clientes!$A$1:$E$43</definedName>
    <definedName name="_xlnm._FilterDatabase" localSheetId="6" hidden="1">Vendas!$A$1:$I$5228</definedName>
    <definedName name="_xlcn.WorksheetConnection_Clientes.xlsxTabela111" hidden="1">Tabela11[]</definedName>
    <definedName name="_xlnm.Extract" localSheetId="1">Registro_Vendas!$D$4:$H$100</definedName>
    <definedName name="_xlnm.Criteria" localSheetId="1">Registro_Vendas!$D$1:$H$2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1" name="Tabela11" connection="WorksheetConnection_Clientes.xlsx!Tabela11"/>
        </x15:modelTables>
      </x15:dataModel>
    </ext>
  </extLst>
</workbook>
</file>

<file path=xl/calcChain.xml><?xml version="1.0" encoding="utf-8"?>
<calcChain xmlns="http://schemas.openxmlformats.org/spreadsheetml/2006/main"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3" i="6"/>
  <c r="T2782" i="1"/>
  <c r="T2783" i="1" s="1"/>
  <c r="T2784" i="1" s="1"/>
  <c r="T2785" i="1"/>
  <c r="T2786" i="1" s="1"/>
  <c r="T2787" i="1" s="1"/>
  <c r="T2788" i="1" s="1"/>
  <c r="T2789" i="1"/>
  <c r="T2790" i="1" s="1"/>
  <c r="T2791" i="1" s="1"/>
  <c r="T2792" i="1" s="1"/>
  <c r="T2793" i="1"/>
  <c r="T2794" i="1" s="1"/>
  <c r="T2795" i="1" s="1"/>
  <c r="T2796" i="1" s="1"/>
  <c r="T2797" i="1" s="1"/>
  <c r="T2798" i="1" s="1"/>
  <c r="T2799" i="1" s="1"/>
  <c r="T2800" i="1" s="1"/>
  <c r="T2801" i="1" s="1"/>
  <c r="T2802" i="1" s="1"/>
  <c r="T2803" i="1" s="1"/>
  <c r="T2804" i="1" s="1"/>
  <c r="T2805" i="1" s="1"/>
  <c r="T2806" i="1" s="1"/>
  <c r="T2807" i="1" s="1"/>
  <c r="T2808" i="1" s="1"/>
  <c r="T2809" i="1" s="1"/>
  <c r="T2810" i="1" s="1"/>
  <c r="T2811" i="1" s="1"/>
  <c r="T2812" i="1" s="1"/>
  <c r="T2813" i="1" s="1"/>
  <c r="T2814" i="1" s="1"/>
  <c r="T2815" i="1" s="1"/>
  <c r="T2816" i="1" s="1"/>
  <c r="T2817" i="1" s="1"/>
  <c r="T2818" i="1" s="1"/>
  <c r="T2819" i="1" s="1"/>
  <c r="T2820" i="1" s="1"/>
  <c r="T2821" i="1" s="1"/>
  <c r="T2822" i="1" s="1"/>
  <c r="T2823" i="1" s="1"/>
  <c r="T2824" i="1" s="1"/>
  <c r="T2825" i="1" s="1"/>
  <c r="T2826" i="1" s="1"/>
  <c r="T2827" i="1" s="1"/>
  <c r="T2828" i="1" s="1"/>
  <c r="T2829" i="1" s="1"/>
  <c r="T2830" i="1" s="1"/>
  <c r="T2831" i="1" s="1"/>
  <c r="T2832" i="1" s="1"/>
  <c r="T2833" i="1" s="1"/>
  <c r="T2834" i="1" s="1"/>
  <c r="T2835" i="1" s="1"/>
  <c r="T2836" i="1" s="1"/>
  <c r="T2837" i="1" s="1"/>
  <c r="T2838" i="1" s="1"/>
  <c r="T2839" i="1" s="1"/>
  <c r="T2840" i="1" s="1"/>
  <c r="T2841" i="1" s="1"/>
  <c r="T2842" i="1" s="1"/>
  <c r="T2843" i="1" s="1"/>
  <c r="T2844" i="1" s="1"/>
  <c r="T2845" i="1" s="1"/>
  <c r="T2846" i="1" s="1"/>
  <c r="T2847" i="1" s="1"/>
  <c r="T2848" i="1" s="1"/>
  <c r="T2849" i="1" s="1"/>
  <c r="T2850" i="1" s="1"/>
  <c r="T2851" i="1" s="1"/>
  <c r="T2852" i="1" s="1"/>
  <c r="T2853" i="1" s="1"/>
  <c r="T2854" i="1" s="1"/>
  <c r="T2855" i="1" s="1"/>
  <c r="T2856" i="1" s="1"/>
  <c r="T2857" i="1" s="1"/>
  <c r="T2858" i="1" s="1"/>
  <c r="T2859" i="1" s="1"/>
  <c r="T2860" i="1" s="1"/>
  <c r="T2861" i="1" s="1"/>
  <c r="T2862" i="1" s="1"/>
  <c r="T2863" i="1" s="1"/>
  <c r="T2864" i="1" s="1"/>
  <c r="T2865" i="1" s="1"/>
  <c r="T2866" i="1" s="1"/>
  <c r="T2867" i="1" s="1"/>
  <c r="T2868" i="1" s="1"/>
  <c r="T2869" i="1" s="1"/>
  <c r="T2870" i="1" s="1"/>
  <c r="T2871" i="1" s="1"/>
  <c r="T2872" i="1" s="1"/>
  <c r="T2873" i="1" s="1"/>
  <c r="T2874" i="1" s="1"/>
  <c r="T2875" i="1" s="1"/>
  <c r="T2876" i="1" s="1"/>
  <c r="T2877" i="1" s="1"/>
  <c r="T2878" i="1" s="1"/>
  <c r="T2879" i="1" s="1"/>
  <c r="T2880" i="1" s="1"/>
  <c r="T2881" i="1" s="1"/>
  <c r="T2882" i="1" s="1"/>
  <c r="T2883" i="1" s="1"/>
  <c r="T2884" i="1" s="1"/>
  <c r="T2885" i="1" s="1"/>
  <c r="T2886" i="1" s="1"/>
  <c r="T2887" i="1" s="1"/>
  <c r="T2888" i="1" s="1"/>
  <c r="T2889" i="1" s="1"/>
  <c r="T2890" i="1" s="1"/>
  <c r="T2891" i="1" s="1"/>
  <c r="T2892" i="1" s="1"/>
  <c r="T2893" i="1" s="1"/>
  <c r="T2894" i="1" s="1"/>
  <c r="T2895" i="1" s="1"/>
  <c r="T2896" i="1" s="1"/>
  <c r="T2897" i="1" s="1"/>
  <c r="T2898" i="1" s="1"/>
  <c r="T2899" i="1" s="1"/>
  <c r="T2900" i="1" s="1"/>
  <c r="T2901" i="1" s="1"/>
  <c r="T2902" i="1" s="1"/>
  <c r="T2903" i="1" s="1"/>
  <c r="T2904" i="1" s="1"/>
  <c r="T2905" i="1" s="1"/>
  <c r="T2906" i="1" s="1"/>
  <c r="T2907" i="1" s="1"/>
  <c r="T2908" i="1" s="1"/>
  <c r="T2909" i="1" s="1"/>
  <c r="T2910" i="1" s="1"/>
  <c r="T2911" i="1" s="1"/>
  <c r="T2912" i="1" s="1"/>
  <c r="T2913" i="1" s="1"/>
  <c r="T2914" i="1" s="1"/>
  <c r="T2915" i="1" s="1"/>
  <c r="T2916" i="1" s="1"/>
  <c r="T2917" i="1" s="1"/>
  <c r="T2918" i="1" s="1"/>
  <c r="T2919" i="1" s="1"/>
  <c r="T2920" i="1" s="1"/>
  <c r="T2921" i="1" s="1"/>
  <c r="T2922" i="1" s="1"/>
  <c r="T2923" i="1" s="1"/>
  <c r="T2924" i="1" s="1"/>
  <c r="T2925" i="1" s="1"/>
  <c r="T2926" i="1" s="1"/>
  <c r="T2927" i="1" s="1"/>
  <c r="T2928" i="1" s="1"/>
  <c r="T2929" i="1" s="1"/>
  <c r="T2930" i="1" s="1"/>
  <c r="T2931" i="1" s="1"/>
  <c r="T2932" i="1" s="1"/>
  <c r="T2933" i="1" s="1"/>
  <c r="T2934" i="1" s="1"/>
  <c r="T2935" i="1" s="1"/>
  <c r="T2936" i="1" s="1"/>
  <c r="T2937" i="1" s="1"/>
  <c r="T2938" i="1" s="1"/>
  <c r="T2939" i="1" s="1"/>
  <c r="T2940" i="1" s="1"/>
  <c r="T2941" i="1" s="1"/>
  <c r="T2942" i="1" s="1"/>
  <c r="T2943" i="1" s="1"/>
  <c r="T2944" i="1" s="1"/>
  <c r="T2945" i="1" s="1"/>
  <c r="T2946" i="1" s="1"/>
  <c r="T2947" i="1" s="1"/>
  <c r="T2948" i="1" s="1"/>
  <c r="T2949" i="1" s="1"/>
  <c r="T2950" i="1" s="1"/>
  <c r="T2951" i="1" s="1"/>
  <c r="T2952" i="1" s="1"/>
  <c r="T2953" i="1" s="1"/>
  <c r="T2954" i="1" s="1"/>
  <c r="T2955" i="1" s="1"/>
  <c r="T2956" i="1" s="1"/>
  <c r="T2957" i="1" s="1"/>
  <c r="T2958" i="1" s="1"/>
  <c r="T2959" i="1" s="1"/>
  <c r="T2960" i="1" s="1"/>
  <c r="T2961" i="1" s="1"/>
  <c r="T2962" i="1" s="1"/>
  <c r="T2963" i="1" s="1"/>
  <c r="T2964" i="1" s="1"/>
  <c r="T2965" i="1" s="1"/>
  <c r="T2966" i="1" s="1"/>
  <c r="T2967" i="1" s="1"/>
  <c r="T2968" i="1" s="1"/>
  <c r="T2969" i="1" s="1"/>
  <c r="T2970" i="1" s="1"/>
  <c r="T2971" i="1" s="1"/>
  <c r="T2972" i="1" s="1"/>
  <c r="T2973" i="1" s="1"/>
  <c r="T2974" i="1" s="1"/>
  <c r="T2975" i="1" s="1"/>
  <c r="T2976" i="1" s="1"/>
  <c r="T2977" i="1" s="1"/>
  <c r="T2978" i="1" s="1"/>
  <c r="T2979" i="1" s="1"/>
  <c r="T2980" i="1" s="1"/>
  <c r="T2981" i="1" s="1"/>
  <c r="T2982" i="1" s="1"/>
  <c r="T2983" i="1" s="1"/>
  <c r="T2984" i="1" s="1"/>
  <c r="T2985" i="1" s="1"/>
  <c r="T2986" i="1" s="1"/>
  <c r="T2987" i="1" s="1"/>
  <c r="T2988" i="1" s="1"/>
  <c r="T2989" i="1" s="1"/>
  <c r="T2990" i="1" s="1"/>
  <c r="T2991" i="1" s="1"/>
  <c r="T2992" i="1" s="1"/>
  <c r="T2993" i="1" s="1"/>
  <c r="T2994" i="1" s="1"/>
  <c r="T2995" i="1" s="1"/>
  <c r="T2996" i="1" s="1"/>
  <c r="T2997" i="1" s="1"/>
  <c r="T2998" i="1" s="1"/>
  <c r="T2999" i="1" s="1"/>
  <c r="T3000" i="1" s="1"/>
  <c r="T3001" i="1" s="1"/>
  <c r="T3002" i="1" s="1"/>
  <c r="T3003" i="1" s="1"/>
  <c r="T3004" i="1" s="1"/>
  <c r="T3005" i="1" s="1"/>
  <c r="T3006" i="1" s="1"/>
  <c r="T3007" i="1" s="1"/>
  <c r="T3008" i="1" s="1"/>
  <c r="T3009" i="1" s="1"/>
  <c r="T3010" i="1" s="1"/>
  <c r="T3011" i="1" s="1"/>
  <c r="T3012" i="1" s="1"/>
  <c r="T3013" i="1" s="1"/>
  <c r="T3014" i="1" s="1"/>
  <c r="T3015" i="1" s="1"/>
  <c r="T3016" i="1" s="1"/>
  <c r="T3017" i="1" s="1"/>
  <c r="T3018" i="1" s="1"/>
  <c r="T3019" i="1" s="1"/>
  <c r="T3020" i="1" s="1"/>
  <c r="T3021" i="1" s="1"/>
  <c r="T3022" i="1" s="1"/>
  <c r="T3023" i="1" s="1"/>
  <c r="T3024" i="1" s="1"/>
  <c r="T3025" i="1" s="1"/>
  <c r="T3026" i="1" s="1"/>
  <c r="T3027" i="1" s="1"/>
  <c r="T3028" i="1" s="1"/>
  <c r="T3029" i="1" s="1"/>
  <c r="T3030" i="1" s="1"/>
  <c r="T3031" i="1" s="1"/>
  <c r="T3032" i="1" s="1"/>
  <c r="T3033" i="1" s="1"/>
  <c r="T3034" i="1" s="1"/>
  <c r="T3035" i="1" s="1"/>
  <c r="T3036" i="1" s="1"/>
  <c r="T3037" i="1" s="1"/>
  <c r="T3038" i="1" s="1"/>
  <c r="T3039" i="1" s="1"/>
  <c r="T3040" i="1" s="1"/>
  <c r="T3041" i="1" s="1"/>
  <c r="T3042" i="1" s="1"/>
  <c r="T3043" i="1" s="1"/>
  <c r="T3044" i="1" s="1"/>
  <c r="T3045" i="1" s="1"/>
  <c r="T3046" i="1" s="1"/>
  <c r="T3047" i="1" s="1"/>
  <c r="T3048" i="1" s="1"/>
  <c r="T3049" i="1" s="1"/>
  <c r="T3050" i="1" s="1"/>
  <c r="T3051" i="1" s="1"/>
  <c r="T3052" i="1" s="1"/>
  <c r="T3053" i="1" s="1"/>
  <c r="T3054" i="1" s="1"/>
  <c r="T3055" i="1" s="1"/>
  <c r="T3056" i="1" s="1"/>
  <c r="T3057" i="1" s="1"/>
  <c r="T3058" i="1" s="1"/>
  <c r="T3059" i="1" s="1"/>
  <c r="T3060" i="1" s="1"/>
  <c r="T3061" i="1" s="1"/>
  <c r="T3062" i="1" s="1"/>
  <c r="T3063" i="1" s="1"/>
  <c r="T3064" i="1" s="1"/>
  <c r="T3065" i="1" s="1"/>
  <c r="T3066" i="1" s="1"/>
  <c r="T3067" i="1" s="1"/>
  <c r="T3068" i="1" s="1"/>
  <c r="T3069" i="1" s="1"/>
  <c r="T3070" i="1" s="1"/>
  <c r="T3071" i="1" s="1"/>
  <c r="T3072" i="1" s="1"/>
  <c r="T3073" i="1" s="1"/>
  <c r="T3074" i="1" s="1"/>
  <c r="T3075" i="1" s="1"/>
  <c r="T3076" i="1" s="1"/>
  <c r="T3077" i="1" s="1"/>
  <c r="T3078" i="1" s="1"/>
  <c r="T3079" i="1" s="1"/>
  <c r="T3080" i="1" s="1"/>
  <c r="T3081" i="1" s="1"/>
  <c r="T3082" i="1" s="1"/>
  <c r="T3083" i="1" s="1"/>
  <c r="T3084" i="1" s="1"/>
  <c r="T3085" i="1" s="1"/>
  <c r="T3086" i="1" s="1"/>
  <c r="T3087" i="1" s="1"/>
  <c r="T3088" i="1" s="1"/>
  <c r="T3089" i="1" s="1"/>
  <c r="T3090" i="1" s="1"/>
  <c r="T3091" i="1" s="1"/>
  <c r="T3092" i="1" s="1"/>
  <c r="T3093" i="1" s="1"/>
  <c r="T3094" i="1" s="1"/>
  <c r="T3095" i="1" s="1"/>
  <c r="T3096" i="1" s="1"/>
  <c r="T3097" i="1" s="1"/>
  <c r="T3098" i="1" s="1"/>
  <c r="T3099" i="1" s="1"/>
  <c r="T3100" i="1" s="1"/>
  <c r="T3101" i="1" s="1"/>
  <c r="T3102" i="1" s="1"/>
  <c r="T3103" i="1" s="1"/>
  <c r="T3104" i="1" s="1"/>
  <c r="T3105" i="1" s="1"/>
  <c r="T3106" i="1" s="1"/>
  <c r="T3107" i="1" s="1"/>
  <c r="T3108" i="1" s="1"/>
  <c r="T3109" i="1" s="1"/>
  <c r="T3110" i="1" s="1"/>
  <c r="T3111" i="1" s="1"/>
  <c r="T3112" i="1" s="1"/>
  <c r="T3113" i="1" s="1"/>
  <c r="T3114" i="1" s="1"/>
  <c r="T3115" i="1" s="1"/>
  <c r="T3116" i="1" s="1"/>
  <c r="T3117" i="1" s="1"/>
  <c r="T3118" i="1" s="1"/>
  <c r="T3119" i="1" s="1"/>
  <c r="T3120" i="1" s="1"/>
  <c r="T3121" i="1" s="1"/>
  <c r="T3122" i="1" s="1"/>
  <c r="T3123" i="1" s="1"/>
  <c r="T3124" i="1" s="1"/>
  <c r="T3125" i="1" s="1"/>
  <c r="T3126" i="1" s="1"/>
  <c r="T3127" i="1" s="1"/>
  <c r="T3128" i="1" s="1"/>
  <c r="T3129" i="1" s="1"/>
  <c r="T3130" i="1" s="1"/>
  <c r="T3131" i="1" s="1"/>
  <c r="T3132" i="1" s="1"/>
  <c r="T3133" i="1" s="1"/>
  <c r="T3134" i="1" s="1"/>
  <c r="T3135" i="1" s="1"/>
  <c r="T3136" i="1" s="1"/>
  <c r="T3137" i="1" s="1"/>
  <c r="T3138" i="1" s="1"/>
  <c r="T3139" i="1" s="1"/>
  <c r="T3140" i="1" s="1"/>
  <c r="T3141" i="1" s="1"/>
  <c r="T3142" i="1" s="1"/>
  <c r="T3143" i="1" s="1"/>
  <c r="T3144" i="1" s="1"/>
  <c r="T3145" i="1" s="1"/>
  <c r="T3146" i="1" s="1"/>
  <c r="T3147" i="1" s="1"/>
  <c r="T3148" i="1" s="1"/>
  <c r="T3149" i="1" s="1"/>
  <c r="T3150" i="1" s="1"/>
  <c r="T3151" i="1" s="1"/>
  <c r="T3152" i="1" s="1"/>
  <c r="T3153" i="1" s="1"/>
  <c r="T3154" i="1" s="1"/>
  <c r="T3155" i="1" s="1"/>
  <c r="T3156" i="1" s="1"/>
  <c r="T3157" i="1" s="1"/>
  <c r="T3158" i="1" s="1"/>
  <c r="T3159" i="1" s="1"/>
  <c r="T3160" i="1" s="1"/>
  <c r="T3161" i="1" s="1"/>
  <c r="T3162" i="1" s="1"/>
  <c r="T3163" i="1" s="1"/>
  <c r="T3164" i="1" s="1"/>
  <c r="T3165" i="1" s="1"/>
  <c r="T3166" i="1" s="1"/>
  <c r="T3167" i="1" s="1"/>
  <c r="T3168" i="1" s="1"/>
  <c r="T3169" i="1" s="1"/>
  <c r="T3170" i="1" s="1"/>
  <c r="T3171" i="1" s="1"/>
  <c r="T3172" i="1" s="1"/>
  <c r="T3173" i="1" s="1"/>
  <c r="T3174" i="1" s="1"/>
  <c r="T3175" i="1" s="1"/>
  <c r="T3176" i="1" s="1"/>
  <c r="T3177" i="1" s="1"/>
  <c r="T3178" i="1" s="1"/>
  <c r="T3179" i="1" s="1"/>
  <c r="T3180" i="1" s="1"/>
  <c r="T3181" i="1" s="1"/>
  <c r="T3182" i="1" s="1"/>
  <c r="T3183" i="1" s="1"/>
  <c r="T3184" i="1" s="1"/>
  <c r="T3185" i="1" s="1"/>
  <c r="T3186" i="1" s="1"/>
  <c r="T3187" i="1" s="1"/>
  <c r="T3188" i="1" s="1"/>
  <c r="T3189" i="1" s="1"/>
  <c r="T3190" i="1" s="1"/>
  <c r="T3191" i="1" s="1"/>
  <c r="T3192" i="1" s="1"/>
  <c r="T3193" i="1" s="1"/>
  <c r="T3194" i="1" s="1"/>
  <c r="T3195" i="1" s="1"/>
  <c r="T3196" i="1" s="1"/>
  <c r="T3197" i="1" s="1"/>
  <c r="T3198" i="1" s="1"/>
  <c r="T3199" i="1" s="1"/>
  <c r="T3200" i="1" s="1"/>
  <c r="T3201" i="1" s="1"/>
  <c r="T3202" i="1" s="1"/>
  <c r="T3203" i="1" s="1"/>
  <c r="T3204" i="1" s="1"/>
  <c r="T3205" i="1" s="1"/>
  <c r="T3206" i="1" s="1"/>
  <c r="T3207" i="1" s="1"/>
  <c r="T3208" i="1" s="1"/>
  <c r="T3209" i="1" s="1"/>
  <c r="T3210" i="1" s="1"/>
  <c r="T3211" i="1" s="1"/>
  <c r="T3212" i="1" s="1"/>
  <c r="T3213" i="1" s="1"/>
  <c r="T3214" i="1" s="1"/>
  <c r="T3215" i="1" s="1"/>
  <c r="T3216" i="1" s="1"/>
  <c r="T3217" i="1" s="1"/>
  <c r="T3218" i="1" s="1"/>
  <c r="T3219" i="1" s="1"/>
  <c r="T3220" i="1" s="1"/>
  <c r="T3221" i="1" s="1"/>
  <c r="T3222" i="1" s="1"/>
  <c r="T3223" i="1" s="1"/>
  <c r="T3224" i="1" s="1"/>
  <c r="T3225" i="1" s="1"/>
  <c r="T3226" i="1" s="1"/>
  <c r="T3227" i="1" s="1"/>
  <c r="T3228" i="1" s="1"/>
  <c r="T3229" i="1" s="1"/>
  <c r="T3230" i="1" s="1"/>
  <c r="T3231" i="1" s="1"/>
  <c r="T3232" i="1" s="1"/>
  <c r="T3233" i="1" s="1"/>
  <c r="T3234" i="1" s="1"/>
  <c r="T3235" i="1" s="1"/>
  <c r="T3236" i="1" s="1"/>
  <c r="T3237" i="1" s="1"/>
  <c r="T3238" i="1" s="1"/>
  <c r="T3239" i="1" s="1"/>
  <c r="T3240" i="1" s="1"/>
  <c r="T3241" i="1" s="1"/>
  <c r="T3242" i="1" s="1"/>
  <c r="T3243" i="1" s="1"/>
  <c r="T3244" i="1" s="1"/>
  <c r="T3245" i="1" s="1"/>
  <c r="T3246" i="1" s="1"/>
  <c r="T3247" i="1" s="1"/>
  <c r="T3248" i="1" s="1"/>
  <c r="T3249" i="1" s="1"/>
  <c r="T3250" i="1" s="1"/>
  <c r="T3251" i="1" s="1"/>
  <c r="T3252" i="1" s="1"/>
  <c r="T3253" i="1" s="1"/>
  <c r="T3254" i="1" s="1"/>
  <c r="T3255" i="1" s="1"/>
  <c r="T3256" i="1" s="1"/>
  <c r="T3257" i="1" s="1"/>
  <c r="T3258" i="1" s="1"/>
  <c r="T3259" i="1" s="1"/>
  <c r="T3260" i="1" s="1"/>
  <c r="T3261" i="1" s="1"/>
  <c r="T3262" i="1" s="1"/>
  <c r="T3263" i="1" s="1"/>
  <c r="T3264" i="1" s="1"/>
  <c r="T3265" i="1" s="1"/>
  <c r="T3266" i="1" s="1"/>
  <c r="T3267" i="1" s="1"/>
  <c r="T3268" i="1" s="1"/>
  <c r="T3269" i="1" s="1"/>
  <c r="T3270" i="1" s="1"/>
  <c r="T3271" i="1" s="1"/>
  <c r="T3272" i="1" s="1"/>
  <c r="T3273" i="1" s="1"/>
  <c r="T3274" i="1" s="1"/>
  <c r="T3275" i="1" s="1"/>
  <c r="T3276" i="1" s="1"/>
  <c r="T3277" i="1" s="1"/>
  <c r="T3278" i="1" s="1"/>
  <c r="T3279" i="1" s="1"/>
  <c r="T3280" i="1" s="1"/>
  <c r="T3281" i="1" s="1"/>
  <c r="T3282" i="1" s="1"/>
  <c r="T3283" i="1" s="1"/>
  <c r="T3284" i="1" s="1"/>
  <c r="T3285" i="1" s="1"/>
  <c r="T3286" i="1" s="1"/>
  <c r="T3287" i="1" s="1"/>
  <c r="T3288" i="1" s="1"/>
  <c r="T3289" i="1" s="1"/>
  <c r="T3290" i="1" s="1"/>
  <c r="T3291" i="1" s="1"/>
  <c r="T3292" i="1" s="1"/>
  <c r="T3293" i="1" s="1"/>
  <c r="T3294" i="1" s="1"/>
  <c r="T3295" i="1" s="1"/>
  <c r="T3296" i="1" s="1"/>
  <c r="T3297" i="1" s="1"/>
  <c r="T3298" i="1" s="1"/>
  <c r="T3299" i="1" s="1"/>
  <c r="T3300" i="1" s="1"/>
  <c r="T3301" i="1" s="1"/>
  <c r="T3302" i="1" s="1"/>
  <c r="T3303" i="1" s="1"/>
  <c r="T3304" i="1" s="1"/>
  <c r="T3305" i="1" s="1"/>
  <c r="T3306" i="1" s="1"/>
  <c r="T3307" i="1" s="1"/>
  <c r="T3308" i="1" s="1"/>
  <c r="T3309" i="1" s="1"/>
  <c r="T3310" i="1" s="1"/>
  <c r="T3311" i="1" s="1"/>
  <c r="T3312" i="1" s="1"/>
  <c r="T3313" i="1" s="1"/>
  <c r="T3314" i="1" s="1"/>
  <c r="T3315" i="1" s="1"/>
  <c r="T3316" i="1" s="1"/>
  <c r="T3317" i="1" s="1"/>
  <c r="T3318" i="1" s="1"/>
  <c r="T3319" i="1" s="1"/>
  <c r="T3320" i="1" s="1"/>
  <c r="T3321" i="1" s="1"/>
  <c r="T3322" i="1" s="1"/>
  <c r="T3323" i="1" s="1"/>
  <c r="T3324" i="1" s="1"/>
  <c r="T3325" i="1" s="1"/>
  <c r="T3326" i="1" s="1"/>
  <c r="T3327" i="1" s="1"/>
  <c r="T3328" i="1" s="1"/>
  <c r="T3329" i="1" s="1"/>
  <c r="T3330" i="1" s="1"/>
  <c r="T3331" i="1" s="1"/>
  <c r="T3332" i="1" s="1"/>
  <c r="T3333" i="1" s="1"/>
  <c r="T3334" i="1" s="1"/>
  <c r="T3335" i="1" s="1"/>
  <c r="T3336" i="1" s="1"/>
  <c r="T3337" i="1" s="1"/>
  <c r="T3338" i="1" s="1"/>
  <c r="T3339" i="1" s="1"/>
  <c r="T3340" i="1" s="1"/>
  <c r="T3341" i="1" s="1"/>
  <c r="T3342" i="1" s="1"/>
  <c r="T3343" i="1" s="1"/>
  <c r="T3344" i="1" s="1"/>
  <c r="T3345" i="1" s="1"/>
  <c r="T3346" i="1" s="1"/>
  <c r="T3347" i="1" s="1"/>
  <c r="T3348" i="1" s="1"/>
  <c r="T3349" i="1" s="1"/>
  <c r="T3350" i="1" s="1"/>
  <c r="T3351" i="1" s="1"/>
  <c r="T3352" i="1" s="1"/>
  <c r="T3353" i="1" s="1"/>
  <c r="T3354" i="1" s="1"/>
  <c r="T3355" i="1" s="1"/>
  <c r="T3356" i="1" s="1"/>
  <c r="T3357" i="1" s="1"/>
  <c r="T3358" i="1" s="1"/>
  <c r="T3359" i="1" s="1"/>
  <c r="T3360" i="1" s="1"/>
  <c r="T3361" i="1" s="1"/>
  <c r="T3362" i="1" s="1"/>
  <c r="T3363" i="1" s="1"/>
  <c r="T3364" i="1" s="1"/>
  <c r="T3365" i="1" s="1"/>
  <c r="T3366" i="1" s="1"/>
  <c r="T3367" i="1" s="1"/>
  <c r="T3368" i="1" s="1"/>
  <c r="T3369" i="1" s="1"/>
  <c r="T3370" i="1" s="1"/>
  <c r="T3371" i="1" s="1"/>
  <c r="T3372" i="1" s="1"/>
  <c r="T3373" i="1" s="1"/>
  <c r="T3374" i="1" s="1"/>
  <c r="T3375" i="1" s="1"/>
  <c r="T3376" i="1" s="1"/>
  <c r="T3377" i="1" s="1"/>
  <c r="T3378" i="1" s="1"/>
  <c r="T3379" i="1" s="1"/>
  <c r="T3380" i="1" s="1"/>
  <c r="T3381" i="1" s="1"/>
  <c r="T3382" i="1" s="1"/>
  <c r="T3383" i="1" s="1"/>
  <c r="T3384" i="1" s="1"/>
  <c r="T3385" i="1" s="1"/>
  <c r="T3386" i="1" s="1"/>
  <c r="T3387" i="1" s="1"/>
  <c r="T3388" i="1" s="1"/>
  <c r="T3389" i="1" s="1"/>
  <c r="T3390" i="1" s="1"/>
  <c r="T3391" i="1" s="1"/>
  <c r="T3392" i="1" s="1"/>
  <c r="T3393" i="1" s="1"/>
  <c r="T3394" i="1" s="1"/>
  <c r="T3395" i="1" s="1"/>
  <c r="T3396" i="1" s="1"/>
  <c r="T3397" i="1" s="1"/>
  <c r="T3398" i="1" s="1"/>
  <c r="T3399" i="1" s="1"/>
  <c r="T3400" i="1" s="1"/>
  <c r="T3401" i="1" s="1"/>
  <c r="T3402" i="1" s="1"/>
  <c r="T3403" i="1" s="1"/>
  <c r="T3404" i="1" s="1"/>
  <c r="T3405" i="1" s="1"/>
  <c r="T3406" i="1" s="1"/>
  <c r="T3407" i="1" s="1"/>
  <c r="T3408" i="1" s="1"/>
  <c r="T3409" i="1" s="1"/>
  <c r="T3410" i="1" s="1"/>
  <c r="T3411" i="1" s="1"/>
  <c r="T3412" i="1" s="1"/>
  <c r="T3413" i="1" s="1"/>
  <c r="T3414" i="1" s="1"/>
  <c r="T3415" i="1" s="1"/>
  <c r="T3416" i="1" s="1"/>
  <c r="T3417" i="1" s="1"/>
  <c r="T3418" i="1" s="1"/>
  <c r="T3419" i="1" s="1"/>
  <c r="T3420" i="1" s="1"/>
  <c r="T3421" i="1" s="1"/>
  <c r="T3422" i="1" s="1"/>
  <c r="T3423" i="1" s="1"/>
  <c r="T3424" i="1" s="1"/>
  <c r="T3425" i="1" s="1"/>
  <c r="T3426" i="1" s="1"/>
  <c r="T3427" i="1" s="1"/>
  <c r="T3428" i="1" s="1"/>
  <c r="T3429" i="1" s="1"/>
  <c r="T3430" i="1" s="1"/>
  <c r="T3431" i="1" s="1"/>
  <c r="T3432" i="1" s="1"/>
  <c r="T3433" i="1" s="1"/>
  <c r="T3434" i="1" s="1"/>
  <c r="T3435" i="1" s="1"/>
  <c r="T3436" i="1" s="1"/>
  <c r="T3437" i="1" s="1"/>
  <c r="T3438" i="1" s="1"/>
  <c r="T3439" i="1" s="1"/>
  <c r="T3440" i="1" s="1"/>
  <c r="T3441" i="1" s="1"/>
  <c r="T3442" i="1" s="1"/>
  <c r="T3443" i="1" s="1"/>
  <c r="T3444" i="1" s="1"/>
  <c r="T3445" i="1" s="1"/>
  <c r="T3446" i="1" s="1"/>
  <c r="T3447" i="1" s="1"/>
  <c r="T3448" i="1" s="1"/>
  <c r="T3449" i="1" s="1"/>
  <c r="T3450" i="1" s="1"/>
  <c r="T3451" i="1" s="1"/>
  <c r="T3452" i="1" s="1"/>
  <c r="T3453" i="1" s="1"/>
  <c r="T3454" i="1" s="1"/>
  <c r="T3455" i="1" s="1"/>
  <c r="T3456" i="1" s="1"/>
  <c r="T3457" i="1" s="1"/>
  <c r="T3458" i="1" s="1"/>
  <c r="T3459" i="1" s="1"/>
  <c r="T3460" i="1" s="1"/>
  <c r="T3461" i="1" s="1"/>
  <c r="T3462" i="1" s="1"/>
  <c r="T3463" i="1" s="1"/>
  <c r="T3464" i="1" s="1"/>
  <c r="T3465" i="1" s="1"/>
  <c r="T3466" i="1" s="1"/>
  <c r="T3467" i="1" s="1"/>
  <c r="T3468" i="1" s="1"/>
  <c r="T3469" i="1" s="1"/>
  <c r="T3470" i="1" s="1"/>
  <c r="T3471" i="1" s="1"/>
  <c r="T3472" i="1" s="1"/>
  <c r="T3473" i="1" s="1"/>
  <c r="T3474" i="1" s="1"/>
  <c r="T3475" i="1" s="1"/>
  <c r="T3476" i="1" s="1"/>
  <c r="T3477" i="1" s="1"/>
  <c r="T3478" i="1" s="1"/>
  <c r="T3479" i="1" s="1"/>
  <c r="T3480" i="1" s="1"/>
  <c r="T3481" i="1" s="1"/>
  <c r="T3482" i="1" s="1"/>
  <c r="T3483" i="1" s="1"/>
  <c r="T3484" i="1" s="1"/>
  <c r="T3485" i="1" s="1"/>
  <c r="T3486" i="1" s="1"/>
  <c r="T3487" i="1" s="1"/>
  <c r="T3488" i="1" s="1"/>
  <c r="T3489" i="1" s="1"/>
  <c r="T3490" i="1" s="1"/>
  <c r="T3491" i="1" s="1"/>
  <c r="T3492" i="1" s="1"/>
  <c r="T3493" i="1" s="1"/>
  <c r="T3494" i="1" s="1"/>
  <c r="T3495" i="1" s="1"/>
  <c r="T3496" i="1" s="1"/>
  <c r="T3497" i="1" s="1"/>
  <c r="T3498" i="1" s="1"/>
  <c r="T3499" i="1" s="1"/>
  <c r="T3500" i="1" s="1"/>
  <c r="T3501" i="1" s="1"/>
  <c r="T3502" i="1" s="1"/>
  <c r="T3503" i="1" s="1"/>
  <c r="T3504" i="1" s="1"/>
  <c r="T3505" i="1" s="1"/>
  <c r="T3506" i="1" s="1"/>
  <c r="T3507" i="1" s="1"/>
  <c r="T3508" i="1" s="1"/>
  <c r="T3509" i="1" s="1"/>
  <c r="T3510" i="1" s="1"/>
  <c r="T3511" i="1" s="1"/>
  <c r="T3512" i="1" s="1"/>
  <c r="T3513" i="1" s="1"/>
  <c r="T3514" i="1" s="1"/>
  <c r="T3515" i="1" s="1"/>
  <c r="T3516" i="1" s="1"/>
  <c r="T3517" i="1" s="1"/>
  <c r="T3518" i="1" s="1"/>
  <c r="T3519" i="1" s="1"/>
  <c r="T3520" i="1" s="1"/>
  <c r="T3521" i="1" s="1"/>
  <c r="T3522" i="1" s="1"/>
  <c r="T3523" i="1" s="1"/>
  <c r="T3524" i="1" s="1"/>
  <c r="T3525" i="1" s="1"/>
  <c r="T3526" i="1" s="1"/>
  <c r="T3527" i="1" s="1"/>
  <c r="T3528" i="1" s="1"/>
  <c r="T3529" i="1" s="1"/>
  <c r="T3530" i="1" s="1"/>
  <c r="T3531" i="1" s="1"/>
  <c r="T3532" i="1" s="1"/>
  <c r="T3533" i="1" s="1"/>
  <c r="T3534" i="1" s="1"/>
  <c r="T3535" i="1" s="1"/>
  <c r="T3536" i="1" s="1"/>
  <c r="T3537" i="1" s="1"/>
  <c r="T3538" i="1" s="1"/>
  <c r="T3539" i="1" s="1"/>
  <c r="T3540" i="1" s="1"/>
  <c r="T3541" i="1" s="1"/>
  <c r="T3542" i="1" s="1"/>
  <c r="T3543" i="1" s="1"/>
  <c r="T3544" i="1" s="1"/>
  <c r="T3545" i="1" s="1"/>
  <c r="T3546" i="1" s="1"/>
  <c r="T3547" i="1" s="1"/>
  <c r="T3548" i="1" s="1"/>
  <c r="T3549" i="1" s="1"/>
  <c r="T3550" i="1" s="1"/>
  <c r="T3551" i="1" s="1"/>
  <c r="T3552" i="1" s="1"/>
  <c r="T3553" i="1" s="1"/>
  <c r="T3554" i="1" s="1"/>
  <c r="T3555" i="1" s="1"/>
  <c r="T3556" i="1" s="1"/>
  <c r="T3557" i="1" s="1"/>
  <c r="T3558" i="1" s="1"/>
  <c r="T3559" i="1" s="1"/>
  <c r="T3560" i="1" s="1"/>
  <c r="T3561" i="1" s="1"/>
  <c r="T3562" i="1" s="1"/>
  <c r="T3563" i="1" s="1"/>
  <c r="T3564" i="1" s="1"/>
  <c r="T3565" i="1" s="1"/>
  <c r="T3566" i="1" s="1"/>
  <c r="T3567" i="1" s="1"/>
  <c r="T3568" i="1" s="1"/>
  <c r="T3569" i="1" s="1"/>
  <c r="T3570" i="1" s="1"/>
  <c r="T3571" i="1" s="1"/>
  <c r="T3572" i="1" s="1"/>
  <c r="T3573" i="1" s="1"/>
  <c r="T3574" i="1" s="1"/>
  <c r="T3575" i="1" s="1"/>
  <c r="T3576" i="1" s="1"/>
  <c r="T3577" i="1" s="1"/>
  <c r="T3578" i="1" s="1"/>
  <c r="T3579" i="1" s="1"/>
  <c r="T3580" i="1" s="1"/>
  <c r="T3581" i="1" s="1"/>
  <c r="T3582" i="1" s="1"/>
  <c r="T3583" i="1" s="1"/>
  <c r="T3584" i="1" s="1"/>
  <c r="T3585" i="1" s="1"/>
  <c r="T3586" i="1" s="1"/>
  <c r="T3587" i="1" s="1"/>
  <c r="T3588" i="1" s="1"/>
  <c r="T3589" i="1" s="1"/>
  <c r="T3590" i="1" s="1"/>
  <c r="T3591" i="1" s="1"/>
  <c r="T3592" i="1" s="1"/>
  <c r="T3593" i="1" s="1"/>
  <c r="T3594" i="1" s="1"/>
  <c r="T3595" i="1" s="1"/>
  <c r="T3596" i="1" s="1"/>
  <c r="T3597" i="1" s="1"/>
  <c r="T3598" i="1" s="1"/>
  <c r="T3599" i="1" s="1"/>
  <c r="T3600" i="1" s="1"/>
  <c r="T3601" i="1" s="1"/>
  <c r="T3602" i="1" s="1"/>
  <c r="T3603" i="1" s="1"/>
  <c r="T3604" i="1" s="1"/>
  <c r="T3605" i="1" s="1"/>
  <c r="T3606" i="1" s="1"/>
  <c r="T3607" i="1" s="1"/>
  <c r="T3608" i="1" s="1"/>
  <c r="T3609" i="1" s="1"/>
  <c r="T3610" i="1" s="1"/>
  <c r="T3611" i="1" s="1"/>
  <c r="T3612" i="1" s="1"/>
  <c r="T3613" i="1" s="1"/>
  <c r="T3614" i="1" s="1"/>
  <c r="T3615" i="1" s="1"/>
  <c r="T3616" i="1" s="1"/>
  <c r="T3617" i="1" s="1"/>
  <c r="T3618" i="1" s="1"/>
  <c r="T3619" i="1" s="1"/>
  <c r="T3620" i="1" s="1"/>
  <c r="T3621" i="1" s="1"/>
  <c r="T3622" i="1" s="1"/>
  <c r="T3623" i="1" s="1"/>
  <c r="T3624" i="1" s="1"/>
  <c r="T3625" i="1" s="1"/>
  <c r="T3626" i="1" s="1"/>
  <c r="T3627" i="1" s="1"/>
  <c r="T3628" i="1" s="1"/>
  <c r="T3629" i="1" s="1"/>
  <c r="T3630" i="1" s="1"/>
  <c r="T3631" i="1" s="1"/>
  <c r="T3632" i="1" s="1"/>
  <c r="T3633" i="1" s="1"/>
  <c r="T3634" i="1" s="1"/>
  <c r="T3635" i="1" s="1"/>
  <c r="T3636" i="1" s="1"/>
  <c r="T3637" i="1" s="1"/>
  <c r="T3638" i="1" s="1"/>
  <c r="T3639" i="1" s="1"/>
  <c r="T3640" i="1" s="1"/>
  <c r="T3641" i="1" s="1"/>
  <c r="T3642" i="1" s="1"/>
  <c r="T3643" i="1" s="1"/>
  <c r="T3644" i="1" s="1"/>
  <c r="T3645" i="1" s="1"/>
  <c r="T3646" i="1" s="1"/>
  <c r="T3647" i="1" s="1"/>
  <c r="T3648" i="1" s="1"/>
  <c r="T3649" i="1" s="1"/>
  <c r="T3650" i="1" s="1"/>
  <c r="T3651" i="1" s="1"/>
  <c r="T3652" i="1" s="1"/>
  <c r="T3653" i="1" s="1"/>
  <c r="T3654" i="1" s="1"/>
  <c r="T3655" i="1" s="1"/>
  <c r="T3656" i="1" s="1"/>
  <c r="T3657" i="1" s="1"/>
  <c r="T3658" i="1" s="1"/>
  <c r="T3659" i="1" s="1"/>
  <c r="T3660" i="1" s="1"/>
  <c r="T3661" i="1" s="1"/>
  <c r="T3662" i="1" s="1"/>
  <c r="T3663" i="1" s="1"/>
  <c r="T3664" i="1" s="1"/>
  <c r="T3665" i="1" s="1"/>
  <c r="T3666" i="1" s="1"/>
  <c r="T3667" i="1" s="1"/>
  <c r="T3668" i="1" s="1"/>
  <c r="T3669" i="1" s="1"/>
  <c r="T3670" i="1" s="1"/>
  <c r="T3671" i="1" s="1"/>
  <c r="T3672" i="1" s="1"/>
  <c r="T3673" i="1" s="1"/>
  <c r="T3674" i="1" s="1"/>
  <c r="T3675" i="1" s="1"/>
  <c r="T3676" i="1" s="1"/>
  <c r="T3677" i="1" s="1"/>
  <c r="T3678" i="1" s="1"/>
  <c r="T3679" i="1" s="1"/>
  <c r="T3680" i="1" s="1"/>
  <c r="T3681" i="1" s="1"/>
  <c r="T3682" i="1" s="1"/>
  <c r="T3683" i="1" s="1"/>
  <c r="T3684" i="1" s="1"/>
  <c r="T3685" i="1" s="1"/>
  <c r="T3686" i="1" s="1"/>
  <c r="T3687" i="1" s="1"/>
  <c r="T3688" i="1" s="1"/>
  <c r="T3689" i="1" s="1"/>
  <c r="T3690" i="1" s="1"/>
  <c r="T3691" i="1" s="1"/>
  <c r="T3692" i="1" s="1"/>
  <c r="T3693" i="1" s="1"/>
  <c r="T3694" i="1" s="1"/>
  <c r="T3695" i="1" s="1"/>
  <c r="T3696" i="1" s="1"/>
  <c r="T3697" i="1" s="1"/>
  <c r="T3698" i="1" s="1"/>
  <c r="T3699" i="1" s="1"/>
  <c r="T3700" i="1" s="1"/>
  <c r="T3701" i="1" s="1"/>
  <c r="T3702" i="1" s="1"/>
  <c r="T3703" i="1" s="1"/>
  <c r="T3704" i="1" s="1"/>
  <c r="T3705" i="1" s="1"/>
  <c r="T3706" i="1" s="1"/>
  <c r="T3707" i="1" s="1"/>
  <c r="T3708" i="1" s="1"/>
  <c r="T3709" i="1" s="1"/>
  <c r="T3710" i="1" s="1"/>
  <c r="T3711" i="1" s="1"/>
  <c r="T3712" i="1" s="1"/>
  <c r="T3713" i="1" s="1"/>
  <c r="T3714" i="1" s="1"/>
  <c r="T3715" i="1" s="1"/>
  <c r="T3716" i="1" s="1"/>
  <c r="T3717" i="1" s="1"/>
  <c r="T3718" i="1" s="1"/>
  <c r="T3719" i="1" s="1"/>
  <c r="T3720" i="1" s="1"/>
  <c r="T3721" i="1" s="1"/>
  <c r="T3722" i="1" s="1"/>
  <c r="T3723" i="1" s="1"/>
  <c r="T3724" i="1" s="1"/>
  <c r="T3725" i="1" s="1"/>
  <c r="T3726" i="1" s="1"/>
  <c r="T3727" i="1" s="1"/>
  <c r="T3728" i="1" s="1"/>
  <c r="T3729" i="1" s="1"/>
  <c r="T3730" i="1" s="1"/>
  <c r="T3731" i="1" s="1"/>
  <c r="T3732" i="1" s="1"/>
  <c r="T3733" i="1" s="1"/>
  <c r="T3734" i="1" s="1"/>
  <c r="T3735" i="1" s="1"/>
  <c r="T3736" i="1" s="1"/>
  <c r="T3737" i="1" s="1"/>
  <c r="T3738" i="1" s="1"/>
  <c r="T3739" i="1" s="1"/>
  <c r="T3740" i="1" s="1"/>
  <c r="T3741" i="1" s="1"/>
  <c r="T3742" i="1" s="1"/>
  <c r="T3743" i="1" s="1"/>
  <c r="T3744" i="1" s="1"/>
  <c r="T3745" i="1" s="1"/>
  <c r="T3746" i="1" s="1"/>
  <c r="T3747" i="1" s="1"/>
  <c r="T3748" i="1" s="1"/>
  <c r="T3749" i="1" s="1"/>
  <c r="T3750" i="1" s="1"/>
  <c r="T3751" i="1" s="1"/>
  <c r="T3752" i="1" s="1"/>
  <c r="T3753" i="1" s="1"/>
  <c r="T3754" i="1" s="1"/>
  <c r="T3755" i="1" s="1"/>
  <c r="T3756" i="1" s="1"/>
  <c r="T3757" i="1" s="1"/>
  <c r="T3758" i="1" s="1"/>
  <c r="T3759" i="1" s="1"/>
  <c r="T3760" i="1" s="1"/>
  <c r="T3761" i="1" s="1"/>
  <c r="T3762" i="1" s="1"/>
  <c r="T3763" i="1" s="1"/>
  <c r="T3764" i="1" s="1"/>
  <c r="T3765" i="1" s="1"/>
  <c r="T3766" i="1" s="1"/>
  <c r="T3767" i="1" s="1"/>
  <c r="T3768" i="1" s="1"/>
  <c r="T3769" i="1" s="1"/>
  <c r="T3770" i="1" s="1"/>
  <c r="T3771" i="1" s="1"/>
  <c r="T3772" i="1" s="1"/>
  <c r="T3773" i="1" s="1"/>
  <c r="T3774" i="1" s="1"/>
  <c r="T3775" i="1" s="1"/>
  <c r="T3776" i="1" s="1"/>
  <c r="T3777" i="1" s="1"/>
  <c r="T3778" i="1" s="1"/>
  <c r="T3779" i="1" s="1"/>
  <c r="T3780" i="1" s="1"/>
  <c r="T3781" i="1" s="1"/>
  <c r="T3782" i="1" s="1"/>
  <c r="T3783" i="1" s="1"/>
  <c r="T3784" i="1" s="1"/>
  <c r="T3785" i="1" s="1"/>
  <c r="T3786" i="1" s="1"/>
  <c r="T3787" i="1" s="1"/>
  <c r="T3788" i="1" s="1"/>
  <c r="T3789" i="1" s="1"/>
  <c r="T3790" i="1" s="1"/>
  <c r="T3791" i="1" s="1"/>
  <c r="T3792" i="1" s="1"/>
  <c r="T3793" i="1" s="1"/>
  <c r="T3794" i="1" s="1"/>
  <c r="T3795" i="1" s="1"/>
  <c r="T3796" i="1" s="1"/>
  <c r="T3797" i="1" s="1"/>
  <c r="T3798" i="1" s="1"/>
  <c r="T3799" i="1" s="1"/>
  <c r="T3800" i="1" s="1"/>
  <c r="T3801" i="1" s="1"/>
  <c r="T3802" i="1" s="1"/>
  <c r="T3803" i="1" s="1"/>
  <c r="T3804" i="1" s="1"/>
  <c r="T3805" i="1" s="1"/>
  <c r="T3806" i="1" s="1"/>
  <c r="T3807" i="1" s="1"/>
  <c r="T3808" i="1" s="1"/>
  <c r="T3809" i="1" s="1"/>
  <c r="T3810" i="1" s="1"/>
  <c r="T3811" i="1" s="1"/>
  <c r="T3812" i="1" s="1"/>
  <c r="T3813" i="1" s="1"/>
  <c r="T3814" i="1" s="1"/>
  <c r="T3815" i="1" s="1"/>
  <c r="T3816" i="1" s="1"/>
  <c r="T3817" i="1" s="1"/>
  <c r="T3818" i="1" s="1"/>
  <c r="T3819" i="1" s="1"/>
  <c r="T3820" i="1" s="1"/>
  <c r="T3821" i="1" s="1"/>
  <c r="T3822" i="1" s="1"/>
  <c r="T3823" i="1" s="1"/>
  <c r="T3824" i="1" s="1"/>
  <c r="T3825" i="1" s="1"/>
  <c r="T3826" i="1" s="1"/>
  <c r="T3827" i="1" s="1"/>
  <c r="T3828" i="1" s="1"/>
  <c r="T3829" i="1" s="1"/>
  <c r="T3830" i="1" s="1"/>
  <c r="T3831" i="1" s="1"/>
  <c r="T3832" i="1" s="1"/>
  <c r="T3833" i="1" s="1"/>
  <c r="T3834" i="1" s="1"/>
  <c r="T3835" i="1" s="1"/>
  <c r="T3836" i="1" s="1"/>
  <c r="T3837" i="1" s="1"/>
  <c r="T3838" i="1" s="1"/>
  <c r="T3839" i="1" s="1"/>
  <c r="T3840" i="1" s="1"/>
  <c r="T3841" i="1" s="1"/>
  <c r="T3842" i="1" s="1"/>
  <c r="T3843" i="1" s="1"/>
  <c r="T3844" i="1" s="1"/>
  <c r="T3845" i="1" s="1"/>
  <c r="T3846" i="1" s="1"/>
  <c r="T3847" i="1" s="1"/>
  <c r="T3848" i="1" s="1"/>
  <c r="T3849" i="1" s="1"/>
  <c r="T3850" i="1" s="1"/>
  <c r="T3851" i="1" s="1"/>
  <c r="T3852" i="1" s="1"/>
  <c r="T3853" i="1" s="1"/>
  <c r="T3854" i="1" s="1"/>
  <c r="T3855" i="1" s="1"/>
  <c r="T3856" i="1" s="1"/>
  <c r="T3857" i="1" s="1"/>
  <c r="T3858" i="1" s="1"/>
  <c r="T3859" i="1" s="1"/>
  <c r="T3860" i="1" s="1"/>
  <c r="T3861" i="1" s="1"/>
  <c r="T3862" i="1" s="1"/>
  <c r="T3863" i="1" s="1"/>
  <c r="T3864" i="1" s="1"/>
  <c r="T3865" i="1" s="1"/>
  <c r="T3866" i="1" s="1"/>
  <c r="T3867" i="1" s="1"/>
  <c r="T3868" i="1" s="1"/>
  <c r="T3869" i="1" s="1"/>
  <c r="T3870" i="1" s="1"/>
  <c r="T3871" i="1" s="1"/>
  <c r="T3872" i="1" s="1"/>
  <c r="T3873" i="1" s="1"/>
  <c r="T3874" i="1" s="1"/>
  <c r="T3875" i="1" s="1"/>
  <c r="T3876" i="1" s="1"/>
  <c r="T3877" i="1" s="1"/>
  <c r="T3878" i="1" s="1"/>
  <c r="T3879" i="1" s="1"/>
  <c r="T3880" i="1" s="1"/>
  <c r="T3881" i="1" s="1"/>
  <c r="T3882" i="1" s="1"/>
  <c r="T3883" i="1" s="1"/>
  <c r="T3884" i="1" s="1"/>
  <c r="T3885" i="1" s="1"/>
  <c r="T3886" i="1" s="1"/>
  <c r="T3887" i="1" s="1"/>
  <c r="T3888" i="1" s="1"/>
  <c r="T3889" i="1" s="1"/>
  <c r="T3890" i="1" s="1"/>
  <c r="T3891" i="1" s="1"/>
  <c r="T3892" i="1" s="1"/>
  <c r="T3893" i="1" s="1"/>
  <c r="T3894" i="1" s="1"/>
  <c r="T3895" i="1" s="1"/>
  <c r="T3896" i="1" s="1"/>
  <c r="T3897" i="1" s="1"/>
  <c r="T3898" i="1" s="1"/>
  <c r="T3899" i="1" s="1"/>
  <c r="T3900" i="1" s="1"/>
  <c r="T3901" i="1" s="1"/>
  <c r="T3902" i="1" s="1"/>
  <c r="T3903" i="1" s="1"/>
  <c r="T3904" i="1" s="1"/>
  <c r="T3905" i="1" s="1"/>
  <c r="T3906" i="1" s="1"/>
  <c r="T3907" i="1" s="1"/>
  <c r="T3908" i="1" s="1"/>
  <c r="T3909" i="1" s="1"/>
  <c r="T3910" i="1" s="1"/>
  <c r="T3911" i="1" s="1"/>
  <c r="T3912" i="1" s="1"/>
  <c r="T3913" i="1" s="1"/>
  <c r="T3914" i="1" s="1"/>
  <c r="T3915" i="1" s="1"/>
  <c r="T3916" i="1" s="1"/>
  <c r="T3917" i="1" s="1"/>
  <c r="T3918" i="1" s="1"/>
  <c r="T3919" i="1" s="1"/>
  <c r="T3920" i="1" s="1"/>
  <c r="T3921" i="1" s="1"/>
  <c r="T3922" i="1" s="1"/>
  <c r="T3923" i="1" s="1"/>
  <c r="T3924" i="1" s="1"/>
  <c r="T3925" i="1" s="1"/>
  <c r="T3926" i="1" s="1"/>
  <c r="T3927" i="1" s="1"/>
  <c r="T3928" i="1" s="1"/>
  <c r="T3929" i="1" s="1"/>
  <c r="T3930" i="1" s="1"/>
  <c r="T3931" i="1" s="1"/>
  <c r="T3932" i="1" s="1"/>
  <c r="T3933" i="1" s="1"/>
  <c r="T3934" i="1" s="1"/>
  <c r="T3935" i="1" s="1"/>
  <c r="T3936" i="1" s="1"/>
  <c r="T3937" i="1" s="1"/>
  <c r="T3938" i="1" s="1"/>
  <c r="T3939" i="1" s="1"/>
  <c r="T3940" i="1" s="1"/>
  <c r="T3941" i="1" s="1"/>
  <c r="T3942" i="1" s="1"/>
  <c r="T3943" i="1" s="1"/>
  <c r="T3944" i="1" s="1"/>
  <c r="T3945" i="1" s="1"/>
  <c r="T3946" i="1" s="1"/>
  <c r="T3947" i="1" s="1"/>
  <c r="T3948" i="1" s="1"/>
  <c r="T3949" i="1" s="1"/>
  <c r="T3950" i="1" s="1"/>
  <c r="T3951" i="1" s="1"/>
  <c r="T3952" i="1" s="1"/>
  <c r="T3953" i="1" s="1"/>
  <c r="T3954" i="1" s="1"/>
  <c r="T3955" i="1" s="1"/>
  <c r="T3956" i="1" s="1"/>
  <c r="T3957" i="1" s="1"/>
  <c r="T3958" i="1" s="1"/>
  <c r="T3959" i="1" s="1"/>
  <c r="T3960" i="1" s="1"/>
  <c r="T3961" i="1" s="1"/>
  <c r="T3962" i="1" s="1"/>
  <c r="T3963" i="1" s="1"/>
  <c r="T3964" i="1" s="1"/>
  <c r="T3965" i="1" s="1"/>
  <c r="T3966" i="1" s="1"/>
  <c r="T3967" i="1" s="1"/>
  <c r="T3968" i="1" s="1"/>
  <c r="T3969" i="1" s="1"/>
  <c r="T3970" i="1" s="1"/>
  <c r="T3971" i="1" s="1"/>
  <c r="T3972" i="1" s="1"/>
  <c r="T3973" i="1" s="1"/>
  <c r="T3974" i="1" s="1"/>
  <c r="T3975" i="1" s="1"/>
  <c r="T3976" i="1" s="1"/>
  <c r="T3977" i="1" s="1"/>
  <c r="T3978" i="1" s="1"/>
  <c r="T3979" i="1" s="1"/>
  <c r="T3980" i="1" s="1"/>
  <c r="T3981" i="1" s="1"/>
  <c r="T3982" i="1" s="1"/>
  <c r="T3983" i="1" s="1"/>
  <c r="T3984" i="1" s="1"/>
  <c r="T3985" i="1" s="1"/>
  <c r="T3986" i="1" s="1"/>
  <c r="T3987" i="1" s="1"/>
  <c r="T3988" i="1" s="1"/>
  <c r="T3989" i="1" s="1"/>
  <c r="T3990" i="1" s="1"/>
  <c r="T3991" i="1" s="1"/>
  <c r="T3992" i="1" s="1"/>
  <c r="T3993" i="1" s="1"/>
  <c r="T3994" i="1" s="1"/>
  <c r="T3995" i="1" s="1"/>
  <c r="T3996" i="1" s="1"/>
  <c r="T3997" i="1" s="1"/>
  <c r="T3998" i="1" s="1"/>
  <c r="T3999" i="1" s="1"/>
  <c r="T4000" i="1" s="1"/>
  <c r="T4001" i="1" s="1"/>
  <c r="T4002" i="1" s="1"/>
  <c r="T4003" i="1" s="1"/>
  <c r="T4004" i="1" s="1"/>
  <c r="T4005" i="1" s="1"/>
  <c r="T4006" i="1" s="1"/>
  <c r="T4007" i="1" s="1"/>
  <c r="T4008" i="1" s="1"/>
  <c r="T4009" i="1" s="1"/>
  <c r="T4010" i="1" s="1"/>
  <c r="T4011" i="1" s="1"/>
  <c r="T4012" i="1" s="1"/>
  <c r="T4013" i="1" s="1"/>
  <c r="T4014" i="1" s="1"/>
  <c r="T4015" i="1" s="1"/>
  <c r="T4016" i="1" s="1"/>
  <c r="T4017" i="1" s="1"/>
  <c r="T4018" i="1" s="1"/>
  <c r="T4019" i="1" s="1"/>
  <c r="T4020" i="1" s="1"/>
  <c r="T4021" i="1" s="1"/>
  <c r="T4022" i="1" s="1"/>
  <c r="T4023" i="1" s="1"/>
  <c r="T4024" i="1" s="1"/>
  <c r="T4025" i="1" s="1"/>
  <c r="T4026" i="1" s="1"/>
  <c r="T4027" i="1" s="1"/>
  <c r="T4028" i="1" s="1"/>
  <c r="T4029" i="1" s="1"/>
  <c r="T4030" i="1" s="1"/>
  <c r="T4031" i="1" s="1"/>
  <c r="T4032" i="1" s="1"/>
  <c r="T4033" i="1" s="1"/>
  <c r="T4034" i="1" s="1"/>
  <c r="T4035" i="1" s="1"/>
  <c r="T4036" i="1" s="1"/>
  <c r="T4037" i="1" s="1"/>
  <c r="T4038" i="1" s="1"/>
  <c r="T4039" i="1" s="1"/>
  <c r="T4040" i="1" s="1"/>
  <c r="T4041" i="1" s="1"/>
  <c r="T4042" i="1" s="1"/>
  <c r="T4043" i="1" s="1"/>
  <c r="T4044" i="1" s="1"/>
  <c r="T4045" i="1" s="1"/>
  <c r="T4046" i="1" s="1"/>
  <c r="T4047" i="1" s="1"/>
  <c r="T4048" i="1" s="1"/>
  <c r="T4049" i="1" s="1"/>
  <c r="T4050" i="1" s="1"/>
  <c r="T4051" i="1" s="1"/>
  <c r="T4052" i="1" s="1"/>
  <c r="T4053" i="1" s="1"/>
  <c r="T4054" i="1" s="1"/>
  <c r="T4055" i="1" s="1"/>
  <c r="T4056" i="1" s="1"/>
  <c r="T4057" i="1" s="1"/>
  <c r="T4058" i="1" s="1"/>
  <c r="T4059" i="1" s="1"/>
  <c r="T4060" i="1" s="1"/>
  <c r="T4061" i="1" s="1"/>
  <c r="T4062" i="1" s="1"/>
  <c r="T4063" i="1" s="1"/>
  <c r="T4064" i="1" s="1"/>
  <c r="T4065" i="1" s="1"/>
  <c r="T4066" i="1" s="1"/>
  <c r="T4067" i="1" s="1"/>
  <c r="T4068" i="1" s="1"/>
  <c r="T4069" i="1" s="1"/>
  <c r="T4070" i="1" s="1"/>
  <c r="T4071" i="1" s="1"/>
  <c r="T4072" i="1" s="1"/>
  <c r="T4073" i="1" s="1"/>
  <c r="T4074" i="1" s="1"/>
  <c r="T4075" i="1" s="1"/>
  <c r="T4076" i="1" s="1"/>
  <c r="T4077" i="1" s="1"/>
  <c r="T4078" i="1" s="1"/>
  <c r="T4079" i="1" s="1"/>
  <c r="T4080" i="1" s="1"/>
  <c r="T4081" i="1" s="1"/>
  <c r="T4082" i="1" s="1"/>
  <c r="T4083" i="1" s="1"/>
  <c r="T4084" i="1" s="1"/>
  <c r="T4085" i="1" s="1"/>
  <c r="T4086" i="1" s="1"/>
  <c r="T4087" i="1" s="1"/>
  <c r="T4088" i="1" s="1"/>
  <c r="T4089" i="1" s="1"/>
  <c r="T4090" i="1" s="1"/>
  <c r="T4091" i="1" s="1"/>
  <c r="T4092" i="1" s="1"/>
  <c r="T4093" i="1" s="1"/>
  <c r="T4094" i="1" s="1"/>
  <c r="T4095" i="1" s="1"/>
  <c r="T4096" i="1" s="1"/>
  <c r="T4097" i="1" s="1"/>
  <c r="T4098" i="1" s="1"/>
  <c r="T4099" i="1" s="1"/>
  <c r="T4100" i="1" s="1"/>
  <c r="T4101" i="1" s="1"/>
  <c r="T4102" i="1" s="1"/>
  <c r="T4103" i="1" s="1"/>
  <c r="T4104" i="1" s="1"/>
  <c r="T4105" i="1" s="1"/>
  <c r="T4106" i="1" s="1"/>
  <c r="T4107" i="1" s="1"/>
  <c r="T4108" i="1" s="1"/>
  <c r="T4109" i="1" s="1"/>
  <c r="T4110" i="1" s="1"/>
  <c r="T4111" i="1" s="1"/>
  <c r="T4112" i="1" s="1"/>
  <c r="T4113" i="1" s="1"/>
  <c r="T4114" i="1" s="1"/>
  <c r="T4115" i="1" s="1"/>
  <c r="T4116" i="1" s="1"/>
  <c r="T4117" i="1" s="1"/>
  <c r="T4118" i="1" s="1"/>
  <c r="T4119" i="1" s="1"/>
  <c r="T4120" i="1" s="1"/>
  <c r="T4121" i="1" s="1"/>
  <c r="T4122" i="1" s="1"/>
  <c r="T4123" i="1" s="1"/>
  <c r="T4124" i="1" s="1"/>
  <c r="T4125" i="1" s="1"/>
  <c r="T4126" i="1" s="1"/>
  <c r="T4127" i="1" s="1"/>
  <c r="T4128" i="1" s="1"/>
  <c r="T4129" i="1" s="1"/>
  <c r="T4130" i="1" s="1"/>
  <c r="T4131" i="1" s="1"/>
  <c r="T4132" i="1" s="1"/>
  <c r="T4133" i="1" s="1"/>
  <c r="T4134" i="1" s="1"/>
  <c r="T4135" i="1" s="1"/>
  <c r="T4136" i="1" s="1"/>
  <c r="T4137" i="1" s="1"/>
  <c r="T4138" i="1" s="1"/>
  <c r="T4139" i="1" s="1"/>
  <c r="T4140" i="1" s="1"/>
  <c r="T4141" i="1" s="1"/>
  <c r="T4142" i="1" s="1"/>
  <c r="T4143" i="1" s="1"/>
  <c r="T4144" i="1" s="1"/>
  <c r="T4145" i="1" s="1"/>
  <c r="T4146" i="1" s="1"/>
  <c r="T4147" i="1" s="1"/>
  <c r="T4148" i="1" s="1"/>
  <c r="T4149" i="1" s="1"/>
  <c r="T4150" i="1" s="1"/>
  <c r="T4151" i="1" s="1"/>
  <c r="T4152" i="1" s="1"/>
  <c r="T4153" i="1" s="1"/>
  <c r="T4154" i="1" s="1"/>
  <c r="T4155" i="1" s="1"/>
  <c r="T4156" i="1" s="1"/>
  <c r="T4157" i="1" s="1"/>
  <c r="T4158" i="1" s="1"/>
  <c r="T4159" i="1" s="1"/>
  <c r="T4160" i="1" s="1"/>
  <c r="T4161" i="1" s="1"/>
  <c r="T4162" i="1" s="1"/>
  <c r="T4163" i="1" s="1"/>
  <c r="T4164" i="1" s="1"/>
  <c r="T4165" i="1" s="1"/>
  <c r="T4166" i="1" s="1"/>
  <c r="T4167" i="1" s="1"/>
  <c r="T4168" i="1" s="1"/>
  <c r="T4169" i="1" s="1"/>
  <c r="T4170" i="1" s="1"/>
  <c r="T4171" i="1" s="1"/>
  <c r="T4172" i="1" s="1"/>
  <c r="T4173" i="1" s="1"/>
  <c r="T4174" i="1" s="1"/>
  <c r="T4175" i="1" s="1"/>
  <c r="T4176" i="1" s="1"/>
  <c r="T4177" i="1" s="1"/>
  <c r="T4178" i="1" s="1"/>
  <c r="T4179" i="1" s="1"/>
  <c r="T4180" i="1" s="1"/>
  <c r="T4181" i="1" s="1"/>
  <c r="T4182" i="1" s="1"/>
  <c r="T4183" i="1" s="1"/>
  <c r="T4184" i="1" s="1"/>
  <c r="T4185" i="1" s="1"/>
  <c r="T4186" i="1" s="1"/>
  <c r="T4187" i="1" s="1"/>
  <c r="T4188" i="1" s="1"/>
  <c r="T4189" i="1" s="1"/>
  <c r="T4190" i="1" s="1"/>
  <c r="T4191" i="1" s="1"/>
  <c r="T4192" i="1" s="1"/>
  <c r="T4193" i="1" s="1"/>
  <c r="T4194" i="1" s="1"/>
  <c r="T4195" i="1" s="1"/>
  <c r="T4196" i="1" s="1"/>
  <c r="T4197" i="1" s="1"/>
  <c r="T4198" i="1" s="1"/>
  <c r="T4199" i="1" s="1"/>
  <c r="T4200" i="1" s="1"/>
  <c r="T4201" i="1" s="1"/>
  <c r="T4202" i="1" s="1"/>
  <c r="T4203" i="1" s="1"/>
  <c r="T4204" i="1" s="1"/>
  <c r="T4205" i="1" s="1"/>
  <c r="T4206" i="1" s="1"/>
  <c r="T4207" i="1" s="1"/>
  <c r="T4208" i="1" s="1"/>
  <c r="T4209" i="1" s="1"/>
  <c r="T4210" i="1" s="1"/>
  <c r="T4211" i="1" s="1"/>
  <c r="T4212" i="1" s="1"/>
  <c r="T4213" i="1" s="1"/>
  <c r="T4214" i="1" s="1"/>
  <c r="T4215" i="1" s="1"/>
  <c r="T4216" i="1" s="1"/>
  <c r="T4217" i="1" s="1"/>
  <c r="T4218" i="1" s="1"/>
  <c r="T4219" i="1" s="1"/>
  <c r="T4220" i="1" s="1"/>
  <c r="T4221" i="1" s="1"/>
  <c r="T4222" i="1" s="1"/>
  <c r="T4223" i="1" s="1"/>
  <c r="T4224" i="1" s="1"/>
  <c r="T4225" i="1" s="1"/>
  <c r="T4226" i="1" s="1"/>
  <c r="T4227" i="1" s="1"/>
  <c r="T4228" i="1" s="1"/>
  <c r="T4229" i="1" s="1"/>
  <c r="T4230" i="1" s="1"/>
  <c r="T4231" i="1" s="1"/>
  <c r="T4232" i="1" s="1"/>
  <c r="T4233" i="1" s="1"/>
  <c r="T4234" i="1" s="1"/>
  <c r="T4235" i="1" s="1"/>
  <c r="T4236" i="1" s="1"/>
  <c r="T4237" i="1" s="1"/>
  <c r="T4238" i="1" s="1"/>
  <c r="T4239" i="1" s="1"/>
  <c r="T4240" i="1" s="1"/>
  <c r="T4241" i="1" s="1"/>
  <c r="T4242" i="1" s="1"/>
  <c r="T4243" i="1" s="1"/>
  <c r="T4244" i="1" s="1"/>
  <c r="T4245" i="1" s="1"/>
  <c r="T4246" i="1" s="1"/>
  <c r="T4247" i="1" s="1"/>
  <c r="T4248" i="1" s="1"/>
  <c r="T4249" i="1" s="1"/>
  <c r="T4250" i="1" s="1"/>
  <c r="T4251" i="1" s="1"/>
  <c r="T4252" i="1" s="1"/>
  <c r="T4253" i="1" s="1"/>
  <c r="T4254" i="1" s="1"/>
  <c r="T4255" i="1" s="1"/>
  <c r="T4256" i="1" s="1"/>
  <c r="T4257" i="1" s="1"/>
  <c r="T4258" i="1" s="1"/>
  <c r="T4259" i="1" s="1"/>
  <c r="T4260" i="1" s="1"/>
  <c r="T4261" i="1" s="1"/>
  <c r="T4262" i="1" s="1"/>
  <c r="T4263" i="1" s="1"/>
  <c r="T4264" i="1" s="1"/>
  <c r="T4265" i="1" s="1"/>
  <c r="T4266" i="1" s="1"/>
  <c r="T4267" i="1" s="1"/>
  <c r="T4268" i="1" s="1"/>
  <c r="T4269" i="1" s="1"/>
  <c r="T4270" i="1" s="1"/>
  <c r="T4271" i="1" s="1"/>
  <c r="T4272" i="1" s="1"/>
  <c r="T4273" i="1" s="1"/>
  <c r="T4274" i="1" s="1"/>
  <c r="T4275" i="1" s="1"/>
  <c r="T4276" i="1" s="1"/>
  <c r="T4277" i="1" s="1"/>
  <c r="T4278" i="1" s="1"/>
  <c r="T4279" i="1" s="1"/>
  <c r="T4280" i="1" s="1"/>
  <c r="T4281" i="1" s="1"/>
  <c r="T4282" i="1" s="1"/>
  <c r="T4283" i="1" s="1"/>
  <c r="T4284" i="1" s="1"/>
  <c r="T4285" i="1" s="1"/>
  <c r="T4286" i="1" s="1"/>
  <c r="T4287" i="1" s="1"/>
  <c r="T4288" i="1" s="1"/>
  <c r="T4289" i="1" s="1"/>
  <c r="T4290" i="1" s="1"/>
  <c r="T4291" i="1" s="1"/>
  <c r="T4292" i="1" s="1"/>
  <c r="T4293" i="1" s="1"/>
  <c r="T4294" i="1" s="1"/>
  <c r="T4295" i="1" s="1"/>
  <c r="T4296" i="1" s="1"/>
  <c r="T4297" i="1" s="1"/>
  <c r="T4298" i="1" s="1"/>
  <c r="T4299" i="1" s="1"/>
  <c r="T4300" i="1" s="1"/>
  <c r="T4301" i="1" s="1"/>
  <c r="T4302" i="1" s="1"/>
  <c r="T4303" i="1" s="1"/>
  <c r="T4304" i="1" s="1"/>
  <c r="T4305" i="1" s="1"/>
  <c r="T4306" i="1" s="1"/>
  <c r="T4307" i="1" s="1"/>
  <c r="T4308" i="1" s="1"/>
  <c r="T4309" i="1" s="1"/>
  <c r="T4310" i="1" s="1"/>
  <c r="T4311" i="1" s="1"/>
  <c r="T4312" i="1" s="1"/>
  <c r="T4313" i="1" s="1"/>
  <c r="T4314" i="1" s="1"/>
  <c r="T4315" i="1" s="1"/>
  <c r="T4316" i="1" s="1"/>
  <c r="T4317" i="1" s="1"/>
  <c r="T4318" i="1" s="1"/>
  <c r="T4319" i="1" s="1"/>
  <c r="T4320" i="1" s="1"/>
  <c r="T4321" i="1" s="1"/>
  <c r="T4322" i="1" s="1"/>
  <c r="T4323" i="1" s="1"/>
  <c r="T4324" i="1" s="1"/>
  <c r="T4325" i="1" s="1"/>
  <c r="T4326" i="1" s="1"/>
  <c r="T4327" i="1" s="1"/>
  <c r="T4328" i="1" s="1"/>
  <c r="T4329" i="1" s="1"/>
  <c r="T4330" i="1" s="1"/>
  <c r="T4331" i="1" s="1"/>
  <c r="T4332" i="1" s="1"/>
  <c r="T4333" i="1" s="1"/>
  <c r="T4334" i="1" s="1"/>
  <c r="T4335" i="1" s="1"/>
  <c r="T4336" i="1" s="1"/>
  <c r="T4337" i="1" s="1"/>
  <c r="T4338" i="1" s="1"/>
  <c r="T4339" i="1" s="1"/>
  <c r="T4340" i="1" s="1"/>
  <c r="T4341" i="1" s="1"/>
  <c r="T4342" i="1" s="1"/>
  <c r="T4343" i="1" s="1"/>
  <c r="T4344" i="1" s="1"/>
  <c r="T4345" i="1" s="1"/>
  <c r="T4346" i="1" s="1"/>
  <c r="T4347" i="1" s="1"/>
  <c r="T4348" i="1" s="1"/>
  <c r="T4349" i="1" s="1"/>
  <c r="T4350" i="1" s="1"/>
  <c r="T4351" i="1" s="1"/>
  <c r="T4352" i="1" s="1"/>
  <c r="T4353" i="1" s="1"/>
  <c r="T4354" i="1" s="1"/>
  <c r="T4355" i="1" s="1"/>
  <c r="T4356" i="1" s="1"/>
  <c r="T4357" i="1" s="1"/>
  <c r="T4358" i="1" s="1"/>
  <c r="T4359" i="1" s="1"/>
  <c r="T4360" i="1" s="1"/>
  <c r="T4361" i="1" s="1"/>
  <c r="T4362" i="1" s="1"/>
  <c r="T4363" i="1" s="1"/>
  <c r="T4364" i="1" s="1"/>
  <c r="T4365" i="1" s="1"/>
  <c r="T4366" i="1" s="1"/>
  <c r="T4367" i="1" s="1"/>
  <c r="T4368" i="1" s="1"/>
  <c r="T4369" i="1" s="1"/>
  <c r="T4370" i="1" s="1"/>
  <c r="T4371" i="1" s="1"/>
  <c r="T4372" i="1" s="1"/>
  <c r="T4373" i="1" s="1"/>
  <c r="T4374" i="1" s="1"/>
  <c r="T4375" i="1" s="1"/>
  <c r="T4376" i="1" s="1"/>
  <c r="T4377" i="1" s="1"/>
  <c r="T4378" i="1" s="1"/>
  <c r="T4379" i="1" s="1"/>
  <c r="T4380" i="1" s="1"/>
  <c r="T4381" i="1" s="1"/>
  <c r="T4382" i="1" s="1"/>
  <c r="T4383" i="1" s="1"/>
  <c r="T4384" i="1" s="1"/>
  <c r="T4385" i="1" s="1"/>
  <c r="T4386" i="1" s="1"/>
  <c r="T4387" i="1" s="1"/>
  <c r="T4388" i="1" s="1"/>
  <c r="T4389" i="1" s="1"/>
  <c r="T4390" i="1" s="1"/>
  <c r="T4391" i="1" s="1"/>
  <c r="T4392" i="1" s="1"/>
  <c r="T4393" i="1" s="1"/>
  <c r="T4394" i="1" s="1"/>
  <c r="T4395" i="1" s="1"/>
  <c r="T4396" i="1" s="1"/>
  <c r="T4397" i="1" s="1"/>
  <c r="T4398" i="1" s="1"/>
  <c r="T4399" i="1" s="1"/>
  <c r="T4400" i="1" s="1"/>
  <c r="T4401" i="1" s="1"/>
  <c r="T4402" i="1" s="1"/>
  <c r="T4403" i="1" s="1"/>
  <c r="T4404" i="1" s="1"/>
  <c r="T4405" i="1" s="1"/>
  <c r="T4406" i="1" s="1"/>
  <c r="T4407" i="1" s="1"/>
  <c r="T4408" i="1" s="1"/>
  <c r="T4409" i="1" s="1"/>
  <c r="T4410" i="1" s="1"/>
  <c r="T4411" i="1" s="1"/>
  <c r="T4412" i="1" s="1"/>
  <c r="T4413" i="1" s="1"/>
  <c r="T4414" i="1" s="1"/>
  <c r="T4415" i="1" s="1"/>
  <c r="T4416" i="1" s="1"/>
  <c r="T4417" i="1" s="1"/>
  <c r="T4418" i="1" s="1"/>
  <c r="T4419" i="1" s="1"/>
  <c r="T4420" i="1" s="1"/>
  <c r="T4421" i="1" s="1"/>
  <c r="T4422" i="1" s="1"/>
  <c r="T4423" i="1" s="1"/>
  <c r="T4424" i="1" s="1"/>
  <c r="T4425" i="1" s="1"/>
  <c r="T4426" i="1" s="1"/>
  <c r="T4427" i="1" s="1"/>
  <c r="T4428" i="1" s="1"/>
  <c r="T4429" i="1" s="1"/>
  <c r="T4430" i="1" s="1"/>
  <c r="T4431" i="1" s="1"/>
  <c r="T4432" i="1" s="1"/>
  <c r="T4433" i="1" s="1"/>
  <c r="T4434" i="1" s="1"/>
  <c r="T4435" i="1" s="1"/>
  <c r="T4436" i="1" s="1"/>
  <c r="T4437" i="1" s="1"/>
  <c r="T4438" i="1" s="1"/>
  <c r="T4439" i="1" s="1"/>
  <c r="T4440" i="1" s="1"/>
  <c r="T4441" i="1" s="1"/>
  <c r="T4442" i="1" s="1"/>
  <c r="T4443" i="1" s="1"/>
  <c r="T4444" i="1" s="1"/>
  <c r="T4445" i="1" s="1"/>
  <c r="T4446" i="1" s="1"/>
  <c r="T4447" i="1" s="1"/>
  <c r="T4448" i="1" s="1"/>
  <c r="T4449" i="1" s="1"/>
  <c r="T4450" i="1" s="1"/>
  <c r="T4451" i="1" s="1"/>
  <c r="T4452" i="1" s="1"/>
  <c r="T4453" i="1" s="1"/>
  <c r="T4454" i="1" s="1"/>
  <c r="T4455" i="1" s="1"/>
  <c r="T4456" i="1" s="1"/>
  <c r="T4457" i="1" s="1"/>
  <c r="T4458" i="1" s="1"/>
  <c r="T4459" i="1" s="1"/>
  <c r="T4460" i="1" s="1"/>
  <c r="T4461" i="1" s="1"/>
  <c r="T4462" i="1" s="1"/>
  <c r="T4463" i="1" s="1"/>
  <c r="T4464" i="1" s="1"/>
  <c r="T4465" i="1" s="1"/>
  <c r="T4466" i="1" s="1"/>
  <c r="T4467" i="1" s="1"/>
  <c r="T4468" i="1" s="1"/>
  <c r="T4469" i="1" s="1"/>
  <c r="T4470" i="1" s="1"/>
  <c r="T4471" i="1" s="1"/>
  <c r="T4472" i="1" s="1"/>
  <c r="T4473" i="1" s="1"/>
  <c r="T4474" i="1" s="1"/>
  <c r="T4475" i="1" s="1"/>
  <c r="T4476" i="1" s="1"/>
  <c r="T4477" i="1" s="1"/>
  <c r="T4478" i="1" s="1"/>
  <c r="T4479" i="1" s="1"/>
  <c r="T4480" i="1" s="1"/>
  <c r="T4481" i="1" s="1"/>
  <c r="T4482" i="1" s="1"/>
  <c r="T4483" i="1" s="1"/>
  <c r="T4484" i="1" s="1"/>
  <c r="T4485" i="1" s="1"/>
  <c r="T4486" i="1" s="1"/>
  <c r="T4487" i="1" s="1"/>
  <c r="T4488" i="1" s="1"/>
  <c r="T4489" i="1" s="1"/>
  <c r="T4490" i="1" s="1"/>
  <c r="T4491" i="1" s="1"/>
  <c r="T4492" i="1" s="1"/>
  <c r="T4493" i="1" s="1"/>
  <c r="T4494" i="1" s="1"/>
  <c r="T4495" i="1" s="1"/>
  <c r="T4496" i="1" s="1"/>
  <c r="T4497" i="1" s="1"/>
  <c r="T4498" i="1" s="1"/>
  <c r="T4499" i="1" s="1"/>
  <c r="T4500" i="1" s="1"/>
  <c r="T4501" i="1" s="1"/>
  <c r="T4502" i="1" s="1"/>
  <c r="T4503" i="1" s="1"/>
  <c r="T4504" i="1" s="1"/>
  <c r="T4505" i="1" s="1"/>
  <c r="T4506" i="1" s="1"/>
  <c r="T4507" i="1" s="1"/>
  <c r="T4508" i="1" s="1"/>
  <c r="T4509" i="1" s="1"/>
  <c r="T4510" i="1" s="1"/>
  <c r="T4511" i="1" s="1"/>
  <c r="T4512" i="1" s="1"/>
  <c r="T4513" i="1" s="1"/>
  <c r="T4514" i="1" s="1"/>
  <c r="T4515" i="1" s="1"/>
  <c r="T4516" i="1" s="1"/>
  <c r="T4517" i="1" s="1"/>
  <c r="T4518" i="1" s="1"/>
  <c r="T4519" i="1" s="1"/>
  <c r="T4520" i="1" s="1"/>
  <c r="T4521" i="1" s="1"/>
  <c r="T4522" i="1" s="1"/>
  <c r="T4523" i="1" s="1"/>
  <c r="T4524" i="1" s="1"/>
  <c r="T4525" i="1" s="1"/>
  <c r="T4526" i="1" s="1"/>
  <c r="T4527" i="1" s="1"/>
  <c r="T4528" i="1" s="1"/>
  <c r="T4529" i="1" s="1"/>
  <c r="T4530" i="1" s="1"/>
  <c r="T4531" i="1" s="1"/>
  <c r="T4532" i="1" s="1"/>
  <c r="T4533" i="1" s="1"/>
  <c r="T4534" i="1" s="1"/>
  <c r="T4535" i="1" s="1"/>
  <c r="T4536" i="1" s="1"/>
  <c r="T4537" i="1" s="1"/>
  <c r="T4538" i="1" s="1"/>
  <c r="T4539" i="1" s="1"/>
  <c r="T4540" i="1" s="1"/>
  <c r="T4541" i="1" s="1"/>
  <c r="T4542" i="1" s="1"/>
  <c r="T4543" i="1" s="1"/>
  <c r="T4544" i="1" s="1"/>
  <c r="T4545" i="1" s="1"/>
  <c r="T4546" i="1" s="1"/>
  <c r="T4547" i="1" s="1"/>
  <c r="T4548" i="1" s="1"/>
  <c r="T4549" i="1" s="1"/>
  <c r="T4550" i="1" s="1"/>
  <c r="T4551" i="1" s="1"/>
  <c r="T4552" i="1" s="1"/>
  <c r="T4553" i="1" s="1"/>
  <c r="T4554" i="1" s="1"/>
  <c r="T4555" i="1" s="1"/>
  <c r="T4556" i="1" s="1"/>
  <c r="T4557" i="1" s="1"/>
  <c r="T4558" i="1" s="1"/>
  <c r="T4559" i="1" s="1"/>
  <c r="T4560" i="1" s="1"/>
  <c r="T4561" i="1" s="1"/>
  <c r="T4562" i="1" s="1"/>
  <c r="T4563" i="1" s="1"/>
  <c r="T4564" i="1" s="1"/>
  <c r="T4565" i="1" s="1"/>
  <c r="T4566" i="1" s="1"/>
  <c r="T4567" i="1" s="1"/>
  <c r="T4568" i="1" s="1"/>
  <c r="T4569" i="1" s="1"/>
  <c r="T4570" i="1" s="1"/>
  <c r="T4571" i="1" s="1"/>
  <c r="T4572" i="1" s="1"/>
  <c r="T4573" i="1" s="1"/>
  <c r="T4574" i="1" s="1"/>
  <c r="T4575" i="1" s="1"/>
  <c r="T4576" i="1" s="1"/>
  <c r="T4577" i="1" s="1"/>
  <c r="T4578" i="1" s="1"/>
  <c r="T4579" i="1" s="1"/>
  <c r="T4580" i="1" s="1"/>
  <c r="T4581" i="1" s="1"/>
  <c r="T4582" i="1" s="1"/>
  <c r="T4583" i="1" s="1"/>
  <c r="T4584" i="1" s="1"/>
  <c r="T4585" i="1" s="1"/>
  <c r="T4586" i="1" s="1"/>
  <c r="T4587" i="1" s="1"/>
  <c r="T4588" i="1" s="1"/>
  <c r="T4589" i="1" s="1"/>
  <c r="T4590" i="1" s="1"/>
  <c r="T4591" i="1" s="1"/>
  <c r="T4592" i="1" s="1"/>
  <c r="T4593" i="1" s="1"/>
  <c r="T4594" i="1" s="1"/>
  <c r="T4595" i="1" s="1"/>
  <c r="T4596" i="1" s="1"/>
  <c r="T4597" i="1" s="1"/>
  <c r="T4598" i="1" s="1"/>
  <c r="T4599" i="1" s="1"/>
  <c r="T4600" i="1" s="1"/>
  <c r="T4601" i="1" s="1"/>
  <c r="T4602" i="1" s="1"/>
  <c r="T4603" i="1" s="1"/>
  <c r="T4604" i="1" s="1"/>
  <c r="T4605" i="1" s="1"/>
  <c r="T4606" i="1" s="1"/>
  <c r="T4607" i="1" s="1"/>
  <c r="T4608" i="1" s="1"/>
  <c r="T4609" i="1" s="1"/>
  <c r="T4610" i="1" s="1"/>
  <c r="T4611" i="1" s="1"/>
  <c r="T4612" i="1" s="1"/>
  <c r="T4613" i="1" s="1"/>
  <c r="T4614" i="1" s="1"/>
  <c r="T4615" i="1" s="1"/>
  <c r="T4616" i="1" s="1"/>
  <c r="T4617" i="1" s="1"/>
  <c r="T4618" i="1" s="1"/>
  <c r="T4619" i="1" s="1"/>
  <c r="T4620" i="1" s="1"/>
  <c r="T4621" i="1" s="1"/>
  <c r="T4622" i="1" s="1"/>
  <c r="T4623" i="1" s="1"/>
  <c r="T4624" i="1" s="1"/>
  <c r="T4625" i="1" s="1"/>
  <c r="T4626" i="1" s="1"/>
  <c r="T4627" i="1" s="1"/>
  <c r="T4628" i="1" s="1"/>
  <c r="T4629" i="1" s="1"/>
  <c r="T4630" i="1" s="1"/>
  <c r="T4631" i="1" s="1"/>
  <c r="T4632" i="1" s="1"/>
  <c r="T4633" i="1" s="1"/>
  <c r="T4634" i="1" s="1"/>
  <c r="T4635" i="1" s="1"/>
  <c r="T4636" i="1" s="1"/>
  <c r="T4637" i="1" s="1"/>
  <c r="T4638" i="1" s="1"/>
  <c r="T4639" i="1" s="1"/>
  <c r="T4640" i="1" s="1"/>
  <c r="T4641" i="1" s="1"/>
  <c r="T4642" i="1" s="1"/>
  <c r="T4643" i="1" s="1"/>
  <c r="T4644" i="1" s="1"/>
  <c r="T4645" i="1" s="1"/>
  <c r="T4646" i="1" s="1"/>
  <c r="T4647" i="1" s="1"/>
  <c r="T4648" i="1" s="1"/>
  <c r="T4649" i="1" s="1"/>
  <c r="T4650" i="1" s="1"/>
  <c r="T4651" i="1" s="1"/>
  <c r="T4652" i="1" s="1"/>
  <c r="T4653" i="1" s="1"/>
  <c r="T4654" i="1" s="1"/>
  <c r="T4655" i="1" s="1"/>
  <c r="T4656" i="1" s="1"/>
  <c r="T4657" i="1" s="1"/>
  <c r="T4658" i="1" s="1"/>
  <c r="T4659" i="1" s="1"/>
  <c r="T4660" i="1" s="1"/>
  <c r="T4661" i="1" s="1"/>
  <c r="T4662" i="1" s="1"/>
  <c r="T4663" i="1" s="1"/>
  <c r="T4664" i="1" s="1"/>
  <c r="T4665" i="1" s="1"/>
  <c r="T4666" i="1" s="1"/>
  <c r="T4667" i="1" s="1"/>
  <c r="T4668" i="1" s="1"/>
  <c r="T4669" i="1" s="1"/>
  <c r="T4670" i="1" s="1"/>
  <c r="T4671" i="1" s="1"/>
  <c r="T4672" i="1" s="1"/>
  <c r="T4673" i="1" s="1"/>
  <c r="T4674" i="1" s="1"/>
  <c r="T4675" i="1" s="1"/>
  <c r="T4676" i="1" s="1"/>
  <c r="T4677" i="1" s="1"/>
  <c r="T4678" i="1" s="1"/>
  <c r="T4679" i="1" s="1"/>
  <c r="T4680" i="1" s="1"/>
  <c r="T4681" i="1" s="1"/>
  <c r="T4682" i="1" s="1"/>
  <c r="T4683" i="1" s="1"/>
  <c r="T4684" i="1" s="1"/>
  <c r="T4685" i="1" s="1"/>
  <c r="T4686" i="1" s="1"/>
  <c r="T4687" i="1" s="1"/>
  <c r="T4688" i="1" s="1"/>
  <c r="T4689" i="1" s="1"/>
  <c r="T4690" i="1" s="1"/>
  <c r="T4691" i="1" s="1"/>
  <c r="T4692" i="1" s="1"/>
  <c r="T4693" i="1" s="1"/>
  <c r="T4694" i="1" s="1"/>
  <c r="T4695" i="1" s="1"/>
  <c r="T4696" i="1" s="1"/>
  <c r="T4697" i="1" s="1"/>
  <c r="T4698" i="1" s="1"/>
  <c r="T4699" i="1" s="1"/>
  <c r="T4700" i="1" s="1"/>
  <c r="T4701" i="1" s="1"/>
  <c r="T4702" i="1" s="1"/>
  <c r="T4703" i="1" s="1"/>
  <c r="T4704" i="1" s="1"/>
  <c r="T4705" i="1" s="1"/>
  <c r="T4706" i="1" s="1"/>
  <c r="T4707" i="1" s="1"/>
  <c r="T4708" i="1" s="1"/>
  <c r="T4709" i="1" s="1"/>
  <c r="T4710" i="1" s="1"/>
  <c r="T4711" i="1" s="1"/>
  <c r="T4712" i="1" s="1"/>
  <c r="T4713" i="1" s="1"/>
  <c r="T4714" i="1" s="1"/>
  <c r="T4715" i="1" s="1"/>
  <c r="T4716" i="1" s="1"/>
  <c r="T4717" i="1" s="1"/>
  <c r="T4718" i="1" s="1"/>
  <c r="T4719" i="1" s="1"/>
  <c r="T4720" i="1" s="1"/>
  <c r="T4721" i="1" s="1"/>
  <c r="T4722" i="1" s="1"/>
  <c r="T4723" i="1" s="1"/>
  <c r="T4724" i="1" s="1"/>
  <c r="T4725" i="1" s="1"/>
  <c r="T4726" i="1" s="1"/>
  <c r="T4727" i="1" s="1"/>
  <c r="T4728" i="1" s="1"/>
  <c r="T4729" i="1" s="1"/>
  <c r="T4730" i="1" s="1"/>
  <c r="T4731" i="1" s="1"/>
  <c r="T4732" i="1" s="1"/>
  <c r="T4733" i="1" s="1"/>
  <c r="T4734" i="1" s="1"/>
  <c r="T4735" i="1" s="1"/>
  <c r="T4736" i="1" s="1"/>
  <c r="T4737" i="1" s="1"/>
  <c r="T4738" i="1" s="1"/>
  <c r="T4739" i="1" s="1"/>
  <c r="T4740" i="1" s="1"/>
  <c r="T4741" i="1" s="1"/>
  <c r="T4742" i="1" s="1"/>
  <c r="T4743" i="1" s="1"/>
  <c r="T4744" i="1" s="1"/>
  <c r="T4745" i="1" s="1"/>
  <c r="T4746" i="1" s="1"/>
  <c r="T4747" i="1" s="1"/>
  <c r="T4748" i="1" s="1"/>
  <c r="T4749" i="1" s="1"/>
  <c r="T4750" i="1" s="1"/>
  <c r="T4751" i="1" s="1"/>
  <c r="T4752" i="1" s="1"/>
  <c r="T4753" i="1" s="1"/>
  <c r="T4754" i="1" s="1"/>
  <c r="T4755" i="1" s="1"/>
  <c r="T4756" i="1" s="1"/>
  <c r="T4757" i="1" s="1"/>
  <c r="T4758" i="1" s="1"/>
  <c r="T4759" i="1" s="1"/>
  <c r="T4760" i="1" s="1"/>
  <c r="T4761" i="1" s="1"/>
  <c r="T4762" i="1" s="1"/>
  <c r="T4763" i="1" s="1"/>
  <c r="T4764" i="1" s="1"/>
  <c r="T4765" i="1" s="1"/>
  <c r="T4766" i="1" s="1"/>
  <c r="T4767" i="1" s="1"/>
  <c r="T4768" i="1" s="1"/>
  <c r="T4769" i="1" s="1"/>
  <c r="T4770" i="1" s="1"/>
  <c r="T4771" i="1" s="1"/>
  <c r="T4772" i="1" s="1"/>
  <c r="T4773" i="1" s="1"/>
  <c r="T4774" i="1" s="1"/>
  <c r="T4775" i="1" s="1"/>
  <c r="T4776" i="1" s="1"/>
  <c r="T4777" i="1" s="1"/>
  <c r="T4778" i="1" s="1"/>
  <c r="T4779" i="1" s="1"/>
  <c r="T4780" i="1" s="1"/>
  <c r="T4781" i="1" s="1"/>
  <c r="T4782" i="1" s="1"/>
  <c r="T4783" i="1" s="1"/>
  <c r="T4784" i="1" s="1"/>
  <c r="T4785" i="1" s="1"/>
  <c r="T4786" i="1" s="1"/>
  <c r="T4787" i="1" s="1"/>
  <c r="T4788" i="1" s="1"/>
  <c r="T4789" i="1" s="1"/>
  <c r="T4790" i="1" s="1"/>
  <c r="T4791" i="1" s="1"/>
  <c r="T4792" i="1" s="1"/>
  <c r="T4793" i="1" s="1"/>
  <c r="T4794" i="1" s="1"/>
  <c r="T4795" i="1" s="1"/>
  <c r="T4796" i="1" s="1"/>
  <c r="T4797" i="1" s="1"/>
  <c r="T4798" i="1" s="1"/>
  <c r="T4799" i="1" s="1"/>
  <c r="T4800" i="1" s="1"/>
  <c r="T4801" i="1" s="1"/>
  <c r="T4802" i="1" s="1"/>
  <c r="T4803" i="1" s="1"/>
  <c r="T4804" i="1" s="1"/>
  <c r="T4805" i="1" s="1"/>
  <c r="T4806" i="1" s="1"/>
  <c r="T4807" i="1" s="1"/>
  <c r="T4808" i="1" s="1"/>
  <c r="T4809" i="1" s="1"/>
  <c r="T4810" i="1" s="1"/>
  <c r="T4811" i="1" s="1"/>
  <c r="T4812" i="1" s="1"/>
  <c r="T4813" i="1" s="1"/>
  <c r="T4814" i="1" s="1"/>
  <c r="T4815" i="1" s="1"/>
  <c r="T4816" i="1" s="1"/>
  <c r="T4817" i="1" s="1"/>
  <c r="T4818" i="1" s="1"/>
  <c r="T4819" i="1" s="1"/>
  <c r="T4820" i="1" s="1"/>
  <c r="T4821" i="1" s="1"/>
  <c r="T4822" i="1" s="1"/>
  <c r="T4823" i="1" s="1"/>
  <c r="T4824" i="1" s="1"/>
  <c r="T4825" i="1" s="1"/>
  <c r="T4826" i="1" s="1"/>
  <c r="T4827" i="1" s="1"/>
  <c r="T4828" i="1" s="1"/>
  <c r="T4829" i="1" s="1"/>
  <c r="T4830" i="1" s="1"/>
  <c r="T4831" i="1" s="1"/>
  <c r="T4832" i="1" s="1"/>
  <c r="T4833" i="1" s="1"/>
  <c r="T4834" i="1" s="1"/>
  <c r="T4835" i="1" s="1"/>
  <c r="T4836" i="1" s="1"/>
  <c r="T4837" i="1" s="1"/>
  <c r="T4838" i="1" s="1"/>
  <c r="T4839" i="1" s="1"/>
  <c r="T4840" i="1" s="1"/>
  <c r="T4841" i="1" s="1"/>
  <c r="T4842" i="1" s="1"/>
  <c r="T4843" i="1" s="1"/>
  <c r="T4844" i="1" s="1"/>
  <c r="T4845" i="1" s="1"/>
  <c r="T4846" i="1" s="1"/>
  <c r="T4847" i="1" s="1"/>
  <c r="T4848" i="1" s="1"/>
  <c r="T4849" i="1" s="1"/>
  <c r="T4850" i="1" s="1"/>
  <c r="T4851" i="1" s="1"/>
  <c r="T4852" i="1" s="1"/>
  <c r="T4853" i="1" s="1"/>
  <c r="T4854" i="1" s="1"/>
  <c r="T4855" i="1" s="1"/>
  <c r="T4856" i="1" s="1"/>
  <c r="T4857" i="1" s="1"/>
  <c r="T4858" i="1" s="1"/>
  <c r="T4859" i="1" s="1"/>
  <c r="T4860" i="1" s="1"/>
  <c r="T4861" i="1" s="1"/>
  <c r="T4862" i="1" s="1"/>
  <c r="T4863" i="1" s="1"/>
  <c r="T4864" i="1" s="1"/>
  <c r="T4865" i="1" s="1"/>
  <c r="T4866" i="1" s="1"/>
  <c r="T4867" i="1" s="1"/>
  <c r="T4868" i="1" s="1"/>
  <c r="T4869" i="1" s="1"/>
  <c r="T4870" i="1" s="1"/>
  <c r="T4871" i="1" s="1"/>
  <c r="T4872" i="1" s="1"/>
  <c r="T4873" i="1" s="1"/>
  <c r="T4874" i="1" s="1"/>
  <c r="T4875" i="1" s="1"/>
  <c r="T4876" i="1" s="1"/>
  <c r="T4877" i="1" s="1"/>
  <c r="T4878" i="1" s="1"/>
  <c r="T4879" i="1" s="1"/>
  <c r="T4880" i="1" s="1"/>
  <c r="T4881" i="1" s="1"/>
  <c r="T4882" i="1" s="1"/>
  <c r="T4883" i="1" s="1"/>
  <c r="T4884" i="1" s="1"/>
  <c r="T4885" i="1" s="1"/>
  <c r="T4886" i="1" s="1"/>
  <c r="T4887" i="1" s="1"/>
  <c r="T4888" i="1" s="1"/>
  <c r="T4889" i="1" s="1"/>
  <c r="T4890" i="1" s="1"/>
  <c r="T4891" i="1" s="1"/>
  <c r="T4892" i="1" s="1"/>
  <c r="T4893" i="1" s="1"/>
  <c r="T4894" i="1" s="1"/>
  <c r="T4895" i="1" s="1"/>
  <c r="T4896" i="1" s="1"/>
  <c r="T4897" i="1" s="1"/>
  <c r="T4898" i="1" s="1"/>
  <c r="T4899" i="1" s="1"/>
  <c r="T4900" i="1" s="1"/>
  <c r="T4901" i="1" s="1"/>
  <c r="T4902" i="1" s="1"/>
  <c r="T4903" i="1" s="1"/>
  <c r="T4904" i="1" s="1"/>
  <c r="T4905" i="1" s="1"/>
  <c r="T4906" i="1" s="1"/>
  <c r="T4907" i="1" s="1"/>
  <c r="T4908" i="1" s="1"/>
  <c r="T4909" i="1" s="1"/>
  <c r="T4910" i="1" s="1"/>
  <c r="T4911" i="1" s="1"/>
  <c r="T4912" i="1" s="1"/>
  <c r="T4913" i="1" s="1"/>
  <c r="T4914" i="1" s="1"/>
  <c r="T4915" i="1" s="1"/>
  <c r="T4916" i="1" s="1"/>
  <c r="T4917" i="1" s="1"/>
  <c r="T4918" i="1" s="1"/>
  <c r="T4919" i="1" s="1"/>
  <c r="T4920" i="1" s="1"/>
  <c r="T4921" i="1" s="1"/>
  <c r="T4922" i="1" s="1"/>
  <c r="T4923" i="1" s="1"/>
  <c r="T4924" i="1" s="1"/>
  <c r="T4925" i="1" s="1"/>
  <c r="T4926" i="1" s="1"/>
  <c r="T4927" i="1" s="1"/>
  <c r="T4928" i="1" s="1"/>
  <c r="T4929" i="1" s="1"/>
  <c r="T4930" i="1" s="1"/>
  <c r="T4931" i="1" s="1"/>
  <c r="T4932" i="1" s="1"/>
  <c r="T4933" i="1" s="1"/>
  <c r="T4934" i="1" s="1"/>
  <c r="T4935" i="1" s="1"/>
  <c r="T4936" i="1" s="1"/>
  <c r="T4937" i="1" s="1"/>
  <c r="T4938" i="1" s="1"/>
  <c r="T4939" i="1" s="1"/>
  <c r="T4940" i="1" s="1"/>
  <c r="T4941" i="1" s="1"/>
  <c r="T4942" i="1" s="1"/>
  <c r="T4943" i="1" s="1"/>
  <c r="T4944" i="1" s="1"/>
  <c r="T4945" i="1" s="1"/>
  <c r="T4946" i="1" s="1"/>
  <c r="T4947" i="1" s="1"/>
  <c r="T4948" i="1" s="1"/>
  <c r="T4949" i="1" s="1"/>
  <c r="T4950" i="1" s="1"/>
  <c r="T4951" i="1" s="1"/>
  <c r="T4952" i="1" s="1"/>
  <c r="T4953" i="1" s="1"/>
  <c r="T4954" i="1" s="1"/>
  <c r="T4955" i="1" s="1"/>
  <c r="T4956" i="1" s="1"/>
  <c r="T4957" i="1" s="1"/>
  <c r="T4958" i="1" s="1"/>
  <c r="T4959" i="1" s="1"/>
  <c r="T4960" i="1" s="1"/>
  <c r="T4961" i="1" s="1"/>
  <c r="T4962" i="1" s="1"/>
  <c r="T4963" i="1" s="1"/>
  <c r="T4964" i="1" s="1"/>
  <c r="T4965" i="1" s="1"/>
  <c r="T4966" i="1" s="1"/>
  <c r="T4967" i="1" s="1"/>
  <c r="T4968" i="1" s="1"/>
  <c r="T4969" i="1" s="1"/>
  <c r="T4970" i="1" s="1"/>
  <c r="T4971" i="1" s="1"/>
  <c r="T4972" i="1" s="1"/>
  <c r="T4973" i="1" s="1"/>
  <c r="T4974" i="1" s="1"/>
  <c r="T4975" i="1" s="1"/>
  <c r="T4976" i="1" s="1"/>
  <c r="T4977" i="1" s="1"/>
  <c r="T4978" i="1" s="1"/>
  <c r="T4979" i="1" s="1"/>
  <c r="T4980" i="1" s="1"/>
  <c r="T4981" i="1" s="1"/>
  <c r="T4982" i="1" s="1"/>
  <c r="T4983" i="1" s="1"/>
  <c r="T4984" i="1" s="1"/>
  <c r="T4985" i="1" s="1"/>
  <c r="T4986" i="1" s="1"/>
  <c r="T4987" i="1" s="1"/>
  <c r="T4988" i="1" s="1"/>
  <c r="T4989" i="1" s="1"/>
  <c r="T4990" i="1" s="1"/>
  <c r="T4991" i="1" s="1"/>
  <c r="T4992" i="1" s="1"/>
  <c r="T4993" i="1" s="1"/>
  <c r="T4994" i="1" s="1"/>
  <c r="T4995" i="1" s="1"/>
  <c r="T4996" i="1" s="1"/>
  <c r="T4997" i="1" s="1"/>
  <c r="T4998" i="1" s="1"/>
  <c r="T4999" i="1" s="1"/>
  <c r="T5000" i="1" s="1"/>
  <c r="T5001" i="1" s="1"/>
  <c r="T5002" i="1" s="1"/>
  <c r="T5003" i="1" s="1"/>
  <c r="T5004" i="1" s="1"/>
  <c r="T5005" i="1" s="1"/>
  <c r="T5006" i="1" s="1"/>
  <c r="T5007" i="1" s="1"/>
  <c r="T5008" i="1" s="1"/>
  <c r="T5009" i="1" s="1"/>
  <c r="T5010" i="1" s="1"/>
  <c r="T5011" i="1" s="1"/>
  <c r="T5012" i="1" s="1"/>
  <c r="T5013" i="1" s="1"/>
  <c r="T5014" i="1" s="1"/>
  <c r="T5015" i="1" s="1"/>
  <c r="T5016" i="1" s="1"/>
  <c r="T5017" i="1" s="1"/>
  <c r="T5018" i="1" s="1"/>
  <c r="T5019" i="1" s="1"/>
  <c r="T5020" i="1" s="1"/>
  <c r="T5021" i="1" s="1"/>
  <c r="T5022" i="1" s="1"/>
  <c r="T5023" i="1" s="1"/>
  <c r="T5024" i="1" s="1"/>
  <c r="T5025" i="1" s="1"/>
  <c r="T5026" i="1" s="1"/>
  <c r="T5027" i="1" s="1"/>
  <c r="T5028" i="1" s="1"/>
  <c r="T5029" i="1" s="1"/>
  <c r="T5030" i="1" s="1"/>
  <c r="T5031" i="1" s="1"/>
  <c r="T5032" i="1" s="1"/>
  <c r="T5033" i="1" s="1"/>
  <c r="T5034" i="1" s="1"/>
  <c r="T5035" i="1" s="1"/>
  <c r="T5036" i="1" s="1"/>
  <c r="T5037" i="1" s="1"/>
  <c r="T5038" i="1" s="1"/>
  <c r="T5039" i="1" s="1"/>
  <c r="T5040" i="1" s="1"/>
  <c r="T5041" i="1" s="1"/>
  <c r="T5042" i="1" s="1"/>
  <c r="T5043" i="1" s="1"/>
  <c r="T5044" i="1" s="1"/>
  <c r="T5045" i="1" s="1"/>
  <c r="T5046" i="1" s="1"/>
  <c r="T5047" i="1" s="1"/>
  <c r="T5048" i="1" s="1"/>
  <c r="T5049" i="1" s="1"/>
  <c r="T5050" i="1" s="1"/>
  <c r="T5051" i="1" s="1"/>
  <c r="T5052" i="1" s="1"/>
  <c r="T5053" i="1" s="1"/>
  <c r="T5054" i="1" s="1"/>
  <c r="T5055" i="1" s="1"/>
  <c r="T5056" i="1" s="1"/>
  <c r="T5057" i="1" s="1"/>
  <c r="T5058" i="1" s="1"/>
  <c r="T5059" i="1" s="1"/>
  <c r="T5060" i="1" s="1"/>
  <c r="T5061" i="1" s="1"/>
  <c r="T5062" i="1" s="1"/>
  <c r="T5063" i="1" s="1"/>
  <c r="T5064" i="1" s="1"/>
  <c r="T5065" i="1" s="1"/>
  <c r="T5066" i="1" s="1"/>
  <c r="T5067" i="1" s="1"/>
  <c r="T5068" i="1" s="1"/>
  <c r="T5069" i="1" s="1"/>
  <c r="T5070" i="1" s="1"/>
  <c r="T5071" i="1" s="1"/>
  <c r="T5072" i="1" s="1"/>
  <c r="T5073" i="1" s="1"/>
  <c r="T5074" i="1" s="1"/>
  <c r="T5075" i="1" s="1"/>
  <c r="T5076" i="1" s="1"/>
  <c r="T5077" i="1" s="1"/>
  <c r="T5078" i="1" s="1"/>
  <c r="T5079" i="1" s="1"/>
  <c r="T5080" i="1" s="1"/>
  <c r="T5081" i="1" s="1"/>
  <c r="T5082" i="1" s="1"/>
  <c r="T5083" i="1" s="1"/>
  <c r="T5084" i="1" s="1"/>
  <c r="T5085" i="1" s="1"/>
  <c r="T5086" i="1" s="1"/>
  <c r="T5087" i="1" s="1"/>
  <c r="T5088" i="1" s="1"/>
  <c r="T5089" i="1" s="1"/>
  <c r="T5090" i="1" s="1"/>
  <c r="T5091" i="1" s="1"/>
  <c r="T5092" i="1" s="1"/>
  <c r="T5093" i="1" s="1"/>
  <c r="T5094" i="1" s="1"/>
  <c r="T5095" i="1" s="1"/>
  <c r="T5096" i="1" s="1"/>
  <c r="T5097" i="1" s="1"/>
  <c r="T5098" i="1" s="1"/>
  <c r="T5099" i="1" s="1"/>
  <c r="T5100" i="1" s="1"/>
  <c r="T5101" i="1" s="1"/>
  <c r="T5102" i="1" s="1"/>
  <c r="T5103" i="1" s="1"/>
  <c r="T5104" i="1" s="1"/>
  <c r="T5105" i="1" s="1"/>
  <c r="T5106" i="1" s="1"/>
  <c r="T5107" i="1" s="1"/>
  <c r="T5108" i="1" s="1"/>
  <c r="T5109" i="1" s="1"/>
  <c r="T5110" i="1" s="1"/>
  <c r="T5111" i="1" s="1"/>
  <c r="T5112" i="1" s="1"/>
  <c r="T5113" i="1" s="1"/>
  <c r="T5114" i="1" s="1"/>
  <c r="T5115" i="1" s="1"/>
  <c r="T5116" i="1" s="1"/>
  <c r="T5117" i="1" s="1"/>
  <c r="T5118" i="1" s="1"/>
  <c r="T5119" i="1" s="1"/>
  <c r="T5120" i="1" s="1"/>
  <c r="T5121" i="1" s="1"/>
  <c r="T5122" i="1" s="1"/>
  <c r="T5123" i="1" s="1"/>
  <c r="T5124" i="1" s="1"/>
  <c r="T5125" i="1" s="1"/>
  <c r="T5126" i="1" s="1"/>
  <c r="T5127" i="1" s="1"/>
  <c r="T5128" i="1" s="1"/>
  <c r="T5129" i="1" s="1"/>
  <c r="T5130" i="1" s="1"/>
  <c r="T5131" i="1" s="1"/>
  <c r="T5132" i="1" s="1"/>
  <c r="T5133" i="1" s="1"/>
  <c r="T5134" i="1" s="1"/>
  <c r="T5135" i="1" s="1"/>
  <c r="T5136" i="1" s="1"/>
  <c r="T5137" i="1" s="1"/>
  <c r="T5138" i="1" s="1"/>
  <c r="T5139" i="1" s="1"/>
  <c r="T5140" i="1" s="1"/>
  <c r="T5141" i="1" s="1"/>
  <c r="T5142" i="1" s="1"/>
  <c r="T5143" i="1" s="1"/>
  <c r="T5144" i="1" s="1"/>
  <c r="T5145" i="1" s="1"/>
  <c r="T5146" i="1" s="1"/>
  <c r="T5147" i="1" s="1"/>
  <c r="T5148" i="1" s="1"/>
  <c r="T5149" i="1" s="1"/>
  <c r="T5150" i="1" s="1"/>
  <c r="T5151" i="1" s="1"/>
  <c r="T5152" i="1" s="1"/>
  <c r="T5153" i="1" s="1"/>
  <c r="T5154" i="1" s="1"/>
  <c r="T5155" i="1" s="1"/>
  <c r="T5156" i="1" s="1"/>
  <c r="T5157" i="1" s="1"/>
  <c r="T5158" i="1" s="1"/>
  <c r="T5159" i="1" s="1"/>
  <c r="T5160" i="1" s="1"/>
  <c r="T5161" i="1" s="1"/>
  <c r="T5162" i="1" s="1"/>
  <c r="T5163" i="1" s="1"/>
  <c r="T5164" i="1" s="1"/>
  <c r="T5165" i="1" s="1"/>
  <c r="T5166" i="1" s="1"/>
  <c r="T5167" i="1" s="1"/>
  <c r="T5168" i="1" s="1"/>
  <c r="T5169" i="1" s="1"/>
  <c r="T5170" i="1" s="1"/>
  <c r="T5171" i="1" s="1"/>
  <c r="T5172" i="1" s="1"/>
  <c r="T5173" i="1" s="1"/>
  <c r="T5174" i="1" s="1"/>
  <c r="T5175" i="1" s="1"/>
  <c r="T5176" i="1" s="1"/>
  <c r="T5177" i="1" s="1"/>
  <c r="T5178" i="1" s="1"/>
  <c r="T5179" i="1" s="1"/>
  <c r="T5180" i="1" s="1"/>
  <c r="T5181" i="1" s="1"/>
  <c r="T5182" i="1" s="1"/>
  <c r="T5183" i="1" s="1"/>
  <c r="T5184" i="1" s="1"/>
  <c r="T5185" i="1" s="1"/>
  <c r="T5186" i="1" s="1"/>
  <c r="T5187" i="1" s="1"/>
  <c r="T5188" i="1" s="1"/>
  <c r="T5189" i="1" s="1"/>
  <c r="T5190" i="1" s="1"/>
  <c r="T5191" i="1" s="1"/>
  <c r="T5192" i="1" s="1"/>
  <c r="T5193" i="1" s="1"/>
  <c r="T5194" i="1" s="1"/>
  <c r="T5195" i="1" s="1"/>
  <c r="T5196" i="1" s="1"/>
  <c r="T5197" i="1" s="1"/>
  <c r="T5198" i="1" s="1"/>
  <c r="T5199" i="1" s="1"/>
  <c r="T5200" i="1" s="1"/>
  <c r="T5201" i="1" s="1"/>
  <c r="T5202" i="1" s="1"/>
  <c r="T5203" i="1" s="1"/>
  <c r="T5204" i="1" s="1"/>
  <c r="T5205" i="1" s="1"/>
  <c r="T5206" i="1" s="1"/>
  <c r="T5207" i="1" s="1"/>
  <c r="T5208" i="1" s="1"/>
  <c r="T5209" i="1" s="1"/>
  <c r="T5210" i="1" s="1"/>
  <c r="T5211" i="1" s="1"/>
  <c r="T5212" i="1" s="1"/>
  <c r="T5213" i="1" s="1"/>
  <c r="T5214" i="1" s="1"/>
  <c r="T5215" i="1" s="1"/>
  <c r="T5216" i="1" s="1"/>
  <c r="T5217" i="1" s="1"/>
  <c r="T5218" i="1" s="1"/>
  <c r="T5219" i="1" s="1"/>
  <c r="T5220" i="1" s="1"/>
  <c r="T5221" i="1" s="1"/>
  <c r="T5222" i="1" s="1"/>
  <c r="T5223" i="1" s="1"/>
  <c r="T5224" i="1" s="1"/>
  <c r="T5225" i="1" s="1"/>
  <c r="T5226" i="1" s="1"/>
  <c r="T5227" i="1" s="1"/>
  <c r="T5228" i="1" s="1"/>
  <c r="T5229" i="1" s="1"/>
  <c r="T5230" i="1" s="1"/>
  <c r="T5231" i="1" s="1"/>
  <c r="T5232" i="1" s="1"/>
  <c r="T5233" i="1" s="1"/>
  <c r="T5234" i="1" s="1"/>
  <c r="T5235" i="1" s="1"/>
  <c r="T5236" i="1" s="1"/>
  <c r="T5237" i="1" s="1"/>
  <c r="T5238" i="1" s="1"/>
  <c r="T5239" i="1" s="1"/>
  <c r="T5240" i="1" s="1"/>
  <c r="T5241" i="1" s="1"/>
  <c r="T5242" i="1" s="1"/>
  <c r="T5243" i="1" s="1"/>
  <c r="T5244" i="1" s="1"/>
  <c r="T5245" i="1" s="1"/>
  <c r="T5246" i="1" s="1"/>
  <c r="T5247" i="1" s="1"/>
  <c r="T5248" i="1" s="1"/>
  <c r="T5249" i="1" s="1"/>
  <c r="T5250" i="1" s="1"/>
  <c r="T5251" i="1" s="1"/>
  <c r="T5252" i="1" s="1"/>
  <c r="T5253" i="1" s="1"/>
  <c r="T5254" i="1" s="1"/>
  <c r="T5255" i="1" s="1"/>
  <c r="T5256" i="1" s="1"/>
  <c r="T5257" i="1" s="1"/>
  <c r="T5258" i="1" s="1"/>
  <c r="T5259" i="1" s="1"/>
  <c r="T5260" i="1" s="1"/>
  <c r="T5261" i="1" s="1"/>
  <c r="T5262" i="1" s="1"/>
  <c r="T5263" i="1" s="1"/>
  <c r="T5264" i="1" s="1"/>
  <c r="T5265" i="1" s="1"/>
  <c r="T5266" i="1" s="1"/>
  <c r="T5267" i="1" s="1"/>
  <c r="T5268" i="1" s="1"/>
  <c r="T5269" i="1" s="1"/>
  <c r="T5270" i="1" s="1"/>
  <c r="T5271" i="1" s="1"/>
  <c r="T5272" i="1" s="1"/>
  <c r="T5273" i="1" s="1"/>
  <c r="T5274" i="1" s="1"/>
  <c r="T5275" i="1" s="1"/>
  <c r="T5276" i="1" s="1"/>
  <c r="T5277" i="1" s="1"/>
  <c r="T5278" i="1" s="1"/>
  <c r="T5279" i="1" s="1"/>
  <c r="T5280" i="1" s="1"/>
  <c r="T5281" i="1" s="1"/>
  <c r="T5282" i="1" s="1"/>
  <c r="T5283" i="1" s="1"/>
  <c r="T5284" i="1" s="1"/>
  <c r="T5285" i="1" s="1"/>
  <c r="T5286" i="1" s="1"/>
  <c r="T5287" i="1" s="1"/>
  <c r="T5288" i="1" s="1"/>
  <c r="T5289" i="1" s="1"/>
  <c r="T5290" i="1" s="1"/>
  <c r="T5291" i="1" s="1"/>
  <c r="T5292" i="1" s="1"/>
  <c r="T5293" i="1" s="1"/>
  <c r="T5294" i="1" s="1"/>
  <c r="T5295" i="1" s="1"/>
  <c r="T5296" i="1" s="1"/>
  <c r="T5297" i="1" s="1"/>
  <c r="T5298" i="1" s="1"/>
  <c r="T5299" i="1" s="1"/>
  <c r="T5300" i="1" s="1"/>
  <c r="T5301" i="1" s="1"/>
  <c r="T5302" i="1" s="1"/>
  <c r="T5303" i="1" s="1"/>
  <c r="T5304" i="1" s="1"/>
  <c r="T5305" i="1" s="1"/>
  <c r="T5306" i="1" s="1"/>
  <c r="T5307" i="1" s="1"/>
  <c r="T5308" i="1" s="1"/>
  <c r="T5309" i="1" s="1"/>
  <c r="T5310" i="1" s="1"/>
  <c r="T5311" i="1" s="1"/>
  <c r="T5312" i="1" s="1"/>
  <c r="T5313" i="1" s="1"/>
  <c r="T5314" i="1" s="1"/>
  <c r="T5315" i="1" s="1"/>
  <c r="T5316" i="1" s="1"/>
  <c r="T5317" i="1" s="1"/>
  <c r="T5318" i="1" s="1"/>
  <c r="T5319" i="1" s="1"/>
  <c r="T5320" i="1" s="1"/>
  <c r="T5321" i="1" s="1"/>
  <c r="T5322" i="1" s="1"/>
  <c r="T5323" i="1" s="1"/>
  <c r="T5324" i="1" s="1"/>
  <c r="T5325" i="1" s="1"/>
  <c r="T5326" i="1" s="1"/>
  <c r="T5327" i="1" s="1"/>
  <c r="T5328" i="1" s="1"/>
  <c r="T5329" i="1" s="1"/>
  <c r="T5330" i="1" s="1"/>
  <c r="T5331" i="1" s="1"/>
  <c r="T5332" i="1" s="1"/>
  <c r="T5333" i="1" s="1"/>
  <c r="T5334" i="1" s="1"/>
  <c r="T5335" i="1" s="1"/>
  <c r="T5336" i="1" s="1"/>
  <c r="T5337" i="1" s="1"/>
  <c r="T5338" i="1" s="1"/>
  <c r="T5339" i="1" s="1"/>
  <c r="T5340" i="1" s="1"/>
  <c r="T5341" i="1" s="1"/>
  <c r="T5342" i="1" s="1"/>
  <c r="T5343" i="1" s="1"/>
  <c r="T5344" i="1" s="1"/>
  <c r="T5345" i="1" s="1"/>
  <c r="T5346" i="1" s="1"/>
  <c r="T5347" i="1" s="1"/>
  <c r="T5348" i="1" s="1"/>
  <c r="T5349" i="1" s="1"/>
  <c r="T5350" i="1" s="1"/>
  <c r="T5351" i="1" s="1"/>
  <c r="T5352" i="1" s="1"/>
  <c r="T5353" i="1" s="1"/>
  <c r="T5354" i="1" s="1"/>
  <c r="T5355" i="1" s="1"/>
  <c r="T5356" i="1" s="1"/>
  <c r="T5357" i="1" s="1"/>
  <c r="T5358" i="1" s="1"/>
  <c r="T5359" i="1" s="1"/>
  <c r="T5360" i="1" s="1"/>
  <c r="T5361" i="1" s="1"/>
  <c r="T5362" i="1" s="1"/>
  <c r="T5363" i="1" s="1"/>
  <c r="T5364" i="1" s="1"/>
  <c r="T5365" i="1" s="1"/>
  <c r="T5366" i="1" s="1"/>
  <c r="T5367" i="1" s="1"/>
  <c r="T5368" i="1" s="1"/>
  <c r="T5369" i="1" s="1"/>
  <c r="T5370" i="1" s="1"/>
  <c r="T5371" i="1" s="1"/>
  <c r="T5372" i="1" s="1"/>
  <c r="T5373" i="1" s="1"/>
  <c r="T5374" i="1" s="1"/>
  <c r="T5375" i="1" s="1"/>
  <c r="T5376" i="1" s="1"/>
  <c r="T5377" i="1" s="1"/>
  <c r="T5378" i="1" s="1"/>
  <c r="T5379" i="1" s="1"/>
  <c r="T5380" i="1" s="1"/>
  <c r="T5381" i="1" s="1"/>
  <c r="T5382" i="1" s="1"/>
  <c r="T5383" i="1" s="1"/>
  <c r="T5384" i="1" s="1"/>
  <c r="T5385" i="1" s="1"/>
  <c r="T5386" i="1" s="1"/>
  <c r="T5387" i="1" s="1"/>
  <c r="T5388" i="1" s="1"/>
  <c r="T5389" i="1" s="1"/>
  <c r="T5390" i="1" s="1"/>
  <c r="T5391" i="1" s="1"/>
  <c r="T5392" i="1" s="1"/>
  <c r="T5393" i="1" s="1"/>
  <c r="T5394" i="1" s="1"/>
  <c r="T5395" i="1" s="1"/>
  <c r="T5396" i="1" s="1"/>
  <c r="T5397" i="1" s="1"/>
  <c r="T5398" i="1" s="1"/>
  <c r="T5399" i="1" s="1"/>
  <c r="T5400" i="1" s="1"/>
  <c r="T5401" i="1" s="1"/>
  <c r="T5402" i="1" s="1"/>
  <c r="T5403" i="1" s="1"/>
  <c r="T5404" i="1" s="1"/>
  <c r="T5405" i="1" s="1"/>
  <c r="T5406" i="1" s="1"/>
  <c r="T5407" i="1" s="1"/>
  <c r="T5408" i="1" s="1"/>
  <c r="T5409" i="1" s="1"/>
  <c r="T5410" i="1" s="1"/>
  <c r="T5411" i="1" s="1"/>
  <c r="T5412" i="1" s="1"/>
  <c r="T5413" i="1" s="1"/>
  <c r="T5414" i="1" s="1"/>
  <c r="T5415" i="1" s="1"/>
  <c r="T5416" i="1" s="1"/>
  <c r="T5417" i="1" s="1"/>
  <c r="T5418" i="1" s="1"/>
  <c r="T5419" i="1" s="1"/>
  <c r="T5420" i="1" s="1"/>
  <c r="T5421" i="1" s="1"/>
  <c r="T5422" i="1" s="1"/>
  <c r="T5423" i="1" s="1"/>
  <c r="T5424" i="1" s="1"/>
  <c r="T5425" i="1" s="1"/>
  <c r="T5426" i="1" s="1"/>
  <c r="T5427" i="1" s="1"/>
  <c r="T5428" i="1" s="1"/>
  <c r="T5429" i="1" s="1"/>
  <c r="T5430" i="1" s="1"/>
  <c r="T5431" i="1" s="1"/>
  <c r="T5432" i="1" s="1"/>
  <c r="T5433" i="1" s="1"/>
  <c r="T5434" i="1" s="1"/>
  <c r="T5435" i="1" s="1"/>
  <c r="T5436" i="1" s="1"/>
  <c r="T5437" i="1" s="1"/>
  <c r="T5438" i="1" s="1"/>
  <c r="T5439" i="1" s="1"/>
  <c r="T5440" i="1" s="1"/>
  <c r="T5441" i="1" s="1"/>
  <c r="T5442" i="1" s="1"/>
  <c r="T5443" i="1" s="1"/>
  <c r="T5444" i="1" s="1"/>
  <c r="T5445" i="1" s="1"/>
  <c r="T5446" i="1" s="1"/>
  <c r="T5447" i="1" s="1"/>
  <c r="T5448" i="1" s="1"/>
  <c r="T5449" i="1" s="1"/>
  <c r="T5450" i="1" s="1"/>
  <c r="T5451" i="1" s="1"/>
  <c r="T5452" i="1" s="1"/>
  <c r="T5453" i="1" s="1"/>
  <c r="T5454" i="1" s="1"/>
  <c r="T5455" i="1" s="1"/>
  <c r="T5456" i="1" s="1"/>
  <c r="T5457" i="1" s="1"/>
  <c r="T5458" i="1" s="1"/>
  <c r="T5459" i="1" s="1"/>
  <c r="T5460" i="1" s="1"/>
  <c r="T5461" i="1" s="1"/>
  <c r="T5462" i="1" s="1"/>
  <c r="T5463" i="1" s="1"/>
  <c r="T5464" i="1" s="1"/>
  <c r="T5465" i="1" s="1"/>
  <c r="T5466" i="1" s="1"/>
  <c r="T5467" i="1" s="1"/>
  <c r="T5468" i="1" s="1"/>
  <c r="T5469" i="1" s="1"/>
  <c r="T5470" i="1" s="1"/>
  <c r="T5471" i="1" s="1"/>
  <c r="T5472" i="1" s="1"/>
  <c r="T5473" i="1" s="1"/>
  <c r="T5474" i="1" s="1"/>
  <c r="T5475" i="1" s="1"/>
  <c r="T5476" i="1" s="1"/>
  <c r="T5477" i="1" s="1"/>
  <c r="T5478" i="1" s="1"/>
  <c r="T5479" i="1" s="1"/>
  <c r="T5480" i="1" s="1"/>
  <c r="T5481" i="1" s="1"/>
  <c r="T5482" i="1" s="1"/>
  <c r="T5483" i="1" s="1"/>
  <c r="T5484" i="1" s="1"/>
  <c r="T5485" i="1" s="1"/>
  <c r="T5486" i="1" s="1"/>
  <c r="T5487" i="1" s="1"/>
  <c r="T5488" i="1" s="1"/>
  <c r="T5489" i="1" s="1"/>
  <c r="T5490" i="1" s="1"/>
  <c r="T5491" i="1" s="1"/>
  <c r="T5492" i="1" s="1"/>
  <c r="T5493" i="1" s="1"/>
  <c r="T5494" i="1" s="1"/>
  <c r="T5495" i="1" s="1"/>
  <c r="T5496" i="1" s="1"/>
  <c r="T5497" i="1" s="1"/>
  <c r="T5498" i="1" s="1"/>
  <c r="T5499" i="1" s="1"/>
  <c r="T5500" i="1" s="1"/>
  <c r="T5501" i="1" s="1"/>
  <c r="T5502" i="1" s="1"/>
  <c r="T5503" i="1" s="1"/>
  <c r="T5504" i="1" s="1"/>
  <c r="T5505" i="1" s="1"/>
  <c r="T5506" i="1" s="1"/>
  <c r="T5507" i="1" s="1"/>
  <c r="T5508" i="1" s="1"/>
  <c r="T5509" i="1" s="1"/>
  <c r="T5510" i="1" s="1"/>
  <c r="T5511" i="1" s="1"/>
  <c r="T5512" i="1" s="1"/>
  <c r="T5513" i="1" s="1"/>
  <c r="T5514" i="1" s="1"/>
  <c r="T5515" i="1" s="1"/>
  <c r="T5516" i="1" s="1"/>
  <c r="T5517" i="1" s="1"/>
  <c r="T5518" i="1" s="1"/>
  <c r="T5519" i="1" s="1"/>
  <c r="T5520" i="1" s="1"/>
  <c r="T5521" i="1" s="1"/>
  <c r="T5522" i="1" s="1"/>
  <c r="T5523" i="1" s="1"/>
  <c r="T5524" i="1" s="1"/>
  <c r="T5525" i="1" s="1"/>
  <c r="T5526" i="1" s="1"/>
  <c r="T5527" i="1" s="1"/>
  <c r="T5528" i="1" s="1"/>
  <c r="T5529" i="1" s="1"/>
  <c r="T5530" i="1" s="1"/>
  <c r="T5531" i="1" s="1"/>
  <c r="T5532" i="1" s="1"/>
  <c r="T5533" i="1" s="1"/>
  <c r="T5534" i="1" s="1"/>
  <c r="T5535" i="1" s="1"/>
  <c r="T5536" i="1" s="1"/>
  <c r="T5537" i="1" s="1"/>
  <c r="T5538" i="1" s="1"/>
  <c r="T5539" i="1" s="1"/>
  <c r="T5540" i="1" s="1"/>
  <c r="T5541" i="1" s="1"/>
  <c r="T5542" i="1" s="1"/>
  <c r="T5543" i="1" s="1"/>
  <c r="T5544" i="1" s="1"/>
  <c r="T5545" i="1" s="1"/>
  <c r="T5546" i="1" s="1"/>
  <c r="T5547" i="1" s="1"/>
  <c r="T5548" i="1" s="1"/>
  <c r="T5549" i="1" s="1"/>
  <c r="T5550" i="1" s="1"/>
  <c r="T5551" i="1" s="1"/>
  <c r="T5552" i="1" s="1"/>
  <c r="T5553" i="1" s="1"/>
  <c r="T5554" i="1" s="1"/>
  <c r="T5555" i="1" s="1"/>
  <c r="T5556" i="1" s="1"/>
  <c r="T5557" i="1" s="1"/>
  <c r="T5558" i="1" s="1"/>
  <c r="T5559" i="1" s="1"/>
  <c r="T5560" i="1" s="1"/>
  <c r="T5561" i="1" s="1"/>
  <c r="T5562" i="1" s="1"/>
  <c r="T5563" i="1" s="1"/>
  <c r="T5564" i="1" s="1"/>
  <c r="T5565" i="1" s="1"/>
  <c r="T5566" i="1" s="1"/>
  <c r="T5567" i="1" s="1"/>
  <c r="T5568" i="1" s="1"/>
  <c r="T5569" i="1" s="1"/>
  <c r="T5570" i="1" s="1"/>
  <c r="T5571" i="1" s="1"/>
  <c r="T5572" i="1" s="1"/>
  <c r="T5573" i="1" s="1"/>
  <c r="T5574" i="1" s="1"/>
  <c r="T5575" i="1" s="1"/>
  <c r="T5576" i="1" s="1"/>
  <c r="T5577" i="1" s="1"/>
  <c r="T5578" i="1" s="1"/>
  <c r="T5579" i="1" s="1"/>
  <c r="T5580" i="1" s="1"/>
  <c r="T5581" i="1" s="1"/>
  <c r="T5582" i="1" s="1"/>
  <c r="T5583" i="1" s="1"/>
  <c r="T5584" i="1" s="1"/>
  <c r="T5585" i="1" s="1"/>
  <c r="T5586" i="1" s="1"/>
  <c r="T5587" i="1" s="1"/>
  <c r="T5588" i="1" s="1"/>
  <c r="T5589" i="1" s="1"/>
  <c r="T5590" i="1" s="1"/>
  <c r="T5591" i="1" s="1"/>
  <c r="T5592" i="1" s="1"/>
  <c r="T5593" i="1" s="1"/>
  <c r="T5594" i="1" s="1"/>
  <c r="T5595" i="1" s="1"/>
  <c r="T5596" i="1" s="1"/>
  <c r="T5597" i="1" s="1"/>
  <c r="T5598" i="1" s="1"/>
  <c r="T5599" i="1" s="1"/>
  <c r="T5600" i="1" s="1"/>
  <c r="T5601" i="1" s="1"/>
  <c r="T5602" i="1" s="1"/>
  <c r="T5603" i="1" s="1"/>
  <c r="T5604" i="1" s="1"/>
  <c r="T5605" i="1" s="1"/>
  <c r="T5606" i="1" s="1"/>
  <c r="T5607" i="1" s="1"/>
  <c r="T5608" i="1" s="1"/>
  <c r="T5609" i="1" s="1"/>
  <c r="T5610" i="1" s="1"/>
  <c r="T5611" i="1" s="1"/>
  <c r="T5612" i="1" s="1"/>
  <c r="T5613" i="1" s="1"/>
  <c r="T5614" i="1" s="1"/>
  <c r="T5615" i="1" s="1"/>
  <c r="T5616" i="1" s="1"/>
  <c r="T5617" i="1" s="1"/>
  <c r="T5618" i="1" s="1"/>
  <c r="T5619" i="1" s="1"/>
  <c r="T5620" i="1" s="1"/>
  <c r="T5621" i="1" s="1"/>
  <c r="T5622" i="1" s="1"/>
  <c r="T5623" i="1" s="1"/>
  <c r="T5624" i="1" s="1"/>
  <c r="T5625" i="1" s="1"/>
  <c r="T5626" i="1" s="1"/>
  <c r="T5627" i="1" s="1"/>
  <c r="T5628" i="1" s="1"/>
  <c r="T5629" i="1" s="1"/>
  <c r="T5630" i="1" s="1"/>
  <c r="T5631" i="1" s="1"/>
  <c r="T5632" i="1" s="1"/>
  <c r="T5633" i="1" s="1"/>
  <c r="T5634" i="1" s="1"/>
  <c r="T5635" i="1" s="1"/>
  <c r="T5636" i="1" s="1"/>
  <c r="T5637" i="1" s="1"/>
  <c r="T5638" i="1" s="1"/>
  <c r="T5639" i="1" s="1"/>
  <c r="T5640" i="1" s="1"/>
  <c r="T5641" i="1" s="1"/>
  <c r="T5642" i="1" s="1"/>
  <c r="T5643" i="1" s="1"/>
  <c r="T5644" i="1" s="1"/>
  <c r="T5645" i="1" s="1"/>
  <c r="T5646" i="1" s="1"/>
  <c r="T5647" i="1" s="1"/>
  <c r="T5648" i="1" s="1"/>
  <c r="T5649" i="1" s="1"/>
  <c r="T5650" i="1" s="1"/>
  <c r="T5651" i="1" s="1"/>
  <c r="T5652" i="1" s="1"/>
  <c r="T5653" i="1" s="1"/>
  <c r="T5654" i="1" s="1"/>
  <c r="T5655" i="1" s="1"/>
  <c r="T5656" i="1" s="1"/>
  <c r="T5657" i="1" s="1"/>
  <c r="T5658" i="1" s="1"/>
  <c r="T5659" i="1" s="1"/>
  <c r="T5660" i="1" s="1"/>
  <c r="T5661" i="1" s="1"/>
  <c r="T5662" i="1" s="1"/>
  <c r="T5663" i="1" s="1"/>
  <c r="T5664" i="1" s="1"/>
  <c r="T5665" i="1" s="1"/>
  <c r="T5666" i="1" s="1"/>
  <c r="T5667" i="1" s="1"/>
  <c r="T5668" i="1" s="1"/>
  <c r="T5669" i="1" s="1"/>
  <c r="T5670" i="1" s="1"/>
  <c r="T5671" i="1" s="1"/>
  <c r="T5672" i="1" s="1"/>
  <c r="T5673" i="1" s="1"/>
  <c r="T5674" i="1" s="1"/>
  <c r="T5675" i="1" s="1"/>
  <c r="T5676" i="1" s="1"/>
  <c r="T5677" i="1" s="1"/>
  <c r="T5678" i="1" s="1"/>
  <c r="T5679" i="1" s="1"/>
  <c r="T5680" i="1" s="1"/>
  <c r="T5681" i="1" s="1"/>
  <c r="T5682" i="1" s="1"/>
  <c r="T5683" i="1" s="1"/>
  <c r="T5684" i="1" s="1"/>
  <c r="T5685" i="1" s="1"/>
  <c r="T5686" i="1" s="1"/>
  <c r="T5687" i="1" s="1"/>
  <c r="T5688" i="1" s="1"/>
  <c r="T5689" i="1" s="1"/>
  <c r="T5690" i="1" s="1"/>
  <c r="T5691" i="1" s="1"/>
  <c r="T5692" i="1" s="1"/>
  <c r="T5693" i="1" s="1"/>
  <c r="T5694" i="1" s="1"/>
  <c r="T5695" i="1" s="1"/>
  <c r="T5696" i="1" s="1"/>
  <c r="T5697" i="1" s="1"/>
  <c r="T5698" i="1" s="1"/>
  <c r="T5699" i="1" s="1"/>
  <c r="T5700" i="1" s="1"/>
  <c r="T5701" i="1" s="1"/>
  <c r="T5702" i="1" s="1"/>
  <c r="T5703" i="1" s="1"/>
  <c r="T5704" i="1" s="1"/>
  <c r="T5705" i="1" s="1"/>
  <c r="T5706" i="1" s="1"/>
  <c r="T5707" i="1" s="1"/>
  <c r="T5708" i="1" s="1"/>
  <c r="T5709" i="1" s="1"/>
  <c r="T5710" i="1" s="1"/>
  <c r="T5711" i="1" s="1"/>
  <c r="T5712" i="1" s="1"/>
  <c r="T5713" i="1" s="1"/>
  <c r="T5714" i="1" s="1"/>
  <c r="T5715" i="1" s="1"/>
  <c r="T5716" i="1" s="1"/>
  <c r="T5717" i="1" s="1"/>
  <c r="T5718" i="1" s="1"/>
  <c r="T5719" i="1" s="1"/>
  <c r="T5720" i="1" s="1"/>
  <c r="T5721" i="1" s="1"/>
  <c r="T5722" i="1" s="1"/>
  <c r="T5723" i="1" s="1"/>
  <c r="T5724" i="1" s="1"/>
  <c r="T5725" i="1" s="1"/>
  <c r="T5726" i="1" s="1"/>
  <c r="T5727" i="1" s="1"/>
  <c r="T5728" i="1" s="1"/>
  <c r="T5729" i="1" s="1"/>
  <c r="T5730" i="1" s="1"/>
  <c r="T5731" i="1" s="1"/>
  <c r="T5732" i="1" s="1"/>
  <c r="T5733" i="1" s="1"/>
  <c r="T5734" i="1" s="1"/>
  <c r="T5735" i="1" s="1"/>
  <c r="T5736" i="1" s="1"/>
  <c r="T5737" i="1" s="1"/>
  <c r="T5738" i="1" s="1"/>
  <c r="T5739" i="1" s="1"/>
  <c r="T5740" i="1" s="1"/>
  <c r="T5741" i="1" s="1"/>
  <c r="T5742" i="1" s="1"/>
  <c r="T5743" i="1" s="1"/>
  <c r="T5744" i="1" s="1"/>
  <c r="T5745" i="1" s="1"/>
  <c r="T5746" i="1" s="1"/>
  <c r="T5747" i="1" s="1"/>
  <c r="T5748" i="1" s="1"/>
  <c r="T5749" i="1" s="1"/>
  <c r="T5750" i="1" s="1"/>
  <c r="T5751" i="1" s="1"/>
  <c r="T5752" i="1" s="1"/>
  <c r="T5753" i="1" s="1"/>
  <c r="T5754" i="1" s="1"/>
  <c r="T5755" i="1" s="1"/>
  <c r="T5756" i="1" s="1"/>
  <c r="T5757" i="1" s="1"/>
  <c r="T5758" i="1" s="1"/>
  <c r="T5759" i="1" s="1"/>
  <c r="T5760" i="1" s="1"/>
  <c r="T5761" i="1" s="1"/>
  <c r="T5762" i="1" s="1"/>
  <c r="T5763" i="1" s="1"/>
  <c r="T5764" i="1" s="1"/>
  <c r="T5765" i="1" s="1"/>
  <c r="T5766" i="1" s="1"/>
  <c r="T5767" i="1" s="1"/>
  <c r="T5768" i="1" s="1"/>
  <c r="T5769" i="1" s="1"/>
  <c r="T5770" i="1" s="1"/>
  <c r="T5771" i="1" s="1"/>
  <c r="T5772" i="1" s="1"/>
  <c r="T5773" i="1" s="1"/>
  <c r="T5774" i="1" s="1"/>
  <c r="T5775" i="1" s="1"/>
  <c r="T5776" i="1" s="1"/>
  <c r="T5777" i="1" s="1"/>
  <c r="T5778" i="1" s="1"/>
  <c r="T5779" i="1" s="1"/>
  <c r="T5780" i="1" s="1"/>
  <c r="T5781" i="1" s="1"/>
  <c r="T5782" i="1" s="1"/>
  <c r="T5783" i="1" s="1"/>
  <c r="T5784" i="1" s="1"/>
  <c r="T5785" i="1" s="1"/>
  <c r="T5786" i="1" s="1"/>
  <c r="T5787" i="1" s="1"/>
  <c r="T5788" i="1" s="1"/>
  <c r="T5789" i="1" s="1"/>
  <c r="T5790" i="1" s="1"/>
  <c r="T5791" i="1" s="1"/>
  <c r="T5792" i="1" s="1"/>
  <c r="T5793" i="1" s="1"/>
  <c r="T5794" i="1" s="1"/>
  <c r="T5795" i="1" s="1"/>
  <c r="T5796" i="1" s="1"/>
  <c r="T5797" i="1" s="1"/>
  <c r="T5798" i="1" s="1"/>
  <c r="T5799" i="1" s="1"/>
  <c r="T5800" i="1" s="1"/>
  <c r="T5801" i="1" s="1"/>
  <c r="T5802" i="1" s="1"/>
  <c r="T5803" i="1" s="1"/>
  <c r="T5804" i="1" s="1"/>
  <c r="T5805" i="1" s="1"/>
  <c r="T5806" i="1" s="1"/>
  <c r="T5807" i="1" s="1"/>
  <c r="T5808" i="1" s="1"/>
  <c r="T5809" i="1" s="1"/>
  <c r="T5810" i="1" s="1"/>
  <c r="T5811" i="1" s="1"/>
  <c r="T5812" i="1" s="1"/>
  <c r="T5813" i="1" s="1"/>
  <c r="T5814" i="1" s="1"/>
  <c r="T5815" i="1" s="1"/>
  <c r="T5816" i="1" s="1"/>
  <c r="T5817" i="1" s="1"/>
  <c r="T5818" i="1" s="1"/>
  <c r="T5819" i="1" s="1"/>
  <c r="T5820" i="1" s="1"/>
  <c r="T5821" i="1" s="1"/>
  <c r="T5822" i="1" s="1"/>
  <c r="T5823" i="1" s="1"/>
  <c r="T5824" i="1" s="1"/>
  <c r="T5825" i="1" s="1"/>
  <c r="T5826" i="1" s="1"/>
  <c r="T5827" i="1" s="1"/>
  <c r="T5828" i="1" s="1"/>
  <c r="T5829" i="1" s="1"/>
  <c r="T5830" i="1" s="1"/>
  <c r="T5831" i="1" s="1"/>
  <c r="T5832" i="1" s="1"/>
  <c r="T5833" i="1" s="1"/>
  <c r="T5834" i="1" s="1"/>
  <c r="T5835" i="1" s="1"/>
  <c r="T5836" i="1" s="1"/>
  <c r="T5837" i="1" s="1"/>
  <c r="T5838" i="1" s="1"/>
  <c r="T5839" i="1" s="1"/>
  <c r="T5840" i="1" s="1"/>
  <c r="T5841" i="1" s="1"/>
  <c r="T5842" i="1" s="1"/>
  <c r="T5843" i="1" s="1"/>
  <c r="T5844" i="1" s="1"/>
  <c r="T5845" i="1" s="1"/>
  <c r="T5846" i="1" s="1"/>
  <c r="T5847" i="1" s="1"/>
  <c r="T5848" i="1" s="1"/>
  <c r="T5849" i="1" s="1"/>
  <c r="T5850" i="1" s="1"/>
  <c r="T5851" i="1" s="1"/>
  <c r="T5852" i="1" s="1"/>
  <c r="T5853" i="1" s="1"/>
  <c r="T5854" i="1" s="1"/>
  <c r="T5855" i="1" s="1"/>
  <c r="T5856" i="1" s="1"/>
  <c r="T5857" i="1" s="1"/>
  <c r="T5858" i="1" s="1"/>
  <c r="T5859" i="1" s="1"/>
  <c r="T5860" i="1" s="1"/>
  <c r="T5861" i="1" s="1"/>
  <c r="T5862" i="1" s="1"/>
  <c r="T5863" i="1" s="1"/>
  <c r="T5864" i="1" s="1"/>
  <c r="T5865" i="1" s="1"/>
  <c r="T5866" i="1" s="1"/>
  <c r="T5867" i="1" s="1"/>
  <c r="T5868" i="1" s="1"/>
  <c r="T5869" i="1" s="1"/>
  <c r="T5870" i="1" s="1"/>
  <c r="T5871" i="1" s="1"/>
  <c r="T5872" i="1" s="1"/>
  <c r="T5873" i="1" s="1"/>
  <c r="T5874" i="1" s="1"/>
  <c r="T5875" i="1" s="1"/>
  <c r="T5876" i="1" s="1"/>
  <c r="T5877" i="1" s="1"/>
  <c r="T5878" i="1" s="1"/>
  <c r="T5879" i="1" s="1"/>
  <c r="T5880" i="1" s="1"/>
  <c r="T5881" i="1" s="1"/>
  <c r="T5882" i="1" s="1"/>
  <c r="T5883" i="1" s="1"/>
  <c r="T5884" i="1" s="1"/>
  <c r="T5885" i="1" s="1"/>
  <c r="T5886" i="1" s="1"/>
  <c r="T5887" i="1" s="1"/>
  <c r="T5888" i="1" s="1"/>
  <c r="T5889" i="1" s="1"/>
  <c r="T5890" i="1" s="1"/>
  <c r="T5891" i="1" s="1"/>
  <c r="T5892" i="1" s="1"/>
  <c r="T5893" i="1" s="1"/>
  <c r="T5894" i="1" s="1"/>
  <c r="T5895" i="1" s="1"/>
  <c r="T5896" i="1" s="1"/>
  <c r="T5897" i="1" s="1"/>
  <c r="T5898" i="1" s="1"/>
  <c r="T5899" i="1" s="1"/>
  <c r="T5900" i="1" s="1"/>
  <c r="T5901" i="1" s="1"/>
  <c r="T5902" i="1" s="1"/>
  <c r="T5903" i="1" s="1"/>
  <c r="T5904" i="1" s="1"/>
  <c r="T5905" i="1" s="1"/>
  <c r="T5906" i="1" s="1"/>
  <c r="T5907" i="1" s="1"/>
  <c r="T5908" i="1" s="1"/>
  <c r="T5909" i="1" s="1"/>
  <c r="T5910" i="1" s="1"/>
  <c r="T5911" i="1" s="1"/>
  <c r="T5912" i="1" s="1"/>
  <c r="T5913" i="1" s="1"/>
  <c r="T5914" i="1" s="1"/>
  <c r="T5915" i="1" s="1"/>
  <c r="T5916" i="1" s="1"/>
  <c r="T5917" i="1" s="1"/>
  <c r="T5918" i="1" s="1"/>
  <c r="T5919" i="1" s="1"/>
  <c r="T5920" i="1" s="1"/>
  <c r="T5921" i="1" s="1"/>
  <c r="T5922" i="1" s="1"/>
  <c r="T5923" i="1" s="1"/>
  <c r="T5924" i="1" s="1"/>
  <c r="T5925" i="1" s="1"/>
  <c r="T5926" i="1" s="1"/>
  <c r="T5927" i="1" s="1"/>
  <c r="T5928" i="1" s="1"/>
  <c r="T5929" i="1" s="1"/>
  <c r="T5930" i="1" s="1"/>
  <c r="T5931" i="1" s="1"/>
  <c r="T5932" i="1" s="1"/>
  <c r="T5933" i="1" s="1"/>
  <c r="T5934" i="1" s="1"/>
  <c r="T5935" i="1" s="1"/>
  <c r="T5936" i="1" s="1"/>
  <c r="T5937" i="1" s="1"/>
  <c r="T5938" i="1" s="1"/>
  <c r="T5939" i="1" s="1"/>
  <c r="T5940" i="1" s="1"/>
  <c r="T5941" i="1" s="1"/>
  <c r="T5942" i="1" s="1"/>
  <c r="T5943" i="1" s="1"/>
  <c r="T5944" i="1" s="1"/>
  <c r="T5945" i="1" s="1"/>
  <c r="T5946" i="1" s="1"/>
  <c r="T5947" i="1" s="1"/>
  <c r="T5948" i="1" s="1"/>
  <c r="T5949" i="1" s="1"/>
  <c r="T5950" i="1" s="1"/>
  <c r="T5951" i="1" s="1"/>
  <c r="T5952" i="1" s="1"/>
  <c r="T5953" i="1" s="1"/>
  <c r="T5954" i="1" s="1"/>
  <c r="T5955" i="1" s="1"/>
  <c r="T5956" i="1" s="1"/>
  <c r="T5957" i="1" s="1"/>
  <c r="T5958" i="1" s="1"/>
  <c r="T5959" i="1" s="1"/>
  <c r="T5960" i="1" s="1"/>
  <c r="T5961" i="1" s="1"/>
  <c r="T5962" i="1" s="1"/>
  <c r="T5963" i="1" s="1"/>
  <c r="T5964" i="1" s="1"/>
  <c r="T5965" i="1" s="1"/>
  <c r="T5966" i="1" s="1"/>
  <c r="T5967" i="1" s="1"/>
  <c r="T5968" i="1" s="1"/>
  <c r="T5969" i="1" s="1"/>
  <c r="T5970" i="1" s="1"/>
  <c r="T5971" i="1" s="1"/>
  <c r="T5972" i="1" s="1"/>
  <c r="T5973" i="1" s="1"/>
  <c r="T5974" i="1" s="1"/>
  <c r="T5975" i="1" s="1"/>
  <c r="T5976" i="1" s="1"/>
  <c r="T5977" i="1" s="1"/>
  <c r="T5978" i="1" s="1"/>
  <c r="T5979" i="1" s="1"/>
  <c r="T5980" i="1" s="1"/>
  <c r="T5981" i="1" s="1"/>
  <c r="T5982" i="1" s="1"/>
  <c r="T5983" i="1" s="1"/>
  <c r="T5984" i="1" s="1"/>
  <c r="T5985" i="1" s="1"/>
  <c r="T5986" i="1" s="1"/>
  <c r="T5987" i="1" s="1"/>
  <c r="T5988" i="1" s="1"/>
  <c r="T5989" i="1" s="1"/>
  <c r="T5990" i="1" s="1"/>
  <c r="T5991" i="1" s="1"/>
  <c r="T5992" i="1" s="1"/>
  <c r="T5993" i="1" s="1"/>
  <c r="T5994" i="1" s="1"/>
  <c r="T5995" i="1" s="1"/>
  <c r="T5996" i="1" s="1"/>
  <c r="T5997" i="1" s="1"/>
  <c r="T5998" i="1" s="1"/>
  <c r="T5999" i="1" s="1"/>
  <c r="T6000" i="1" s="1"/>
  <c r="T6001" i="1" s="1"/>
  <c r="T6002" i="1" s="1"/>
  <c r="T6003" i="1" s="1"/>
  <c r="T6004" i="1" s="1"/>
  <c r="T6005" i="1" s="1"/>
  <c r="T6006" i="1" s="1"/>
  <c r="T6007" i="1" s="1"/>
  <c r="T6008" i="1" s="1"/>
  <c r="T6009" i="1" s="1"/>
  <c r="T6010" i="1" s="1"/>
  <c r="T6011" i="1" s="1"/>
  <c r="T6012" i="1" s="1"/>
  <c r="T6013" i="1" s="1"/>
  <c r="T6014" i="1" s="1"/>
  <c r="T6015" i="1" s="1"/>
  <c r="T6016" i="1" s="1"/>
  <c r="T6017" i="1" s="1"/>
  <c r="T6018" i="1" s="1"/>
  <c r="T6019" i="1" s="1"/>
  <c r="T6020" i="1" s="1"/>
  <c r="T6021" i="1" s="1"/>
  <c r="T6022" i="1" s="1"/>
  <c r="T6023" i="1" s="1"/>
  <c r="T6024" i="1" s="1"/>
  <c r="T6025" i="1" s="1"/>
  <c r="T6026" i="1" s="1"/>
  <c r="T6027" i="1" s="1"/>
  <c r="T6028" i="1" s="1"/>
  <c r="T6029" i="1" s="1"/>
  <c r="T6030" i="1" s="1"/>
  <c r="T6031" i="1" s="1"/>
  <c r="T6032" i="1" s="1"/>
  <c r="T6033" i="1" s="1"/>
  <c r="T6034" i="1" s="1"/>
  <c r="T6035" i="1" s="1"/>
  <c r="T6036" i="1" s="1"/>
  <c r="T6037" i="1" s="1"/>
  <c r="T6038" i="1" s="1"/>
  <c r="T6039" i="1" s="1"/>
  <c r="T6040" i="1" s="1"/>
  <c r="T6041" i="1" s="1"/>
  <c r="T6042" i="1" s="1"/>
  <c r="T6043" i="1" s="1"/>
  <c r="T6044" i="1" s="1"/>
  <c r="T6045" i="1" s="1"/>
  <c r="T6046" i="1" s="1"/>
  <c r="T6047" i="1" s="1"/>
  <c r="T6048" i="1" s="1"/>
  <c r="T6049" i="1" s="1"/>
  <c r="T6050" i="1" s="1"/>
  <c r="T6051" i="1" s="1"/>
  <c r="T6052" i="1" s="1"/>
  <c r="T6053" i="1" s="1"/>
  <c r="T6054" i="1" s="1"/>
  <c r="T6055" i="1" s="1"/>
  <c r="T6056" i="1" s="1"/>
  <c r="T6057" i="1" s="1"/>
  <c r="T6058" i="1" s="1"/>
  <c r="T6059" i="1" s="1"/>
  <c r="T6060" i="1" s="1"/>
  <c r="T6061" i="1" s="1"/>
  <c r="T6062" i="1" s="1"/>
  <c r="T6063" i="1" s="1"/>
  <c r="T6064" i="1" s="1"/>
  <c r="T6065" i="1" s="1"/>
  <c r="T6066" i="1" s="1"/>
  <c r="T6067" i="1" s="1"/>
  <c r="T6068" i="1" s="1"/>
  <c r="T6069" i="1" s="1"/>
  <c r="T6070" i="1" s="1"/>
  <c r="T6071" i="1" s="1"/>
  <c r="T6072" i="1" s="1"/>
  <c r="T6073" i="1" s="1"/>
  <c r="T6074" i="1" s="1"/>
  <c r="T6075" i="1" s="1"/>
  <c r="T6076" i="1" s="1"/>
  <c r="T6077" i="1" s="1"/>
  <c r="T6078" i="1" s="1"/>
  <c r="T6079" i="1" s="1"/>
  <c r="T6080" i="1" s="1"/>
  <c r="T6081" i="1" s="1"/>
  <c r="T6082" i="1" s="1"/>
  <c r="T6083" i="1" s="1"/>
  <c r="T6084" i="1" s="1"/>
  <c r="T6085" i="1" s="1"/>
  <c r="T6086" i="1" s="1"/>
  <c r="T6087" i="1" s="1"/>
  <c r="T6088" i="1" s="1"/>
  <c r="T6089" i="1" s="1"/>
  <c r="T6090" i="1" s="1"/>
  <c r="T6091" i="1" s="1"/>
  <c r="T6092" i="1" s="1"/>
  <c r="T6093" i="1" s="1"/>
  <c r="T6094" i="1" s="1"/>
  <c r="T6095" i="1" s="1"/>
  <c r="T6096" i="1" s="1"/>
  <c r="T6097" i="1" s="1"/>
  <c r="T6098" i="1" s="1"/>
  <c r="T6099" i="1" s="1"/>
  <c r="T6100" i="1" s="1"/>
  <c r="T6101" i="1" s="1"/>
  <c r="T6102" i="1" s="1"/>
  <c r="T6103" i="1" s="1"/>
  <c r="T6104" i="1" s="1"/>
  <c r="T6105" i="1" s="1"/>
  <c r="T6106" i="1" s="1"/>
  <c r="T6107" i="1" s="1"/>
  <c r="T6108" i="1" s="1"/>
  <c r="T6109" i="1" s="1"/>
  <c r="T6110" i="1" s="1"/>
  <c r="T6111" i="1" s="1"/>
  <c r="T6112" i="1" s="1"/>
  <c r="T6113" i="1" s="1"/>
  <c r="T6114" i="1" s="1"/>
  <c r="T6115" i="1" s="1"/>
  <c r="T6116" i="1" s="1"/>
  <c r="T6117" i="1" s="1"/>
  <c r="T6118" i="1" s="1"/>
  <c r="T6119" i="1" s="1"/>
  <c r="T6120" i="1" s="1"/>
  <c r="T6121" i="1" s="1"/>
  <c r="T6122" i="1" s="1"/>
  <c r="T6123" i="1" s="1"/>
  <c r="T6124" i="1" s="1"/>
  <c r="T6125" i="1" s="1"/>
  <c r="T6126" i="1" s="1"/>
  <c r="T6127" i="1" s="1"/>
  <c r="T6128" i="1" s="1"/>
  <c r="T6129" i="1" s="1"/>
  <c r="T6130" i="1" s="1"/>
  <c r="T6131" i="1" s="1"/>
  <c r="T6132" i="1" s="1"/>
  <c r="T6133" i="1" s="1"/>
  <c r="T6134" i="1" s="1"/>
  <c r="T6135" i="1" s="1"/>
  <c r="T6136" i="1" s="1"/>
  <c r="T6137" i="1" s="1"/>
  <c r="T6138" i="1" s="1"/>
  <c r="T6139" i="1" s="1"/>
  <c r="T6140" i="1" s="1"/>
  <c r="T6141" i="1" s="1"/>
  <c r="T6142" i="1" s="1"/>
  <c r="T6143" i="1" s="1"/>
  <c r="T6144" i="1" s="1"/>
  <c r="T6145" i="1" s="1"/>
  <c r="T6146" i="1" s="1"/>
  <c r="T6147" i="1" s="1"/>
  <c r="T6148" i="1" s="1"/>
  <c r="T6149" i="1" s="1"/>
  <c r="T6150" i="1" s="1"/>
  <c r="T6151" i="1" s="1"/>
  <c r="T6152" i="1" s="1"/>
  <c r="T6153" i="1" s="1"/>
  <c r="T6154" i="1" s="1"/>
  <c r="T6155" i="1" s="1"/>
  <c r="T6156" i="1" s="1"/>
  <c r="T6157" i="1" s="1"/>
  <c r="T6158" i="1" s="1"/>
  <c r="T6159" i="1" s="1"/>
  <c r="T6160" i="1" s="1"/>
  <c r="T6161" i="1" s="1"/>
  <c r="T6162" i="1" s="1"/>
  <c r="T6163" i="1" s="1"/>
  <c r="T6164" i="1" s="1"/>
  <c r="T6165" i="1" s="1"/>
  <c r="T6166" i="1" s="1"/>
  <c r="T6167" i="1" s="1"/>
  <c r="T6168" i="1" s="1"/>
  <c r="T6169" i="1" s="1"/>
  <c r="T6170" i="1" s="1"/>
  <c r="T6171" i="1" s="1"/>
  <c r="T6172" i="1" s="1"/>
  <c r="T6173" i="1" s="1"/>
  <c r="T6174" i="1" s="1"/>
  <c r="T6175" i="1" s="1"/>
  <c r="T6176" i="1" s="1"/>
  <c r="T6177" i="1" s="1"/>
  <c r="T6178" i="1" s="1"/>
  <c r="T6179" i="1" s="1"/>
  <c r="T6180" i="1" s="1"/>
  <c r="T6181" i="1" s="1"/>
  <c r="T6182" i="1" s="1"/>
  <c r="T6183" i="1" s="1"/>
  <c r="T6184" i="1" s="1"/>
  <c r="T6185" i="1" s="1"/>
  <c r="T6186" i="1" s="1"/>
  <c r="T6187" i="1" s="1"/>
  <c r="T6188" i="1" s="1"/>
  <c r="T6189" i="1" s="1"/>
  <c r="T6190" i="1" s="1"/>
  <c r="T6191" i="1" s="1"/>
  <c r="T6192" i="1" s="1"/>
  <c r="T6193" i="1" s="1"/>
  <c r="T6194" i="1" s="1"/>
  <c r="T6195" i="1" s="1"/>
  <c r="T6196" i="1" s="1"/>
  <c r="T6197" i="1" s="1"/>
  <c r="T6198" i="1" s="1"/>
  <c r="T6199" i="1" s="1"/>
  <c r="T6200" i="1" s="1"/>
  <c r="T6201" i="1" s="1"/>
  <c r="T6202" i="1" s="1"/>
  <c r="T6203" i="1" s="1"/>
  <c r="T6204" i="1" s="1"/>
  <c r="T6205" i="1" s="1"/>
  <c r="T6206" i="1" s="1"/>
  <c r="T6207" i="1" s="1"/>
  <c r="T6208" i="1" s="1"/>
  <c r="T6209" i="1" s="1"/>
  <c r="T6210" i="1" s="1"/>
  <c r="T6211" i="1" s="1"/>
  <c r="T6212" i="1" s="1"/>
  <c r="T6213" i="1" s="1"/>
  <c r="T6214" i="1" s="1"/>
  <c r="T6215" i="1" s="1"/>
  <c r="T6216" i="1" s="1"/>
  <c r="T6217" i="1" s="1"/>
  <c r="T6218" i="1" s="1"/>
  <c r="T6219" i="1" s="1"/>
  <c r="T6220" i="1" s="1"/>
  <c r="T6221" i="1" s="1"/>
  <c r="T6222" i="1" s="1"/>
  <c r="T6223" i="1" s="1"/>
  <c r="T6224" i="1" s="1"/>
  <c r="T6225" i="1" s="1"/>
  <c r="T6226" i="1" s="1"/>
  <c r="T6227" i="1" s="1"/>
  <c r="T6228" i="1" s="1"/>
  <c r="T6229" i="1" s="1"/>
  <c r="T6230" i="1" s="1"/>
  <c r="T6231" i="1" s="1"/>
  <c r="T6232" i="1" s="1"/>
  <c r="T6233" i="1" s="1"/>
  <c r="T6234" i="1" s="1"/>
  <c r="T6235" i="1" s="1"/>
  <c r="T6236" i="1" s="1"/>
  <c r="T6237" i="1" s="1"/>
  <c r="T6238" i="1" s="1"/>
  <c r="T6239" i="1" s="1"/>
  <c r="T6240" i="1" s="1"/>
  <c r="T6241" i="1" s="1"/>
  <c r="T6242" i="1" s="1"/>
  <c r="T6243" i="1" s="1"/>
  <c r="T6244" i="1" s="1"/>
  <c r="T6245" i="1" s="1"/>
  <c r="T6246" i="1" s="1"/>
  <c r="T6247" i="1" s="1"/>
  <c r="T6248" i="1" s="1"/>
  <c r="T6249" i="1" s="1"/>
  <c r="T6250" i="1" s="1"/>
  <c r="T6251" i="1" s="1"/>
  <c r="T6252" i="1" s="1"/>
  <c r="T6253" i="1" s="1"/>
  <c r="T6254" i="1" s="1"/>
  <c r="T6255" i="1" s="1"/>
  <c r="T6256" i="1" s="1"/>
  <c r="T6257" i="1" s="1"/>
  <c r="T6258" i="1" s="1"/>
  <c r="T6259" i="1" s="1"/>
  <c r="T6260" i="1" s="1"/>
  <c r="T6261" i="1" s="1"/>
  <c r="T6262" i="1" s="1"/>
  <c r="T6263" i="1" s="1"/>
  <c r="T6264" i="1" s="1"/>
  <c r="T6265" i="1" s="1"/>
  <c r="T6266" i="1" s="1"/>
  <c r="T6267" i="1" s="1"/>
  <c r="T6268" i="1" s="1"/>
  <c r="T6269" i="1" s="1"/>
  <c r="T6270" i="1" s="1"/>
  <c r="T6271" i="1" s="1"/>
  <c r="T6272" i="1" s="1"/>
  <c r="T6273" i="1" s="1"/>
  <c r="T6274" i="1" s="1"/>
  <c r="T6275" i="1" s="1"/>
  <c r="T6276" i="1" s="1"/>
  <c r="T6277" i="1" s="1"/>
  <c r="T6278" i="1" s="1"/>
  <c r="T6279" i="1" s="1"/>
  <c r="T6280" i="1" s="1"/>
  <c r="T6281" i="1" s="1"/>
  <c r="T6282" i="1" s="1"/>
  <c r="T6283" i="1" s="1"/>
  <c r="T6284" i="1" s="1"/>
  <c r="T6285" i="1" s="1"/>
  <c r="T6286" i="1" s="1"/>
  <c r="T6287" i="1" s="1"/>
  <c r="T6288" i="1" s="1"/>
  <c r="T6289" i="1" s="1"/>
  <c r="T6290" i="1" s="1"/>
  <c r="T6291" i="1" s="1"/>
  <c r="T6292" i="1" s="1"/>
  <c r="T6293" i="1" s="1"/>
  <c r="T6294" i="1" s="1"/>
  <c r="T6295" i="1" s="1"/>
  <c r="T6296" i="1" s="1"/>
  <c r="T6297" i="1" s="1"/>
  <c r="T6298" i="1" s="1"/>
  <c r="T6299" i="1" s="1"/>
  <c r="T6300" i="1" s="1"/>
  <c r="T6301" i="1" s="1"/>
  <c r="T6302" i="1" s="1"/>
  <c r="T6303" i="1" s="1"/>
  <c r="T6304" i="1" s="1"/>
  <c r="T6305" i="1" s="1"/>
  <c r="T6306" i="1" s="1"/>
  <c r="T6307" i="1" s="1"/>
  <c r="T6308" i="1" s="1"/>
  <c r="T6309" i="1" s="1"/>
  <c r="T6310" i="1" s="1"/>
  <c r="T6311" i="1" s="1"/>
  <c r="T6312" i="1" s="1"/>
  <c r="T6313" i="1" s="1"/>
  <c r="T6314" i="1" s="1"/>
  <c r="T6315" i="1" s="1"/>
  <c r="T6316" i="1" s="1"/>
  <c r="T6317" i="1" s="1"/>
  <c r="T6318" i="1" s="1"/>
  <c r="T6319" i="1" s="1"/>
  <c r="T6320" i="1" s="1"/>
  <c r="T6321" i="1" s="1"/>
  <c r="T6322" i="1" s="1"/>
  <c r="T6323" i="1" s="1"/>
  <c r="T6324" i="1" s="1"/>
  <c r="T6325" i="1" s="1"/>
  <c r="T6326" i="1" s="1"/>
  <c r="T6327" i="1" s="1"/>
  <c r="T6328" i="1" s="1"/>
  <c r="T6329" i="1" s="1"/>
  <c r="T6330" i="1" s="1"/>
  <c r="T6331" i="1" s="1"/>
  <c r="T6332" i="1" s="1"/>
  <c r="T6333" i="1" s="1"/>
  <c r="T6334" i="1" s="1"/>
  <c r="T6335" i="1" s="1"/>
  <c r="T6336" i="1" s="1"/>
  <c r="T6337" i="1" s="1"/>
  <c r="T6338" i="1" s="1"/>
  <c r="T6339" i="1" s="1"/>
  <c r="T6340" i="1" s="1"/>
  <c r="T6341" i="1" s="1"/>
  <c r="T6342" i="1" s="1"/>
  <c r="T6343" i="1" s="1"/>
  <c r="T6344" i="1" s="1"/>
  <c r="T6345" i="1" s="1"/>
  <c r="T6346" i="1" s="1"/>
  <c r="T6347" i="1" s="1"/>
  <c r="T6348" i="1" s="1"/>
  <c r="T6349" i="1" s="1"/>
  <c r="T6350" i="1" s="1"/>
  <c r="T6351" i="1" s="1"/>
  <c r="T6352" i="1" s="1"/>
  <c r="T6353" i="1" s="1"/>
  <c r="T6354" i="1" s="1"/>
  <c r="T6355" i="1" s="1"/>
  <c r="T6356" i="1" s="1"/>
  <c r="T6357" i="1" s="1"/>
  <c r="T6358" i="1" s="1"/>
  <c r="T6359" i="1" s="1"/>
  <c r="T6360" i="1" s="1"/>
  <c r="T6361" i="1" s="1"/>
  <c r="T6362" i="1" s="1"/>
  <c r="T6363" i="1" s="1"/>
  <c r="T6364" i="1" s="1"/>
  <c r="T6365" i="1" s="1"/>
  <c r="T6366" i="1" s="1"/>
  <c r="T6367" i="1" s="1"/>
  <c r="T6368" i="1" s="1"/>
  <c r="T6369" i="1" s="1"/>
  <c r="T6370" i="1" s="1"/>
  <c r="T6371" i="1" s="1"/>
  <c r="T6372" i="1" s="1"/>
  <c r="T6373" i="1" s="1"/>
  <c r="T6374" i="1" s="1"/>
  <c r="T6375" i="1" s="1"/>
  <c r="T6376" i="1" s="1"/>
  <c r="T6377" i="1" s="1"/>
  <c r="T6378" i="1" s="1"/>
  <c r="T6379" i="1" s="1"/>
  <c r="T6380" i="1" s="1"/>
  <c r="T6381" i="1" s="1"/>
  <c r="T6382" i="1" s="1"/>
  <c r="T6383" i="1" s="1"/>
  <c r="T6384" i="1" s="1"/>
  <c r="T6385" i="1" s="1"/>
  <c r="T6386" i="1" s="1"/>
  <c r="T6387" i="1" s="1"/>
  <c r="T6388" i="1" s="1"/>
  <c r="T6389" i="1" s="1"/>
  <c r="T6390" i="1" s="1"/>
  <c r="T6391" i="1" s="1"/>
  <c r="T6392" i="1" s="1"/>
  <c r="T6393" i="1" s="1"/>
  <c r="T6394" i="1" s="1"/>
  <c r="T6395" i="1" s="1"/>
  <c r="T6396" i="1" s="1"/>
  <c r="T6397" i="1" s="1"/>
  <c r="T6398" i="1" s="1"/>
  <c r="T6399" i="1" s="1"/>
  <c r="T6400" i="1" s="1"/>
  <c r="T6401" i="1" s="1"/>
  <c r="T6402" i="1" s="1"/>
  <c r="T6403" i="1" s="1"/>
  <c r="T6404" i="1" s="1"/>
  <c r="T6405" i="1" s="1"/>
  <c r="T6406" i="1" s="1"/>
  <c r="T6407" i="1" s="1"/>
  <c r="T6408" i="1" s="1"/>
  <c r="T6409" i="1" s="1"/>
  <c r="T6410" i="1" s="1"/>
  <c r="T6411" i="1" s="1"/>
  <c r="T6412" i="1" s="1"/>
  <c r="T6413" i="1" s="1"/>
  <c r="T6414" i="1" s="1"/>
  <c r="T6415" i="1" s="1"/>
  <c r="T6416" i="1" s="1"/>
  <c r="T6417" i="1" s="1"/>
  <c r="T6418" i="1" s="1"/>
  <c r="T6419" i="1" s="1"/>
  <c r="T6420" i="1" s="1"/>
  <c r="T6421" i="1" s="1"/>
  <c r="T6422" i="1" s="1"/>
  <c r="T6423" i="1" s="1"/>
  <c r="T6424" i="1" s="1"/>
  <c r="T6425" i="1" s="1"/>
  <c r="T6426" i="1" s="1"/>
  <c r="T6427" i="1" s="1"/>
  <c r="T6428" i="1" s="1"/>
  <c r="T6429" i="1" s="1"/>
  <c r="T6430" i="1" s="1"/>
  <c r="T6431" i="1" s="1"/>
  <c r="T6432" i="1" s="1"/>
  <c r="T6433" i="1" s="1"/>
  <c r="T6434" i="1" s="1"/>
  <c r="T6435" i="1" s="1"/>
  <c r="T6436" i="1" s="1"/>
  <c r="T6437" i="1" s="1"/>
  <c r="T6438" i="1" s="1"/>
  <c r="T6439" i="1" s="1"/>
  <c r="T6440" i="1" s="1"/>
  <c r="T6441" i="1" s="1"/>
  <c r="T6442" i="1" s="1"/>
  <c r="T6443" i="1" s="1"/>
  <c r="T6444" i="1" s="1"/>
  <c r="T6445" i="1" s="1"/>
  <c r="T6446" i="1" s="1"/>
  <c r="T6447" i="1" s="1"/>
  <c r="T6448" i="1" s="1"/>
  <c r="T6449" i="1" s="1"/>
  <c r="T6450" i="1" s="1"/>
  <c r="T6451" i="1" s="1"/>
  <c r="T6452" i="1" s="1"/>
  <c r="T6453" i="1" s="1"/>
  <c r="T6454" i="1" s="1"/>
  <c r="T6455" i="1" s="1"/>
  <c r="T6456" i="1" s="1"/>
  <c r="T6457" i="1" s="1"/>
  <c r="T6458" i="1" s="1"/>
  <c r="T6459" i="1" s="1"/>
  <c r="T6460" i="1" s="1"/>
  <c r="T6461" i="1" s="1"/>
  <c r="T6462" i="1" s="1"/>
  <c r="T6463" i="1" s="1"/>
  <c r="T6464" i="1" s="1"/>
  <c r="T6465" i="1" s="1"/>
  <c r="T6466" i="1" s="1"/>
  <c r="T6467" i="1" s="1"/>
  <c r="T6468" i="1" s="1"/>
  <c r="T6469" i="1" s="1"/>
  <c r="T6470" i="1" s="1"/>
  <c r="T6471" i="1" s="1"/>
  <c r="T6472" i="1" s="1"/>
  <c r="T6473" i="1" s="1"/>
  <c r="T6474" i="1" s="1"/>
  <c r="T6475" i="1" s="1"/>
  <c r="T6476" i="1" s="1"/>
  <c r="T6477" i="1" s="1"/>
  <c r="T6478" i="1" s="1"/>
  <c r="T6479" i="1" s="1"/>
  <c r="T6480" i="1" s="1"/>
  <c r="T6481" i="1" s="1"/>
  <c r="T6482" i="1" s="1"/>
  <c r="T6483" i="1" s="1"/>
  <c r="T6484" i="1" s="1"/>
  <c r="T6485" i="1" s="1"/>
  <c r="T6486" i="1" s="1"/>
  <c r="T6487" i="1" s="1"/>
  <c r="T6488" i="1" s="1"/>
  <c r="T6489" i="1" s="1"/>
  <c r="T6490" i="1" s="1"/>
  <c r="T6491" i="1" s="1"/>
  <c r="T6492" i="1" s="1"/>
  <c r="T6493" i="1" s="1"/>
  <c r="T6494" i="1" s="1"/>
  <c r="T6495" i="1" s="1"/>
  <c r="T6496" i="1" s="1"/>
  <c r="T6497" i="1" s="1"/>
  <c r="T6498" i="1" s="1"/>
  <c r="T6499" i="1" s="1"/>
  <c r="T6500" i="1" s="1"/>
  <c r="T6501" i="1" s="1"/>
  <c r="T6502" i="1" s="1"/>
  <c r="T6503" i="1" s="1"/>
  <c r="T6504" i="1" s="1"/>
  <c r="T6505" i="1" s="1"/>
  <c r="T6506" i="1" s="1"/>
  <c r="T6507" i="1" s="1"/>
  <c r="T6508" i="1" s="1"/>
  <c r="T6509" i="1" s="1"/>
  <c r="T6510" i="1" s="1"/>
  <c r="T6511" i="1" s="1"/>
  <c r="T6512" i="1" s="1"/>
  <c r="T6513" i="1" s="1"/>
  <c r="T6514" i="1" s="1"/>
  <c r="T6515" i="1" s="1"/>
  <c r="T6516" i="1" s="1"/>
  <c r="T6517" i="1" s="1"/>
  <c r="T6518" i="1" s="1"/>
  <c r="T6519" i="1" s="1"/>
  <c r="T6520" i="1" s="1"/>
  <c r="T6521" i="1" s="1"/>
  <c r="T6522" i="1" s="1"/>
  <c r="T6523" i="1" s="1"/>
  <c r="T6524" i="1" s="1"/>
  <c r="T6525" i="1" s="1"/>
  <c r="T6526" i="1" s="1"/>
  <c r="T6527" i="1" s="1"/>
  <c r="T6528" i="1" s="1"/>
  <c r="T6529" i="1" s="1"/>
  <c r="T6530" i="1" s="1"/>
  <c r="T6531" i="1" s="1"/>
  <c r="T6532" i="1" s="1"/>
  <c r="T6533" i="1" s="1"/>
  <c r="T6534" i="1" s="1"/>
  <c r="T6535" i="1" s="1"/>
  <c r="T6536" i="1" s="1"/>
  <c r="T6537" i="1" s="1"/>
  <c r="T6538" i="1" s="1"/>
  <c r="T6539" i="1" s="1"/>
  <c r="T6540" i="1" s="1"/>
  <c r="T6541" i="1" s="1"/>
  <c r="T6542" i="1" s="1"/>
  <c r="T6543" i="1" s="1"/>
  <c r="T6544" i="1" s="1"/>
  <c r="T6545" i="1" s="1"/>
  <c r="T6546" i="1" s="1"/>
  <c r="T6547" i="1" s="1"/>
  <c r="T6548" i="1" s="1"/>
  <c r="T6549" i="1" s="1"/>
  <c r="T6550" i="1" s="1"/>
  <c r="T6551" i="1" s="1"/>
  <c r="T6552" i="1" s="1"/>
  <c r="T6553" i="1" s="1"/>
  <c r="T6554" i="1" s="1"/>
  <c r="T6555" i="1" s="1"/>
  <c r="T6556" i="1" s="1"/>
  <c r="T6557" i="1" s="1"/>
  <c r="T6558" i="1" s="1"/>
  <c r="T6559" i="1" s="1"/>
  <c r="T6560" i="1" s="1"/>
  <c r="T6561" i="1" s="1"/>
  <c r="T6562" i="1" s="1"/>
  <c r="T6563" i="1" s="1"/>
  <c r="T6564" i="1" s="1"/>
  <c r="T6565" i="1" s="1"/>
  <c r="T6566" i="1" s="1"/>
  <c r="T6567" i="1" s="1"/>
  <c r="T6568" i="1" s="1"/>
  <c r="T6569" i="1" s="1"/>
  <c r="T6570" i="1" s="1"/>
  <c r="T6571" i="1" s="1"/>
  <c r="T6572" i="1" s="1"/>
  <c r="T6573" i="1" s="1"/>
  <c r="T6574" i="1" s="1"/>
  <c r="T6575" i="1" s="1"/>
  <c r="T6576" i="1" s="1"/>
  <c r="T6577" i="1" s="1"/>
  <c r="T6578" i="1" s="1"/>
  <c r="T6579" i="1" s="1"/>
  <c r="T6580" i="1" s="1"/>
  <c r="T6581" i="1" s="1"/>
  <c r="T6582" i="1" s="1"/>
  <c r="T6583" i="1" s="1"/>
  <c r="T6584" i="1" s="1"/>
  <c r="T6585" i="1" s="1"/>
  <c r="T6586" i="1" s="1"/>
  <c r="T6587" i="1" s="1"/>
  <c r="T6588" i="1" s="1"/>
  <c r="T6589" i="1" s="1"/>
  <c r="T6590" i="1" s="1"/>
  <c r="T6591" i="1" s="1"/>
  <c r="T6592" i="1" s="1"/>
  <c r="T6593" i="1" s="1"/>
  <c r="T6594" i="1" s="1"/>
  <c r="T6595" i="1" s="1"/>
  <c r="T6596" i="1" s="1"/>
  <c r="T6597" i="1" s="1"/>
  <c r="T6598" i="1" s="1"/>
  <c r="T6599" i="1" s="1"/>
  <c r="T6600" i="1" s="1"/>
  <c r="T6601" i="1" s="1"/>
  <c r="T6602" i="1" s="1"/>
  <c r="T6603" i="1" s="1"/>
  <c r="T6604" i="1" s="1"/>
  <c r="T6605" i="1" s="1"/>
  <c r="T6606" i="1" s="1"/>
  <c r="T6607" i="1" s="1"/>
  <c r="T6608" i="1" s="1"/>
  <c r="T6609" i="1" s="1"/>
  <c r="T6610" i="1" s="1"/>
  <c r="T6611" i="1" s="1"/>
  <c r="T6612" i="1" s="1"/>
  <c r="T6613" i="1" s="1"/>
  <c r="T6614" i="1" s="1"/>
  <c r="T6615" i="1" s="1"/>
  <c r="T6616" i="1" s="1"/>
  <c r="T6617" i="1" s="1"/>
  <c r="T6618" i="1" s="1"/>
  <c r="T6619" i="1" s="1"/>
  <c r="T6620" i="1" s="1"/>
  <c r="T6621" i="1" s="1"/>
  <c r="T6622" i="1" s="1"/>
  <c r="T6623" i="1" s="1"/>
  <c r="T6624" i="1" s="1"/>
  <c r="T6625" i="1" s="1"/>
  <c r="T6626" i="1" s="1"/>
  <c r="T6627" i="1" s="1"/>
  <c r="T6628" i="1" s="1"/>
  <c r="T6629" i="1" s="1"/>
  <c r="T6630" i="1" s="1"/>
  <c r="T6631" i="1" s="1"/>
  <c r="T6632" i="1" s="1"/>
  <c r="T6633" i="1" s="1"/>
  <c r="T6634" i="1" s="1"/>
  <c r="T6635" i="1" s="1"/>
  <c r="T6636" i="1" s="1"/>
  <c r="T6637" i="1" s="1"/>
  <c r="T6638" i="1" s="1"/>
  <c r="T6639" i="1" s="1"/>
  <c r="T6640" i="1" s="1"/>
  <c r="T6641" i="1" s="1"/>
  <c r="T6642" i="1" s="1"/>
  <c r="T6643" i="1" s="1"/>
  <c r="T6644" i="1" s="1"/>
  <c r="T6645" i="1" s="1"/>
  <c r="T6646" i="1" s="1"/>
  <c r="T6647" i="1" s="1"/>
  <c r="T6648" i="1" s="1"/>
  <c r="T6649" i="1" s="1"/>
  <c r="T6650" i="1" s="1"/>
  <c r="T6651" i="1" s="1"/>
  <c r="T6652" i="1" s="1"/>
  <c r="T6653" i="1" s="1"/>
  <c r="T6654" i="1" s="1"/>
  <c r="T6655" i="1" s="1"/>
  <c r="T6656" i="1" s="1"/>
  <c r="T6657" i="1" s="1"/>
  <c r="T6658" i="1" s="1"/>
  <c r="T6659" i="1" s="1"/>
  <c r="T6660" i="1" s="1"/>
  <c r="T6661" i="1" s="1"/>
  <c r="T6662" i="1" s="1"/>
  <c r="T6663" i="1" s="1"/>
  <c r="T6664" i="1" s="1"/>
  <c r="T6665" i="1" s="1"/>
  <c r="T6666" i="1" s="1"/>
  <c r="T6667" i="1" s="1"/>
  <c r="T6668" i="1" s="1"/>
  <c r="T6669" i="1" s="1"/>
  <c r="T6670" i="1" s="1"/>
  <c r="T6671" i="1" s="1"/>
  <c r="T6672" i="1" s="1"/>
  <c r="T6673" i="1" s="1"/>
  <c r="T6674" i="1" s="1"/>
  <c r="T6675" i="1" s="1"/>
  <c r="T6676" i="1" s="1"/>
  <c r="T6677" i="1" s="1"/>
  <c r="T6678" i="1" s="1"/>
  <c r="T6679" i="1" s="1"/>
  <c r="T6680" i="1" s="1"/>
  <c r="T6681" i="1" s="1"/>
  <c r="T6682" i="1" s="1"/>
  <c r="T6683" i="1" s="1"/>
  <c r="T6684" i="1" s="1"/>
  <c r="T6685" i="1" s="1"/>
  <c r="T6686" i="1" s="1"/>
  <c r="T6687" i="1" s="1"/>
  <c r="T6688" i="1" s="1"/>
  <c r="T6689" i="1" s="1"/>
  <c r="T6690" i="1" s="1"/>
  <c r="T6691" i="1" s="1"/>
  <c r="T6692" i="1" s="1"/>
  <c r="T6693" i="1" s="1"/>
  <c r="T6694" i="1" s="1"/>
  <c r="T6695" i="1" s="1"/>
  <c r="T6696" i="1" s="1"/>
  <c r="T6697" i="1" s="1"/>
  <c r="T6698" i="1" s="1"/>
  <c r="T6699" i="1" s="1"/>
  <c r="T6700" i="1" s="1"/>
  <c r="T6701" i="1" s="1"/>
  <c r="T6702" i="1" s="1"/>
  <c r="T6703" i="1" s="1"/>
  <c r="T6704" i="1" s="1"/>
  <c r="T6705" i="1" s="1"/>
  <c r="T6706" i="1" s="1"/>
  <c r="T6707" i="1" s="1"/>
  <c r="T6708" i="1" s="1"/>
  <c r="T6709" i="1" s="1"/>
  <c r="T6710" i="1" s="1"/>
  <c r="T6711" i="1" s="1"/>
  <c r="T6712" i="1" s="1"/>
  <c r="T6713" i="1" s="1"/>
  <c r="T6714" i="1" s="1"/>
  <c r="T6715" i="1" s="1"/>
  <c r="T6716" i="1" s="1"/>
  <c r="T6717" i="1" s="1"/>
  <c r="T6718" i="1" s="1"/>
  <c r="T6719" i="1" s="1"/>
  <c r="T6720" i="1" s="1"/>
  <c r="T6721" i="1" s="1"/>
  <c r="T6722" i="1" s="1"/>
  <c r="T6723" i="1" s="1"/>
  <c r="T6724" i="1" s="1"/>
  <c r="T6725" i="1" s="1"/>
  <c r="T6726" i="1" s="1"/>
  <c r="T6727" i="1" s="1"/>
  <c r="T6728" i="1" s="1"/>
  <c r="T6729" i="1" s="1"/>
  <c r="T6730" i="1" s="1"/>
  <c r="T6731" i="1" s="1"/>
  <c r="T6732" i="1" s="1"/>
  <c r="T6733" i="1" s="1"/>
  <c r="T6734" i="1" s="1"/>
  <c r="T6735" i="1" s="1"/>
  <c r="T6736" i="1" s="1"/>
  <c r="T6737" i="1" s="1"/>
  <c r="T6738" i="1" s="1"/>
  <c r="T6739" i="1" s="1"/>
  <c r="T6740" i="1" s="1"/>
  <c r="T6741" i="1" s="1"/>
  <c r="T6742" i="1" s="1"/>
  <c r="T6743" i="1" s="1"/>
  <c r="T6744" i="1" s="1"/>
  <c r="T6745" i="1" s="1"/>
  <c r="T6746" i="1" s="1"/>
  <c r="T6747" i="1" s="1"/>
  <c r="T6748" i="1" s="1"/>
  <c r="T6749" i="1" s="1"/>
  <c r="T6750" i="1" s="1"/>
  <c r="T6751" i="1" s="1"/>
  <c r="T6752" i="1" s="1"/>
  <c r="T6753" i="1" s="1"/>
  <c r="T6754" i="1" s="1"/>
  <c r="T6755" i="1" s="1"/>
  <c r="T6756" i="1" s="1"/>
  <c r="T6757" i="1" s="1"/>
  <c r="T6758" i="1" s="1"/>
  <c r="T6759" i="1" s="1"/>
  <c r="T6760" i="1" s="1"/>
  <c r="T6761" i="1" s="1"/>
  <c r="T6762" i="1" s="1"/>
  <c r="T6763" i="1" s="1"/>
  <c r="T6764" i="1" s="1"/>
  <c r="T6765" i="1" s="1"/>
  <c r="T6766" i="1" s="1"/>
  <c r="T6767" i="1" s="1"/>
  <c r="T6768" i="1" s="1"/>
  <c r="T6769" i="1" s="1"/>
  <c r="T6770" i="1" s="1"/>
  <c r="T6771" i="1" s="1"/>
  <c r="T6772" i="1" s="1"/>
  <c r="T6773" i="1" s="1"/>
  <c r="T6774" i="1" s="1"/>
  <c r="T6775" i="1" s="1"/>
  <c r="T6776" i="1" s="1"/>
  <c r="T6777" i="1" s="1"/>
  <c r="T6778" i="1" s="1"/>
  <c r="T6779" i="1" s="1"/>
  <c r="T6780" i="1" s="1"/>
  <c r="T6781" i="1" s="1"/>
  <c r="T6782" i="1" s="1"/>
  <c r="T6783" i="1" s="1"/>
  <c r="T6784" i="1" s="1"/>
  <c r="T6785" i="1" s="1"/>
  <c r="T6786" i="1" s="1"/>
  <c r="T6787" i="1" s="1"/>
  <c r="T6788" i="1" s="1"/>
  <c r="T6789" i="1" s="1"/>
  <c r="T6790" i="1" s="1"/>
  <c r="T6791" i="1" s="1"/>
  <c r="T6792" i="1" s="1"/>
  <c r="T6793" i="1" s="1"/>
  <c r="T6794" i="1" s="1"/>
  <c r="T6795" i="1" s="1"/>
  <c r="T6796" i="1" s="1"/>
  <c r="T6797" i="1" s="1"/>
  <c r="T6798" i="1" s="1"/>
  <c r="T6799" i="1" s="1"/>
  <c r="T6800" i="1" s="1"/>
  <c r="T6801" i="1" s="1"/>
  <c r="T6802" i="1" s="1"/>
  <c r="T6803" i="1" s="1"/>
  <c r="T6804" i="1" s="1"/>
  <c r="T6805" i="1" s="1"/>
  <c r="T6806" i="1" s="1"/>
  <c r="T6807" i="1" s="1"/>
  <c r="T6808" i="1" s="1"/>
  <c r="T6809" i="1" s="1"/>
  <c r="T6810" i="1" s="1"/>
  <c r="T6811" i="1" s="1"/>
  <c r="T6812" i="1" s="1"/>
  <c r="T6813" i="1" s="1"/>
  <c r="T6814" i="1" s="1"/>
  <c r="T6815" i="1" s="1"/>
  <c r="T6816" i="1" s="1"/>
  <c r="T6817" i="1" s="1"/>
  <c r="T6818" i="1" s="1"/>
  <c r="T6819" i="1" s="1"/>
  <c r="T6820" i="1" s="1"/>
  <c r="T6821" i="1" s="1"/>
  <c r="T6822" i="1" s="1"/>
  <c r="T6823" i="1" s="1"/>
  <c r="T6824" i="1" s="1"/>
  <c r="T6825" i="1" s="1"/>
  <c r="T6826" i="1" s="1"/>
  <c r="T6827" i="1" s="1"/>
  <c r="T6828" i="1" s="1"/>
  <c r="T6829" i="1" s="1"/>
  <c r="T6830" i="1" s="1"/>
  <c r="T6831" i="1" s="1"/>
  <c r="T6832" i="1" s="1"/>
  <c r="T6833" i="1" s="1"/>
  <c r="T6834" i="1" s="1"/>
  <c r="T6835" i="1" s="1"/>
  <c r="T6836" i="1" s="1"/>
  <c r="T6837" i="1" s="1"/>
  <c r="T6838" i="1" s="1"/>
  <c r="T6839" i="1" s="1"/>
  <c r="T6840" i="1" s="1"/>
  <c r="T6841" i="1" s="1"/>
  <c r="T6842" i="1" s="1"/>
  <c r="T6843" i="1" s="1"/>
  <c r="T6844" i="1" s="1"/>
  <c r="T6845" i="1" s="1"/>
  <c r="T6846" i="1" s="1"/>
  <c r="T6847" i="1" s="1"/>
  <c r="T6848" i="1" s="1"/>
  <c r="T6849" i="1" s="1"/>
  <c r="T6850" i="1" s="1"/>
  <c r="T6851" i="1" s="1"/>
  <c r="T6852" i="1" s="1"/>
  <c r="T6853" i="1" s="1"/>
  <c r="T6854" i="1" s="1"/>
  <c r="T6855" i="1" s="1"/>
  <c r="T6856" i="1" s="1"/>
  <c r="T6857" i="1" s="1"/>
  <c r="T6858" i="1" s="1"/>
  <c r="T6859" i="1" s="1"/>
  <c r="T6860" i="1" s="1"/>
  <c r="T6861" i="1" s="1"/>
  <c r="T6862" i="1" s="1"/>
  <c r="T6863" i="1" s="1"/>
  <c r="T6864" i="1" s="1"/>
  <c r="T6865" i="1" s="1"/>
  <c r="T6866" i="1" s="1"/>
  <c r="T6867" i="1" s="1"/>
  <c r="T6868" i="1" s="1"/>
  <c r="T6869" i="1" s="1"/>
  <c r="T6870" i="1" s="1"/>
  <c r="T6871" i="1" s="1"/>
  <c r="T6872" i="1" s="1"/>
  <c r="T6873" i="1" s="1"/>
  <c r="T6874" i="1" s="1"/>
  <c r="T6875" i="1" s="1"/>
  <c r="T6876" i="1" s="1"/>
  <c r="T6877" i="1" s="1"/>
  <c r="T6878" i="1" s="1"/>
  <c r="T6879" i="1" s="1"/>
  <c r="T6880" i="1" s="1"/>
  <c r="T6881" i="1" s="1"/>
  <c r="T6882" i="1" s="1"/>
  <c r="T6883" i="1" s="1"/>
  <c r="T6884" i="1" s="1"/>
  <c r="T6885" i="1" s="1"/>
  <c r="T6886" i="1" s="1"/>
  <c r="T6887" i="1" s="1"/>
  <c r="T6888" i="1" s="1"/>
  <c r="T6889" i="1" s="1"/>
  <c r="T6890" i="1" s="1"/>
  <c r="T6891" i="1" s="1"/>
  <c r="T6892" i="1" s="1"/>
  <c r="T6893" i="1" s="1"/>
  <c r="T6894" i="1" s="1"/>
  <c r="T6895" i="1" s="1"/>
  <c r="T6896" i="1" s="1"/>
  <c r="T6897" i="1" s="1"/>
  <c r="T6898" i="1" s="1"/>
  <c r="T6899" i="1" s="1"/>
  <c r="T6900" i="1" s="1"/>
  <c r="T6901" i="1" s="1"/>
  <c r="T6902" i="1" s="1"/>
  <c r="T6903" i="1" s="1"/>
  <c r="T6904" i="1" s="1"/>
  <c r="T6905" i="1" s="1"/>
  <c r="T6906" i="1" s="1"/>
  <c r="T6907" i="1" s="1"/>
  <c r="T6908" i="1" s="1"/>
  <c r="T6909" i="1" s="1"/>
  <c r="T6910" i="1" s="1"/>
  <c r="T6911" i="1" s="1"/>
  <c r="T6912" i="1" s="1"/>
  <c r="T6913" i="1" s="1"/>
  <c r="T6914" i="1" s="1"/>
  <c r="T6915" i="1" s="1"/>
  <c r="T6916" i="1" s="1"/>
  <c r="T6917" i="1" s="1"/>
  <c r="T6918" i="1" s="1"/>
  <c r="T6919" i="1" s="1"/>
  <c r="T6920" i="1" s="1"/>
  <c r="T6921" i="1" s="1"/>
  <c r="T6922" i="1" s="1"/>
  <c r="T6923" i="1" s="1"/>
  <c r="T6924" i="1" s="1"/>
  <c r="T6925" i="1" s="1"/>
  <c r="T6926" i="1" s="1"/>
  <c r="T6927" i="1" s="1"/>
  <c r="T6928" i="1" s="1"/>
  <c r="T6929" i="1" s="1"/>
  <c r="T6930" i="1" s="1"/>
  <c r="T6931" i="1" s="1"/>
  <c r="T6932" i="1" s="1"/>
  <c r="T6933" i="1" s="1"/>
  <c r="T6934" i="1" s="1"/>
  <c r="T6935" i="1" s="1"/>
  <c r="T6936" i="1" s="1"/>
  <c r="T6937" i="1" s="1"/>
  <c r="T6938" i="1" s="1"/>
  <c r="T6939" i="1" s="1"/>
  <c r="T6940" i="1" s="1"/>
  <c r="T6941" i="1" s="1"/>
  <c r="T6942" i="1" s="1"/>
  <c r="T6943" i="1" s="1"/>
  <c r="T6944" i="1" s="1"/>
  <c r="T6945" i="1" s="1"/>
  <c r="T6946" i="1" s="1"/>
  <c r="T6947" i="1" s="1"/>
  <c r="T6948" i="1" s="1"/>
  <c r="T6949" i="1" s="1"/>
  <c r="T6950" i="1" s="1"/>
  <c r="T6951" i="1" s="1"/>
  <c r="T6952" i="1" s="1"/>
  <c r="T6953" i="1" s="1"/>
  <c r="T6954" i="1" s="1"/>
  <c r="T6955" i="1" s="1"/>
  <c r="T6956" i="1" s="1"/>
  <c r="T6957" i="1" s="1"/>
  <c r="T6958" i="1" s="1"/>
  <c r="T6959" i="1" s="1"/>
  <c r="T6960" i="1" s="1"/>
  <c r="T6961" i="1" s="1"/>
  <c r="T6962" i="1" s="1"/>
  <c r="T6963" i="1" s="1"/>
  <c r="T6964" i="1" s="1"/>
  <c r="T6965" i="1" s="1"/>
  <c r="T6966" i="1" s="1"/>
  <c r="T6967" i="1" s="1"/>
  <c r="T6968" i="1" s="1"/>
  <c r="T6969" i="1" s="1"/>
  <c r="T6970" i="1" s="1"/>
  <c r="T6971" i="1" s="1"/>
  <c r="T6972" i="1" s="1"/>
  <c r="T6973" i="1" s="1"/>
  <c r="T6974" i="1" s="1"/>
  <c r="T6975" i="1" s="1"/>
  <c r="T6976" i="1" s="1"/>
  <c r="T6977" i="1" s="1"/>
  <c r="T6978" i="1" s="1"/>
  <c r="T6979" i="1" s="1"/>
  <c r="T6980" i="1" s="1"/>
  <c r="T6981" i="1" s="1"/>
  <c r="T6982" i="1" s="1"/>
  <c r="T6983" i="1" s="1"/>
  <c r="T6984" i="1" s="1"/>
  <c r="T6985" i="1" s="1"/>
  <c r="T6986" i="1" s="1"/>
  <c r="T6987" i="1" s="1"/>
  <c r="T6988" i="1" s="1"/>
  <c r="T6989" i="1" s="1"/>
  <c r="T6990" i="1" s="1"/>
  <c r="T6991" i="1" s="1"/>
  <c r="T6992" i="1" s="1"/>
  <c r="T6993" i="1" s="1"/>
  <c r="T6994" i="1" s="1"/>
  <c r="T6995" i="1" s="1"/>
  <c r="T6996" i="1" s="1"/>
  <c r="T6997" i="1" s="1"/>
  <c r="T6998" i="1" s="1"/>
  <c r="T6999" i="1" s="1"/>
  <c r="T7000" i="1" s="1"/>
  <c r="T7001" i="1" s="1"/>
  <c r="T7002" i="1" s="1"/>
  <c r="T7003" i="1" s="1"/>
  <c r="T7004" i="1" s="1"/>
  <c r="T7005" i="1" s="1"/>
  <c r="T7006" i="1" s="1"/>
  <c r="T7007" i="1" s="1"/>
  <c r="T7008" i="1" s="1"/>
  <c r="T7009" i="1" s="1"/>
  <c r="T7010" i="1" s="1"/>
  <c r="T7011" i="1" s="1"/>
  <c r="T7012" i="1" s="1"/>
  <c r="T7013" i="1" s="1"/>
  <c r="T7014" i="1" s="1"/>
  <c r="T7015" i="1" s="1"/>
  <c r="T7016" i="1" s="1"/>
  <c r="T7017" i="1" s="1"/>
  <c r="T7018" i="1" s="1"/>
  <c r="T7019" i="1" s="1"/>
  <c r="T7020" i="1" s="1"/>
  <c r="T7021" i="1" s="1"/>
  <c r="T7022" i="1" s="1"/>
  <c r="T7023" i="1" s="1"/>
  <c r="T7024" i="1" s="1"/>
  <c r="T7025" i="1" s="1"/>
  <c r="T7026" i="1" s="1"/>
  <c r="T7027" i="1" s="1"/>
  <c r="T7028" i="1" s="1"/>
  <c r="T7029" i="1" s="1"/>
  <c r="T7030" i="1" s="1"/>
  <c r="T7031" i="1" s="1"/>
  <c r="T7032" i="1" s="1"/>
  <c r="T7033" i="1" s="1"/>
  <c r="T7034" i="1" s="1"/>
  <c r="T7035" i="1" s="1"/>
  <c r="T7036" i="1" s="1"/>
  <c r="T7037" i="1" s="1"/>
  <c r="T7038" i="1" s="1"/>
  <c r="T7039" i="1" s="1"/>
  <c r="T7040" i="1" s="1"/>
  <c r="T7041" i="1" s="1"/>
  <c r="T7042" i="1" s="1"/>
  <c r="T7043" i="1" s="1"/>
  <c r="T7044" i="1" s="1"/>
  <c r="T7045" i="1" s="1"/>
  <c r="T7046" i="1" s="1"/>
  <c r="T7047" i="1" s="1"/>
  <c r="T7048" i="1" s="1"/>
  <c r="T7049" i="1" s="1"/>
  <c r="T7050" i="1" s="1"/>
  <c r="T7051" i="1" s="1"/>
  <c r="T7052" i="1" s="1"/>
  <c r="T7053" i="1" s="1"/>
  <c r="T7054" i="1" s="1"/>
  <c r="T7055" i="1" s="1"/>
  <c r="T7056" i="1" s="1"/>
  <c r="T7057" i="1" s="1"/>
  <c r="T7058" i="1" s="1"/>
  <c r="T7059" i="1" s="1"/>
  <c r="T7060" i="1" s="1"/>
  <c r="T7061" i="1" s="1"/>
  <c r="T7062" i="1" s="1"/>
  <c r="T7063" i="1" s="1"/>
  <c r="T7064" i="1" s="1"/>
  <c r="T7065" i="1" s="1"/>
  <c r="T7066" i="1" s="1"/>
  <c r="T7067" i="1" s="1"/>
  <c r="T7068" i="1" s="1"/>
  <c r="T7069" i="1" s="1"/>
  <c r="T7070" i="1" s="1"/>
  <c r="T7071" i="1" s="1"/>
  <c r="T7072" i="1" s="1"/>
  <c r="T7073" i="1" s="1"/>
  <c r="T7074" i="1" s="1"/>
  <c r="T7075" i="1" s="1"/>
  <c r="T7076" i="1" s="1"/>
  <c r="T7077" i="1" s="1"/>
  <c r="T7078" i="1" s="1"/>
  <c r="T7079" i="1" s="1"/>
  <c r="T7080" i="1" s="1"/>
  <c r="T7081" i="1" s="1"/>
  <c r="T7082" i="1" s="1"/>
  <c r="T7083" i="1" s="1"/>
  <c r="T7084" i="1" s="1"/>
  <c r="T7085" i="1" s="1"/>
  <c r="T7086" i="1" s="1"/>
  <c r="T7087" i="1" s="1"/>
  <c r="T7088" i="1" s="1"/>
  <c r="T7089" i="1" s="1"/>
  <c r="T7090" i="1" s="1"/>
  <c r="T7091" i="1" s="1"/>
  <c r="T7092" i="1" s="1"/>
  <c r="T7093" i="1" s="1"/>
  <c r="T7094" i="1" s="1"/>
  <c r="T7095" i="1" s="1"/>
  <c r="T7096" i="1" s="1"/>
  <c r="T7097" i="1" s="1"/>
  <c r="T7098" i="1" s="1"/>
  <c r="T7099" i="1" s="1"/>
  <c r="T7100" i="1" s="1"/>
  <c r="T7101" i="1" s="1"/>
  <c r="T7102" i="1" s="1"/>
  <c r="T7103" i="1" s="1"/>
  <c r="T7104" i="1" s="1"/>
  <c r="T7105" i="1" s="1"/>
  <c r="T7106" i="1" s="1"/>
  <c r="T7107" i="1" s="1"/>
  <c r="T7108" i="1" s="1"/>
  <c r="T7109" i="1" s="1"/>
  <c r="T7110" i="1" s="1"/>
  <c r="T7111" i="1" s="1"/>
  <c r="T7112" i="1" s="1"/>
  <c r="T7113" i="1" s="1"/>
  <c r="T7114" i="1" s="1"/>
  <c r="T7115" i="1" s="1"/>
  <c r="T7116" i="1" s="1"/>
  <c r="T7117" i="1" s="1"/>
  <c r="T7118" i="1" s="1"/>
  <c r="T7119" i="1" s="1"/>
  <c r="T7120" i="1" s="1"/>
  <c r="T7121" i="1" s="1"/>
  <c r="T7122" i="1" s="1"/>
  <c r="T7123" i="1" s="1"/>
  <c r="T7124" i="1" s="1"/>
  <c r="T7125" i="1" s="1"/>
  <c r="T7126" i="1" s="1"/>
  <c r="T7127" i="1" s="1"/>
  <c r="T7128" i="1" s="1"/>
  <c r="T7129" i="1" s="1"/>
  <c r="T7130" i="1" s="1"/>
  <c r="T7131" i="1" s="1"/>
  <c r="T7132" i="1" s="1"/>
  <c r="T7133" i="1" s="1"/>
  <c r="T7134" i="1" s="1"/>
  <c r="T7135" i="1" s="1"/>
  <c r="T7136" i="1" s="1"/>
  <c r="T7137" i="1" s="1"/>
  <c r="T7138" i="1" s="1"/>
  <c r="T7139" i="1" s="1"/>
  <c r="T7140" i="1" s="1"/>
  <c r="T7141" i="1" s="1"/>
  <c r="T7142" i="1" s="1"/>
  <c r="T7143" i="1" s="1"/>
  <c r="T7144" i="1" s="1"/>
  <c r="T7145" i="1" s="1"/>
  <c r="T7146" i="1" s="1"/>
  <c r="T7147" i="1" s="1"/>
  <c r="T7148" i="1" s="1"/>
  <c r="T7149" i="1" s="1"/>
  <c r="T7150" i="1" s="1"/>
  <c r="T7151" i="1" s="1"/>
  <c r="T7152" i="1" s="1"/>
  <c r="T7153" i="1" s="1"/>
  <c r="T7154" i="1" s="1"/>
  <c r="T7155" i="1" s="1"/>
  <c r="T7156" i="1" s="1"/>
  <c r="T7157" i="1" s="1"/>
  <c r="T7158" i="1" s="1"/>
  <c r="T7159" i="1" s="1"/>
  <c r="T7160" i="1" s="1"/>
  <c r="T7161" i="1" s="1"/>
  <c r="T7162" i="1" s="1"/>
  <c r="T7163" i="1" s="1"/>
  <c r="T7164" i="1" s="1"/>
  <c r="T7165" i="1" s="1"/>
  <c r="T7166" i="1" s="1"/>
  <c r="T7167" i="1" s="1"/>
  <c r="T7168" i="1" s="1"/>
  <c r="T7169" i="1" s="1"/>
  <c r="T7170" i="1" s="1"/>
  <c r="T7171" i="1" s="1"/>
  <c r="T7172" i="1" s="1"/>
  <c r="T7173" i="1" s="1"/>
  <c r="T7174" i="1" s="1"/>
  <c r="T7175" i="1" s="1"/>
  <c r="T7176" i="1" s="1"/>
  <c r="T7177" i="1" s="1"/>
  <c r="T7178" i="1" s="1"/>
  <c r="T7179" i="1" s="1"/>
  <c r="T7180" i="1" s="1"/>
  <c r="T7181" i="1" s="1"/>
  <c r="T7182" i="1" s="1"/>
  <c r="T7183" i="1" s="1"/>
  <c r="T7184" i="1" s="1"/>
  <c r="T7185" i="1" s="1"/>
  <c r="T7186" i="1" s="1"/>
  <c r="T7187" i="1" s="1"/>
  <c r="T7188" i="1" s="1"/>
  <c r="T7189" i="1" s="1"/>
  <c r="T7190" i="1" s="1"/>
  <c r="T7191" i="1" s="1"/>
  <c r="T7192" i="1" s="1"/>
  <c r="T7193" i="1" s="1"/>
  <c r="T7194" i="1" s="1"/>
  <c r="T7195" i="1" s="1"/>
  <c r="T7196" i="1" s="1"/>
  <c r="T7197" i="1" s="1"/>
  <c r="T7198" i="1" s="1"/>
  <c r="T7199" i="1" s="1"/>
  <c r="T7200" i="1" s="1"/>
  <c r="T7201" i="1" s="1"/>
  <c r="T7202" i="1" s="1"/>
  <c r="T7203" i="1" s="1"/>
  <c r="T7204" i="1" s="1"/>
  <c r="T7205" i="1" s="1"/>
  <c r="T7206" i="1" s="1"/>
  <c r="T7207" i="1" s="1"/>
  <c r="T7208" i="1" s="1"/>
  <c r="T7209" i="1" s="1"/>
  <c r="T7210" i="1" s="1"/>
  <c r="T7211" i="1" s="1"/>
  <c r="T7212" i="1" s="1"/>
  <c r="T7213" i="1" s="1"/>
  <c r="T7214" i="1" s="1"/>
  <c r="T7215" i="1" s="1"/>
  <c r="T7216" i="1" s="1"/>
  <c r="T7217" i="1" s="1"/>
  <c r="T7218" i="1" s="1"/>
  <c r="T7219" i="1" s="1"/>
  <c r="T7220" i="1" s="1"/>
  <c r="T7221" i="1" s="1"/>
  <c r="T7222" i="1" s="1"/>
  <c r="T7223" i="1" s="1"/>
  <c r="T7224" i="1" s="1"/>
  <c r="T7225" i="1" s="1"/>
  <c r="T7226" i="1" s="1"/>
  <c r="T7227" i="1" s="1"/>
  <c r="T7228" i="1" s="1"/>
  <c r="T7229" i="1" s="1"/>
  <c r="T7230" i="1" s="1"/>
  <c r="T7231" i="1" s="1"/>
  <c r="T7232" i="1" s="1"/>
  <c r="T7233" i="1" s="1"/>
  <c r="T7234" i="1" s="1"/>
  <c r="T7235" i="1" s="1"/>
  <c r="T7236" i="1" s="1"/>
  <c r="T7237" i="1" s="1"/>
  <c r="T7238" i="1" s="1"/>
  <c r="T7239" i="1" s="1"/>
  <c r="T7240" i="1" s="1"/>
  <c r="T7241" i="1" s="1"/>
  <c r="T7242" i="1" s="1"/>
  <c r="T7243" i="1" s="1"/>
  <c r="T7244" i="1" s="1"/>
  <c r="T7245" i="1" s="1"/>
  <c r="T7246" i="1" s="1"/>
  <c r="T7247" i="1" s="1"/>
  <c r="T7248" i="1" s="1"/>
  <c r="T7249" i="1" s="1"/>
  <c r="T7250" i="1" s="1"/>
  <c r="T7251" i="1" s="1"/>
  <c r="T7252" i="1" s="1"/>
  <c r="T7253" i="1" s="1"/>
  <c r="T7254" i="1" s="1"/>
  <c r="T7255" i="1" s="1"/>
  <c r="T7256" i="1" s="1"/>
  <c r="T7257" i="1" s="1"/>
  <c r="T7258" i="1" s="1"/>
  <c r="T7259" i="1" s="1"/>
  <c r="T7260" i="1" s="1"/>
  <c r="T7261" i="1" s="1"/>
  <c r="T7262" i="1" s="1"/>
  <c r="T7263" i="1" s="1"/>
  <c r="T7264" i="1" s="1"/>
  <c r="T7265" i="1" s="1"/>
  <c r="T7266" i="1" s="1"/>
  <c r="T7267" i="1" s="1"/>
  <c r="T7268" i="1" s="1"/>
  <c r="T7269" i="1" s="1"/>
  <c r="T7270" i="1" s="1"/>
  <c r="T7271" i="1" s="1"/>
  <c r="T7272" i="1" s="1"/>
  <c r="T7273" i="1" s="1"/>
  <c r="T7274" i="1" s="1"/>
  <c r="T7275" i="1" s="1"/>
  <c r="T7276" i="1" s="1"/>
  <c r="T7277" i="1" s="1"/>
  <c r="T7278" i="1" s="1"/>
  <c r="T7279" i="1" s="1"/>
  <c r="T7280" i="1" s="1"/>
  <c r="T7281" i="1" s="1"/>
  <c r="T7282" i="1" s="1"/>
  <c r="T7283" i="1" s="1"/>
  <c r="T7284" i="1" s="1"/>
  <c r="T7285" i="1" s="1"/>
  <c r="T7286" i="1" s="1"/>
  <c r="T7287" i="1" s="1"/>
  <c r="T7288" i="1" s="1"/>
  <c r="T7289" i="1" s="1"/>
  <c r="T7290" i="1" s="1"/>
  <c r="T7291" i="1" s="1"/>
  <c r="T7292" i="1" s="1"/>
  <c r="T7293" i="1" s="1"/>
  <c r="T7294" i="1" s="1"/>
  <c r="T7295" i="1" s="1"/>
  <c r="T7296" i="1" s="1"/>
  <c r="T7297" i="1" s="1"/>
  <c r="T7298" i="1" s="1"/>
  <c r="T7299" i="1" s="1"/>
  <c r="T7300" i="1" s="1"/>
  <c r="T7301" i="1" s="1"/>
  <c r="T7302" i="1" s="1"/>
  <c r="T7303" i="1" s="1"/>
  <c r="T7304" i="1" s="1"/>
  <c r="T7305" i="1" s="1"/>
  <c r="T7306" i="1" s="1"/>
  <c r="T7307" i="1" s="1"/>
  <c r="T7308" i="1" s="1"/>
  <c r="T7309" i="1" s="1"/>
  <c r="T7310" i="1" s="1"/>
  <c r="T7311" i="1" s="1"/>
  <c r="T7312" i="1" s="1"/>
  <c r="T7313" i="1" s="1"/>
  <c r="T7314" i="1" s="1"/>
  <c r="T7315" i="1" s="1"/>
  <c r="T7316" i="1" s="1"/>
  <c r="T7317" i="1" s="1"/>
  <c r="T7318" i="1" s="1"/>
  <c r="T7319" i="1" s="1"/>
  <c r="T7320" i="1" s="1"/>
  <c r="T7321" i="1" s="1"/>
  <c r="T7322" i="1" s="1"/>
  <c r="T7323" i="1" s="1"/>
  <c r="T7324" i="1" s="1"/>
  <c r="T7325" i="1" s="1"/>
  <c r="T7326" i="1" s="1"/>
  <c r="T7327" i="1" s="1"/>
  <c r="T7328" i="1" s="1"/>
  <c r="T7329" i="1" s="1"/>
  <c r="T7330" i="1" s="1"/>
  <c r="T7331" i="1" s="1"/>
  <c r="T7332" i="1" s="1"/>
  <c r="T7333" i="1" s="1"/>
  <c r="T7334" i="1" s="1"/>
  <c r="T7335" i="1" s="1"/>
  <c r="T7336" i="1" s="1"/>
  <c r="T7337" i="1" s="1"/>
  <c r="T7338" i="1" s="1"/>
  <c r="T7339" i="1" s="1"/>
  <c r="T7340" i="1" s="1"/>
  <c r="T7341" i="1" s="1"/>
  <c r="T7342" i="1" s="1"/>
  <c r="T7343" i="1" s="1"/>
  <c r="T7344" i="1" s="1"/>
  <c r="T7345" i="1" s="1"/>
  <c r="T7346" i="1" s="1"/>
  <c r="T7347" i="1" s="1"/>
  <c r="T7348" i="1" s="1"/>
  <c r="T7349" i="1" s="1"/>
  <c r="T7350" i="1" s="1"/>
  <c r="T7351" i="1" s="1"/>
  <c r="T7352" i="1" s="1"/>
  <c r="T7353" i="1" s="1"/>
  <c r="T7354" i="1" s="1"/>
  <c r="T7355" i="1" s="1"/>
  <c r="T7356" i="1" s="1"/>
  <c r="T7357" i="1" s="1"/>
  <c r="T7358" i="1" s="1"/>
  <c r="T7359" i="1" s="1"/>
  <c r="T7360" i="1" s="1"/>
  <c r="T7361" i="1" s="1"/>
  <c r="T7362" i="1" s="1"/>
  <c r="T7363" i="1" s="1"/>
  <c r="T7364" i="1" s="1"/>
  <c r="T7365" i="1" s="1"/>
  <c r="T7366" i="1" s="1"/>
  <c r="T7367" i="1" s="1"/>
  <c r="T7368" i="1" s="1"/>
  <c r="T7369" i="1" s="1"/>
  <c r="T7370" i="1" s="1"/>
  <c r="T7371" i="1" s="1"/>
  <c r="T7372" i="1" s="1"/>
  <c r="T7373" i="1" s="1"/>
  <c r="T7374" i="1" s="1"/>
  <c r="T7375" i="1" s="1"/>
  <c r="T7376" i="1" s="1"/>
  <c r="T7377" i="1" s="1"/>
  <c r="T7378" i="1" s="1"/>
  <c r="T7379" i="1" s="1"/>
  <c r="T7380" i="1" s="1"/>
  <c r="T7381" i="1" s="1"/>
  <c r="T7382" i="1" s="1"/>
  <c r="T7383" i="1" s="1"/>
  <c r="T7384" i="1" s="1"/>
  <c r="T7385" i="1" s="1"/>
  <c r="T7386" i="1" s="1"/>
  <c r="T7387" i="1" s="1"/>
  <c r="T7388" i="1" s="1"/>
  <c r="T7389" i="1" s="1"/>
  <c r="T7390" i="1" s="1"/>
  <c r="T7391" i="1" s="1"/>
  <c r="T7392" i="1" s="1"/>
  <c r="T7393" i="1" s="1"/>
  <c r="T7394" i="1" s="1"/>
  <c r="T7395" i="1" s="1"/>
  <c r="T7396" i="1" s="1"/>
  <c r="T7397" i="1" s="1"/>
  <c r="T7398" i="1" s="1"/>
  <c r="T7399" i="1" s="1"/>
  <c r="T7400" i="1" s="1"/>
  <c r="T7401" i="1" s="1"/>
  <c r="T7402" i="1" s="1"/>
  <c r="T7403" i="1" s="1"/>
  <c r="T7404" i="1" s="1"/>
  <c r="T7405" i="1" s="1"/>
  <c r="T7406" i="1" s="1"/>
  <c r="T7407" i="1" s="1"/>
  <c r="T7408" i="1" s="1"/>
  <c r="T7409" i="1" s="1"/>
  <c r="T7410" i="1" s="1"/>
  <c r="T7411" i="1" s="1"/>
  <c r="T7412" i="1" s="1"/>
  <c r="T7413" i="1" s="1"/>
  <c r="T7414" i="1" s="1"/>
  <c r="T7415" i="1" s="1"/>
  <c r="T7416" i="1" s="1"/>
  <c r="T7417" i="1" s="1"/>
  <c r="T7418" i="1" s="1"/>
  <c r="T7419" i="1" s="1"/>
  <c r="T7420" i="1" s="1"/>
  <c r="T7421" i="1" s="1"/>
  <c r="T7422" i="1" s="1"/>
  <c r="T7423" i="1" s="1"/>
  <c r="T7424" i="1" s="1"/>
  <c r="T7425" i="1" s="1"/>
  <c r="T7426" i="1" s="1"/>
  <c r="T7427" i="1" s="1"/>
  <c r="T7428" i="1" s="1"/>
  <c r="T7429" i="1" s="1"/>
  <c r="T7430" i="1" s="1"/>
  <c r="T7431" i="1" s="1"/>
  <c r="T7432" i="1" s="1"/>
  <c r="T7433" i="1" s="1"/>
  <c r="T7434" i="1" s="1"/>
  <c r="T7435" i="1" s="1"/>
  <c r="T7436" i="1" s="1"/>
  <c r="T7437" i="1" s="1"/>
  <c r="T7438" i="1" s="1"/>
  <c r="T7439" i="1" s="1"/>
  <c r="T7440" i="1" s="1"/>
  <c r="T7441" i="1" s="1"/>
  <c r="T7442" i="1" s="1"/>
  <c r="T7443" i="1" s="1"/>
  <c r="T7444" i="1" s="1"/>
  <c r="T7445" i="1" s="1"/>
  <c r="T7446" i="1" s="1"/>
  <c r="T7447" i="1" s="1"/>
  <c r="T7448" i="1" s="1"/>
  <c r="T7449" i="1" s="1"/>
  <c r="T7450" i="1" s="1"/>
  <c r="T7451" i="1" s="1"/>
  <c r="T7452" i="1" s="1"/>
  <c r="T7453" i="1" s="1"/>
  <c r="T7454" i="1" s="1"/>
  <c r="T7455" i="1" s="1"/>
  <c r="T7456" i="1" s="1"/>
  <c r="T7457" i="1" s="1"/>
  <c r="T7458" i="1" s="1"/>
  <c r="T7459" i="1" s="1"/>
  <c r="T7460" i="1" s="1"/>
  <c r="T7461" i="1" s="1"/>
  <c r="T7462" i="1" s="1"/>
  <c r="T7463" i="1" s="1"/>
  <c r="T7464" i="1" s="1"/>
  <c r="T7465" i="1" s="1"/>
  <c r="T7466" i="1" s="1"/>
  <c r="T7467" i="1" s="1"/>
  <c r="T7468" i="1" s="1"/>
  <c r="T7469" i="1" s="1"/>
  <c r="T7470" i="1" s="1"/>
  <c r="T7471" i="1" s="1"/>
  <c r="T7472" i="1" s="1"/>
  <c r="T7473" i="1" s="1"/>
  <c r="T7474" i="1" s="1"/>
  <c r="T7475" i="1" s="1"/>
  <c r="T7476" i="1" s="1"/>
  <c r="T7477" i="1" s="1"/>
  <c r="T7478" i="1" s="1"/>
  <c r="T7479" i="1" s="1"/>
  <c r="T7480" i="1" s="1"/>
  <c r="T7481" i="1" s="1"/>
  <c r="T7482" i="1" s="1"/>
  <c r="T7483" i="1" s="1"/>
  <c r="T7484" i="1" s="1"/>
  <c r="T7485" i="1" s="1"/>
  <c r="T7486" i="1" s="1"/>
  <c r="T7487" i="1" s="1"/>
  <c r="T7488" i="1" s="1"/>
  <c r="T7489" i="1" s="1"/>
  <c r="T7490" i="1" s="1"/>
  <c r="T7491" i="1" s="1"/>
  <c r="T7492" i="1" s="1"/>
  <c r="T7493" i="1" s="1"/>
  <c r="T7494" i="1" s="1"/>
  <c r="T7495" i="1" s="1"/>
  <c r="T7496" i="1" s="1"/>
  <c r="T7497" i="1" s="1"/>
  <c r="T7498" i="1" s="1"/>
  <c r="T7499" i="1" s="1"/>
  <c r="T7500" i="1" s="1"/>
  <c r="T7501" i="1" s="1"/>
  <c r="T7502" i="1" s="1"/>
  <c r="T7503" i="1" s="1"/>
  <c r="T7504" i="1" s="1"/>
  <c r="T7505" i="1" s="1"/>
  <c r="T7506" i="1" s="1"/>
  <c r="T7507" i="1" s="1"/>
  <c r="T7508" i="1" s="1"/>
  <c r="T7509" i="1" s="1"/>
  <c r="T7510" i="1" s="1"/>
  <c r="T7511" i="1" s="1"/>
  <c r="T7512" i="1" s="1"/>
  <c r="T7513" i="1" s="1"/>
  <c r="T7514" i="1" s="1"/>
  <c r="T7515" i="1" s="1"/>
  <c r="T7516" i="1" s="1"/>
  <c r="T7517" i="1" s="1"/>
  <c r="T7518" i="1" s="1"/>
  <c r="T7519" i="1" s="1"/>
  <c r="T7520" i="1" s="1"/>
  <c r="T7521" i="1" s="1"/>
  <c r="T7522" i="1" s="1"/>
  <c r="T7523" i="1" s="1"/>
  <c r="T7524" i="1" s="1"/>
  <c r="T7525" i="1" s="1"/>
  <c r="T7526" i="1" s="1"/>
  <c r="T7527" i="1" s="1"/>
  <c r="T7528" i="1" s="1"/>
  <c r="T7529" i="1" s="1"/>
  <c r="T7530" i="1" s="1"/>
  <c r="T7531" i="1" s="1"/>
  <c r="T7532" i="1" s="1"/>
  <c r="T7533" i="1" s="1"/>
  <c r="T7534" i="1" s="1"/>
  <c r="T7535" i="1" s="1"/>
  <c r="T7536" i="1" s="1"/>
  <c r="T7537" i="1" s="1"/>
  <c r="T7538" i="1" s="1"/>
  <c r="T7539" i="1" s="1"/>
  <c r="T7540" i="1" s="1"/>
  <c r="T7541" i="1" s="1"/>
  <c r="T7542" i="1" s="1"/>
  <c r="T7543" i="1" s="1"/>
  <c r="T7544" i="1" s="1"/>
  <c r="T7545" i="1" s="1"/>
  <c r="T7546" i="1" s="1"/>
  <c r="T7547" i="1" s="1"/>
  <c r="T7548" i="1" s="1"/>
  <c r="T7549" i="1" s="1"/>
  <c r="T7550" i="1" s="1"/>
  <c r="T7551" i="1" s="1"/>
  <c r="T7552" i="1" s="1"/>
  <c r="T7553" i="1" s="1"/>
  <c r="T7554" i="1" s="1"/>
  <c r="T7555" i="1" s="1"/>
  <c r="T7556" i="1" s="1"/>
  <c r="T7557" i="1" s="1"/>
  <c r="T7558" i="1" s="1"/>
  <c r="T7559" i="1" s="1"/>
  <c r="T7560" i="1" s="1"/>
  <c r="T7561" i="1" s="1"/>
  <c r="T7562" i="1" s="1"/>
  <c r="T7563" i="1" s="1"/>
  <c r="T7564" i="1" s="1"/>
  <c r="T7565" i="1" s="1"/>
  <c r="T7566" i="1" s="1"/>
  <c r="T7567" i="1" s="1"/>
  <c r="T7568" i="1" s="1"/>
  <c r="T7569" i="1" s="1"/>
  <c r="T7570" i="1" s="1"/>
  <c r="T7571" i="1" s="1"/>
  <c r="T7572" i="1" s="1"/>
  <c r="T7573" i="1" s="1"/>
  <c r="T7574" i="1" s="1"/>
  <c r="T7575" i="1" s="1"/>
  <c r="T7576" i="1" s="1"/>
  <c r="T7577" i="1" s="1"/>
  <c r="T7578" i="1" s="1"/>
  <c r="T7579" i="1" s="1"/>
  <c r="T7580" i="1" s="1"/>
  <c r="T7581" i="1" s="1"/>
  <c r="T7582" i="1" s="1"/>
  <c r="T7583" i="1" s="1"/>
  <c r="T7584" i="1" s="1"/>
  <c r="T7585" i="1" s="1"/>
  <c r="T7586" i="1" s="1"/>
  <c r="T7587" i="1" s="1"/>
  <c r="T7588" i="1" s="1"/>
  <c r="T7589" i="1" s="1"/>
  <c r="T7590" i="1" s="1"/>
  <c r="T7591" i="1" s="1"/>
  <c r="T7592" i="1" s="1"/>
  <c r="T7593" i="1" s="1"/>
  <c r="T7594" i="1" s="1"/>
  <c r="T7595" i="1" s="1"/>
  <c r="T7596" i="1" s="1"/>
  <c r="T7597" i="1" s="1"/>
  <c r="T7598" i="1" s="1"/>
  <c r="T7599" i="1" s="1"/>
  <c r="T7600" i="1" s="1"/>
  <c r="T7601" i="1" s="1"/>
  <c r="T7602" i="1" s="1"/>
  <c r="T7603" i="1" s="1"/>
  <c r="T7604" i="1" s="1"/>
  <c r="T7605" i="1" s="1"/>
  <c r="T7606" i="1" s="1"/>
  <c r="T7607" i="1" s="1"/>
  <c r="T7608" i="1" s="1"/>
  <c r="T7609" i="1" s="1"/>
  <c r="T7610" i="1" s="1"/>
  <c r="T7611" i="1" s="1"/>
  <c r="T7612" i="1" s="1"/>
  <c r="T7613" i="1" s="1"/>
  <c r="T7614" i="1" s="1"/>
  <c r="T7615" i="1" s="1"/>
  <c r="T7616" i="1" s="1"/>
  <c r="T7617" i="1" s="1"/>
  <c r="T7618" i="1" s="1"/>
  <c r="T7619" i="1" s="1"/>
  <c r="T7620" i="1" s="1"/>
  <c r="T7621" i="1" s="1"/>
  <c r="T7622" i="1" s="1"/>
  <c r="T7623" i="1" s="1"/>
  <c r="T7624" i="1" s="1"/>
  <c r="T7625" i="1" s="1"/>
  <c r="T7626" i="1" s="1"/>
  <c r="T7627" i="1" s="1"/>
  <c r="T7628" i="1" s="1"/>
  <c r="T7629" i="1" s="1"/>
  <c r="T7630" i="1" s="1"/>
  <c r="T7631" i="1" s="1"/>
  <c r="T7632" i="1" s="1"/>
  <c r="T7633" i="1" s="1"/>
  <c r="T7634" i="1" s="1"/>
  <c r="T7635" i="1" s="1"/>
  <c r="T7636" i="1" s="1"/>
  <c r="T7637" i="1" s="1"/>
  <c r="T7638" i="1" s="1"/>
  <c r="T7639" i="1" s="1"/>
  <c r="T7640" i="1" s="1"/>
  <c r="T7641" i="1" s="1"/>
  <c r="T7642" i="1" s="1"/>
  <c r="T7643" i="1" s="1"/>
  <c r="T7644" i="1" s="1"/>
  <c r="T7645" i="1" s="1"/>
  <c r="T7646" i="1" s="1"/>
  <c r="T7647" i="1" s="1"/>
  <c r="T7648" i="1" s="1"/>
  <c r="T7649" i="1" s="1"/>
  <c r="T7650" i="1" s="1"/>
  <c r="T7651" i="1" s="1"/>
  <c r="T7652" i="1" s="1"/>
  <c r="T7653" i="1" s="1"/>
  <c r="T7654" i="1" s="1"/>
  <c r="T7655" i="1" s="1"/>
  <c r="T7656" i="1" s="1"/>
  <c r="T7657" i="1" s="1"/>
  <c r="T7658" i="1" s="1"/>
  <c r="T7659" i="1" s="1"/>
  <c r="T7660" i="1" s="1"/>
  <c r="T7661" i="1" s="1"/>
  <c r="T7662" i="1" s="1"/>
  <c r="T7663" i="1" s="1"/>
  <c r="T7664" i="1" s="1"/>
  <c r="T7665" i="1" s="1"/>
  <c r="T7666" i="1" s="1"/>
  <c r="T7667" i="1" s="1"/>
  <c r="T7668" i="1" s="1"/>
  <c r="T7669" i="1" s="1"/>
  <c r="T7670" i="1" s="1"/>
  <c r="T7671" i="1" s="1"/>
  <c r="T7672" i="1" s="1"/>
  <c r="T7673" i="1" s="1"/>
  <c r="T7674" i="1" s="1"/>
  <c r="T7675" i="1" s="1"/>
  <c r="T7676" i="1" s="1"/>
  <c r="T7677" i="1" s="1"/>
  <c r="T7678" i="1" s="1"/>
  <c r="T7679" i="1" s="1"/>
  <c r="T7680" i="1" s="1"/>
  <c r="T7681" i="1" s="1"/>
  <c r="T7682" i="1" s="1"/>
  <c r="T7683" i="1" s="1"/>
  <c r="T7684" i="1" s="1"/>
  <c r="T7685" i="1" s="1"/>
  <c r="T7686" i="1" s="1"/>
  <c r="T7687" i="1" s="1"/>
  <c r="T7688" i="1" s="1"/>
  <c r="T7689" i="1" s="1"/>
  <c r="T7690" i="1" s="1"/>
  <c r="T7691" i="1" s="1"/>
  <c r="T7692" i="1" s="1"/>
  <c r="T7693" i="1" s="1"/>
  <c r="T7694" i="1" s="1"/>
  <c r="T7695" i="1" s="1"/>
  <c r="T7696" i="1" s="1"/>
  <c r="T7697" i="1" s="1"/>
  <c r="T7698" i="1" s="1"/>
  <c r="T7699" i="1" s="1"/>
  <c r="T7700" i="1" s="1"/>
  <c r="T7701" i="1" s="1"/>
  <c r="T7702" i="1" s="1"/>
  <c r="T7703" i="1" s="1"/>
  <c r="T7704" i="1" s="1"/>
  <c r="T7705" i="1" s="1"/>
  <c r="T7706" i="1" s="1"/>
  <c r="T7707" i="1" s="1"/>
  <c r="T7708" i="1" s="1"/>
  <c r="T7709" i="1" s="1"/>
  <c r="T7710" i="1" s="1"/>
  <c r="T7711" i="1" s="1"/>
  <c r="T7712" i="1" s="1"/>
  <c r="T7713" i="1" s="1"/>
  <c r="T7714" i="1" s="1"/>
  <c r="T7715" i="1" s="1"/>
  <c r="T7716" i="1" s="1"/>
  <c r="T7717" i="1" s="1"/>
  <c r="T7718" i="1" s="1"/>
  <c r="T7719" i="1" s="1"/>
  <c r="T7720" i="1" s="1"/>
  <c r="T7721" i="1" s="1"/>
  <c r="T7722" i="1" s="1"/>
  <c r="T7723" i="1" s="1"/>
  <c r="T7724" i="1" s="1"/>
  <c r="T7725" i="1" s="1"/>
  <c r="T7726" i="1" s="1"/>
  <c r="T7727" i="1" s="1"/>
  <c r="T7728" i="1" s="1"/>
  <c r="T7729" i="1" s="1"/>
  <c r="T7730" i="1" s="1"/>
  <c r="T7731" i="1" s="1"/>
  <c r="T7732" i="1" s="1"/>
  <c r="T7733" i="1" s="1"/>
  <c r="T7734" i="1" s="1"/>
  <c r="T7735" i="1" s="1"/>
  <c r="T7736" i="1" s="1"/>
  <c r="T7737" i="1" s="1"/>
  <c r="T7738" i="1" s="1"/>
  <c r="T7739" i="1" s="1"/>
  <c r="T7740" i="1" s="1"/>
  <c r="T7741" i="1" s="1"/>
  <c r="T7742" i="1" s="1"/>
  <c r="T7743" i="1" s="1"/>
  <c r="T7744" i="1" s="1"/>
  <c r="T7745" i="1" s="1"/>
  <c r="T7746" i="1" s="1"/>
  <c r="T7747" i="1" s="1"/>
  <c r="T7748" i="1" s="1"/>
  <c r="T7749" i="1" s="1"/>
  <c r="T7750" i="1" s="1"/>
  <c r="T7751" i="1" s="1"/>
  <c r="T7752" i="1" s="1"/>
  <c r="T7753" i="1" s="1"/>
  <c r="T7754" i="1" s="1"/>
  <c r="T7755" i="1" s="1"/>
  <c r="T7756" i="1" s="1"/>
  <c r="T7757" i="1" s="1"/>
  <c r="T7758" i="1" s="1"/>
  <c r="T7759" i="1" s="1"/>
  <c r="T7760" i="1" s="1"/>
  <c r="T7761" i="1" s="1"/>
  <c r="T7762" i="1" s="1"/>
  <c r="T7763" i="1" s="1"/>
  <c r="T7764" i="1" s="1"/>
  <c r="T7765" i="1" s="1"/>
  <c r="T7766" i="1" s="1"/>
  <c r="T7767" i="1" s="1"/>
  <c r="T7768" i="1" s="1"/>
  <c r="T7769" i="1" s="1"/>
  <c r="T7770" i="1" s="1"/>
  <c r="T7771" i="1" s="1"/>
  <c r="T7772" i="1" s="1"/>
  <c r="T7773" i="1" s="1"/>
  <c r="T7774" i="1" s="1"/>
  <c r="T7775" i="1" s="1"/>
  <c r="T7776" i="1" s="1"/>
  <c r="T7777" i="1" s="1"/>
  <c r="T7778" i="1" s="1"/>
  <c r="T7779" i="1" s="1"/>
  <c r="T7780" i="1" s="1"/>
  <c r="T7781" i="1" s="1"/>
  <c r="T7782" i="1" s="1"/>
  <c r="T7783" i="1" s="1"/>
  <c r="T7784" i="1" s="1"/>
  <c r="T7785" i="1" s="1"/>
  <c r="T7786" i="1" s="1"/>
  <c r="T7787" i="1" s="1"/>
  <c r="T7788" i="1" s="1"/>
  <c r="T7789" i="1" s="1"/>
  <c r="T7790" i="1" s="1"/>
  <c r="T7791" i="1" s="1"/>
  <c r="T7792" i="1" s="1"/>
  <c r="T7793" i="1" s="1"/>
  <c r="T7794" i="1" s="1"/>
  <c r="T7795" i="1" s="1"/>
  <c r="T7796" i="1" s="1"/>
  <c r="T7797" i="1" s="1"/>
  <c r="T7798" i="1" s="1"/>
  <c r="T7799" i="1" s="1"/>
  <c r="T7800" i="1" s="1"/>
  <c r="T7801" i="1" s="1"/>
  <c r="T7802" i="1" s="1"/>
  <c r="T7803" i="1" s="1"/>
  <c r="T7804" i="1" s="1"/>
  <c r="T7805" i="1" s="1"/>
  <c r="T7806" i="1" s="1"/>
  <c r="T7807" i="1" s="1"/>
  <c r="T7808" i="1" s="1"/>
  <c r="T7809" i="1" s="1"/>
  <c r="T7810" i="1" s="1"/>
  <c r="T7811" i="1" s="1"/>
  <c r="T7812" i="1" s="1"/>
  <c r="T7813" i="1" s="1"/>
  <c r="T7814" i="1" s="1"/>
  <c r="T7815" i="1" s="1"/>
  <c r="T7816" i="1" s="1"/>
  <c r="T7817" i="1" s="1"/>
  <c r="T7818" i="1" s="1"/>
  <c r="T7819" i="1" s="1"/>
  <c r="T7820" i="1" s="1"/>
  <c r="T7821" i="1" s="1"/>
  <c r="T7822" i="1" s="1"/>
  <c r="T7823" i="1" s="1"/>
  <c r="T7824" i="1" s="1"/>
  <c r="T7825" i="1" s="1"/>
  <c r="T7826" i="1" s="1"/>
  <c r="T7827" i="1" s="1"/>
  <c r="T7828" i="1" s="1"/>
  <c r="T7829" i="1" s="1"/>
  <c r="T7830" i="1" s="1"/>
  <c r="T7831" i="1" s="1"/>
  <c r="T7832" i="1" s="1"/>
  <c r="T7833" i="1" s="1"/>
  <c r="T7834" i="1" s="1"/>
  <c r="T7835" i="1" s="1"/>
  <c r="T7836" i="1" s="1"/>
  <c r="T7837" i="1" s="1"/>
  <c r="T7838" i="1" s="1"/>
  <c r="T7839" i="1" s="1"/>
  <c r="T7840" i="1" s="1"/>
  <c r="T7841" i="1" s="1"/>
  <c r="T7842" i="1" s="1"/>
  <c r="T7843" i="1" s="1"/>
  <c r="T7844" i="1" s="1"/>
  <c r="T7845" i="1" s="1"/>
  <c r="T7846" i="1" s="1"/>
  <c r="T7847" i="1" s="1"/>
  <c r="T7848" i="1" s="1"/>
  <c r="T7849" i="1" s="1"/>
  <c r="T7850" i="1" s="1"/>
  <c r="T7851" i="1" s="1"/>
  <c r="T7852" i="1" s="1"/>
  <c r="T7853" i="1" s="1"/>
  <c r="T7854" i="1" s="1"/>
  <c r="T7855" i="1" s="1"/>
  <c r="T7856" i="1" s="1"/>
  <c r="T7857" i="1" s="1"/>
  <c r="T7858" i="1" s="1"/>
  <c r="T7859" i="1" s="1"/>
  <c r="T7860" i="1" s="1"/>
  <c r="T7861" i="1" s="1"/>
  <c r="T7862" i="1" s="1"/>
  <c r="T7863" i="1" s="1"/>
  <c r="T7864" i="1" s="1"/>
  <c r="T7865" i="1" s="1"/>
  <c r="T7866" i="1" s="1"/>
  <c r="T7867" i="1" s="1"/>
  <c r="T7868" i="1" s="1"/>
  <c r="T7869" i="1" s="1"/>
  <c r="T7870" i="1" s="1"/>
  <c r="T7871" i="1" s="1"/>
  <c r="T7872" i="1" s="1"/>
  <c r="T7873" i="1" s="1"/>
  <c r="T7874" i="1" s="1"/>
  <c r="T7875" i="1" s="1"/>
  <c r="T7876" i="1" s="1"/>
  <c r="T7877" i="1" s="1"/>
  <c r="T7878" i="1" s="1"/>
  <c r="T7879" i="1" s="1"/>
  <c r="T1363" i="1"/>
  <c r="T1364" i="1" s="1"/>
  <c r="T1365" i="1" s="1"/>
  <c r="T1366" i="1"/>
  <c r="T1367" i="1" s="1"/>
  <c r="T1368" i="1" s="1"/>
  <c r="T1369" i="1" s="1"/>
  <c r="T1370" i="1"/>
  <c r="T1371" i="1" s="1"/>
  <c r="T1372" i="1" s="1"/>
  <c r="T1373" i="1" s="1"/>
  <c r="T1374" i="1"/>
  <c r="T1375" i="1" s="1"/>
  <c r="T1376" i="1" s="1"/>
  <c r="T1377" i="1" s="1"/>
  <c r="T1378" i="1" s="1"/>
  <c r="T1379" i="1" s="1"/>
  <c r="T1380" i="1" s="1"/>
  <c r="T1381" i="1" s="1"/>
  <c r="T1382" i="1" s="1"/>
  <c r="T1383" i="1" s="1"/>
  <c r="T1384" i="1" s="1"/>
  <c r="T1385" i="1" s="1"/>
  <c r="T1386" i="1" s="1"/>
  <c r="T1387" i="1" s="1"/>
  <c r="T1388" i="1" s="1"/>
  <c r="T1389" i="1" s="1"/>
  <c r="T1390" i="1" s="1"/>
  <c r="T1391" i="1" s="1"/>
  <c r="T1392" i="1" s="1"/>
  <c r="T1393" i="1" s="1"/>
  <c r="T1394" i="1" s="1"/>
  <c r="T1395" i="1" s="1"/>
  <c r="T1396" i="1" s="1"/>
  <c r="T1397" i="1" s="1"/>
  <c r="T1398" i="1" s="1"/>
  <c r="T1399" i="1" s="1"/>
  <c r="T1400" i="1" s="1"/>
  <c r="T1401" i="1" s="1"/>
  <c r="T1402" i="1" s="1"/>
  <c r="T1403" i="1" s="1"/>
  <c r="T1404" i="1" s="1"/>
  <c r="T1405" i="1" s="1"/>
  <c r="T1406" i="1" s="1"/>
  <c r="T1407" i="1" s="1"/>
  <c r="T1408" i="1" s="1"/>
  <c r="T1409" i="1" s="1"/>
  <c r="T1410" i="1" s="1"/>
  <c r="T1411" i="1" s="1"/>
  <c r="T1412" i="1" s="1"/>
  <c r="T1413" i="1" s="1"/>
  <c r="T1414" i="1" s="1"/>
  <c r="T1415" i="1" s="1"/>
  <c r="T1416" i="1" s="1"/>
  <c r="T1417" i="1" s="1"/>
  <c r="T1418" i="1" s="1"/>
  <c r="T1419" i="1" s="1"/>
  <c r="T1420" i="1" s="1"/>
  <c r="T1421" i="1" s="1"/>
  <c r="T1422" i="1" s="1"/>
  <c r="T1423" i="1" s="1"/>
  <c r="T1424" i="1" s="1"/>
  <c r="T1425" i="1" s="1"/>
  <c r="T1426" i="1" s="1"/>
  <c r="T1427" i="1" s="1"/>
  <c r="T1428" i="1" s="1"/>
  <c r="T1429" i="1" s="1"/>
  <c r="T1430" i="1" s="1"/>
  <c r="T1431" i="1" s="1"/>
  <c r="T1432" i="1" s="1"/>
  <c r="T1433" i="1" s="1"/>
  <c r="T1434" i="1" s="1"/>
  <c r="T1435" i="1" s="1"/>
  <c r="T1436" i="1" s="1"/>
  <c r="T1437" i="1" s="1"/>
  <c r="T1438" i="1" s="1"/>
  <c r="T1439" i="1" s="1"/>
  <c r="T1440" i="1" s="1"/>
  <c r="T1441" i="1" s="1"/>
  <c r="T1442" i="1" s="1"/>
  <c r="T1443" i="1" s="1"/>
  <c r="T1444" i="1" s="1"/>
  <c r="T1445" i="1" s="1"/>
  <c r="T1446" i="1" s="1"/>
  <c r="T1447" i="1" s="1"/>
  <c r="T1448" i="1" s="1"/>
  <c r="T1449" i="1" s="1"/>
  <c r="T1450" i="1" s="1"/>
  <c r="T1451" i="1" s="1"/>
  <c r="T1452" i="1" s="1"/>
  <c r="T1453" i="1" s="1"/>
  <c r="T1454" i="1" s="1"/>
  <c r="T1455" i="1" s="1"/>
  <c r="T1456" i="1" s="1"/>
  <c r="T1457" i="1" s="1"/>
  <c r="T1458" i="1" s="1"/>
  <c r="T1459" i="1" s="1"/>
  <c r="T1460" i="1" s="1"/>
  <c r="T1461" i="1" s="1"/>
  <c r="T1462" i="1" s="1"/>
  <c r="T1463" i="1" s="1"/>
  <c r="T1464" i="1" s="1"/>
  <c r="T1465" i="1" s="1"/>
  <c r="T1466" i="1" s="1"/>
  <c r="T1467" i="1" s="1"/>
  <c r="T1468" i="1" s="1"/>
  <c r="T1469" i="1" s="1"/>
  <c r="T1470" i="1" s="1"/>
  <c r="T1471" i="1" s="1"/>
  <c r="T1472" i="1" s="1"/>
  <c r="T1473" i="1" s="1"/>
  <c r="T1474" i="1" s="1"/>
  <c r="T1475" i="1" s="1"/>
  <c r="T1476" i="1" s="1"/>
  <c r="T1477" i="1" s="1"/>
  <c r="T1478" i="1" s="1"/>
  <c r="T1479" i="1" s="1"/>
  <c r="T1480" i="1" s="1"/>
  <c r="T1481" i="1" s="1"/>
  <c r="T1482" i="1" s="1"/>
  <c r="T1483" i="1" s="1"/>
  <c r="T1484" i="1" s="1"/>
  <c r="T1485" i="1" s="1"/>
  <c r="T1486" i="1" s="1"/>
  <c r="T1487" i="1" s="1"/>
  <c r="T1488" i="1" s="1"/>
  <c r="T1489" i="1" s="1"/>
  <c r="T1490" i="1" s="1"/>
  <c r="T1491" i="1" s="1"/>
  <c r="T1492" i="1" s="1"/>
  <c r="T1493" i="1" s="1"/>
  <c r="T1494" i="1" s="1"/>
  <c r="T1495" i="1" s="1"/>
  <c r="T1496" i="1" s="1"/>
  <c r="T1497" i="1" s="1"/>
  <c r="T1498" i="1" s="1"/>
  <c r="T1499" i="1" s="1"/>
  <c r="T1500" i="1" s="1"/>
  <c r="T1501" i="1" s="1"/>
  <c r="T1502" i="1" s="1"/>
  <c r="T1503" i="1" s="1"/>
  <c r="T1504" i="1" s="1"/>
  <c r="T1505" i="1" s="1"/>
  <c r="T1506" i="1" s="1"/>
  <c r="T1507" i="1" s="1"/>
  <c r="T1508" i="1" s="1"/>
  <c r="T1509" i="1" s="1"/>
  <c r="T1510" i="1" s="1"/>
  <c r="T1511" i="1" s="1"/>
  <c r="T1512" i="1" s="1"/>
  <c r="T1513" i="1" s="1"/>
  <c r="T1514" i="1" s="1"/>
  <c r="T1515" i="1" s="1"/>
  <c r="T1516" i="1" s="1"/>
  <c r="T1517" i="1" s="1"/>
  <c r="T1518" i="1" s="1"/>
  <c r="T1519" i="1" s="1"/>
  <c r="T1520" i="1" s="1"/>
  <c r="T1521" i="1" s="1"/>
  <c r="T1522" i="1" s="1"/>
  <c r="T1523" i="1" s="1"/>
  <c r="T1524" i="1" s="1"/>
  <c r="T1525" i="1" s="1"/>
  <c r="T1526" i="1" s="1"/>
  <c r="T1527" i="1" s="1"/>
  <c r="T1528" i="1" s="1"/>
  <c r="T1529" i="1" s="1"/>
  <c r="T1530" i="1" s="1"/>
  <c r="T1531" i="1" s="1"/>
  <c r="T1532" i="1" s="1"/>
  <c r="T1533" i="1" s="1"/>
  <c r="T1534" i="1" s="1"/>
  <c r="T1535" i="1" s="1"/>
  <c r="T1536" i="1" s="1"/>
  <c r="T1537" i="1" s="1"/>
  <c r="T1538" i="1" s="1"/>
  <c r="T1539" i="1" s="1"/>
  <c r="T1540" i="1" s="1"/>
  <c r="T1541" i="1" s="1"/>
  <c r="T1542" i="1" s="1"/>
  <c r="T1543" i="1" s="1"/>
  <c r="T1544" i="1" s="1"/>
  <c r="T1545" i="1" s="1"/>
  <c r="T1546" i="1" s="1"/>
  <c r="T1547" i="1" s="1"/>
  <c r="T1548" i="1" s="1"/>
  <c r="T1549" i="1" s="1"/>
  <c r="T1550" i="1" s="1"/>
  <c r="T1551" i="1" s="1"/>
  <c r="T1552" i="1" s="1"/>
  <c r="T1553" i="1" s="1"/>
  <c r="T1554" i="1" s="1"/>
  <c r="T1555" i="1" s="1"/>
  <c r="T1556" i="1" s="1"/>
  <c r="T1557" i="1" s="1"/>
  <c r="T1558" i="1" s="1"/>
  <c r="T1559" i="1" s="1"/>
  <c r="T1560" i="1" s="1"/>
  <c r="T1561" i="1" s="1"/>
  <c r="T1562" i="1" s="1"/>
  <c r="T1563" i="1" s="1"/>
  <c r="T1564" i="1" s="1"/>
  <c r="T1565" i="1" s="1"/>
  <c r="T1566" i="1" s="1"/>
  <c r="T1567" i="1" s="1"/>
  <c r="T1568" i="1" s="1"/>
  <c r="T1569" i="1" s="1"/>
  <c r="T1570" i="1" s="1"/>
  <c r="T1571" i="1" s="1"/>
  <c r="T1572" i="1" s="1"/>
  <c r="T1573" i="1" s="1"/>
  <c r="T1574" i="1" s="1"/>
  <c r="T1575" i="1" s="1"/>
  <c r="T1576" i="1" s="1"/>
  <c r="T1577" i="1" s="1"/>
  <c r="T1578" i="1" s="1"/>
  <c r="T1579" i="1" s="1"/>
  <c r="T1580" i="1" s="1"/>
  <c r="T1581" i="1" s="1"/>
  <c r="T1582" i="1" s="1"/>
  <c r="T1583" i="1" s="1"/>
  <c r="T1584" i="1" s="1"/>
  <c r="T1585" i="1" s="1"/>
  <c r="T1586" i="1" s="1"/>
  <c r="T1587" i="1" s="1"/>
  <c r="T1588" i="1" s="1"/>
  <c r="T1589" i="1" s="1"/>
  <c r="T1590" i="1" s="1"/>
  <c r="T1591" i="1" s="1"/>
  <c r="T1592" i="1" s="1"/>
  <c r="T1593" i="1" s="1"/>
  <c r="T1594" i="1" s="1"/>
  <c r="T1595" i="1" s="1"/>
  <c r="T1596" i="1" s="1"/>
  <c r="T1597" i="1" s="1"/>
  <c r="T1598" i="1" s="1"/>
  <c r="T1599" i="1" s="1"/>
  <c r="T1600" i="1" s="1"/>
  <c r="T1601" i="1" s="1"/>
  <c r="T1602" i="1" s="1"/>
  <c r="T1603" i="1" s="1"/>
  <c r="T1604" i="1" s="1"/>
  <c r="T1605" i="1" s="1"/>
  <c r="T1606" i="1" s="1"/>
  <c r="T1607" i="1" s="1"/>
  <c r="T1608" i="1" s="1"/>
  <c r="T1609" i="1" s="1"/>
  <c r="T1610" i="1" s="1"/>
  <c r="T1611" i="1" s="1"/>
  <c r="T1612" i="1" s="1"/>
  <c r="T1613" i="1" s="1"/>
  <c r="T1614" i="1" s="1"/>
  <c r="T1615" i="1" s="1"/>
  <c r="T1616" i="1" s="1"/>
  <c r="T1617" i="1" s="1"/>
  <c r="T1618" i="1" s="1"/>
  <c r="T1619" i="1" s="1"/>
  <c r="T1620" i="1" s="1"/>
  <c r="T1621" i="1" s="1"/>
  <c r="T1622" i="1" s="1"/>
  <c r="T1623" i="1" s="1"/>
  <c r="T1624" i="1" s="1"/>
  <c r="T1625" i="1" s="1"/>
  <c r="T1626" i="1" s="1"/>
  <c r="T1627" i="1" s="1"/>
  <c r="T1628" i="1" s="1"/>
  <c r="T1629" i="1" s="1"/>
  <c r="T1630" i="1" s="1"/>
  <c r="T1631" i="1" s="1"/>
  <c r="T1632" i="1" s="1"/>
  <c r="T1633" i="1" s="1"/>
  <c r="T1634" i="1" s="1"/>
  <c r="T1635" i="1" s="1"/>
  <c r="T1636" i="1" s="1"/>
  <c r="T1637" i="1" s="1"/>
  <c r="T1638" i="1" s="1"/>
  <c r="T1639" i="1" s="1"/>
  <c r="T1640" i="1" s="1"/>
  <c r="T1641" i="1" s="1"/>
  <c r="T1642" i="1" s="1"/>
  <c r="T1643" i="1" s="1"/>
  <c r="T1644" i="1" s="1"/>
  <c r="T1645" i="1" s="1"/>
  <c r="T1646" i="1" s="1"/>
  <c r="T1647" i="1" s="1"/>
  <c r="T1648" i="1" s="1"/>
  <c r="T1649" i="1" s="1"/>
  <c r="T1650" i="1" s="1"/>
  <c r="T1651" i="1" s="1"/>
  <c r="T1652" i="1" s="1"/>
  <c r="T1653" i="1" s="1"/>
  <c r="T1654" i="1" s="1"/>
  <c r="T1655" i="1" s="1"/>
  <c r="T1656" i="1" s="1"/>
  <c r="T1657" i="1" s="1"/>
  <c r="T1658" i="1" s="1"/>
  <c r="T1659" i="1" s="1"/>
  <c r="T1660" i="1" s="1"/>
  <c r="T1661" i="1" s="1"/>
  <c r="T1662" i="1" s="1"/>
  <c r="T1663" i="1" s="1"/>
  <c r="T1664" i="1" s="1"/>
  <c r="T1665" i="1" s="1"/>
  <c r="T1666" i="1" s="1"/>
  <c r="T1667" i="1" s="1"/>
  <c r="T1668" i="1" s="1"/>
  <c r="T1669" i="1" s="1"/>
  <c r="T1670" i="1" s="1"/>
  <c r="T1671" i="1" s="1"/>
  <c r="T1672" i="1" s="1"/>
  <c r="T1673" i="1" s="1"/>
  <c r="T1674" i="1" s="1"/>
  <c r="T1675" i="1" s="1"/>
  <c r="T1676" i="1" s="1"/>
  <c r="T1677" i="1" s="1"/>
  <c r="T1678" i="1" s="1"/>
  <c r="T1679" i="1" s="1"/>
  <c r="T1680" i="1" s="1"/>
  <c r="T1681" i="1" s="1"/>
  <c r="T1682" i="1" s="1"/>
  <c r="T1683" i="1" s="1"/>
  <c r="T1684" i="1" s="1"/>
  <c r="T1685" i="1" s="1"/>
  <c r="T1686" i="1" s="1"/>
  <c r="T1687" i="1" s="1"/>
  <c r="T1688" i="1" s="1"/>
  <c r="T1689" i="1" s="1"/>
  <c r="T1690" i="1" s="1"/>
  <c r="T1691" i="1" s="1"/>
  <c r="T1692" i="1" s="1"/>
  <c r="T1693" i="1" s="1"/>
  <c r="T1694" i="1" s="1"/>
  <c r="T1695" i="1" s="1"/>
  <c r="T1696" i="1" s="1"/>
  <c r="T1697" i="1" s="1"/>
  <c r="T1698" i="1" s="1"/>
  <c r="T1699" i="1" s="1"/>
  <c r="T1700" i="1" s="1"/>
  <c r="T1701" i="1" s="1"/>
  <c r="T1702" i="1" s="1"/>
  <c r="T1703" i="1" s="1"/>
  <c r="T1704" i="1" s="1"/>
  <c r="T1705" i="1" s="1"/>
  <c r="T1706" i="1" s="1"/>
  <c r="T1707" i="1" s="1"/>
  <c r="T1708" i="1" s="1"/>
  <c r="T1709" i="1" s="1"/>
  <c r="T1710" i="1" s="1"/>
  <c r="T1711" i="1" s="1"/>
  <c r="T1712" i="1" s="1"/>
  <c r="T1713" i="1" s="1"/>
  <c r="T1714" i="1" s="1"/>
  <c r="T1715" i="1" s="1"/>
  <c r="T1716" i="1" s="1"/>
  <c r="T1717" i="1" s="1"/>
  <c r="T1718" i="1" s="1"/>
  <c r="T1719" i="1" s="1"/>
  <c r="T1720" i="1" s="1"/>
  <c r="T1721" i="1" s="1"/>
  <c r="T1722" i="1" s="1"/>
  <c r="T1723" i="1" s="1"/>
  <c r="T1724" i="1" s="1"/>
  <c r="T1725" i="1" s="1"/>
  <c r="T1726" i="1" s="1"/>
  <c r="T1727" i="1" s="1"/>
  <c r="T1728" i="1" s="1"/>
  <c r="T1729" i="1" s="1"/>
  <c r="T1730" i="1" s="1"/>
  <c r="T1731" i="1" s="1"/>
  <c r="T1732" i="1" s="1"/>
  <c r="T1733" i="1" s="1"/>
  <c r="T1734" i="1" s="1"/>
  <c r="T1735" i="1" s="1"/>
  <c r="T1736" i="1" s="1"/>
  <c r="T1737" i="1" s="1"/>
  <c r="T1738" i="1" s="1"/>
  <c r="T1739" i="1" s="1"/>
  <c r="T1740" i="1" s="1"/>
  <c r="T1741" i="1" s="1"/>
  <c r="T1742" i="1" s="1"/>
  <c r="T1743" i="1" s="1"/>
  <c r="T1744" i="1" s="1"/>
  <c r="T1745" i="1" s="1"/>
  <c r="T1746" i="1" s="1"/>
  <c r="T1747" i="1" s="1"/>
  <c r="T1748" i="1" s="1"/>
  <c r="T1749" i="1" s="1"/>
  <c r="T1750" i="1" s="1"/>
  <c r="T1751" i="1" s="1"/>
  <c r="T1752" i="1" s="1"/>
  <c r="T1753" i="1" s="1"/>
  <c r="T1754" i="1" s="1"/>
  <c r="T1755" i="1" s="1"/>
  <c r="T1756" i="1" s="1"/>
  <c r="T1757" i="1" s="1"/>
  <c r="T1758" i="1" s="1"/>
  <c r="T1759" i="1" s="1"/>
  <c r="T1760" i="1" s="1"/>
  <c r="T1761" i="1" s="1"/>
  <c r="T1762" i="1" s="1"/>
  <c r="T1763" i="1" s="1"/>
  <c r="T1764" i="1" s="1"/>
  <c r="T1765" i="1" s="1"/>
  <c r="T1766" i="1" s="1"/>
  <c r="T1767" i="1" s="1"/>
  <c r="T1768" i="1" s="1"/>
  <c r="T1769" i="1" s="1"/>
  <c r="T1770" i="1" s="1"/>
  <c r="T1771" i="1" s="1"/>
  <c r="T1772" i="1" s="1"/>
  <c r="T1773" i="1" s="1"/>
  <c r="T1774" i="1" s="1"/>
  <c r="T1775" i="1" s="1"/>
  <c r="T1776" i="1" s="1"/>
  <c r="T1777" i="1" s="1"/>
  <c r="T1778" i="1" s="1"/>
  <c r="T1779" i="1" s="1"/>
  <c r="T1780" i="1" s="1"/>
  <c r="T1781" i="1" s="1"/>
  <c r="T1782" i="1" s="1"/>
  <c r="T1783" i="1" s="1"/>
  <c r="T1784" i="1" s="1"/>
  <c r="T1785" i="1" s="1"/>
  <c r="T1786" i="1" s="1"/>
  <c r="T1787" i="1" s="1"/>
  <c r="T1788" i="1" s="1"/>
  <c r="T1789" i="1" s="1"/>
  <c r="T1790" i="1" s="1"/>
  <c r="T1791" i="1" s="1"/>
  <c r="T1792" i="1" s="1"/>
  <c r="T1793" i="1" s="1"/>
  <c r="T1794" i="1" s="1"/>
  <c r="T1795" i="1" s="1"/>
  <c r="T1796" i="1" s="1"/>
  <c r="T1797" i="1" s="1"/>
  <c r="T1798" i="1" s="1"/>
  <c r="T1799" i="1" s="1"/>
  <c r="T1800" i="1" s="1"/>
  <c r="T1801" i="1" s="1"/>
  <c r="T1802" i="1" s="1"/>
  <c r="T1803" i="1" s="1"/>
  <c r="T1804" i="1" s="1"/>
  <c r="T1805" i="1" s="1"/>
  <c r="T1806" i="1" s="1"/>
  <c r="T1807" i="1" s="1"/>
  <c r="T1808" i="1" s="1"/>
  <c r="T1809" i="1" s="1"/>
  <c r="T1810" i="1" s="1"/>
  <c r="T1811" i="1" s="1"/>
  <c r="T1812" i="1" s="1"/>
  <c r="T1813" i="1" s="1"/>
  <c r="T1814" i="1" s="1"/>
  <c r="T1815" i="1" s="1"/>
  <c r="T1816" i="1" s="1"/>
  <c r="T1817" i="1" s="1"/>
  <c r="T1818" i="1" s="1"/>
  <c r="T1819" i="1" s="1"/>
  <c r="T1820" i="1" s="1"/>
  <c r="T1821" i="1" s="1"/>
  <c r="T1822" i="1" s="1"/>
  <c r="T1823" i="1" s="1"/>
  <c r="T1824" i="1" s="1"/>
  <c r="T1825" i="1" s="1"/>
  <c r="T1826" i="1" s="1"/>
  <c r="T1827" i="1" s="1"/>
  <c r="T1828" i="1" s="1"/>
  <c r="T1829" i="1" s="1"/>
  <c r="T1830" i="1" s="1"/>
  <c r="T1831" i="1" s="1"/>
  <c r="T1832" i="1" s="1"/>
  <c r="T1833" i="1" s="1"/>
  <c r="T1834" i="1" s="1"/>
  <c r="T1835" i="1" s="1"/>
  <c r="T1836" i="1" s="1"/>
  <c r="T1837" i="1" s="1"/>
  <c r="T1838" i="1" s="1"/>
  <c r="T1839" i="1" s="1"/>
  <c r="T1840" i="1" s="1"/>
  <c r="T1841" i="1" s="1"/>
  <c r="T1842" i="1" s="1"/>
  <c r="T1843" i="1" s="1"/>
  <c r="T1844" i="1" s="1"/>
  <c r="T1845" i="1" s="1"/>
  <c r="T1846" i="1" s="1"/>
  <c r="T1847" i="1" s="1"/>
  <c r="T1848" i="1" s="1"/>
  <c r="T1849" i="1" s="1"/>
  <c r="T1850" i="1" s="1"/>
  <c r="T1851" i="1" s="1"/>
  <c r="T1852" i="1" s="1"/>
  <c r="T1853" i="1" s="1"/>
  <c r="T1854" i="1" s="1"/>
  <c r="T1855" i="1" s="1"/>
  <c r="T1856" i="1" s="1"/>
  <c r="T1857" i="1" s="1"/>
  <c r="T1858" i="1" s="1"/>
  <c r="T1859" i="1" s="1"/>
  <c r="T1860" i="1" s="1"/>
  <c r="T1861" i="1" s="1"/>
  <c r="T1862" i="1" s="1"/>
  <c r="T1863" i="1" s="1"/>
  <c r="T1864" i="1" s="1"/>
  <c r="T1865" i="1" s="1"/>
  <c r="T1866" i="1" s="1"/>
  <c r="T1867" i="1" s="1"/>
  <c r="T1868" i="1" s="1"/>
  <c r="T1869" i="1" s="1"/>
  <c r="T1870" i="1" s="1"/>
  <c r="T1871" i="1" s="1"/>
  <c r="T1872" i="1" s="1"/>
  <c r="T1873" i="1" s="1"/>
  <c r="T1874" i="1" s="1"/>
  <c r="T1875" i="1" s="1"/>
  <c r="T1876" i="1" s="1"/>
  <c r="T1877" i="1" s="1"/>
  <c r="T1878" i="1" s="1"/>
  <c r="T1879" i="1" s="1"/>
  <c r="T1880" i="1" s="1"/>
  <c r="T1881" i="1" s="1"/>
  <c r="T1882" i="1" s="1"/>
  <c r="T1883" i="1" s="1"/>
  <c r="T1884" i="1" s="1"/>
  <c r="T1885" i="1" s="1"/>
  <c r="T1886" i="1" s="1"/>
  <c r="T1887" i="1" s="1"/>
  <c r="T1888" i="1" s="1"/>
  <c r="T1889" i="1" s="1"/>
  <c r="T1890" i="1" s="1"/>
  <c r="T1891" i="1" s="1"/>
  <c r="T1892" i="1" s="1"/>
  <c r="T1893" i="1" s="1"/>
  <c r="T1894" i="1" s="1"/>
  <c r="T1895" i="1" s="1"/>
  <c r="T1896" i="1" s="1"/>
  <c r="T1897" i="1" s="1"/>
  <c r="T1898" i="1" s="1"/>
  <c r="T1899" i="1" s="1"/>
  <c r="T1900" i="1" s="1"/>
  <c r="T1901" i="1" s="1"/>
  <c r="T1902" i="1" s="1"/>
  <c r="T1903" i="1" s="1"/>
  <c r="T1904" i="1" s="1"/>
  <c r="T1905" i="1" s="1"/>
  <c r="T1906" i="1" s="1"/>
  <c r="T1907" i="1" s="1"/>
  <c r="T1908" i="1" s="1"/>
  <c r="T1909" i="1" s="1"/>
  <c r="T1910" i="1" s="1"/>
  <c r="T1911" i="1" s="1"/>
  <c r="T1912" i="1" s="1"/>
  <c r="T1913" i="1" s="1"/>
  <c r="T1914" i="1" s="1"/>
  <c r="T1915" i="1" s="1"/>
  <c r="T1916" i="1" s="1"/>
  <c r="T1917" i="1" s="1"/>
  <c r="T1918" i="1" s="1"/>
  <c r="T1919" i="1" s="1"/>
  <c r="T1920" i="1" s="1"/>
  <c r="T1921" i="1" s="1"/>
  <c r="T1922" i="1" s="1"/>
  <c r="T1923" i="1" s="1"/>
  <c r="T1924" i="1" s="1"/>
  <c r="T1925" i="1" s="1"/>
  <c r="T1926" i="1" s="1"/>
  <c r="T1927" i="1" s="1"/>
  <c r="T1928" i="1" s="1"/>
  <c r="T1929" i="1" s="1"/>
  <c r="T1930" i="1" s="1"/>
  <c r="T1931" i="1" s="1"/>
  <c r="T1932" i="1" s="1"/>
  <c r="T1933" i="1" s="1"/>
  <c r="T1934" i="1" s="1"/>
  <c r="T1935" i="1" s="1"/>
  <c r="T1936" i="1" s="1"/>
  <c r="T1937" i="1" s="1"/>
  <c r="T1938" i="1" s="1"/>
  <c r="T1939" i="1" s="1"/>
  <c r="T1940" i="1" s="1"/>
  <c r="T1941" i="1" s="1"/>
  <c r="T1942" i="1" s="1"/>
  <c r="T1943" i="1" s="1"/>
  <c r="T1944" i="1" s="1"/>
  <c r="T1945" i="1" s="1"/>
  <c r="T1946" i="1" s="1"/>
  <c r="T1947" i="1" s="1"/>
  <c r="T1948" i="1" s="1"/>
  <c r="T1949" i="1" s="1"/>
  <c r="T1950" i="1" s="1"/>
  <c r="T1951" i="1" s="1"/>
  <c r="T1952" i="1" s="1"/>
  <c r="T1953" i="1" s="1"/>
  <c r="T1954" i="1" s="1"/>
  <c r="T1955" i="1" s="1"/>
  <c r="T1956" i="1" s="1"/>
  <c r="T1957" i="1" s="1"/>
  <c r="T1958" i="1" s="1"/>
  <c r="T1959" i="1" s="1"/>
  <c r="T1960" i="1" s="1"/>
  <c r="T1961" i="1" s="1"/>
  <c r="T1962" i="1" s="1"/>
  <c r="T1963" i="1" s="1"/>
  <c r="T1964" i="1" s="1"/>
  <c r="T1965" i="1" s="1"/>
  <c r="T1966" i="1" s="1"/>
  <c r="T1967" i="1" s="1"/>
  <c r="T1968" i="1" s="1"/>
  <c r="T1969" i="1" s="1"/>
  <c r="T1970" i="1" s="1"/>
  <c r="T1971" i="1" s="1"/>
  <c r="T1972" i="1" s="1"/>
  <c r="T1973" i="1" s="1"/>
  <c r="T1974" i="1" s="1"/>
  <c r="T1975" i="1" s="1"/>
  <c r="T1976" i="1" s="1"/>
  <c r="T1977" i="1" s="1"/>
  <c r="T1978" i="1" s="1"/>
  <c r="T1979" i="1" s="1"/>
  <c r="T1980" i="1" s="1"/>
  <c r="T1981" i="1" s="1"/>
  <c r="T1982" i="1" s="1"/>
  <c r="T1983" i="1" s="1"/>
  <c r="T1984" i="1" s="1"/>
  <c r="T1985" i="1" s="1"/>
  <c r="T1986" i="1" s="1"/>
  <c r="T1987" i="1" s="1"/>
  <c r="T1988" i="1" s="1"/>
  <c r="T1989" i="1" s="1"/>
  <c r="T1990" i="1" s="1"/>
  <c r="T1991" i="1" s="1"/>
  <c r="T1992" i="1" s="1"/>
  <c r="T1993" i="1" s="1"/>
  <c r="T1994" i="1" s="1"/>
  <c r="T1995" i="1" s="1"/>
  <c r="T1996" i="1" s="1"/>
  <c r="T1997" i="1" s="1"/>
  <c r="T1998" i="1" s="1"/>
  <c r="T1999" i="1" s="1"/>
  <c r="T2000" i="1" s="1"/>
  <c r="T2001" i="1" s="1"/>
  <c r="T2002" i="1" s="1"/>
  <c r="T2003" i="1" s="1"/>
  <c r="T2004" i="1" s="1"/>
  <c r="T2005" i="1" s="1"/>
  <c r="T2006" i="1" s="1"/>
  <c r="T2007" i="1" s="1"/>
  <c r="T2008" i="1" s="1"/>
  <c r="T2009" i="1" s="1"/>
  <c r="T2010" i="1" s="1"/>
  <c r="T2011" i="1" s="1"/>
  <c r="T2012" i="1" s="1"/>
  <c r="T2013" i="1" s="1"/>
  <c r="T2014" i="1" s="1"/>
  <c r="T2015" i="1" s="1"/>
  <c r="T2016" i="1" s="1"/>
  <c r="T2017" i="1" s="1"/>
  <c r="T2018" i="1" s="1"/>
  <c r="T2019" i="1" s="1"/>
  <c r="T2020" i="1" s="1"/>
  <c r="T2021" i="1" s="1"/>
  <c r="T2022" i="1" s="1"/>
  <c r="T2023" i="1" s="1"/>
  <c r="T2024" i="1" s="1"/>
  <c r="T2025" i="1" s="1"/>
  <c r="T2026" i="1" s="1"/>
  <c r="T2027" i="1" s="1"/>
  <c r="T2028" i="1" s="1"/>
  <c r="T2029" i="1" s="1"/>
  <c r="T2030" i="1" s="1"/>
  <c r="T2031" i="1" s="1"/>
  <c r="T2032" i="1" s="1"/>
  <c r="T2033" i="1" s="1"/>
  <c r="T2034" i="1" s="1"/>
  <c r="T2035" i="1" s="1"/>
  <c r="T2036" i="1" s="1"/>
  <c r="T2037" i="1" s="1"/>
  <c r="T2038" i="1" s="1"/>
  <c r="T2039" i="1" s="1"/>
  <c r="T2040" i="1" s="1"/>
  <c r="T2041" i="1" s="1"/>
  <c r="T2042" i="1" s="1"/>
  <c r="T2043" i="1" s="1"/>
  <c r="T2044" i="1" s="1"/>
  <c r="T2045" i="1" s="1"/>
  <c r="T2046" i="1" s="1"/>
  <c r="T2047" i="1" s="1"/>
  <c r="T2048" i="1" s="1"/>
  <c r="T2049" i="1" s="1"/>
  <c r="T2050" i="1" s="1"/>
  <c r="T2051" i="1" s="1"/>
  <c r="T2052" i="1" s="1"/>
  <c r="T2053" i="1" s="1"/>
  <c r="T2054" i="1" s="1"/>
  <c r="T2055" i="1" s="1"/>
  <c r="T2056" i="1" s="1"/>
  <c r="T2057" i="1" s="1"/>
  <c r="T2058" i="1" s="1"/>
  <c r="T2059" i="1" s="1"/>
  <c r="T2060" i="1" s="1"/>
  <c r="T2061" i="1" s="1"/>
  <c r="T2062" i="1" s="1"/>
  <c r="T2063" i="1" s="1"/>
  <c r="T2064" i="1" s="1"/>
  <c r="T2065" i="1" s="1"/>
  <c r="T2066" i="1" s="1"/>
  <c r="T2067" i="1" s="1"/>
  <c r="T2068" i="1" s="1"/>
  <c r="T2069" i="1" s="1"/>
  <c r="T2070" i="1" s="1"/>
  <c r="T2071" i="1" s="1"/>
  <c r="T2072" i="1" s="1"/>
  <c r="T2073" i="1" s="1"/>
  <c r="T2074" i="1" s="1"/>
  <c r="T2075" i="1" s="1"/>
  <c r="T2076" i="1" s="1"/>
  <c r="T2077" i="1" s="1"/>
  <c r="T2078" i="1" s="1"/>
  <c r="T2079" i="1" s="1"/>
  <c r="T2080" i="1" s="1"/>
  <c r="T2081" i="1" s="1"/>
  <c r="T2082" i="1" s="1"/>
  <c r="T2083" i="1" s="1"/>
  <c r="T2084" i="1" s="1"/>
  <c r="T2085" i="1" s="1"/>
  <c r="T2086" i="1" s="1"/>
  <c r="T2087" i="1" s="1"/>
  <c r="T2088" i="1" s="1"/>
  <c r="T2089" i="1" s="1"/>
  <c r="T2090" i="1" s="1"/>
  <c r="T2091" i="1" s="1"/>
  <c r="T2092" i="1" s="1"/>
  <c r="T2093" i="1" s="1"/>
  <c r="T2094" i="1" s="1"/>
  <c r="T2095" i="1" s="1"/>
  <c r="T2096" i="1" s="1"/>
  <c r="T2097" i="1" s="1"/>
  <c r="T2098" i="1" s="1"/>
  <c r="T2099" i="1" s="1"/>
  <c r="T2100" i="1" s="1"/>
  <c r="T2101" i="1" s="1"/>
  <c r="T2102" i="1" s="1"/>
  <c r="T2103" i="1" s="1"/>
  <c r="T2104" i="1" s="1"/>
  <c r="T2105" i="1" s="1"/>
  <c r="T2106" i="1" s="1"/>
  <c r="T2107" i="1" s="1"/>
  <c r="T2108" i="1" s="1"/>
  <c r="T2109" i="1" s="1"/>
  <c r="T2110" i="1" s="1"/>
  <c r="T2111" i="1" s="1"/>
  <c r="T2112" i="1" s="1"/>
  <c r="T2113" i="1" s="1"/>
  <c r="T2114" i="1" s="1"/>
  <c r="T2115" i="1" s="1"/>
  <c r="T2116" i="1" s="1"/>
  <c r="T2117" i="1" s="1"/>
  <c r="T2118" i="1" s="1"/>
  <c r="T2119" i="1" s="1"/>
  <c r="T2120" i="1" s="1"/>
  <c r="T2121" i="1" s="1"/>
  <c r="T2122" i="1" s="1"/>
  <c r="T2123" i="1" s="1"/>
  <c r="T2124" i="1" s="1"/>
  <c r="T2125" i="1" s="1"/>
  <c r="T2126" i="1" s="1"/>
  <c r="T2127" i="1" s="1"/>
  <c r="T2128" i="1" s="1"/>
  <c r="T2129" i="1" s="1"/>
  <c r="T2130" i="1" s="1"/>
  <c r="T2131" i="1" s="1"/>
  <c r="T2132" i="1" s="1"/>
  <c r="T2133" i="1" s="1"/>
  <c r="T2134" i="1" s="1"/>
  <c r="T2135" i="1" s="1"/>
  <c r="T2136" i="1" s="1"/>
  <c r="T2137" i="1" s="1"/>
  <c r="T2138" i="1" s="1"/>
  <c r="T2139" i="1" s="1"/>
  <c r="T2140" i="1" s="1"/>
  <c r="T2141" i="1" s="1"/>
  <c r="T2142" i="1" s="1"/>
  <c r="T2143" i="1" s="1"/>
  <c r="T2144" i="1" s="1"/>
  <c r="T2145" i="1" s="1"/>
  <c r="T2146" i="1" s="1"/>
  <c r="T2147" i="1" s="1"/>
  <c r="T2148" i="1" s="1"/>
  <c r="T2149" i="1" s="1"/>
  <c r="T2150" i="1" s="1"/>
  <c r="T2151" i="1" s="1"/>
  <c r="T2152" i="1" s="1"/>
  <c r="T2153" i="1" s="1"/>
  <c r="T2154" i="1" s="1"/>
  <c r="T2155" i="1" s="1"/>
  <c r="T2156" i="1" s="1"/>
  <c r="T2157" i="1" s="1"/>
  <c r="T2158" i="1" s="1"/>
  <c r="T2159" i="1" s="1"/>
  <c r="T2160" i="1" s="1"/>
  <c r="T2161" i="1" s="1"/>
  <c r="T2162" i="1" s="1"/>
  <c r="T2163" i="1" s="1"/>
  <c r="T2164" i="1" s="1"/>
  <c r="T2165" i="1" s="1"/>
  <c r="T2166" i="1" s="1"/>
  <c r="T2167" i="1" s="1"/>
  <c r="T2168" i="1" s="1"/>
  <c r="T2169" i="1" s="1"/>
  <c r="T2170" i="1" s="1"/>
  <c r="T2171" i="1" s="1"/>
  <c r="T2172" i="1" s="1"/>
  <c r="T2173" i="1" s="1"/>
  <c r="T2174" i="1" s="1"/>
  <c r="T2175" i="1" s="1"/>
  <c r="T2176" i="1" s="1"/>
  <c r="T2177" i="1" s="1"/>
  <c r="T2178" i="1" s="1"/>
  <c r="T2179" i="1" s="1"/>
  <c r="T2180" i="1" s="1"/>
  <c r="T2181" i="1" s="1"/>
  <c r="T2182" i="1" s="1"/>
  <c r="T2183" i="1" s="1"/>
  <c r="T2184" i="1" s="1"/>
  <c r="T2185" i="1" s="1"/>
  <c r="T2186" i="1" s="1"/>
  <c r="T2187" i="1" s="1"/>
  <c r="T2188" i="1" s="1"/>
  <c r="T2189" i="1" s="1"/>
  <c r="T2190" i="1" s="1"/>
  <c r="T2191" i="1" s="1"/>
  <c r="T2192" i="1" s="1"/>
  <c r="T2193" i="1" s="1"/>
  <c r="T2194" i="1" s="1"/>
  <c r="T2195" i="1" s="1"/>
  <c r="T2196" i="1" s="1"/>
  <c r="T2197" i="1" s="1"/>
  <c r="T2198" i="1" s="1"/>
  <c r="T2199" i="1" s="1"/>
  <c r="T2200" i="1" s="1"/>
  <c r="T2201" i="1" s="1"/>
  <c r="T2202" i="1" s="1"/>
  <c r="T2203" i="1" s="1"/>
  <c r="T2204" i="1" s="1"/>
  <c r="T2205" i="1" s="1"/>
  <c r="T2206" i="1" s="1"/>
  <c r="T2207" i="1" s="1"/>
  <c r="T2208" i="1" s="1"/>
  <c r="T2209" i="1" s="1"/>
  <c r="T2210" i="1" s="1"/>
  <c r="T2211" i="1" s="1"/>
  <c r="T2212" i="1" s="1"/>
  <c r="T2213" i="1" s="1"/>
  <c r="T2214" i="1" s="1"/>
  <c r="T2215" i="1" s="1"/>
  <c r="T2216" i="1" s="1"/>
  <c r="T2217" i="1" s="1"/>
  <c r="T2218" i="1" s="1"/>
  <c r="T2219" i="1" s="1"/>
  <c r="T2220" i="1" s="1"/>
  <c r="T2221" i="1" s="1"/>
  <c r="T2222" i="1" s="1"/>
  <c r="T2223" i="1" s="1"/>
  <c r="T2224" i="1" s="1"/>
  <c r="T2225" i="1" s="1"/>
  <c r="T2226" i="1" s="1"/>
  <c r="T2227" i="1" s="1"/>
  <c r="T2228" i="1" s="1"/>
  <c r="T2229" i="1" s="1"/>
  <c r="T2230" i="1" s="1"/>
  <c r="T2231" i="1" s="1"/>
  <c r="T2232" i="1" s="1"/>
  <c r="T2233" i="1" s="1"/>
  <c r="T2234" i="1" s="1"/>
  <c r="T2235" i="1" s="1"/>
  <c r="T2236" i="1" s="1"/>
  <c r="T2237" i="1" s="1"/>
  <c r="T2238" i="1" s="1"/>
  <c r="T2239" i="1" s="1"/>
  <c r="T2240" i="1" s="1"/>
  <c r="T2241" i="1" s="1"/>
  <c r="T2242" i="1" s="1"/>
  <c r="T2243" i="1" s="1"/>
  <c r="T2244" i="1" s="1"/>
  <c r="T2245" i="1" s="1"/>
  <c r="T2246" i="1" s="1"/>
  <c r="T2247" i="1" s="1"/>
  <c r="T2248" i="1" s="1"/>
  <c r="T2249" i="1" s="1"/>
  <c r="T2250" i="1" s="1"/>
  <c r="T2251" i="1" s="1"/>
  <c r="T2252" i="1" s="1"/>
  <c r="T2253" i="1" s="1"/>
  <c r="T2254" i="1" s="1"/>
  <c r="T2255" i="1" s="1"/>
  <c r="T2256" i="1" s="1"/>
  <c r="T2257" i="1" s="1"/>
  <c r="T2258" i="1" s="1"/>
  <c r="T2259" i="1" s="1"/>
  <c r="T2260" i="1" s="1"/>
  <c r="T2261" i="1" s="1"/>
  <c r="T2262" i="1" s="1"/>
  <c r="T2263" i="1" s="1"/>
  <c r="T2264" i="1" s="1"/>
  <c r="T2265" i="1" s="1"/>
  <c r="T2266" i="1" s="1"/>
  <c r="T2267" i="1" s="1"/>
  <c r="T2268" i="1" s="1"/>
  <c r="T2269" i="1" s="1"/>
  <c r="T2270" i="1" s="1"/>
  <c r="T2271" i="1" s="1"/>
  <c r="T2272" i="1" s="1"/>
  <c r="T2273" i="1" s="1"/>
  <c r="T2274" i="1" s="1"/>
  <c r="T2275" i="1" s="1"/>
  <c r="T2276" i="1" s="1"/>
  <c r="T2277" i="1" s="1"/>
  <c r="T2278" i="1" s="1"/>
  <c r="T2279" i="1" s="1"/>
  <c r="T2280" i="1" s="1"/>
  <c r="T2281" i="1" s="1"/>
  <c r="T2282" i="1" s="1"/>
  <c r="T2283" i="1" s="1"/>
  <c r="T2284" i="1" s="1"/>
  <c r="T2285" i="1" s="1"/>
  <c r="T2286" i="1" s="1"/>
  <c r="T2287" i="1" s="1"/>
  <c r="T2288" i="1" s="1"/>
  <c r="T2289" i="1" s="1"/>
  <c r="T2290" i="1" s="1"/>
  <c r="T2291" i="1" s="1"/>
  <c r="T2292" i="1" s="1"/>
  <c r="T2293" i="1" s="1"/>
  <c r="T2294" i="1" s="1"/>
  <c r="T2295" i="1" s="1"/>
  <c r="T2296" i="1" s="1"/>
  <c r="T2297" i="1" s="1"/>
  <c r="T2298" i="1" s="1"/>
  <c r="T2299" i="1" s="1"/>
  <c r="T2300" i="1" s="1"/>
  <c r="T2301" i="1" s="1"/>
  <c r="T2302" i="1" s="1"/>
  <c r="T2303" i="1" s="1"/>
  <c r="T2304" i="1" s="1"/>
  <c r="T2305" i="1" s="1"/>
  <c r="T2306" i="1" s="1"/>
  <c r="T2307" i="1" s="1"/>
  <c r="T2308" i="1" s="1"/>
  <c r="T2309" i="1" s="1"/>
  <c r="T2310" i="1" s="1"/>
  <c r="T2311" i="1" s="1"/>
  <c r="T2312" i="1" s="1"/>
  <c r="T2313" i="1" s="1"/>
  <c r="T2314" i="1" s="1"/>
  <c r="T2315" i="1" s="1"/>
  <c r="T2316" i="1" s="1"/>
  <c r="T2317" i="1" s="1"/>
  <c r="T2318" i="1" s="1"/>
  <c r="T2319" i="1" s="1"/>
  <c r="T2320" i="1" s="1"/>
  <c r="T2321" i="1" s="1"/>
  <c r="T2322" i="1" s="1"/>
  <c r="T2323" i="1" s="1"/>
  <c r="T2324" i="1" s="1"/>
  <c r="T2325" i="1" s="1"/>
  <c r="T2326" i="1" s="1"/>
  <c r="T2327" i="1" s="1"/>
  <c r="T2328" i="1" s="1"/>
  <c r="T2329" i="1" s="1"/>
  <c r="T2330" i="1" s="1"/>
  <c r="T2331" i="1" s="1"/>
  <c r="T2332" i="1" s="1"/>
  <c r="T2333" i="1" s="1"/>
  <c r="T2334" i="1" s="1"/>
  <c r="T2335" i="1" s="1"/>
  <c r="T2336" i="1" s="1"/>
  <c r="T2337" i="1" s="1"/>
  <c r="T2338" i="1" s="1"/>
  <c r="T2339" i="1" s="1"/>
  <c r="T2340" i="1" s="1"/>
  <c r="T2341" i="1" s="1"/>
  <c r="T2342" i="1" s="1"/>
  <c r="T2343" i="1" s="1"/>
  <c r="T2344" i="1" s="1"/>
  <c r="T2345" i="1" s="1"/>
  <c r="T2346" i="1" s="1"/>
  <c r="T2347" i="1" s="1"/>
  <c r="T2348" i="1" s="1"/>
  <c r="T2349" i="1" s="1"/>
  <c r="T2350" i="1" s="1"/>
  <c r="T2351" i="1" s="1"/>
  <c r="T2352" i="1" s="1"/>
  <c r="T2353" i="1" s="1"/>
  <c r="T2354" i="1" s="1"/>
  <c r="T2355" i="1" s="1"/>
  <c r="T2356" i="1" s="1"/>
  <c r="T2357" i="1" s="1"/>
  <c r="T2358" i="1" s="1"/>
  <c r="T2359" i="1" s="1"/>
  <c r="T2360" i="1" s="1"/>
  <c r="T2361" i="1" s="1"/>
  <c r="T2362" i="1" s="1"/>
  <c r="T2363" i="1" s="1"/>
  <c r="T2364" i="1" s="1"/>
  <c r="T2365" i="1" s="1"/>
  <c r="T2366" i="1" s="1"/>
  <c r="T2367" i="1" s="1"/>
  <c r="T2368" i="1" s="1"/>
  <c r="T2369" i="1" s="1"/>
  <c r="T2370" i="1" s="1"/>
  <c r="T2371" i="1" s="1"/>
  <c r="T2372" i="1" s="1"/>
  <c r="T2373" i="1" s="1"/>
  <c r="T2374" i="1" s="1"/>
  <c r="T2375" i="1" s="1"/>
  <c r="T2376" i="1" s="1"/>
  <c r="T2377" i="1" s="1"/>
  <c r="T2378" i="1" s="1"/>
  <c r="T2379" i="1" s="1"/>
  <c r="T2380" i="1" s="1"/>
  <c r="T2381" i="1" s="1"/>
  <c r="T2382" i="1" s="1"/>
  <c r="T2383" i="1" s="1"/>
  <c r="T2384" i="1" s="1"/>
  <c r="T2385" i="1" s="1"/>
  <c r="T2386" i="1" s="1"/>
  <c r="T2387" i="1" s="1"/>
  <c r="T2388" i="1" s="1"/>
  <c r="T2389" i="1" s="1"/>
  <c r="T2390" i="1" s="1"/>
  <c r="T2391" i="1" s="1"/>
  <c r="T2392" i="1" s="1"/>
  <c r="T2393" i="1" s="1"/>
  <c r="T2394" i="1" s="1"/>
  <c r="T2395" i="1" s="1"/>
  <c r="T2396" i="1" s="1"/>
  <c r="T2397" i="1" s="1"/>
  <c r="T2398" i="1" s="1"/>
  <c r="T2399" i="1" s="1"/>
  <c r="T2400" i="1" s="1"/>
  <c r="T2401" i="1" s="1"/>
  <c r="T2402" i="1" s="1"/>
  <c r="T2403" i="1" s="1"/>
  <c r="T2404" i="1" s="1"/>
  <c r="T2405" i="1" s="1"/>
  <c r="T2406" i="1" s="1"/>
  <c r="T2407" i="1" s="1"/>
  <c r="T2408" i="1" s="1"/>
  <c r="T2409" i="1" s="1"/>
  <c r="T2410" i="1" s="1"/>
  <c r="T2411" i="1" s="1"/>
  <c r="T2412" i="1" s="1"/>
  <c r="T2413" i="1" s="1"/>
  <c r="T2414" i="1" s="1"/>
  <c r="T2415" i="1" s="1"/>
  <c r="T2416" i="1" s="1"/>
  <c r="T2417" i="1" s="1"/>
  <c r="T2418" i="1" s="1"/>
  <c r="T2419" i="1" s="1"/>
  <c r="T2420" i="1" s="1"/>
  <c r="T2421" i="1" s="1"/>
  <c r="T2422" i="1" s="1"/>
  <c r="T2423" i="1" s="1"/>
  <c r="T2424" i="1" s="1"/>
  <c r="T2425" i="1" s="1"/>
  <c r="T2426" i="1" s="1"/>
  <c r="T2427" i="1" s="1"/>
  <c r="T2428" i="1" s="1"/>
  <c r="T2429" i="1" s="1"/>
  <c r="T2430" i="1" s="1"/>
  <c r="T2431" i="1" s="1"/>
  <c r="T2432" i="1" s="1"/>
  <c r="T2433" i="1" s="1"/>
  <c r="T2434" i="1" s="1"/>
  <c r="T2435" i="1" s="1"/>
  <c r="T2436" i="1" s="1"/>
  <c r="T2437" i="1" s="1"/>
  <c r="T2438" i="1" s="1"/>
  <c r="T2439" i="1" s="1"/>
  <c r="T2440" i="1" s="1"/>
  <c r="T2441" i="1" s="1"/>
  <c r="T2442" i="1" s="1"/>
  <c r="T2443" i="1" s="1"/>
  <c r="T2444" i="1" s="1"/>
  <c r="T2445" i="1" s="1"/>
  <c r="T2446" i="1" s="1"/>
  <c r="T2447" i="1" s="1"/>
  <c r="T2448" i="1" s="1"/>
  <c r="T2449" i="1" s="1"/>
  <c r="T2450" i="1" s="1"/>
  <c r="T2451" i="1" s="1"/>
  <c r="T2452" i="1" s="1"/>
  <c r="T2453" i="1" s="1"/>
  <c r="T2454" i="1" s="1"/>
  <c r="T2455" i="1" s="1"/>
  <c r="T2456" i="1" s="1"/>
  <c r="T2457" i="1" s="1"/>
  <c r="T2458" i="1" s="1"/>
  <c r="T2459" i="1" s="1"/>
  <c r="T2460" i="1" s="1"/>
  <c r="T2461" i="1" s="1"/>
  <c r="T2462" i="1" s="1"/>
  <c r="T2463" i="1" s="1"/>
  <c r="T2464" i="1" s="1"/>
  <c r="T2465" i="1" s="1"/>
  <c r="T2466" i="1" s="1"/>
  <c r="T2467" i="1" s="1"/>
  <c r="T2468" i="1" s="1"/>
  <c r="T2469" i="1" s="1"/>
  <c r="T2470" i="1" s="1"/>
  <c r="T2471" i="1" s="1"/>
  <c r="T2472" i="1" s="1"/>
  <c r="T2473" i="1" s="1"/>
  <c r="T2474" i="1" s="1"/>
  <c r="T2475" i="1" s="1"/>
  <c r="T2476" i="1" s="1"/>
  <c r="T2477" i="1" s="1"/>
  <c r="T2478" i="1" s="1"/>
  <c r="T2479" i="1" s="1"/>
  <c r="T2480" i="1" s="1"/>
  <c r="T2481" i="1" s="1"/>
  <c r="T2482" i="1" s="1"/>
  <c r="T2483" i="1" s="1"/>
  <c r="T2484" i="1" s="1"/>
  <c r="T2485" i="1" s="1"/>
  <c r="T2486" i="1" s="1"/>
  <c r="T2487" i="1" s="1"/>
  <c r="T2488" i="1" s="1"/>
  <c r="T2489" i="1" s="1"/>
  <c r="T2490" i="1" s="1"/>
  <c r="T2491" i="1" s="1"/>
  <c r="T2492" i="1" s="1"/>
  <c r="T2493" i="1" s="1"/>
  <c r="T2494" i="1" s="1"/>
  <c r="T2495" i="1" s="1"/>
  <c r="T2496" i="1" s="1"/>
  <c r="T2497" i="1" s="1"/>
  <c r="T2498" i="1" s="1"/>
  <c r="T2499" i="1" s="1"/>
  <c r="T2500" i="1" s="1"/>
  <c r="T2501" i="1" s="1"/>
  <c r="T2502" i="1" s="1"/>
  <c r="T2503" i="1" s="1"/>
  <c r="T2504" i="1" s="1"/>
  <c r="T2505" i="1" s="1"/>
  <c r="T2506" i="1" s="1"/>
  <c r="T2507" i="1" s="1"/>
  <c r="T2508" i="1" s="1"/>
  <c r="T2509" i="1" s="1"/>
  <c r="T2510" i="1" s="1"/>
  <c r="T2511" i="1" s="1"/>
  <c r="T2512" i="1" s="1"/>
  <c r="T2513" i="1" s="1"/>
  <c r="T2514" i="1" s="1"/>
  <c r="T2515" i="1" s="1"/>
  <c r="T2516" i="1" s="1"/>
  <c r="T2517" i="1" s="1"/>
  <c r="T2518" i="1" s="1"/>
  <c r="T2519" i="1" s="1"/>
  <c r="T2520" i="1" s="1"/>
  <c r="T2521" i="1" s="1"/>
  <c r="T2522" i="1" s="1"/>
  <c r="T2523" i="1" s="1"/>
  <c r="T2524" i="1" s="1"/>
  <c r="T2525" i="1" s="1"/>
  <c r="T2526" i="1" s="1"/>
  <c r="T2527" i="1" s="1"/>
  <c r="T2528" i="1" s="1"/>
  <c r="T2529" i="1" s="1"/>
  <c r="T2530" i="1" s="1"/>
  <c r="T2531" i="1" s="1"/>
  <c r="T2532" i="1" s="1"/>
  <c r="T2533" i="1" s="1"/>
  <c r="T2534" i="1" s="1"/>
  <c r="T2535" i="1" s="1"/>
  <c r="T2536" i="1" s="1"/>
  <c r="T2537" i="1" s="1"/>
  <c r="T2538" i="1" s="1"/>
  <c r="T2539" i="1" s="1"/>
  <c r="T2540" i="1" s="1"/>
  <c r="T2541" i="1" s="1"/>
  <c r="T2542" i="1" s="1"/>
  <c r="T2543" i="1" s="1"/>
  <c r="T2544" i="1" s="1"/>
  <c r="T2545" i="1" s="1"/>
  <c r="T2546" i="1" s="1"/>
  <c r="T2547" i="1" s="1"/>
  <c r="T2548" i="1" s="1"/>
  <c r="T2549" i="1" s="1"/>
  <c r="T2550" i="1" s="1"/>
  <c r="T2551" i="1" s="1"/>
  <c r="T2552" i="1" s="1"/>
  <c r="T2553" i="1" s="1"/>
  <c r="T2554" i="1" s="1"/>
  <c r="T2555" i="1" s="1"/>
  <c r="T2556" i="1" s="1"/>
  <c r="T2557" i="1" s="1"/>
  <c r="T2558" i="1" s="1"/>
  <c r="T2559" i="1" s="1"/>
  <c r="T2560" i="1" s="1"/>
  <c r="T2561" i="1" s="1"/>
  <c r="T2562" i="1" s="1"/>
  <c r="T2563" i="1" s="1"/>
  <c r="T2564" i="1" s="1"/>
  <c r="T2565" i="1" s="1"/>
  <c r="T2566" i="1" s="1"/>
  <c r="T2567" i="1" s="1"/>
  <c r="T2568" i="1" s="1"/>
  <c r="T2569" i="1" s="1"/>
  <c r="T2570" i="1" s="1"/>
  <c r="T2571" i="1" s="1"/>
  <c r="T2572" i="1" s="1"/>
  <c r="T2573" i="1" s="1"/>
  <c r="T2574" i="1" s="1"/>
  <c r="T2575" i="1" s="1"/>
  <c r="T2576" i="1" s="1"/>
  <c r="T2577" i="1" s="1"/>
  <c r="T2578" i="1" s="1"/>
  <c r="T2579" i="1" s="1"/>
  <c r="T2580" i="1" s="1"/>
  <c r="T2581" i="1" s="1"/>
  <c r="T2582" i="1" s="1"/>
  <c r="T2583" i="1" s="1"/>
  <c r="T2584" i="1" s="1"/>
  <c r="T2585" i="1" s="1"/>
  <c r="T2586" i="1" s="1"/>
  <c r="T2587" i="1" s="1"/>
  <c r="T2588" i="1" s="1"/>
  <c r="T2589" i="1" s="1"/>
  <c r="T2590" i="1" s="1"/>
  <c r="T2591" i="1" s="1"/>
  <c r="T2592" i="1" s="1"/>
  <c r="T2593" i="1" s="1"/>
  <c r="T2594" i="1" s="1"/>
  <c r="T2595" i="1" s="1"/>
  <c r="T2596" i="1" s="1"/>
  <c r="T2597" i="1" s="1"/>
  <c r="T2598" i="1" s="1"/>
  <c r="T2599" i="1" s="1"/>
  <c r="T2600" i="1" s="1"/>
  <c r="T2601" i="1" s="1"/>
  <c r="T2602" i="1" s="1"/>
  <c r="T2603" i="1" s="1"/>
  <c r="T2604" i="1" s="1"/>
  <c r="T2605" i="1" s="1"/>
  <c r="T2606" i="1" s="1"/>
  <c r="T2607" i="1" s="1"/>
  <c r="T2608" i="1" s="1"/>
  <c r="T2609" i="1" s="1"/>
  <c r="T2610" i="1" s="1"/>
  <c r="T2611" i="1" s="1"/>
  <c r="T2612" i="1" s="1"/>
  <c r="T2613" i="1" s="1"/>
  <c r="T2614" i="1" s="1"/>
  <c r="T2615" i="1" s="1"/>
  <c r="T2616" i="1" s="1"/>
  <c r="T2617" i="1" s="1"/>
  <c r="T2618" i="1" s="1"/>
  <c r="T2619" i="1" s="1"/>
  <c r="T2620" i="1" s="1"/>
  <c r="T2621" i="1" s="1"/>
  <c r="T2622" i="1" s="1"/>
  <c r="T2623" i="1" s="1"/>
  <c r="T2624" i="1" s="1"/>
  <c r="T2625" i="1" s="1"/>
  <c r="T2626" i="1" s="1"/>
  <c r="T2627" i="1" s="1"/>
  <c r="T2628" i="1" s="1"/>
  <c r="T2629" i="1" s="1"/>
  <c r="T2630" i="1" s="1"/>
  <c r="T2631" i="1" s="1"/>
  <c r="T2632" i="1" s="1"/>
  <c r="T2633" i="1" s="1"/>
  <c r="T2634" i="1" s="1"/>
  <c r="T2635" i="1" s="1"/>
  <c r="T2636" i="1" s="1"/>
  <c r="T2637" i="1" s="1"/>
  <c r="T2638" i="1" s="1"/>
  <c r="T2639" i="1" s="1"/>
  <c r="T2640" i="1" s="1"/>
  <c r="T2641" i="1" s="1"/>
  <c r="T2642" i="1" s="1"/>
  <c r="T2643" i="1" s="1"/>
  <c r="T2644" i="1" s="1"/>
  <c r="T2645" i="1" s="1"/>
  <c r="T2646" i="1" s="1"/>
  <c r="T2647" i="1" s="1"/>
  <c r="T2648" i="1" s="1"/>
  <c r="T2649" i="1" s="1"/>
  <c r="T2650" i="1" s="1"/>
  <c r="T2651" i="1" s="1"/>
  <c r="T2652" i="1" s="1"/>
  <c r="T2653" i="1" s="1"/>
  <c r="T2654" i="1" s="1"/>
  <c r="T2655" i="1" s="1"/>
  <c r="T2656" i="1" s="1"/>
  <c r="T2657" i="1" s="1"/>
  <c r="T2658" i="1" s="1"/>
  <c r="T2659" i="1" s="1"/>
  <c r="T2660" i="1" s="1"/>
  <c r="T2661" i="1" s="1"/>
  <c r="T2662" i="1" s="1"/>
  <c r="T2663" i="1" s="1"/>
  <c r="T2664" i="1" s="1"/>
  <c r="T2665" i="1" s="1"/>
  <c r="T2666" i="1" s="1"/>
  <c r="T2667" i="1" s="1"/>
  <c r="T2668" i="1" s="1"/>
  <c r="T2669" i="1" s="1"/>
  <c r="T2670" i="1" s="1"/>
  <c r="T2671" i="1" s="1"/>
  <c r="T2672" i="1" s="1"/>
  <c r="T2673" i="1" s="1"/>
  <c r="T2674" i="1" s="1"/>
  <c r="T2675" i="1" s="1"/>
  <c r="T2676" i="1" s="1"/>
  <c r="T2677" i="1" s="1"/>
  <c r="T2678" i="1" s="1"/>
  <c r="T2679" i="1" s="1"/>
  <c r="T2680" i="1" s="1"/>
  <c r="T2681" i="1" s="1"/>
  <c r="T2682" i="1" s="1"/>
  <c r="T2683" i="1" s="1"/>
  <c r="T2684" i="1" s="1"/>
  <c r="T2685" i="1" s="1"/>
  <c r="T2686" i="1" s="1"/>
  <c r="T2687" i="1" s="1"/>
  <c r="T2688" i="1" s="1"/>
  <c r="T2689" i="1" s="1"/>
  <c r="T2690" i="1" s="1"/>
  <c r="T2691" i="1" s="1"/>
  <c r="T2692" i="1" s="1"/>
  <c r="T2693" i="1" s="1"/>
  <c r="T2694" i="1" s="1"/>
  <c r="T2695" i="1" s="1"/>
  <c r="T2696" i="1" s="1"/>
  <c r="T2697" i="1" s="1"/>
  <c r="T2698" i="1" s="1"/>
  <c r="T2699" i="1" s="1"/>
  <c r="T2700" i="1" s="1"/>
  <c r="T2701" i="1" s="1"/>
  <c r="T2702" i="1" s="1"/>
  <c r="T2703" i="1" s="1"/>
  <c r="T2704" i="1" s="1"/>
  <c r="T2705" i="1" s="1"/>
  <c r="T2706" i="1" s="1"/>
  <c r="T2707" i="1" s="1"/>
  <c r="T2708" i="1" s="1"/>
  <c r="T2709" i="1" s="1"/>
  <c r="T2710" i="1" s="1"/>
  <c r="T2711" i="1" s="1"/>
  <c r="T2712" i="1" s="1"/>
  <c r="T2713" i="1" s="1"/>
  <c r="T2714" i="1" s="1"/>
  <c r="T2715" i="1" s="1"/>
  <c r="T2716" i="1" s="1"/>
  <c r="T2717" i="1" s="1"/>
  <c r="T2718" i="1" s="1"/>
  <c r="T2719" i="1" s="1"/>
  <c r="T2720" i="1" s="1"/>
  <c r="T2721" i="1" s="1"/>
  <c r="T2722" i="1" s="1"/>
  <c r="T2723" i="1" s="1"/>
  <c r="T2724" i="1" s="1"/>
  <c r="T2725" i="1" s="1"/>
  <c r="T2726" i="1" s="1"/>
  <c r="T2727" i="1" s="1"/>
  <c r="T2728" i="1" s="1"/>
  <c r="T2729" i="1" s="1"/>
  <c r="T2730" i="1" s="1"/>
  <c r="T2731" i="1" s="1"/>
  <c r="T2732" i="1" s="1"/>
  <c r="T2733" i="1" s="1"/>
  <c r="T2734" i="1" s="1"/>
  <c r="T2735" i="1" s="1"/>
  <c r="T2736" i="1" s="1"/>
  <c r="T2737" i="1" s="1"/>
  <c r="T2738" i="1" s="1"/>
  <c r="T2739" i="1" s="1"/>
  <c r="T2740" i="1" s="1"/>
  <c r="T2741" i="1" s="1"/>
  <c r="T2742" i="1" s="1"/>
  <c r="T2743" i="1" s="1"/>
  <c r="T2744" i="1" s="1"/>
  <c r="T2745" i="1" s="1"/>
  <c r="T2746" i="1" s="1"/>
  <c r="T2747" i="1" s="1"/>
  <c r="T2748" i="1" s="1"/>
  <c r="T2749" i="1" s="1"/>
  <c r="T2750" i="1" s="1"/>
  <c r="T2751" i="1" s="1"/>
  <c r="T2752" i="1" s="1"/>
  <c r="T2753" i="1" s="1"/>
  <c r="T2754" i="1" s="1"/>
  <c r="T2755" i="1" s="1"/>
  <c r="T2756" i="1" s="1"/>
  <c r="T2757" i="1" s="1"/>
  <c r="T2758" i="1" s="1"/>
  <c r="T2759" i="1" s="1"/>
  <c r="T2760" i="1" s="1"/>
  <c r="T2761" i="1" s="1"/>
  <c r="T2762" i="1" s="1"/>
  <c r="T2763" i="1" s="1"/>
  <c r="T2764" i="1" s="1"/>
  <c r="T2765" i="1" s="1"/>
  <c r="T2766" i="1" s="1"/>
  <c r="T2767" i="1" s="1"/>
  <c r="T2768" i="1" s="1"/>
  <c r="T2769" i="1" s="1"/>
  <c r="T2770" i="1" s="1"/>
  <c r="T2771" i="1" s="1"/>
  <c r="T2772" i="1" s="1"/>
  <c r="T2773" i="1" s="1"/>
  <c r="T2774" i="1" s="1"/>
  <c r="T2775" i="1" s="1"/>
  <c r="T2776" i="1" s="1"/>
  <c r="T2777" i="1" s="1"/>
  <c r="T2778" i="1" s="1"/>
  <c r="T2779" i="1" s="1"/>
  <c r="T2780" i="1" s="1"/>
  <c r="T2781" i="1" s="1"/>
  <c r="T1362" i="1"/>
  <c r="T1361" i="1"/>
  <c r="T5" i="1"/>
  <c r="T6" i="1" s="1"/>
  <c r="T7" i="1" s="1"/>
  <c r="T8" i="1"/>
  <c r="T9" i="1" s="1"/>
  <c r="T10" i="1" s="1"/>
  <c r="T11" i="1" s="1"/>
  <c r="T12" i="1" s="1"/>
  <c r="T13" i="1" s="1"/>
  <c r="T14" i="1" s="1"/>
  <c r="T15" i="1" s="1"/>
  <c r="T16" i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T1018" i="1" s="1"/>
  <c r="T1019" i="1" s="1"/>
  <c r="T1020" i="1" s="1"/>
  <c r="T1021" i="1" s="1"/>
  <c r="T1022" i="1" s="1"/>
  <c r="T1023" i="1" s="1"/>
  <c r="T1024" i="1" s="1"/>
  <c r="T1025" i="1" s="1"/>
  <c r="T1026" i="1" s="1"/>
  <c r="T1027" i="1" s="1"/>
  <c r="T1028" i="1" s="1"/>
  <c r="T1029" i="1" s="1"/>
  <c r="T1030" i="1" s="1"/>
  <c r="T1031" i="1" s="1"/>
  <c r="T1032" i="1" s="1"/>
  <c r="T1033" i="1" s="1"/>
  <c r="T1034" i="1" s="1"/>
  <c r="T1035" i="1" s="1"/>
  <c r="T1036" i="1" s="1"/>
  <c r="T1037" i="1" s="1"/>
  <c r="T1038" i="1" s="1"/>
  <c r="T1039" i="1" s="1"/>
  <c r="T1040" i="1" s="1"/>
  <c r="T1041" i="1" s="1"/>
  <c r="T1042" i="1" s="1"/>
  <c r="T1043" i="1" s="1"/>
  <c r="T1044" i="1" s="1"/>
  <c r="T1045" i="1" s="1"/>
  <c r="T1046" i="1" s="1"/>
  <c r="T1047" i="1" s="1"/>
  <c r="T1048" i="1" s="1"/>
  <c r="T1049" i="1" s="1"/>
  <c r="T1050" i="1" s="1"/>
  <c r="T1051" i="1" s="1"/>
  <c r="T1052" i="1" s="1"/>
  <c r="T1053" i="1" s="1"/>
  <c r="T1054" i="1" s="1"/>
  <c r="T1055" i="1" s="1"/>
  <c r="T1056" i="1" s="1"/>
  <c r="T1057" i="1" s="1"/>
  <c r="T1058" i="1" s="1"/>
  <c r="T1059" i="1" s="1"/>
  <c r="T1060" i="1" s="1"/>
  <c r="T1061" i="1" s="1"/>
  <c r="T1062" i="1" s="1"/>
  <c r="T1063" i="1" s="1"/>
  <c r="T1064" i="1" s="1"/>
  <c r="T1065" i="1" s="1"/>
  <c r="T1066" i="1" s="1"/>
  <c r="T1067" i="1" s="1"/>
  <c r="T1068" i="1" s="1"/>
  <c r="T1069" i="1" s="1"/>
  <c r="T1070" i="1" s="1"/>
  <c r="T1071" i="1" s="1"/>
  <c r="T1072" i="1" s="1"/>
  <c r="T1073" i="1" s="1"/>
  <c r="T1074" i="1" s="1"/>
  <c r="T1075" i="1" s="1"/>
  <c r="T1076" i="1" s="1"/>
  <c r="T1077" i="1" s="1"/>
  <c r="T1078" i="1" s="1"/>
  <c r="T1079" i="1" s="1"/>
  <c r="T1080" i="1" s="1"/>
  <c r="T1081" i="1" s="1"/>
  <c r="T1082" i="1" s="1"/>
  <c r="T1083" i="1" s="1"/>
  <c r="T1084" i="1" s="1"/>
  <c r="T1085" i="1" s="1"/>
  <c r="T1086" i="1" s="1"/>
  <c r="T1087" i="1" s="1"/>
  <c r="T1088" i="1" s="1"/>
  <c r="T1089" i="1" s="1"/>
  <c r="T1090" i="1" s="1"/>
  <c r="T1091" i="1" s="1"/>
  <c r="T1092" i="1" s="1"/>
  <c r="T1093" i="1" s="1"/>
  <c r="T1094" i="1" s="1"/>
  <c r="T1095" i="1" s="1"/>
  <c r="T1096" i="1" s="1"/>
  <c r="T1097" i="1" s="1"/>
  <c r="T1098" i="1" s="1"/>
  <c r="T1099" i="1" s="1"/>
  <c r="T1100" i="1" s="1"/>
  <c r="T1101" i="1" s="1"/>
  <c r="T1102" i="1" s="1"/>
  <c r="T1103" i="1" s="1"/>
  <c r="T1104" i="1" s="1"/>
  <c r="T1105" i="1" s="1"/>
  <c r="T1106" i="1" s="1"/>
  <c r="T1107" i="1" s="1"/>
  <c r="T1108" i="1" s="1"/>
  <c r="T1109" i="1" s="1"/>
  <c r="T1110" i="1" s="1"/>
  <c r="T1111" i="1" s="1"/>
  <c r="T1112" i="1" s="1"/>
  <c r="T1113" i="1" s="1"/>
  <c r="T1114" i="1" s="1"/>
  <c r="T1115" i="1" s="1"/>
  <c r="T1116" i="1" s="1"/>
  <c r="T1117" i="1" s="1"/>
  <c r="T1118" i="1" s="1"/>
  <c r="T1119" i="1" s="1"/>
  <c r="T1120" i="1" s="1"/>
  <c r="T1121" i="1" s="1"/>
  <c r="T1122" i="1" s="1"/>
  <c r="T1123" i="1" s="1"/>
  <c r="T1124" i="1" s="1"/>
  <c r="T1125" i="1" s="1"/>
  <c r="T1126" i="1" s="1"/>
  <c r="T1127" i="1" s="1"/>
  <c r="T1128" i="1" s="1"/>
  <c r="T1129" i="1" s="1"/>
  <c r="T1130" i="1" s="1"/>
  <c r="T1131" i="1" s="1"/>
  <c r="T1132" i="1" s="1"/>
  <c r="T1133" i="1" s="1"/>
  <c r="T1134" i="1" s="1"/>
  <c r="T1135" i="1" s="1"/>
  <c r="T1136" i="1" s="1"/>
  <c r="T1137" i="1" s="1"/>
  <c r="T1138" i="1" s="1"/>
  <c r="T1139" i="1" s="1"/>
  <c r="T1140" i="1" s="1"/>
  <c r="T1141" i="1" s="1"/>
  <c r="T1142" i="1" s="1"/>
  <c r="T1143" i="1" s="1"/>
  <c r="T1144" i="1" s="1"/>
  <c r="T1145" i="1" s="1"/>
  <c r="T1146" i="1" s="1"/>
  <c r="T1147" i="1" s="1"/>
  <c r="T1148" i="1" s="1"/>
  <c r="T1149" i="1" s="1"/>
  <c r="T1150" i="1" s="1"/>
  <c r="T1151" i="1" s="1"/>
  <c r="T1152" i="1" s="1"/>
  <c r="T1153" i="1" s="1"/>
  <c r="T1154" i="1" s="1"/>
  <c r="T1155" i="1" s="1"/>
  <c r="T1156" i="1" s="1"/>
  <c r="T1157" i="1" s="1"/>
  <c r="T1158" i="1" s="1"/>
  <c r="T1159" i="1" s="1"/>
  <c r="T1160" i="1" s="1"/>
  <c r="T1161" i="1" s="1"/>
  <c r="T1162" i="1" s="1"/>
  <c r="T1163" i="1" s="1"/>
  <c r="T1164" i="1" s="1"/>
  <c r="T1165" i="1" s="1"/>
  <c r="T1166" i="1" s="1"/>
  <c r="T1167" i="1" s="1"/>
  <c r="T1168" i="1" s="1"/>
  <c r="T1169" i="1" s="1"/>
  <c r="T1170" i="1" s="1"/>
  <c r="T1171" i="1" s="1"/>
  <c r="T1172" i="1" s="1"/>
  <c r="T1173" i="1" s="1"/>
  <c r="T1174" i="1" s="1"/>
  <c r="T1175" i="1" s="1"/>
  <c r="T1176" i="1" s="1"/>
  <c r="T1177" i="1" s="1"/>
  <c r="T1178" i="1" s="1"/>
  <c r="T1179" i="1" s="1"/>
  <c r="T1180" i="1" s="1"/>
  <c r="T1181" i="1" s="1"/>
  <c r="T1182" i="1" s="1"/>
  <c r="T1183" i="1" s="1"/>
  <c r="T1184" i="1" s="1"/>
  <c r="T1185" i="1" s="1"/>
  <c r="T1186" i="1" s="1"/>
  <c r="T1187" i="1" s="1"/>
  <c r="T1188" i="1" s="1"/>
  <c r="T1189" i="1" s="1"/>
  <c r="T1190" i="1" s="1"/>
  <c r="T1191" i="1" s="1"/>
  <c r="T1192" i="1" s="1"/>
  <c r="T1193" i="1" s="1"/>
  <c r="T1194" i="1" s="1"/>
  <c r="T1195" i="1" s="1"/>
  <c r="T1196" i="1" s="1"/>
  <c r="T1197" i="1" s="1"/>
  <c r="T1198" i="1" s="1"/>
  <c r="T1199" i="1" s="1"/>
  <c r="T1200" i="1" s="1"/>
  <c r="T1201" i="1" s="1"/>
  <c r="T1202" i="1" s="1"/>
  <c r="T1203" i="1" s="1"/>
  <c r="T1204" i="1" s="1"/>
  <c r="T1205" i="1" s="1"/>
  <c r="T1206" i="1" s="1"/>
  <c r="T1207" i="1" s="1"/>
  <c r="T1208" i="1" s="1"/>
  <c r="T1209" i="1" s="1"/>
  <c r="T1210" i="1" s="1"/>
  <c r="T1211" i="1" s="1"/>
  <c r="T1212" i="1" s="1"/>
  <c r="T1213" i="1" s="1"/>
  <c r="T1214" i="1" s="1"/>
  <c r="T1215" i="1" s="1"/>
  <c r="T1216" i="1" s="1"/>
  <c r="T1217" i="1" s="1"/>
  <c r="T1218" i="1" s="1"/>
  <c r="T1219" i="1" s="1"/>
  <c r="T1220" i="1" s="1"/>
  <c r="T1221" i="1" s="1"/>
  <c r="T1222" i="1" s="1"/>
  <c r="T1223" i="1" s="1"/>
  <c r="T1224" i="1" s="1"/>
  <c r="T1225" i="1" s="1"/>
  <c r="T1226" i="1" s="1"/>
  <c r="T1227" i="1" s="1"/>
  <c r="T1228" i="1" s="1"/>
  <c r="T1229" i="1" s="1"/>
  <c r="T1230" i="1" s="1"/>
  <c r="T1231" i="1" s="1"/>
  <c r="T1232" i="1" s="1"/>
  <c r="T1233" i="1" s="1"/>
  <c r="T1234" i="1" s="1"/>
  <c r="T1235" i="1" s="1"/>
  <c r="T1236" i="1" s="1"/>
  <c r="T1237" i="1" s="1"/>
  <c r="T1238" i="1" s="1"/>
  <c r="T1239" i="1" s="1"/>
  <c r="T1240" i="1" s="1"/>
  <c r="T1241" i="1" s="1"/>
  <c r="T1242" i="1" s="1"/>
  <c r="T1243" i="1" s="1"/>
  <c r="T1244" i="1" s="1"/>
  <c r="T1245" i="1" s="1"/>
  <c r="T1246" i="1" s="1"/>
  <c r="T1247" i="1" s="1"/>
  <c r="T1248" i="1" s="1"/>
  <c r="T1249" i="1" s="1"/>
  <c r="T1250" i="1" s="1"/>
  <c r="T1251" i="1" s="1"/>
  <c r="T1252" i="1" s="1"/>
  <c r="T1253" i="1" s="1"/>
  <c r="T1254" i="1" s="1"/>
  <c r="T1255" i="1" s="1"/>
  <c r="T1256" i="1" s="1"/>
  <c r="T1257" i="1" s="1"/>
  <c r="T1258" i="1" s="1"/>
  <c r="T1259" i="1" s="1"/>
  <c r="T1260" i="1" s="1"/>
  <c r="T1261" i="1" s="1"/>
  <c r="T1262" i="1" s="1"/>
  <c r="T1263" i="1" s="1"/>
  <c r="T1264" i="1" s="1"/>
  <c r="T1265" i="1" s="1"/>
  <c r="T1266" i="1" s="1"/>
  <c r="T1267" i="1" s="1"/>
  <c r="T1268" i="1" s="1"/>
  <c r="T1269" i="1" s="1"/>
  <c r="T1270" i="1" s="1"/>
  <c r="T1271" i="1" s="1"/>
  <c r="T1272" i="1" s="1"/>
  <c r="T1273" i="1" s="1"/>
  <c r="T1274" i="1" s="1"/>
  <c r="T1275" i="1" s="1"/>
  <c r="T1276" i="1" s="1"/>
  <c r="T1277" i="1" s="1"/>
  <c r="T1278" i="1" s="1"/>
  <c r="T1279" i="1" s="1"/>
  <c r="T1280" i="1" s="1"/>
  <c r="T1281" i="1" s="1"/>
  <c r="T1282" i="1" s="1"/>
  <c r="T1283" i="1" s="1"/>
  <c r="T1284" i="1" s="1"/>
  <c r="T1285" i="1" s="1"/>
  <c r="T1286" i="1" s="1"/>
  <c r="T1287" i="1" s="1"/>
  <c r="T1288" i="1" s="1"/>
  <c r="T1289" i="1" s="1"/>
  <c r="T1290" i="1" s="1"/>
  <c r="T1291" i="1" s="1"/>
  <c r="T1292" i="1" s="1"/>
  <c r="T1293" i="1" s="1"/>
  <c r="T1294" i="1" s="1"/>
  <c r="T1295" i="1" s="1"/>
  <c r="T1296" i="1" s="1"/>
  <c r="T1297" i="1" s="1"/>
  <c r="T1298" i="1" s="1"/>
  <c r="T1299" i="1" s="1"/>
  <c r="T1300" i="1" s="1"/>
  <c r="T1301" i="1" s="1"/>
  <c r="T1302" i="1" s="1"/>
  <c r="T1303" i="1" s="1"/>
  <c r="T1304" i="1" s="1"/>
  <c r="T1305" i="1" s="1"/>
  <c r="T1306" i="1" s="1"/>
  <c r="T1307" i="1" s="1"/>
  <c r="T1308" i="1" s="1"/>
  <c r="T1309" i="1" s="1"/>
  <c r="T1310" i="1" s="1"/>
  <c r="T1311" i="1" s="1"/>
  <c r="T1312" i="1" s="1"/>
  <c r="T1313" i="1" s="1"/>
  <c r="T1314" i="1" s="1"/>
  <c r="T1315" i="1" s="1"/>
  <c r="T1316" i="1" s="1"/>
  <c r="T1317" i="1" s="1"/>
  <c r="T1318" i="1" s="1"/>
  <c r="T1319" i="1" s="1"/>
  <c r="T1320" i="1" s="1"/>
  <c r="T1321" i="1" s="1"/>
  <c r="T1322" i="1" s="1"/>
  <c r="T1323" i="1" s="1"/>
  <c r="T1324" i="1" s="1"/>
  <c r="T1325" i="1" s="1"/>
  <c r="T1326" i="1" s="1"/>
  <c r="T1327" i="1" s="1"/>
  <c r="T1328" i="1" s="1"/>
  <c r="T1329" i="1" s="1"/>
  <c r="T1330" i="1" s="1"/>
  <c r="T1331" i="1" s="1"/>
  <c r="T1332" i="1" s="1"/>
  <c r="T1333" i="1" s="1"/>
  <c r="T1334" i="1" s="1"/>
  <c r="T1335" i="1" s="1"/>
  <c r="T1336" i="1" s="1"/>
  <c r="T1337" i="1" s="1"/>
  <c r="T1338" i="1" s="1"/>
  <c r="T1339" i="1" s="1"/>
  <c r="T1340" i="1" s="1"/>
  <c r="T1341" i="1" s="1"/>
  <c r="T1342" i="1" s="1"/>
  <c r="T1343" i="1" s="1"/>
  <c r="T1344" i="1" s="1"/>
  <c r="T1345" i="1" s="1"/>
  <c r="T1346" i="1" s="1"/>
  <c r="T1347" i="1" s="1"/>
  <c r="T1348" i="1" s="1"/>
  <c r="T1349" i="1" s="1"/>
  <c r="T1350" i="1" s="1"/>
  <c r="T1351" i="1" s="1"/>
  <c r="T1352" i="1" s="1"/>
  <c r="T1353" i="1" s="1"/>
  <c r="T1354" i="1" s="1"/>
  <c r="T1355" i="1" s="1"/>
  <c r="T1356" i="1" s="1"/>
  <c r="T1357" i="1" s="1"/>
  <c r="T1358" i="1" s="1"/>
  <c r="T1359" i="1" s="1"/>
  <c r="T1360" i="1" s="1"/>
  <c r="T4" i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H3005" i="6"/>
  <c r="H3006" i="6"/>
  <c r="H3007" i="6"/>
  <c r="H3008" i="6"/>
  <c r="H3009" i="6"/>
  <c r="H3010" i="6"/>
  <c r="H3011" i="6"/>
  <c r="H3012" i="6"/>
  <c r="H3013" i="6"/>
  <c r="H3014" i="6"/>
  <c r="H3015" i="6"/>
  <c r="H3016" i="6"/>
  <c r="H3017" i="6"/>
  <c r="H3018" i="6"/>
  <c r="H3019" i="6"/>
  <c r="H3020" i="6"/>
  <c r="H3021" i="6"/>
  <c r="H3022" i="6"/>
  <c r="H3023" i="6"/>
  <c r="H3024" i="6"/>
  <c r="H3025" i="6"/>
  <c r="H3026" i="6"/>
  <c r="H3027" i="6"/>
  <c r="H3028" i="6"/>
  <c r="H3029" i="6"/>
  <c r="H3030" i="6"/>
  <c r="H3031" i="6"/>
  <c r="H3032" i="6"/>
  <c r="H3033" i="6"/>
  <c r="H3034" i="6"/>
  <c r="H3035" i="6"/>
  <c r="H3036" i="6"/>
  <c r="H3037" i="6"/>
  <c r="H3038" i="6"/>
  <c r="H3039" i="6"/>
  <c r="H3040" i="6"/>
  <c r="H3041" i="6"/>
  <c r="H3042" i="6"/>
  <c r="H3043" i="6"/>
  <c r="H3044" i="6"/>
  <c r="H3045" i="6"/>
  <c r="H3046" i="6"/>
  <c r="H3047" i="6"/>
  <c r="H3048" i="6"/>
  <c r="H3049" i="6"/>
  <c r="H3050" i="6"/>
  <c r="H3051" i="6"/>
  <c r="H3052" i="6"/>
  <c r="H3053" i="6"/>
  <c r="H3054" i="6"/>
  <c r="H3055" i="6"/>
  <c r="H3056" i="6"/>
  <c r="H3057" i="6"/>
  <c r="H3058" i="6"/>
  <c r="H3059" i="6"/>
  <c r="H3060" i="6"/>
  <c r="H3061" i="6"/>
  <c r="H3062" i="6"/>
  <c r="H3063" i="6"/>
  <c r="H3064" i="6"/>
  <c r="H3065" i="6"/>
  <c r="H3066" i="6"/>
  <c r="H3067" i="6"/>
  <c r="H3068" i="6"/>
  <c r="H3069" i="6"/>
  <c r="H3070" i="6"/>
  <c r="H3071" i="6"/>
  <c r="H3072" i="6"/>
  <c r="H3073" i="6"/>
  <c r="H3074" i="6"/>
  <c r="H3075" i="6"/>
  <c r="H3076" i="6"/>
  <c r="H3077" i="6"/>
  <c r="H3078" i="6"/>
  <c r="H3079" i="6"/>
  <c r="H3080" i="6"/>
  <c r="H3081" i="6"/>
  <c r="H3082" i="6"/>
  <c r="H3083" i="6"/>
  <c r="H3084" i="6"/>
  <c r="H3085" i="6"/>
  <c r="H3086" i="6"/>
  <c r="H3087" i="6"/>
  <c r="H3088" i="6"/>
  <c r="H3089" i="6"/>
  <c r="H3090" i="6"/>
  <c r="H3091" i="6"/>
  <c r="H3092" i="6"/>
  <c r="H3093" i="6"/>
  <c r="H3094" i="6"/>
  <c r="H3095" i="6"/>
  <c r="H3096" i="6"/>
  <c r="H3097" i="6"/>
  <c r="H3098" i="6"/>
  <c r="H3099" i="6"/>
  <c r="H3100" i="6"/>
  <c r="H3101" i="6"/>
  <c r="H3102" i="6"/>
  <c r="H3103" i="6"/>
  <c r="H3104" i="6"/>
  <c r="H3105" i="6"/>
  <c r="H3106" i="6"/>
  <c r="H3107" i="6"/>
  <c r="H3108" i="6"/>
  <c r="H3109" i="6"/>
  <c r="H3110" i="6"/>
  <c r="H3111" i="6"/>
  <c r="H3112" i="6"/>
  <c r="H3113" i="6"/>
  <c r="H3114" i="6"/>
  <c r="H3115" i="6"/>
  <c r="H3116" i="6"/>
  <c r="H3117" i="6"/>
  <c r="H3118" i="6"/>
  <c r="H3119" i="6"/>
  <c r="H3120" i="6"/>
  <c r="H3121" i="6"/>
  <c r="H3122" i="6"/>
  <c r="H3123" i="6"/>
  <c r="H3124" i="6"/>
  <c r="H3125" i="6"/>
  <c r="H3126" i="6"/>
  <c r="H3127" i="6"/>
  <c r="H3128" i="6"/>
  <c r="H3129" i="6"/>
  <c r="H3130" i="6"/>
  <c r="H3131" i="6"/>
  <c r="H3132" i="6"/>
  <c r="H3133" i="6"/>
  <c r="H3134" i="6"/>
  <c r="H3135" i="6"/>
  <c r="H3136" i="6"/>
  <c r="H3137" i="6"/>
  <c r="H3138" i="6"/>
  <c r="H3139" i="6"/>
  <c r="H3140" i="6"/>
  <c r="H3141" i="6"/>
  <c r="H3142" i="6"/>
  <c r="H3143" i="6"/>
  <c r="H3144" i="6"/>
  <c r="H3145" i="6"/>
  <c r="H3146" i="6"/>
  <c r="H3147" i="6"/>
  <c r="H3148" i="6"/>
  <c r="H3149" i="6"/>
  <c r="H3150" i="6"/>
  <c r="H3151" i="6"/>
  <c r="H3152" i="6"/>
  <c r="H3153" i="6"/>
  <c r="H3154" i="6"/>
  <c r="H3155" i="6"/>
  <c r="H3156" i="6"/>
  <c r="H3157" i="6"/>
  <c r="H3158" i="6"/>
  <c r="H3159" i="6"/>
  <c r="H3160" i="6"/>
  <c r="H3161" i="6"/>
  <c r="H3162" i="6"/>
  <c r="H3163" i="6"/>
  <c r="H3164" i="6"/>
  <c r="H3165" i="6"/>
  <c r="H3166" i="6"/>
  <c r="H3167" i="6"/>
  <c r="H3168" i="6"/>
  <c r="H3169" i="6"/>
  <c r="H3170" i="6"/>
  <c r="H3171" i="6"/>
  <c r="H3172" i="6"/>
  <c r="H3173" i="6"/>
  <c r="H3174" i="6"/>
  <c r="H3175" i="6"/>
  <c r="H3176" i="6"/>
  <c r="H3177" i="6"/>
  <c r="H3178" i="6"/>
  <c r="H3179" i="6"/>
  <c r="H3180" i="6"/>
  <c r="H3181" i="6"/>
  <c r="H3182" i="6"/>
  <c r="H3183" i="6"/>
  <c r="H3184" i="6"/>
  <c r="H3185" i="6"/>
  <c r="H3186" i="6"/>
  <c r="H3187" i="6"/>
  <c r="H3188" i="6"/>
  <c r="H3189" i="6"/>
  <c r="H3190" i="6"/>
  <c r="H3191" i="6"/>
  <c r="H3192" i="6"/>
  <c r="H3193" i="6"/>
  <c r="H3194" i="6"/>
  <c r="H3195" i="6"/>
  <c r="H3196" i="6"/>
  <c r="H3197" i="6"/>
  <c r="H3198" i="6"/>
  <c r="H3199" i="6"/>
  <c r="H3200" i="6"/>
  <c r="H3201" i="6"/>
  <c r="H3202" i="6"/>
  <c r="H3203" i="6"/>
  <c r="H3204" i="6"/>
  <c r="H3205" i="6"/>
  <c r="H3206" i="6"/>
  <c r="H3207" i="6"/>
  <c r="H3208" i="6"/>
  <c r="H3209" i="6"/>
  <c r="H3210" i="6"/>
  <c r="H3211" i="6"/>
  <c r="H3212" i="6"/>
  <c r="H3213" i="6"/>
  <c r="H3214" i="6"/>
  <c r="H3215" i="6"/>
  <c r="H3216" i="6"/>
  <c r="H3217" i="6"/>
  <c r="H3218" i="6"/>
  <c r="H3219" i="6"/>
  <c r="H3220" i="6"/>
  <c r="H3221" i="6"/>
  <c r="H3222" i="6"/>
  <c r="H3223" i="6"/>
  <c r="H3224" i="6"/>
  <c r="H3225" i="6"/>
  <c r="H3226" i="6"/>
  <c r="H3227" i="6"/>
  <c r="H3228" i="6"/>
  <c r="H3229" i="6"/>
  <c r="H3230" i="6"/>
  <c r="H3231" i="6"/>
  <c r="H3232" i="6"/>
  <c r="H3233" i="6"/>
  <c r="H3234" i="6"/>
  <c r="H3235" i="6"/>
  <c r="H3236" i="6"/>
  <c r="H3237" i="6"/>
  <c r="H3238" i="6"/>
  <c r="H3239" i="6"/>
  <c r="H3240" i="6"/>
  <c r="H3241" i="6"/>
  <c r="H3242" i="6"/>
  <c r="H3243" i="6"/>
  <c r="H3244" i="6"/>
  <c r="H3245" i="6"/>
  <c r="H3246" i="6"/>
  <c r="H3247" i="6"/>
  <c r="H3248" i="6"/>
  <c r="H3249" i="6"/>
  <c r="H3250" i="6"/>
  <c r="H3251" i="6"/>
  <c r="H3252" i="6"/>
  <c r="H3253" i="6"/>
  <c r="H3254" i="6"/>
  <c r="H3255" i="6"/>
  <c r="H3256" i="6"/>
  <c r="H3257" i="6"/>
  <c r="H3258" i="6"/>
  <c r="H3259" i="6"/>
  <c r="H3260" i="6"/>
  <c r="H3261" i="6"/>
  <c r="H3262" i="6"/>
  <c r="H3263" i="6"/>
  <c r="H3264" i="6"/>
  <c r="H3265" i="6"/>
  <c r="H3266" i="6"/>
  <c r="H3267" i="6"/>
  <c r="H3268" i="6"/>
  <c r="H3269" i="6"/>
  <c r="H3270" i="6"/>
  <c r="H3271" i="6"/>
  <c r="H3272" i="6"/>
  <c r="H3273" i="6"/>
  <c r="H3274" i="6"/>
  <c r="H3275" i="6"/>
  <c r="H3276" i="6"/>
  <c r="H3277" i="6"/>
  <c r="H3278" i="6"/>
  <c r="H3279" i="6"/>
  <c r="H3280" i="6"/>
  <c r="H3281" i="6"/>
  <c r="H3282" i="6"/>
  <c r="H3283" i="6"/>
  <c r="H3284" i="6"/>
  <c r="H3285" i="6"/>
  <c r="H3286" i="6"/>
  <c r="H3287" i="6"/>
  <c r="H3288" i="6"/>
  <c r="H3289" i="6"/>
  <c r="H3290" i="6"/>
  <c r="H3291" i="6"/>
  <c r="H3292" i="6"/>
  <c r="H3293" i="6"/>
  <c r="H3294" i="6"/>
  <c r="H3295" i="6"/>
  <c r="H3296" i="6"/>
  <c r="H3297" i="6"/>
  <c r="H3298" i="6"/>
  <c r="H3299" i="6"/>
  <c r="H3300" i="6"/>
  <c r="H3301" i="6"/>
  <c r="H3302" i="6"/>
  <c r="H3303" i="6"/>
  <c r="H3304" i="6"/>
  <c r="H3305" i="6"/>
  <c r="H3306" i="6"/>
  <c r="H3307" i="6"/>
  <c r="H3308" i="6"/>
  <c r="H3309" i="6"/>
  <c r="H3310" i="6"/>
  <c r="H3311" i="6"/>
  <c r="H3312" i="6"/>
  <c r="H3313" i="6"/>
  <c r="H3314" i="6"/>
  <c r="H3315" i="6"/>
  <c r="H3316" i="6"/>
  <c r="H3317" i="6"/>
  <c r="H3318" i="6"/>
  <c r="H3319" i="6"/>
  <c r="H3320" i="6"/>
  <c r="H3321" i="6"/>
  <c r="H3322" i="6"/>
  <c r="H3323" i="6"/>
  <c r="H3324" i="6"/>
  <c r="H3325" i="6"/>
  <c r="H3326" i="6"/>
  <c r="H3327" i="6"/>
  <c r="H3328" i="6"/>
  <c r="H3329" i="6"/>
  <c r="H3330" i="6"/>
  <c r="H3331" i="6"/>
  <c r="H3332" i="6"/>
  <c r="H3333" i="6"/>
  <c r="H3334" i="6"/>
  <c r="H3335" i="6"/>
  <c r="H3336" i="6"/>
  <c r="H3337" i="6"/>
  <c r="H3338" i="6"/>
  <c r="H3339" i="6"/>
  <c r="H3340" i="6"/>
  <c r="H3341" i="6"/>
  <c r="H3342" i="6"/>
  <c r="H3343" i="6"/>
  <c r="H3344" i="6"/>
  <c r="H3345" i="6"/>
  <c r="H3346" i="6"/>
  <c r="H3347" i="6"/>
  <c r="H3348" i="6"/>
  <c r="H3349" i="6"/>
  <c r="H3350" i="6"/>
  <c r="H3351" i="6"/>
  <c r="H3352" i="6"/>
  <c r="H3353" i="6"/>
  <c r="H3354" i="6"/>
  <c r="H3355" i="6"/>
  <c r="H3356" i="6"/>
  <c r="H3357" i="6"/>
  <c r="H3358" i="6"/>
  <c r="H3359" i="6"/>
  <c r="H3360" i="6"/>
  <c r="H3361" i="6"/>
  <c r="H3362" i="6"/>
  <c r="H3363" i="6"/>
  <c r="H3364" i="6"/>
  <c r="H3365" i="6"/>
  <c r="H3366" i="6"/>
  <c r="H3367" i="6"/>
  <c r="H3368" i="6"/>
  <c r="H3369" i="6"/>
  <c r="H3370" i="6"/>
  <c r="H3371" i="6"/>
  <c r="H3372" i="6"/>
  <c r="H3373" i="6"/>
  <c r="H3374" i="6"/>
  <c r="H3375" i="6"/>
  <c r="H3376" i="6"/>
  <c r="H3377" i="6"/>
  <c r="H3378" i="6"/>
  <c r="H3379" i="6"/>
  <c r="H3380" i="6"/>
  <c r="H3381" i="6"/>
  <c r="H3382" i="6"/>
  <c r="H3383" i="6"/>
  <c r="H3384" i="6"/>
  <c r="H3385" i="6"/>
  <c r="H3386" i="6"/>
  <c r="H3387" i="6"/>
  <c r="H3388" i="6"/>
  <c r="H3389" i="6"/>
  <c r="H3390" i="6"/>
  <c r="H3391" i="6"/>
  <c r="H3392" i="6"/>
  <c r="H3393" i="6"/>
  <c r="H3394" i="6"/>
  <c r="H3395" i="6"/>
  <c r="H3396" i="6"/>
  <c r="H3397" i="6"/>
  <c r="H3398" i="6"/>
  <c r="H3399" i="6"/>
  <c r="H3400" i="6"/>
  <c r="H3401" i="6"/>
  <c r="H3402" i="6"/>
  <c r="H3403" i="6"/>
  <c r="H3404" i="6"/>
  <c r="H3405" i="6"/>
  <c r="H3406" i="6"/>
  <c r="H3407" i="6"/>
  <c r="H3408" i="6"/>
  <c r="H3409" i="6"/>
  <c r="H3410" i="6"/>
  <c r="H3411" i="6"/>
  <c r="H3412" i="6"/>
  <c r="H3413" i="6"/>
  <c r="H3414" i="6"/>
  <c r="H3415" i="6"/>
  <c r="H3416" i="6"/>
  <c r="H3417" i="6"/>
  <c r="H3418" i="6"/>
  <c r="H3419" i="6"/>
  <c r="H3420" i="6"/>
  <c r="H3421" i="6"/>
  <c r="H3422" i="6"/>
  <c r="H3423" i="6"/>
  <c r="H3424" i="6"/>
  <c r="H3425" i="6"/>
  <c r="H3426" i="6"/>
  <c r="H3427" i="6"/>
  <c r="H3428" i="6"/>
  <c r="H3429" i="6"/>
  <c r="H3430" i="6"/>
  <c r="H3431" i="6"/>
  <c r="H3432" i="6"/>
  <c r="H3433" i="6"/>
  <c r="H3434" i="6"/>
  <c r="H3435" i="6"/>
  <c r="H3436" i="6"/>
  <c r="H3437" i="6"/>
  <c r="H3438" i="6"/>
  <c r="H3439" i="6"/>
  <c r="H3440" i="6"/>
  <c r="H3441" i="6"/>
  <c r="H3442" i="6"/>
  <c r="H3443" i="6"/>
  <c r="H3444" i="6"/>
  <c r="H3445" i="6"/>
  <c r="H3446" i="6"/>
  <c r="H3447" i="6"/>
  <c r="H3448" i="6"/>
  <c r="H3449" i="6"/>
  <c r="H3450" i="6"/>
  <c r="H3451" i="6"/>
  <c r="H3452" i="6"/>
  <c r="H3453" i="6"/>
  <c r="H3454" i="6"/>
  <c r="H3455" i="6"/>
  <c r="H3456" i="6"/>
  <c r="H3457" i="6"/>
  <c r="H3458" i="6"/>
  <c r="H3459" i="6"/>
  <c r="H3460" i="6"/>
  <c r="H3461" i="6"/>
  <c r="H3462" i="6"/>
  <c r="H3463" i="6"/>
  <c r="H3464" i="6"/>
  <c r="H3465" i="6"/>
  <c r="H3466" i="6"/>
  <c r="H3467" i="6"/>
  <c r="H3468" i="6"/>
  <c r="H3469" i="6"/>
  <c r="H3470" i="6"/>
  <c r="H3471" i="6"/>
  <c r="H3472" i="6"/>
  <c r="H3473" i="6"/>
  <c r="H3474" i="6"/>
  <c r="H3475" i="6"/>
  <c r="H3476" i="6"/>
  <c r="H3477" i="6"/>
  <c r="H3478" i="6"/>
  <c r="H3479" i="6"/>
  <c r="H3480" i="6"/>
  <c r="H3481" i="6"/>
  <c r="H3482" i="6"/>
  <c r="H3483" i="6"/>
  <c r="H3484" i="6"/>
  <c r="H3485" i="6"/>
  <c r="H3486" i="6"/>
  <c r="H3487" i="6"/>
  <c r="H3488" i="6"/>
  <c r="H3489" i="6"/>
  <c r="H3490" i="6"/>
  <c r="H3491" i="6"/>
  <c r="H3492" i="6"/>
  <c r="H3493" i="6"/>
  <c r="H3494" i="6"/>
  <c r="H3495" i="6"/>
  <c r="H3496" i="6"/>
  <c r="H3497" i="6"/>
  <c r="H3498" i="6"/>
  <c r="H3499" i="6"/>
  <c r="H3500" i="6"/>
  <c r="H3501" i="6"/>
  <c r="H3502" i="6"/>
  <c r="H3503" i="6"/>
  <c r="H3504" i="6"/>
  <c r="H3505" i="6"/>
  <c r="H3506" i="6"/>
  <c r="H3507" i="6"/>
  <c r="H3508" i="6"/>
  <c r="H3509" i="6"/>
  <c r="H3510" i="6"/>
  <c r="H3511" i="6"/>
  <c r="H3512" i="6"/>
  <c r="H3513" i="6"/>
  <c r="H3514" i="6"/>
  <c r="H3515" i="6"/>
  <c r="H3516" i="6"/>
  <c r="H3517" i="6"/>
  <c r="H3518" i="6"/>
  <c r="H3519" i="6"/>
  <c r="H3520" i="6"/>
  <c r="H3521" i="6"/>
  <c r="H3522" i="6"/>
  <c r="H3523" i="6"/>
  <c r="H3524" i="6"/>
  <c r="H3525" i="6"/>
  <c r="H3526" i="6"/>
  <c r="H3527" i="6"/>
  <c r="H3528" i="6"/>
  <c r="H3529" i="6"/>
  <c r="H3530" i="6"/>
  <c r="H3531" i="6"/>
  <c r="H3532" i="6"/>
  <c r="H3533" i="6"/>
  <c r="H3534" i="6"/>
  <c r="H3535" i="6"/>
  <c r="H3536" i="6"/>
  <c r="H3537" i="6"/>
  <c r="H3538" i="6"/>
  <c r="H3539" i="6"/>
  <c r="H3540" i="6"/>
  <c r="H3541" i="6"/>
  <c r="H3542" i="6"/>
  <c r="H3543" i="6"/>
  <c r="H3544" i="6"/>
  <c r="H3545" i="6"/>
  <c r="H3546" i="6"/>
  <c r="H3547" i="6"/>
  <c r="H3548" i="6"/>
  <c r="H3549" i="6"/>
  <c r="H3550" i="6"/>
  <c r="H3551" i="6"/>
  <c r="H3552" i="6"/>
  <c r="H3553" i="6"/>
  <c r="H3554" i="6"/>
  <c r="H3555" i="6"/>
  <c r="H3556" i="6"/>
  <c r="H3557" i="6"/>
  <c r="H3558" i="6"/>
  <c r="H3559" i="6"/>
  <c r="H3560" i="6"/>
  <c r="H3561" i="6"/>
  <c r="H3562" i="6"/>
  <c r="H3563" i="6"/>
  <c r="H3564" i="6"/>
  <c r="H3565" i="6"/>
  <c r="H3566" i="6"/>
  <c r="H3567" i="6"/>
  <c r="H3568" i="6"/>
  <c r="H3569" i="6"/>
  <c r="H3570" i="6"/>
  <c r="H3571" i="6"/>
  <c r="H3572" i="6"/>
  <c r="H3573" i="6"/>
  <c r="H3574" i="6"/>
  <c r="H3575" i="6"/>
  <c r="H3576" i="6"/>
  <c r="H3577" i="6"/>
  <c r="H3578" i="6"/>
  <c r="H3579" i="6"/>
  <c r="H3580" i="6"/>
  <c r="H3581" i="6"/>
  <c r="H3582" i="6"/>
  <c r="H3583" i="6"/>
  <c r="H3584" i="6"/>
  <c r="H3585" i="6"/>
  <c r="H3586" i="6"/>
  <c r="H3587" i="6"/>
  <c r="H3588" i="6"/>
  <c r="H3589" i="6"/>
  <c r="H3590" i="6"/>
  <c r="H3591" i="6"/>
  <c r="H3592" i="6"/>
  <c r="H3593" i="6"/>
  <c r="H3594" i="6"/>
  <c r="H3595" i="6"/>
  <c r="H3596" i="6"/>
  <c r="H3597" i="6"/>
  <c r="H3598" i="6"/>
  <c r="H3599" i="6"/>
  <c r="H3600" i="6"/>
  <c r="H3601" i="6"/>
  <c r="H3602" i="6"/>
  <c r="H3603" i="6"/>
  <c r="H3604" i="6"/>
  <c r="H3605" i="6"/>
  <c r="H3606" i="6"/>
  <c r="H3607" i="6"/>
  <c r="H3608" i="6"/>
  <c r="H3609" i="6"/>
  <c r="H3610" i="6"/>
  <c r="H3611" i="6"/>
  <c r="H3612" i="6"/>
  <c r="H3613" i="6"/>
  <c r="H3614" i="6"/>
  <c r="H3615" i="6"/>
  <c r="H3616" i="6"/>
  <c r="H3617" i="6"/>
  <c r="H3618" i="6"/>
  <c r="H3619" i="6"/>
  <c r="H3620" i="6"/>
  <c r="H3621" i="6"/>
  <c r="H3622" i="6"/>
  <c r="H3623" i="6"/>
  <c r="H3624" i="6"/>
  <c r="H3625" i="6"/>
  <c r="H3626" i="6"/>
  <c r="H3627" i="6"/>
  <c r="H3628" i="6"/>
  <c r="H3629" i="6"/>
  <c r="H3630" i="6"/>
  <c r="H3631" i="6"/>
  <c r="H3632" i="6"/>
  <c r="H3633" i="6"/>
  <c r="H3634" i="6"/>
  <c r="H3635" i="6"/>
  <c r="H3636" i="6"/>
  <c r="H3637" i="6"/>
  <c r="H3638" i="6"/>
  <c r="H3639" i="6"/>
  <c r="H3640" i="6"/>
  <c r="H3641" i="6"/>
  <c r="H3642" i="6"/>
  <c r="H3643" i="6"/>
  <c r="H3644" i="6"/>
  <c r="H3645" i="6"/>
  <c r="H3646" i="6"/>
  <c r="H3647" i="6"/>
  <c r="H3648" i="6"/>
  <c r="H3649" i="6"/>
  <c r="H3650" i="6"/>
  <c r="H3651" i="6"/>
  <c r="H3652" i="6"/>
  <c r="H3653" i="6"/>
  <c r="H3654" i="6"/>
  <c r="H3655" i="6"/>
  <c r="H3656" i="6"/>
  <c r="H3657" i="6"/>
  <c r="H3658" i="6"/>
  <c r="H3659" i="6"/>
  <c r="H3660" i="6"/>
  <c r="H3661" i="6"/>
  <c r="H3662" i="6"/>
  <c r="H3663" i="6"/>
  <c r="H3664" i="6"/>
  <c r="H3665" i="6"/>
  <c r="H3666" i="6"/>
  <c r="H3667" i="6"/>
  <c r="H3668" i="6"/>
  <c r="H3669" i="6"/>
  <c r="H3670" i="6"/>
  <c r="H3671" i="6"/>
  <c r="H3672" i="6"/>
  <c r="H3673" i="6"/>
  <c r="H3674" i="6"/>
  <c r="H3675" i="6"/>
  <c r="H3676" i="6"/>
  <c r="H3677" i="6"/>
  <c r="H3678" i="6"/>
  <c r="H3679" i="6"/>
  <c r="H3680" i="6"/>
  <c r="H3681" i="6"/>
  <c r="H3682" i="6"/>
  <c r="H3683" i="6"/>
  <c r="H3684" i="6"/>
  <c r="H3685" i="6"/>
  <c r="H3686" i="6"/>
  <c r="H3687" i="6"/>
  <c r="H3688" i="6"/>
  <c r="H3689" i="6"/>
  <c r="H3690" i="6"/>
  <c r="H3691" i="6"/>
  <c r="H3692" i="6"/>
  <c r="H3693" i="6"/>
  <c r="H3694" i="6"/>
  <c r="H3695" i="6"/>
  <c r="H3696" i="6"/>
  <c r="H3697" i="6"/>
  <c r="H3698" i="6"/>
  <c r="H3699" i="6"/>
  <c r="H3700" i="6"/>
  <c r="H3701" i="6"/>
  <c r="H3702" i="6"/>
  <c r="H3703" i="6"/>
  <c r="H3704" i="6"/>
  <c r="H3705" i="6"/>
  <c r="H3706" i="6"/>
  <c r="H3707" i="6"/>
  <c r="H3708" i="6"/>
  <c r="H3709" i="6"/>
  <c r="H3710" i="6"/>
  <c r="H3711" i="6"/>
  <c r="H3712" i="6"/>
  <c r="H3713" i="6"/>
  <c r="H3714" i="6"/>
  <c r="H3715" i="6"/>
  <c r="H3716" i="6"/>
  <c r="H3717" i="6"/>
  <c r="H3718" i="6"/>
  <c r="H3719" i="6"/>
  <c r="H3720" i="6"/>
  <c r="H3721" i="6"/>
  <c r="H3722" i="6"/>
  <c r="H3723" i="6"/>
  <c r="H3724" i="6"/>
  <c r="H3725" i="6"/>
  <c r="H3726" i="6"/>
  <c r="H3727" i="6"/>
  <c r="H3728" i="6"/>
  <c r="H3729" i="6"/>
  <c r="H3730" i="6"/>
  <c r="H3731" i="6"/>
  <c r="H3732" i="6"/>
  <c r="H3733" i="6"/>
  <c r="H3734" i="6"/>
  <c r="H3735" i="6"/>
  <c r="H3736" i="6"/>
  <c r="H3737" i="6"/>
  <c r="H3738" i="6"/>
  <c r="H3739" i="6"/>
  <c r="H3740" i="6"/>
  <c r="H3741" i="6"/>
  <c r="H3742" i="6"/>
  <c r="H3743" i="6"/>
  <c r="H3744" i="6"/>
  <c r="H3745" i="6"/>
  <c r="H3746" i="6"/>
  <c r="H3747" i="6"/>
  <c r="H3748" i="6"/>
  <c r="H3749" i="6"/>
  <c r="H3750" i="6"/>
  <c r="H3751" i="6"/>
  <c r="H3752" i="6"/>
  <c r="H3753" i="6"/>
  <c r="H3754" i="6"/>
  <c r="H3755" i="6"/>
  <c r="H3756" i="6"/>
  <c r="H3757" i="6"/>
  <c r="H3758" i="6"/>
  <c r="H3759" i="6"/>
  <c r="H3760" i="6"/>
  <c r="H3761" i="6"/>
  <c r="H3762" i="6"/>
  <c r="H3763" i="6"/>
  <c r="H3764" i="6"/>
  <c r="H3765" i="6"/>
  <c r="H3766" i="6"/>
  <c r="H3767" i="6"/>
  <c r="H3768" i="6"/>
  <c r="H3769" i="6"/>
  <c r="H3770" i="6"/>
  <c r="H3771" i="6"/>
  <c r="H3772" i="6"/>
  <c r="H3773" i="6"/>
  <c r="H3774" i="6"/>
  <c r="H3775" i="6"/>
  <c r="H3776" i="6"/>
  <c r="H3777" i="6"/>
  <c r="H3778" i="6"/>
  <c r="H3779" i="6"/>
  <c r="H3780" i="6"/>
  <c r="H3781" i="6"/>
  <c r="H3782" i="6"/>
  <c r="H3783" i="6"/>
  <c r="H3784" i="6"/>
  <c r="H3785" i="6"/>
  <c r="H3786" i="6"/>
  <c r="H3787" i="6"/>
  <c r="H3788" i="6"/>
  <c r="H3789" i="6"/>
  <c r="H3790" i="6"/>
  <c r="H3791" i="6"/>
  <c r="H3792" i="6"/>
  <c r="H3793" i="6"/>
  <c r="H3794" i="6"/>
  <c r="H3795" i="6"/>
  <c r="H3796" i="6"/>
  <c r="H3797" i="6"/>
  <c r="H3798" i="6"/>
  <c r="H3799" i="6"/>
  <c r="H3800" i="6"/>
  <c r="H3801" i="6"/>
  <c r="H3802" i="6"/>
  <c r="H3803" i="6"/>
  <c r="H3804" i="6"/>
  <c r="H3805" i="6"/>
  <c r="H3806" i="6"/>
  <c r="H3807" i="6"/>
  <c r="H3808" i="6"/>
  <c r="H3809" i="6"/>
  <c r="H3810" i="6"/>
  <c r="H3811" i="6"/>
  <c r="H3812" i="6"/>
  <c r="H3813" i="6"/>
  <c r="H3814" i="6"/>
  <c r="H3815" i="6"/>
  <c r="H3816" i="6"/>
  <c r="H3817" i="6"/>
  <c r="H3818" i="6"/>
  <c r="H3819" i="6"/>
  <c r="H3820" i="6"/>
  <c r="H3821" i="6"/>
  <c r="H3822" i="6"/>
  <c r="H3823" i="6"/>
  <c r="H3824" i="6"/>
  <c r="H3825" i="6"/>
  <c r="H3826" i="6"/>
  <c r="H3827" i="6"/>
  <c r="H3828" i="6"/>
  <c r="H3829" i="6"/>
  <c r="H3830" i="6"/>
  <c r="H3831" i="6"/>
  <c r="H3832" i="6"/>
  <c r="H3833" i="6"/>
  <c r="H3834" i="6"/>
  <c r="H3835" i="6"/>
  <c r="H3836" i="6"/>
  <c r="H3837" i="6"/>
  <c r="H3838" i="6"/>
  <c r="H3839" i="6"/>
  <c r="H3840" i="6"/>
  <c r="H3841" i="6"/>
  <c r="H3842" i="6"/>
  <c r="H3843" i="6"/>
  <c r="H3844" i="6"/>
  <c r="H3845" i="6"/>
  <c r="H3846" i="6"/>
  <c r="H3847" i="6"/>
  <c r="H3848" i="6"/>
  <c r="H3849" i="6"/>
  <c r="H3850" i="6"/>
  <c r="H3851" i="6"/>
  <c r="H3852" i="6"/>
  <c r="H3853" i="6"/>
  <c r="H3854" i="6"/>
  <c r="H3855" i="6"/>
  <c r="H3856" i="6"/>
  <c r="H3857" i="6"/>
  <c r="H3858" i="6"/>
  <c r="H3859" i="6"/>
  <c r="H3860" i="6"/>
  <c r="H3861" i="6"/>
  <c r="H3862" i="6"/>
  <c r="H3863" i="6"/>
  <c r="H3864" i="6"/>
  <c r="H3865" i="6"/>
  <c r="H3866" i="6"/>
  <c r="H3867" i="6"/>
  <c r="H3868" i="6"/>
  <c r="H3869" i="6"/>
  <c r="H3870" i="6"/>
  <c r="H3871" i="6"/>
  <c r="H3872" i="6"/>
  <c r="H3873" i="6"/>
  <c r="H3874" i="6"/>
  <c r="H3875" i="6"/>
  <c r="H3876" i="6"/>
  <c r="H3877" i="6"/>
  <c r="H3878" i="6"/>
  <c r="H3879" i="6"/>
  <c r="H3880" i="6"/>
  <c r="H3881" i="6"/>
  <c r="H3882" i="6"/>
  <c r="H3883" i="6"/>
  <c r="H3884" i="6"/>
  <c r="H3885" i="6"/>
  <c r="H3886" i="6"/>
  <c r="H3887" i="6"/>
  <c r="H3888" i="6"/>
  <c r="H3889" i="6"/>
  <c r="H3890" i="6"/>
  <c r="H3891" i="6"/>
  <c r="H3892" i="6"/>
  <c r="H3893" i="6"/>
  <c r="H3894" i="6"/>
  <c r="H3895" i="6"/>
  <c r="H3896" i="6"/>
  <c r="H3897" i="6"/>
  <c r="H3898" i="6"/>
  <c r="H3899" i="6"/>
  <c r="H3900" i="6"/>
  <c r="H3901" i="6"/>
  <c r="H3902" i="6"/>
  <c r="H3903" i="6"/>
  <c r="H3904" i="6"/>
  <c r="H3905" i="6"/>
  <c r="H3906" i="6"/>
  <c r="H3907" i="6"/>
  <c r="H3908" i="6"/>
  <c r="H3909" i="6"/>
  <c r="H3910" i="6"/>
  <c r="H3911" i="6"/>
  <c r="H3912" i="6"/>
  <c r="H3913" i="6"/>
  <c r="H3914" i="6"/>
  <c r="H3915" i="6"/>
  <c r="H3916" i="6"/>
  <c r="H3917" i="6"/>
  <c r="H3918" i="6"/>
  <c r="H3919" i="6"/>
  <c r="H3920" i="6"/>
  <c r="H3921" i="6"/>
  <c r="H3922" i="6"/>
  <c r="H3923" i="6"/>
  <c r="H3924" i="6"/>
  <c r="H3925" i="6"/>
  <c r="H3926" i="6"/>
  <c r="H3927" i="6"/>
  <c r="H3928" i="6"/>
  <c r="H3929" i="6"/>
  <c r="H3930" i="6"/>
  <c r="H3931" i="6"/>
  <c r="H3932" i="6"/>
  <c r="H3933" i="6"/>
  <c r="H3934" i="6"/>
  <c r="H3935" i="6"/>
  <c r="H3936" i="6"/>
  <c r="H3937" i="6"/>
  <c r="H3938" i="6"/>
  <c r="H3939" i="6"/>
  <c r="H3940" i="6"/>
  <c r="H3941" i="6"/>
  <c r="H3942" i="6"/>
  <c r="H3943" i="6"/>
  <c r="H3944" i="6"/>
  <c r="H3945" i="6"/>
  <c r="H3946" i="6"/>
  <c r="H3947" i="6"/>
  <c r="H3948" i="6"/>
  <c r="H3949" i="6"/>
  <c r="H3950" i="6"/>
  <c r="H3951" i="6"/>
  <c r="H3952" i="6"/>
  <c r="H3953" i="6"/>
  <c r="H3954" i="6"/>
  <c r="H3955" i="6"/>
  <c r="H3956" i="6"/>
  <c r="H3957" i="6"/>
  <c r="H3958" i="6"/>
  <c r="H3959" i="6"/>
  <c r="H3960" i="6"/>
  <c r="H3961" i="6"/>
  <c r="H3962" i="6"/>
  <c r="H3963" i="6"/>
  <c r="H3964" i="6"/>
  <c r="H3965" i="6"/>
  <c r="H3966" i="6"/>
  <c r="H3967" i="6"/>
  <c r="H3968" i="6"/>
  <c r="H3969" i="6"/>
  <c r="H3970" i="6"/>
  <c r="H3971" i="6"/>
  <c r="H3972" i="6"/>
  <c r="H3973" i="6"/>
  <c r="H3974" i="6"/>
  <c r="H3975" i="6"/>
  <c r="H3976" i="6"/>
  <c r="H3977" i="6"/>
  <c r="H3978" i="6"/>
  <c r="H3979" i="6"/>
  <c r="H3980" i="6"/>
  <c r="H3981" i="6"/>
  <c r="H3982" i="6"/>
  <c r="H3983" i="6"/>
  <c r="H3984" i="6"/>
  <c r="H3985" i="6"/>
  <c r="H3986" i="6"/>
  <c r="H3987" i="6"/>
  <c r="H3988" i="6"/>
  <c r="H3989" i="6"/>
  <c r="H3990" i="6"/>
  <c r="H3991" i="6"/>
  <c r="H3992" i="6"/>
  <c r="H3993" i="6"/>
  <c r="H3994" i="6"/>
  <c r="H3995" i="6"/>
  <c r="H3996" i="6"/>
  <c r="H3997" i="6"/>
  <c r="H3998" i="6"/>
  <c r="H3999" i="6"/>
  <c r="H4000" i="6"/>
  <c r="H4001" i="6"/>
  <c r="H4002" i="6"/>
  <c r="H4003" i="6"/>
  <c r="H4004" i="6"/>
  <c r="H4005" i="6"/>
  <c r="H4006" i="6"/>
  <c r="H4007" i="6"/>
  <c r="H4008" i="6"/>
  <c r="H4009" i="6"/>
  <c r="H4010" i="6"/>
  <c r="H4011" i="6"/>
  <c r="H4012" i="6"/>
  <c r="H4013" i="6"/>
  <c r="H4014" i="6"/>
  <c r="H4015" i="6"/>
  <c r="H4016" i="6"/>
  <c r="H4017" i="6"/>
  <c r="H4018" i="6"/>
  <c r="H4019" i="6"/>
  <c r="H4020" i="6"/>
  <c r="H4021" i="6"/>
  <c r="H4022" i="6"/>
  <c r="H4023" i="6"/>
  <c r="H4024" i="6"/>
  <c r="H4025" i="6"/>
  <c r="H4026" i="6"/>
  <c r="H4027" i="6"/>
  <c r="H4028" i="6"/>
  <c r="H4029" i="6"/>
  <c r="H4030" i="6"/>
  <c r="H4031" i="6"/>
  <c r="H4032" i="6"/>
  <c r="H4033" i="6"/>
  <c r="H4034" i="6"/>
  <c r="H4035" i="6"/>
  <c r="H4036" i="6"/>
  <c r="H4037" i="6"/>
  <c r="H4038" i="6"/>
  <c r="H4039" i="6"/>
  <c r="H4040" i="6"/>
  <c r="H4041" i="6"/>
  <c r="H4042" i="6"/>
  <c r="H4043" i="6"/>
  <c r="H4044" i="6"/>
  <c r="H4045" i="6"/>
  <c r="H4046" i="6"/>
  <c r="H4047" i="6"/>
  <c r="H4048" i="6"/>
  <c r="H4049" i="6"/>
  <c r="H4050" i="6"/>
  <c r="H4051" i="6"/>
  <c r="H4052" i="6"/>
  <c r="H4053" i="6"/>
  <c r="H4054" i="6"/>
  <c r="H4055" i="6"/>
  <c r="H4056" i="6"/>
  <c r="H4057" i="6"/>
  <c r="H4058" i="6"/>
  <c r="H4059" i="6"/>
  <c r="H4060" i="6"/>
  <c r="H4061" i="6"/>
  <c r="H4062" i="6"/>
  <c r="H4063" i="6"/>
  <c r="H4064" i="6"/>
  <c r="H4065" i="6"/>
  <c r="H4066" i="6"/>
  <c r="H4067" i="6"/>
  <c r="H4068" i="6"/>
  <c r="H4069" i="6"/>
  <c r="H4070" i="6"/>
  <c r="H4071" i="6"/>
  <c r="H4072" i="6"/>
  <c r="H4073" i="6"/>
  <c r="H4074" i="6"/>
  <c r="H4075" i="6"/>
  <c r="H4076" i="6"/>
  <c r="H4077" i="6"/>
  <c r="H4078" i="6"/>
  <c r="H4079" i="6"/>
  <c r="H4080" i="6"/>
  <c r="H4081" i="6"/>
  <c r="H4082" i="6"/>
  <c r="H4083" i="6"/>
  <c r="H4084" i="6"/>
  <c r="H4085" i="6"/>
  <c r="H4086" i="6"/>
  <c r="H4087" i="6"/>
  <c r="H4088" i="6"/>
  <c r="H4089" i="6"/>
  <c r="H4090" i="6"/>
  <c r="H4091" i="6"/>
  <c r="H4092" i="6"/>
  <c r="H4093" i="6"/>
  <c r="H4094" i="6"/>
  <c r="H4095" i="6"/>
  <c r="H4096" i="6"/>
  <c r="H4097" i="6"/>
  <c r="H4098" i="6"/>
  <c r="H4099" i="6"/>
  <c r="H4100" i="6"/>
  <c r="H4101" i="6"/>
  <c r="H4102" i="6"/>
  <c r="H4103" i="6"/>
  <c r="H4104" i="6"/>
  <c r="H4105" i="6"/>
  <c r="H4106" i="6"/>
  <c r="H4107" i="6"/>
  <c r="H4108" i="6"/>
  <c r="H4109" i="6"/>
  <c r="H4110" i="6"/>
  <c r="H4111" i="6"/>
  <c r="H4112" i="6"/>
  <c r="H4113" i="6"/>
  <c r="H4114" i="6"/>
  <c r="H4115" i="6"/>
  <c r="H4116" i="6"/>
  <c r="H4117" i="6"/>
  <c r="H4118" i="6"/>
  <c r="H4119" i="6"/>
  <c r="H4120" i="6"/>
  <c r="H4121" i="6"/>
  <c r="H4122" i="6"/>
  <c r="H4123" i="6"/>
  <c r="H4124" i="6"/>
  <c r="H4125" i="6"/>
  <c r="H4126" i="6"/>
  <c r="H4127" i="6"/>
  <c r="H4128" i="6"/>
  <c r="H4129" i="6"/>
  <c r="H4130" i="6"/>
  <c r="H4131" i="6"/>
  <c r="H4132" i="6"/>
  <c r="H4133" i="6"/>
  <c r="H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G3005" i="6"/>
  <c r="G3006" i="6"/>
  <c r="G3007" i="6"/>
  <c r="G3008" i="6"/>
  <c r="G3009" i="6"/>
  <c r="G3010" i="6"/>
  <c r="G3011" i="6"/>
  <c r="G3012" i="6"/>
  <c r="G3013" i="6"/>
  <c r="G3014" i="6"/>
  <c r="G3015" i="6"/>
  <c r="G3016" i="6"/>
  <c r="G3017" i="6"/>
  <c r="G3018" i="6"/>
  <c r="G3019" i="6"/>
  <c r="G3020" i="6"/>
  <c r="G3021" i="6"/>
  <c r="G3022" i="6"/>
  <c r="G3023" i="6"/>
  <c r="G3024" i="6"/>
  <c r="G3025" i="6"/>
  <c r="G3026" i="6"/>
  <c r="G3027" i="6"/>
  <c r="G3028" i="6"/>
  <c r="G3029" i="6"/>
  <c r="G3030" i="6"/>
  <c r="G3031" i="6"/>
  <c r="G3032" i="6"/>
  <c r="G3033" i="6"/>
  <c r="G3034" i="6"/>
  <c r="G3035" i="6"/>
  <c r="G3036" i="6"/>
  <c r="G3037" i="6"/>
  <c r="G3038" i="6"/>
  <c r="G3039" i="6"/>
  <c r="G3040" i="6"/>
  <c r="G3041" i="6"/>
  <c r="G3042" i="6"/>
  <c r="G3043" i="6"/>
  <c r="G3044" i="6"/>
  <c r="G3045" i="6"/>
  <c r="G3046" i="6"/>
  <c r="G3047" i="6"/>
  <c r="G3048" i="6"/>
  <c r="G3049" i="6"/>
  <c r="G3050" i="6"/>
  <c r="G3051" i="6"/>
  <c r="G3052" i="6"/>
  <c r="G3053" i="6"/>
  <c r="G3054" i="6"/>
  <c r="G3055" i="6"/>
  <c r="G3056" i="6"/>
  <c r="G3057" i="6"/>
  <c r="G3058" i="6"/>
  <c r="G3059" i="6"/>
  <c r="G3060" i="6"/>
  <c r="G3061" i="6"/>
  <c r="G3062" i="6"/>
  <c r="G3063" i="6"/>
  <c r="G3064" i="6"/>
  <c r="G3065" i="6"/>
  <c r="G3066" i="6"/>
  <c r="G3067" i="6"/>
  <c r="G3068" i="6"/>
  <c r="G3069" i="6"/>
  <c r="G3070" i="6"/>
  <c r="G3071" i="6"/>
  <c r="G3072" i="6"/>
  <c r="G3073" i="6"/>
  <c r="G3074" i="6"/>
  <c r="G3075" i="6"/>
  <c r="G3076" i="6"/>
  <c r="G3077" i="6"/>
  <c r="G3078" i="6"/>
  <c r="G3079" i="6"/>
  <c r="G3080" i="6"/>
  <c r="G3081" i="6"/>
  <c r="G3082" i="6"/>
  <c r="G3083" i="6"/>
  <c r="G3084" i="6"/>
  <c r="G3085" i="6"/>
  <c r="G3086" i="6"/>
  <c r="G3087" i="6"/>
  <c r="G3088" i="6"/>
  <c r="G3089" i="6"/>
  <c r="G3090" i="6"/>
  <c r="G3091" i="6"/>
  <c r="G3092" i="6"/>
  <c r="G3093" i="6"/>
  <c r="G3094" i="6"/>
  <c r="G3095" i="6"/>
  <c r="G3096" i="6"/>
  <c r="G3097" i="6"/>
  <c r="G3098" i="6"/>
  <c r="G3099" i="6"/>
  <c r="G3100" i="6"/>
  <c r="G3101" i="6"/>
  <c r="G3102" i="6"/>
  <c r="G3103" i="6"/>
  <c r="G3104" i="6"/>
  <c r="G3105" i="6"/>
  <c r="G3106" i="6"/>
  <c r="G3107" i="6"/>
  <c r="G3108" i="6"/>
  <c r="G3109" i="6"/>
  <c r="G3110" i="6"/>
  <c r="G3111" i="6"/>
  <c r="G3112" i="6"/>
  <c r="G3113" i="6"/>
  <c r="G3114" i="6"/>
  <c r="G3115" i="6"/>
  <c r="G3116" i="6"/>
  <c r="G3117" i="6"/>
  <c r="G3118" i="6"/>
  <c r="G3119" i="6"/>
  <c r="G3120" i="6"/>
  <c r="G3121" i="6"/>
  <c r="G3122" i="6"/>
  <c r="G3123" i="6"/>
  <c r="G3124" i="6"/>
  <c r="G3125" i="6"/>
  <c r="G3126" i="6"/>
  <c r="G3127" i="6"/>
  <c r="G3128" i="6"/>
  <c r="G3129" i="6"/>
  <c r="G3130" i="6"/>
  <c r="G3131" i="6"/>
  <c r="G3132" i="6"/>
  <c r="G3133" i="6"/>
  <c r="G3134" i="6"/>
  <c r="G3135" i="6"/>
  <c r="G3136" i="6"/>
  <c r="G3137" i="6"/>
  <c r="G3138" i="6"/>
  <c r="G3139" i="6"/>
  <c r="G3140" i="6"/>
  <c r="G3141" i="6"/>
  <c r="G3142" i="6"/>
  <c r="G3143" i="6"/>
  <c r="G3144" i="6"/>
  <c r="G3145" i="6"/>
  <c r="G3146" i="6"/>
  <c r="G3147" i="6"/>
  <c r="G3148" i="6"/>
  <c r="G3149" i="6"/>
  <c r="G3150" i="6"/>
  <c r="G3151" i="6"/>
  <c r="G3152" i="6"/>
  <c r="G3153" i="6"/>
  <c r="G3154" i="6"/>
  <c r="G3155" i="6"/>
  <c r="G3156" i="6"/>
  <c r="G3157" i="6"/>
  <c r="G3158" i="6"/>
  <c r="G3159" i="6"/>
  <c r="G3160" i="6"/>
  <c r="G3161" i="6"/>
  <c r="G3162" i="6"/>
  <c r="G3163" i="6"/>
  <c r="G3164" i="6"/>
  <c r="G3165" i="6"/>
  <c r="G3166" i="6"/>
  <c r="G3167" i="6"/>
  <c r="G3168" i="6"/>
  <c r="G3169" i="6"/>
  <c r="G3170" i="6"/>
  <c r="G3171" i="6"/>
  <c r="G3172" i="6"/>
  <c r="G3173" i="6"/>
  <c r="G3174" i="6"/>
  <c r="G3175" i="6"/>
  <c r="G3176" i="6"/>
  <c r="G3177" i="6"/>
  <c r="G3178" i="6"/>
  <c r="G3179" i="6"/>
  <c r="G3180" i="6"/>
  <c r="G3181" i="6"/>
  <c r="G3182" i="6"/>
  <c r="G3183" i="6"/>
  <c r="G3184" i="6"/>
  <c r="G3185" i="6"/>
  <c r="G3186" i="6"/>
  <c r="G3187" i="6"/>
  <c r="G3188" i="6"/>
  <c r="G3189" i="6"/>
  <c r="G3190" i="6"/>
  <c r="G3191" i="6"/>
  <c r="G3192" i="6"/>
  <c r="G3193" i="6"/>
  <c r="G3194" i="6"/>
  <c r="G3195" i="6"/>
  <c r="G3196" i="6"/>
  <c r="G3197" i="6"/>
  <c r="G3198" i="6"/>
  <c r="G3199" i="6"/>
  <c r="G3200" i="6"/>
  <c r="G3201" i="6"/>
  <c r="G3202" i="6"/>
  <c r="G3203" i="6"/>
  <c r="G3204" i="6"/>
  <c r="G3205" i="6"/>
  <c r="G3206" i="6"/>
  <c r="G3207" i="6"/>
  <c r="G3208" i="6"/>
  <c r="G3209" i="6"/>
  <c r="G3210" i="6"/>
  <c r="G3211" i="6"/>
  <c r="G3212" i="6"/>
  <c r="G3213" i="6"/>
  <c r="G3214" i="6"/>
  <c r="G3215" i="6"/>
  <c r="G3216" i="6"/>
  <c r="G3217" i="6"/>
  <c r="G3218" i="6"/>
  <c r="G3219" i="6"/>
  <c r="G3220" i="6"/>
  <c r="G3221" i="6"/>
  <c r="G3222" i="6"/>
  <c r="G3223" i="6"/>
  <c r="G3224" i="6"/>
  <c r="G3225" i="6"/>
  <c r="G3226" i="6"/>
  <c r="G3227" i="6"/>
  <c r="G3228" i="6"/>
  <c r="G3229" i="6"/>
  <c r="G3230" i="6"/>
  <c r="G3231" i="6"/>
  <c r="G3232" i="6"/>
  <c r="G3233" i="6"/>
  <c r="G3234" i="6"/>
  <c r="G3235" i="6"/>
  <c r="G3236" i="6"/>
  <c r="G3237" i="6"/>
  <c r="G3238" i="6"/>
  <c r="G3239" i="6"/>
  <c r="G3240" i="6"/>
  <c r="G3241" i="6"/>
  <c r="G3242" i="6"/>
  <c r="G3243" i="6"/>
  <c r="G3244" i="6"/>
  <c r="G3245" i="6"/>
  <c r="G3246" i="6"/>
  <c r="G3247" i="6"/>
  <c r="G3248" i="6"/>
  <c r="G3249" i="6"/>
  <c r="G3250" i="6"/>
  <c r="G3251" i="6"/>
  <c r="G3252" i="6"/>
  <c r="G3253" i="6"/>
  <c r="G3254" i="6"/>
  <c r="G3255" i="6"/>
  <c r="G3256" i="6"/>
  <c r="G3257" i="6"/>
  <c r="G3258" i="6"/>
  <c r="G3259" i="6"/>
  <c r="G3260" i="6"/>
  <c r="G3261" i="6"/>
  <c r="G3262" i="6"/>
  <c r="G3263" i="6"/>
  <c r="G3264" i="6"/>
  <c r="G3265" i="6"/>
  <c r="G3266" i="6"/>
  <c r="G3267" i="6"/>
  <c r="G3268" i="6"/>
  <c r="G3269" i="6"/>
  <c r="G3270" i="6"/>
  <c r="G3271" i="6"/>
  <c r="G3272" i="6"/>
  <c r="G3273" i="6"/>
  <c r="G3274" i="6"/>
  <c r="G3275" i="6"/>
  <c r="G3276" i="6"/>
  <c r="G3277" i="6"/>
  <c r="G3278" i="6"/>
  <c r="G3279" i="6"/>
  <c r="G3280" i="6"/>
  <c r="G3281" i="6"/>
  <c r="G3282" i="6"/>
  <c r="G3283" i="6"/>
  <c r="G3284" i="6"/>
  <c r="G3285" i="6"/>
  <c r="G3286" i="6"/>
  <c r="G3287" i="6"/>
  <c r="G3288" i="6"/>
  <c r="G3289" i="6"/>
  <c r="G3290" i="6"/>
  <c r="G3291" i="6"/>
  <c r="G3292" i="6"/>
  <c r="G3293" i="6"/>
  <c r="G3294" i="6"/>
  <c r="G3295" i="6"/>
  <c r="G3296" i="6"/>
  <c r="G3297" i="6"/>
  <c r="G3298" i="6"/>
  <c r="G3299" i="6"/>
  <c r="G3300" i="6"/>
  <c r="G3301" i="6"/>
  <c r="G3302" i="6"/>
  <c r="G3303" i="6"/>
  <c r="G3304" i="6"/>
  <c r="G3305" i="6"/>
  <c r="G3306" i="6"/>
  <c r="G3307" i="6"/>
  <c r="G3308" i="6"/>
  <c r="G3309" i="6"/>
  <c r="G3310" i="6"/>
  <c r="G3311" i="6"/>
  <c r="G3312" i="6"/>
  <c r="G3313" i="6"/>
  <c r="G3314" i="6"/>
  <c r="G3315" i="6"/>
  <c r="G3316" i="6"/>
  <c r="G3317" i="6"/>
  <c r="G3318" i="6"/>
  <c r="G3319" i="6"/>
  <c r="G3320" i="6"/>
  <c r="G3321" i="6"/>
  <c r="G3322" i="6"/>
  <c r="G3323" i="6"/>
  <c r="G3324" i="6"/>
  <c r="G3325" i="6"/>
  <c r="G3326" i="6"/>
  <c r="G3327" i="6"/>
  <c r="G3328" i="6"/>
  <c r="G3329" i="6"/>
  <c r="G3330" i="6"/>
  <c r="G3331" i="6"/>
  <c r="G3332" i="6"/>
  <c r="G3333" i="6"/>
  <c r="G3334" i="6"/>
  <c r="G3335" i="6"/>
  <c r="G3336" i="6"/>
  <c r="G3337" i="6"/>
  <c r="G3338" i="6"/>
  <c r="G3339" i="6"/>
  <c r="G3340" i="6"/>
  <c r="G3341" i="6"/>
  <c r="G3342" i="6"/>
  <c r="G3343" i="6"/>
  <c r="G3344" i="6"/>
  <c r="G3345" i="6"/>
  <c r="G3346" i="6"/>
  <c r="G3347" i="6"/>
  <c r="G3348" i="6"/>
  <c r="G3349" i="6"/>
  <c r="G3350" i="6"/>
  <c r="G3351" i="6"/>
  <c r="G3352" i="6"/>
  <c r="G3353" i="6"/>
  <c r="G3354" i="6"/>
  <c r="G3355" i="6"/>
  <c r="G3356" i="6"/>
  <c r="G3357" i="6"/>
  <c r="G3358" i="6"/>
  <c r="G3359" i="6"/>
  <c r="G3360" i="6"/>
  <c r="G3361" i="6"/>
  <c r="G3362" i="6"/>
  <c r="G3363" i="6"/>
  <c r="G3364" i="6"/>
  <c r="G3365" i="6"/>
  <c r="G3366" i="6"/>
  <c r="G3367" i="6"/>
  <c r="G3368" i="6"/>
  <c r="G3369" i="6"/>
  <c r="G3370" i="6"/>
  <c r="G3371" i="6"/>
  <c r="G3372" i="6"/>
  <c r="G3373" i="6"/>
  <c r="G3374" i="6"/>
  <c r="G3375" i="6"/>
  <c r="G3376" i="6"/>
  <c r="G3377" i="6"/>
  <c r="G3378" i="6"/>
  <c r="G3379" i="6"/>
  <c r="G3380" i="6"/>
  <c r="G3381" i="6"/>
  <c r="G3382" i="6"/>
  <c r="G3383" i="6"/>
  <c r="G3384" i="6"/>
  <c r="G3385" i="6"/>
  <c r="G3386" i="6"/>
  <c r="G3387" i="6"/>
  <c r="G3388" i="6"/>
  <c r="G3389" i="6"/>
  <c r="G3390" i="6"/>
  <c r="G3391" i="6"/>
  <c r="G3392" i="6"/>
  <c r="G3393" i="6"/>
  <c r="G3394" i="6"/>
  <c r="G3395" i="6"/>
  <c r="G3396" i="6"/>
  <c r="G3397" i="6"/>
  <c r="G3398" i="6"/>
  <c r="G3399" i="6"/>
  <c r="G3400" i="6"/>
  <c r="G3401" i="6"/>
  <c r="G3402" i="6"/>
  <c r="G3403" i="6"/>
  <c r="G3404" i="6"/>
  <c r="G3405" i="6"/>
  <c r="G3406" i="6"/>
  <c r="G3407" i="6"/>
  <c r="G3408" i="6"/>
  <c r="G3409" i="6"/>
  <c r="G3410" i="6"/>
  <c r="G3411" i="6"/>
  <c r="G3412" i="6"/>
  <c r="G3413" i="6"/>
  <c r="G3414" i="6"/>
  <c r="G3415" i="6"/>
  <c r="G3416" i="6"/>
  <c r="G3417" i="6"/>
  <c r="G3418" i="6"/>
  <c r="G3419" i="6"/>
  <c r="G3420" i="6"/>
  <c r="G3421" i="6"/>
  <c r="G3422" i="6"/>
  <c r="G3423" i="6"/>
  <c r="G3424" i="6"/>
  <c r="G3425" i="6"/>
  <c r="G3426" i="6"/>
  <c r="G3427" i="6"/>
  <c r="G3428" i="6"/>
  <c r="G3429" i="6"/>
  <c r="G3430" i="6"/>
  <c r="G3431" i="6"/>
  <c r="G3432" i="6"/>
  <c r="G3433" i="6"/>
  <c r="G3434" i="6"/>
  <c r="G3435" i="6"/>
  <c r="G3436" i="6"/>
  <c r="G3437" i="6"/>
  <c r="G3438" i="6"/>
  <c r="G3439" i="6"/>
  <c r="G3440" i="6"/>
  <c r="G3441" i="6"/>
  <c r="G3442" i="6"/>
  <c r="G3443" i="6"/>
  <c r="G3444" i="6"/>
  <c r="G3445" i="6"/>
  <c r="G3446" i="6"/>
  <c r="G3447" i="6"/>
  <c r="G3448" i="6"/>
  <c r="G3449" i="6"/>
  <c r="G3450" i="6"/>
  <c r="G3451" i="6"/>
  <c r="G3452" i="6"/>
  <c r="G3453" i="6"/>
  <c r="G3454" i="6"/>
  <c r="G3455" i="6"/>
  <c r="G3456" i="6"/>
  <c r="G3457" i="6"/>
  <c r="G3458" i="6"/>
  <c r="G3459" i="6"/>
  <c r="G3460" i="6"/>
  <c r="G3461" i="6"/>
  <c r="G3462" i="6"/>
  <c r="G3463" i="6"/>
  <c r="G3464" i="6"/>
  <c r="G3465" i="6"/>
  <c r="G3466" i="6"/>
  <c r="G3467" i="6"/>
  <c r="G3468" i="6"/>
  <c r="G3469" i="6"/>
  <c r="G3470" i="6"/>
  <c r="G3471" i="6"/>
  <c r="G3472" i="6"/>
  <c r="G3473" i="6"/>
  <c r="G3474" i="6"/>
  <c r="G3475" i="6"/>
  <c r="G3476" i="6"/>
  <c r="G3477" i="6"/>
  <c r="G3478" i="6"/>
  <c r="G3479" i="6"/>
  <c r="G3480" i="6"/>
  <c r="G3481" i="6"/>
  <c r="G3482" i="6"/>
  <c r="G3483" i="6"/>
  <c r="G3484" i="6"/>
  <c r="G3485" i="6"/>
  <c r="G3486" i="6"/>
  <c r="G3487" i="6"/>
  <c r="G3488" i="6"/>
  <c r="G3489" i="6"/>
  <c r="G3490" i="6"/>
  <c r="G3491" i="6"/>
  <c r="G3492" i="6"/>
  <c r="G3493" i="6"/>
  <c r="G3494" i="6"/>
  <c r="G3495" i="6"/>
  <c r="G3496" i="6"/>
  <c r="G3497" i="6"/>
  <c r="G3498" i="6"/>
  <c r="G3499" i="6"/>
  <c r="G3500" i="6"/>
  <c r="G3501" i="6"/>
  <c r="G3502" i="6"/>
  <c r="G3503" i="6"/>
  <c r="G3504" i="6"/>
  <c r="G3505" i="6"/>
  <c r="G3506" i="6"/>
  <c r="G3507" i="6"/>
  <c r="G3508" i="6"/>
  <c r="G3509" i="6"/>
  <c r="G3510" i="6"/>
  <c r="G3511" i="6"/>
  <c r="G3512" i="6"/>
  <c r="G3513" i="6"/>
  <c r="G3514" i="6"/>
  <c r="G3515" i="6"/>
  <c r="G3516" i="6"/>
  <c r="G3517" i="6"/>
  <c r="G3518" i="6"/>
  <c r="G3519" i="6"/>
  <c r="G3520" i="6"/>
  <c r="G3521" i="6"/>
  <c r="G3522" i="6"/>
  <c r="G3523" i="6"/>
  <c r="G3524" i="6"/>
  <c r="G3525" i="6"/>
  <c r="G3526" i="6"/>
  <c r="G3527" i="6"/>
  <c r="G3528" i="6"/>
  <c r="G3529" i="6"/>
  <c r="G3530" i="6"/>
  <c r="G3531" i="6"/>
  <c r="G3532" i="6"/>
  <c r="G3533" i="6"/>
  <c r="G3534" i="6"/>
  <c r="G3535" i="6"/>
  <c r="G3536" i="6"/>
  <c r="G3537" i="6"/>
  <c r="G3538" i="6"/>
  <c r="G3539" i="6"/>
  <c r="G3540" i="6"/>
  <c r="G3541" i="6"/>
  <c r="G3542" i="6"/>
  <c r="G3543" i="6"/>
  <c r="G3544" i="6"/>
  <c r="G3545" i="6"/>
  <c r="G3546" i="6"/>
  <c r="G3547" i="6"/>
  <c r="G3548" i="6"/>
  <c r="G3549" i="6"/>
  <c r="G3550" i="6"/>
  <c r="G3551" i="6"/>
  <c r="G3552" i="6"/>
  <c r="G3553" i="6"/>
  <c r="G3554" i="6"/>
  <c r="G3555" i="6"/>
  <c r="G3556" i="6"/>
  <c r="G3557" i="6"/>
  <c r="G3558" i="6"/>
  <c r="G3559" i="6"/>
  <c r="G3560" i="6"/>
  <c r="G3561" i="6"/>
  <c r="G3562" i="6"/>
  <c r="G3563" i="6"/>
  <c r="G3564" i="6"/>
  <c r="G3565" i="6"/>
  <c r="G3566" i="6"/>
  <c r="G3567" i="6"/>
  <c r="G3568" i="6"/>
  <c r="G3569" i="6"/>
  <c r="G3570" i="6"/>
  <c r="G3571" i="6"/>
  <c r="G3572" i="6"/>
  <c r="G3573" i="6"/>
  <c r="G3574" i="6"/>
  <c r="G3575" i="6"/>
  <c r="G3576" i="6"/>
  <c r="G3577" i="6"/>
  <c r="G3578" i="6"/>
  <c r="G3579" i="6"/>
  <c r="G3580" i="6"/>
  <c r="G3581" i="6"/>
  <c r="G3582" i="6"/>
  <c r="G3583" i="6"/>
  <c r="G3584" i="6"/>
  <c r="G3585" i="6"/>
  <c r="G3586" i="6"/>
  <c r="G3587" i="6"/>
  <c r="G3588" i="6"/>
  <c r="G3589" i="6"/>
  <c r="G3590" i="6"/>
  <c r="G3591" i="6"/>
  <c r="G3592" i="6"/>
  <c r="G3593" i="6"/>
  <c r="G3594" i="6"/>
  <c r="G3595" i="6"/>
  <c r="G3596" i="6"/>
  <c r="G3597" i="6"/>
  <c r="G3598" i="6"/>
  <c r="G3599" i="6"/>
  <c r="G3600" i="6"/>
  <c r="G3601" i="6"/>
  <c r="G3602" i="6"/>
  <c r="G3603" i="6"/>
  <c r="G3604" i="6"/>
  <c r="G3605" i="6"/>
  <c r="G3606" i="6"/>
  <c r="G3607" i="6"/>
  <c r="G3608" i="6"/>
  <c r="G3609" i="6"/>
  <c r="G3610" i="6"/>
  <c r="G3611" i="6"/>
  <c r="G3612" i="6"/>
  <c r="G3613" i="6"/>
  <c r="G3614" i="6"/>
  <c r="G3615" i="6"/>
  <c r="G3616" i="6"/>
  <c r="G3617" i="6"/>
  <c r="G3618" i="6"/>
  <c r="G3619" i="6"/>
  <c r="G3620" i="6"/>
  <c r="G3621" i="6"/>
  <c r="G3622" i="6"/>
  <c r="G3623" i="6"/>
  <c r="G3624" i="6"/>
  <c r="G3625" i="6"/>
  <c r="G3626" i="6"/>
  <c r="G3627" i="6"/>
  <c r="G3628" i="6"/>
  <c r="G3629" i="6"/>
  <c r="G3630" i="6"/>
  <c r="G3631" i="6"/>
  <c r="G3632" i="6"/>
  <c r="G3633" i="6"/>
  <c r="G3634" i="6"/>
  <c r="G3635" i="6"/>
  <c r="G3636" i="6"/>
  <c r="G3637" i="6"/>
  <c r="G3638" i="6"/>
  <c r="G3639" i="6"/>
  <c r="G3640" i="6"/>
  <c r="G3641" i="6"/>
  <c r="G3642" i="6"/>
  <c r="G3643" i="6"/>
  <c r="G3644" i="6"/>
  <c r="G3645" i="6"/>
  <c r="G3646" i="6"/>
  <c r="G3647" i="6"/>
  <c r="G3648" i="6"/>
  <c r="G3649" i="6"/>
  <c r="G3650" i="6"/>
  <c r="G3651" i="6"/>
  <c r="G3652" i="6"/>
  <c r="G3653" i="6"/>
  <c r="G3654" i="6"/>
  <c r="G3655" i="6"/>
  <c r="G3656" i="6"/>
  <c r="G3657" i="6"/>
  <c r="G3658" i="6"/>
  <c r="G3659" i="6"/>
  <c r="G3660" i="6"/>
  <c r="G3661" i="6"/>
  <c r="G3662" i="6"/>
  <c r="G3663" i="6"/>
  <c r="G3664" i="6"/>
  <c r="G3665" i="6"/>
  <c r="G3666" i="6"/>
  <c r="G3667" i="6"/>
  <c r="G3668" i="6"/>
  <c r="G3669" i="6"/>
  <c r="G3670" i="6"/>
  <c r="G3671" i="6"/>
  <c r="G3672" i="6"/>
  <c r="G3673" i="6"/>
  <c r="G3674" i="6"/>
  <c r="G3675" i="6"/>
  <c r="G3676" i="6"/>
  <c r="G3677" i="6"/>
  <c r="G3678" i="6"/>
  <c r="G3679" i="6"/>
  <c r="G3680" i="6"/>
  <c r="G3681" i="6"/>
  <c r="G3682" i="6"/>
  <c r="G3683" i="6"/>
  <c r="G3684" i="6"/>
  <c r="G3685" i="6"/>
  <c r="G3686" i="6"/>
  <c r="G3687" i="6"/>
  <c r="G3688" i="6"/>
  <c r="G3689" i="6"/>
  <c r="G3690" i="6"/>
  <c r="G3691" i="6"/>
  <c r="G3692" i="6"/>
  <c r="G3693" i="6"/>
  <c r="G3694" i="6"/>
  <c r="G3695" i="6"/>
  <c r="G3696" i="6"/>
  <c r="G3697" i="6"/>
  <c r="G3698" i="6"/>
  <c r="G3699" i="6"/>
  <c r="G3700" i="6"/>
  <c r="G3701" i="6"/>
  <c r="G3702" i="6"/>
  <c r="G3703" i="6"/>
  <c r="G3704" i="6"/>
  <c r="G3705" i="6"/>
  <c r="G3706" i="6"/>
  <c r="G3707" i="6"/>
  <c r="G3708" i="6"/>
  <c r="G3709" i="6"/>
  <c r="G3710" i="6"/>
  <c r="G3711" i="6"/>
  <c r="G3712" i="6"/>
  <c r="G3713" i="6"/>
  <c r="G3714" i="6"/>
  <c r="G3715" i="6"/>
  <c r="G3716" i="6"/>
  <c r="G3717" i="6"/>
  <c r="G3718" i="6"/>
  <c r="G3719" i="6"/>
  <c r="G3720" i="6"/>
  <c r="G3721" i="6"/>
  <c r="G3722" i="6"/>
  <c r="G3723" i="6"/>
  <c r="G3724" i="6"/>
  <c r="G3725" i="6"/>
  <c r="G3726" i="6"/>
  <c r="G3727" i="6"/>
  <c r="G3728" i="6"/>
  <c r="G3729" i="6"/>
  <c r="G3730" i="6"/>
  <c r="G3731" i="6"/>
  <c r="G3732" i="6"/>
  <c r="G3733" i="6"/>
  <c r="G3734" i="6"/>
  <c r="G3735" i="6"/>
  <c r="G3736" i="6"/>
  <c r="G3737" i="6"/>
  <c r="G3738" i="6"/>
  <c r="G3739" i="6"/>
  <c r="G3740" i="6"/>
  <c r="G3741" i="6"/>
  <c r="G3742" i="6"/>
  <c r="G3743" i="6"/>
  <c r="G3744" i="6"/>
  <c r="G3745" i="6"/>
  <c r="G3746" i="6"/>
  <c r="G3747" i="6"/>
  <c r="G3748" i="6"/>
  <c r="G3749" i="6"/>
  <c r="G3750" i="6"/>
  <c r="G3751" i="6"/>
  <c r="G3752" i="6"/>
  <c r="G3753" i="6"/>
  <c r="G3754" i="6"/>
  <c r="G3755" i="6"/>
  <c r="G3756" i="6"/>
  <c r="G3757" i="6"/>
  <c r="G3758" i="6"/>
  <c r="G3759" i="6"/>
  <c r="G3760" i="6"/>
  <c r="G3761" i="6"/>
  <c r="G3762" i="6"/>
  <c r="G3763" i="6"/>
  <c r="G3764" i="6"/>
  <c r="G3765" i="6"/>
  <c r="G3766" i="6"/>
  <c r="G3767" i="6"/>
  <c r="G3768" i="6"/>
  <c r="G3769" i="6"/>
  <c r="G3770" i="6"/>
  <c r="G3771" i="6"/>
  <c r="G3772" i="6"/>
  <c r="G3773" i="6"/>
  <c r="G3774" i="6"/>
  <c r="G3775" i="6"/>
  <c r="G3776" i="6"/>
  <c r="G3777" i="6"/>
  <c r="G3778" i="6"/>
  <c r="G3779" i="6"/>
  <c r="G3780" i="6"/>
  <c r="G3781" i="6"/>
  <c r="G3782" i="6"/>
  <c r="G3783" i="6"/>
  <c r="G3784" i="6"/>
  <c r="G3785" i="6"/>
  <c r="G3786" i="6"/>
  <c r="G3787" i="6"/>
  <c r="G3788" i="6"/>
  <c r="G3789" i="6"/>
  <c r="G3790" i="6"/>
  <c r="G3791" i="6"/>
  <c r="G3792" i="6"/>
  <c r="G3793" i="6"/>
  <c r="G3794" i="6"/>
  <c r="G3795" i="6"/>
  <c r="G3796" i="6"/>
  <c r="G3797" i="6"/>
  <c r="G3798" i="6"/>
  <c r="G3799" i="6"/>
  <c r="G3800" i="6"/>
  <c r="G3801" i="6"/>
  <c r="G3802" i="6"/>
  <c r="G3803" i="6"/>
  <c r="G3804" i="6"/>
  <c r="G3805" i="6"/>
  <c r="G3806" i="6"/>
  <c r="G3807" i="6"/>
  <c r="G3808" i="6"/>
  <c r="G3809" i="6"/>
  <c r="G3810" i="6"/>
  <c r="G3811" i="6"/>
  <c r="G3812" i="6"/>
  <c r="G3813" i="6"/>
  <c r="G3814" i="6"/>
  <c r="G3815" i="6"/>
  <c r="G3816" i="6"/>
  <c r="G3817" i="6"/>
  <c r="G3818" i="6"/>
  <c r="G3819" i="6"/>
  <c r="G3820" i="6"/>
  <c r="G3821" i="6"/>
  <c r="G3822" i="6"/>
  <c r="G3823" i="6"/>
  <c r="G3824" i="6"/>
  <c r="G3825" i="6"/>
  <c r="G3826" i="6"/>
  <c r="G3827" i="6"/>
  <c r="G3828" i="6"/>
  <c r="G3829" i="6"/>
  <c r="G3830" i="6"/>
  <c r="G3831" i="6"/>
  <c r="G3832" i="6"/>
  <c r="G3833" i="6"/>
  <c r="G3834" i="6"/>
  <c r="G3835" i="6"/>
  <c r="G3836" i="6"/>
  <c r="G3837" i="6"/>
  <c r="G3838" i="6"/>
  <c r="G3839" i="6"/>
  <c r="G3840" i="6"/>
  <c r="G3841" i="6"/>
  <c r="G3842" i="6"/>
  <c r="G3843" i="6"/>
  <c r="G3844" i="6"/>
  <c r="G3845" i="6"/>
  <c r="G3846" i="6"/>
  <c r="G3847" i="6"/>
  <c r="G3848" i="6"/>
  <c r="G3849" i="6"/>
  <c r="G3850" i="6"/>
  <c r="G3851" i="6"/>
  <c r="G3852" i="6"/>
  <c r="G3853" i="6"/>
  <c r="G3854" i="6"/>
  <c r="G3855" i="6"/>
  <c r="G3856" i="6"/>
  <c r="G3857" i="6"/>
  <c r="G3858" i="6"/>
  <c r="G3859" i="6"/>
  <c r="G3860" i="6"/>
  <c r="G3861" i="6"/>
  <c r="G3862" i="6"/>
  <c r="G3863" i="6"/>
  <c r="G3864" i="6"/>
  <c r="G3865" i="6"/>
  <c r="G3866" i="6"/>
  <c r="G3867" i="6"/>
  <c r="G3868" i="6"/>
  <c r="G3869" i="6"/>
  <c r="G3870" i="6"/>
  <c r="G3871" i="6"/>
  <c r="G3872" i="6"/>
  <c r="G3873" i="6"/>
  <c r="G3874" i="6"/>
  <c r="G3875" i="6"/>
  <c r="G3876" i="6"/>
  <c r="G3877" i="6"/>
  <c r="G3878" i="6"/>
  <c r="G3879" i="6"/>
  <c r="G3880" i="6"/>
  <c r="G3881" i="6"/>
  <c r="G3882" i="6"/>
  <c r="G3883" i="6"/>
  <c r="G3884" i="6"/>
  <c r="G3885" i="6"/>
  <c r="G3886" i="6"/>
  <c r="G3887" i="6"/>
  <c r="G3888" i="6"/>
  <c r="G3889" i="6"/>
  <c r="G3890" i="6"/>
  <c r="G3891" i="6"/>
  <c r="G3892" i="6"/>
  <c r="G3893" i="6"/>
  <c r="G3894" i="6"/>
  <c r="G3895" i="6"/>
  <c r="G3896" i="6"/>
  <c r="G3897" i="6"/>
  <c r="G3898" i="6"/>
  <c r="G3899" i="6"/>
  <c r="G3900" i="6"/>
  <c r="G3901" i="6"/>
  <c r="G3902" i="6"/>
  <c r="G3903" i="6"/>
  <c r="G3904" i="6"/>
  <c r="G3905" i="6"/>
  <c r="G3906" i="6"/>
  <c r="G3907" i="6"/>
  <c r="G3908" i="6"/>
  <c r="G3909" i="6"/>
  <c r="G3910" i="6"/>
  <c r="G3911" i="6"/>
  <c r="G3912" i="6"/>
  <c r="G3913" i="6"/>
  <c r="G3914" i="6"/>
  <c r="G3915" i="6"/>
  <c r="G3916" i="6"/>
  <c r="G3917" i="6"/>
  <c r="G3918" i="6"/>
  <c r="G3919" i="6"/>
  <c r="G3920" i="6"/>
  <c r="G3921" i="6"/>
  <c r="G3922" i="6"/>
  <c r="G3923" i="6"/>
  <c r="G3924" i="6"/>
  <c r="G3925" i="6"/>
  <c r="G3926" i="6"/>
  <c r="G3927" i="6"/>
  <c r="G3928" i="6"/>
  <c r="G3929" i="6"/>
  <c r="G3930" i="6"/>
  <c r="G3931" i="6"/>
  <c r="G3932" i="6"/>
  <c r="G3933" i="6"/>
  <c r="G3934" i="6"/>
  <c r="G3935" i="6"/>
  <c r="G3936" i="6"/>
  <c r="G3937" i="6"/>
  <c r="G3938" i="6"/>
  <c r="G3939" i="6"/>
  <c r="G3940" i="6"/>
  <c r="G3941" i="6"/>
  <c r="G3942" i="6"/>
  <c r="G3943" i="6"/>
  <c r="G3944" i="6"/>
  <c r="G3945" i="6"/>
  <c r="G3946" i="6"/>
  <c r="G3947" i="6"/>
  <c r="G3948" i="6"/>
  <c r="G3949" i="6"/>
  <c r="G3950" i="6"/>
  <c r="G3951" i="6"/>
  <c r="G3952" i="6"/>
  <c r="G3953" i="6"/>
  <c r="G3954" i="6"/>
  <c r="G3955" i="6"/>
  <c r="G3956" i="6"/>
  <c r="G3957" i="6"/>
  <c r="G3958" i="6"/>
  <c r="G3959" i="6"/>
  <c r="G3960" i="6"/>
  <c r="G3961" i="6"/>
  <c r="G3962" i="6"/>
  <c r="G3963" i="6"/>
  <c r="G3964" i="6"/>
  <c r="G3965" i="6"/>
  <c r="G3966" i="6"/>
  <c r="G3967" i="6"/>
  <c r="G3968" i="6"/>
  <c r="G3969" i="6"/>
  <c r="G3970" i="6"/>
  <c r="G3971" i="6"/>
  <c r="G3972" i="6"/>
  <c r="G3973" i="6"/>
  <c r="G3974" i="6"/>
  <c r="G3975" i="6"/>
  <c r="G3976" i="6"/>
  <c r="G3977" i="6"/>
  <c r="G3978" i="6"/>
  <c r="G3979" i="6"/>
  <c r="G3980" i="6"/>
  <c r="G3981" i="6"/>
  <c r="G3982" i="6"/>
  <c r="G3983" i="6"/>
  <c r="G3984" i="6"/>
  <c r="G3985" i="6"/>
  <c r="G3986" i="6"/>
  <c r="G3987" i="6"/>
  <c r="G3988" i="6"/>
  <c r="G3989" i="6"/>
  <c r="G3990" i="6"/>
  <c r="G3991" i="6"/>
  <c r="G3992" i="6"/>
  <c r="G3993" i="6"/>
  <c r="G3994" i="6"/>
  <c r="G3995" i="6"/>
  <c r="G3996" i="6"/>
  <c r="G3997" i="6"/>
  <c r="G3998" i="6"/>
  <c r="G3999" i="6"/>
  <c r="G4000" i="6"/>
  <c r="G3" i="6"/>
  <c r="A91" i="5"/>
  <c r="A90" i="5"/>
  <c r="A89" i="5"/>
  <c r="A87" i="5"/>
  <c r="A88" i="5"/>
  <c r="B11" i="7"/>
  <c r="A84" i="5"/>
  <c r="A83" i="5"/>
  <c r="A85" i="5"/>
  <c r="A86" i="5"/>
  <c r="A82" i="5"/>
  <c r="P83" i="1"/>
  <c r="P84" i="1"/>
  <c r="P85" i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4" i="1"/>
  <c r="P5" i="1" s="1"/>
  <c r="I4553" i="6"/>
  <c r="I4538" i="6"/>
  <c r="I4539" i="6" s="1"/>
  <c r="I4540" i="6" s="1"/>
  <c r="I4541" i="6" s="1"/>
  <c r="I4542" i="6" s="1"/>
  <c r="I4543" i="6" s="1"/>
  <c r="I4544" i="6" s="1"/>
  <c r="I4545" i="6" s="1"/>
  <c r="I4546" i="6" s="1"/>
  <c r="I4547" i="6" s="1"/>
  <c r="I4548" i="6" s="1"/>
  <c r="I4549" i="6" s="1"/>
  <c r="I4550" i="6" s="1"/>
  <c r="I4551" i="6" s="1"/>
  <c r="B3" i="7"/>
  <c r="C2" i="7"/>
  <c r="A43" i="2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4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T3" i="1"/>
  <c r="A3" i="5"/>
  <c r="A4" i="5"/>
  <c r="A2" i="5"/>
  <c r="P3" i="1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" i="4"/>
  <c r="K4" i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3" i="1"/>
  <c r="J39" i="1"/>
  <c r="J40" i="1"/>
  <c r="J41" i="1"/>
  <c r="J42" i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" i="1"/>
  <c r="C36" i="1"/>
  <c r="C37" i="1" s="1"/>
  <c r="A62" i="3"/>
  <c r="A57" i="3"/>
  <c r="A58" i="3"/>
  <c r="A59" i="3"/>
  <c r="A60" i="3"/>
  <c r="A61" i="3"/>
  <c r="A51" i="3"/>
  <c r="A52" i="3"/>
  <c r="A53" i="3"/>
  <c r="A54" i="3"/>
  <c r="A55" i="3"/>
  <c r="A56" i="3"/>
  <c r="A43" i="3"/>
  <c r="A44" i="3"/>
  <c r="A45" i="3"/>
  <c r="A46" i="3"/>
  <c r="A47" i="3"/>
  <c r="A48" i="3"/>
  <c r="A49" i="3"/>
  <c r="A50" i="3"/>
  <c r="A42" i="3"/>
  <c r="A35" i="2"/>
  <c r="A36" i="2"/>
  <c r="G43" i="1"/>
  <c r="G44" i="1"/>
  <c r="G45" i="1"/>
  <c r="G46" i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2" i="3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C4" i="1"/>
  <c r="C5" i="1" s="1"/>
  <c r="A2" i="2"/>
  <c r="C3" i="1"/>
  <c r="A3" i="2" s="1"/>
  <c r="H5186" i="6" l="1"/>
  <c r="H5182" i="6"/>
  <c r="H5178" i="6"/>
  <c r="H5174" i="6"/>
  <c r="G4208" i="6" a="1"/>
  <c r="G4208" i="6" s="1"/>
  <c r="G4211" i="6" a="1"/>
  <c r="G4211" i="6" s="1"/>
  <c r="G4218" i="6" a="1"/>
  <c r="G4218" i="6" s="1"/>
  <c r="G4221" i="6" a="1"/>
  <c r="G4221" i="6" s="1"/>
  <c r="G4224" i="6" a="1"/>
  <c r="G4224" i="6" s="1"/>
  <c r="G4227" i="6" a="1"/>
  <c r="G4227" i="6" s="1"/>
  <c r="G4234" i="6" a="1"/>
  <c r="G4234" i="6" s="1"/>
  <c r="G4237" i="6" a="1"/>
  <c r="G4237" i="6" s="1"/>
  <c r="G4240" i="6" a="1"/>
  <c r="G4240" i="6" s="1"/>
  <c r="G4209" i="6" a="1"/>
  <c r="G4209" i="6" s="1"/>
  <c r="G4212" i="6" a="1"/>
  <c r="G4212" i="6" s="1"/>
  <c r="G4215" i="6" a="1"/>
  <c r="G4215" i="6" s="1"/>
  <c r="G4222" i="6" a="1"/>
  <c r="G4222" i="6" s="1"/>
  <c r="G4225" i="6" a="1"/>
  <c r="G4225" i="6" s="1"/>
  <c r="G4228" i="6" a="1"/>
  <c r="G4228" i="6" s="1"/>
  <c r="G4231" i="6" a="1"/>
  <c r="G4231" i="6" s="1"/>
  <c r="G4238" i="6" a="1"/>
  <c r="G4238" i="6" s="1"/>
  <c r="G4214" i="6" a="1"/>
  <c r="G4214" i="6" s="1"/>
  <c r="G4217" i="6" a="1"/>
  <c r="G4217" i="6" s="1"/>
  <c r="G4220" i="6" a="1"/>
  <c r="G4220" i="6" s="1"/>
  <c r="G4223" i="6" a="1"/>
  <c r="G4223" i="6" s="1"/>
  <c r="G4230" i="6" a="1"/>
  <c r="G4230" i="6" s="1"/>
  <c r="G4233" i="6" a="1"/>
  <c r="G4233" i="6" s="1"/>
  <c r="G4236" i="6" a="1"/>
  <c r="G4236" i="6" s="1"/>
  <c r="G4239" i="6" a="1"/>
  <c r="G4239" i="6" s="1"/>
  <c r="G4213" i="6" a="1"/>
  <c r="G4213" i="6" s="1"/>
  <c r="G4226" i="6" a="1"/>
  <c r="G4226" i="6" s="1"/>
  <c r="G4219" i="6" a="1"/>
  <c r="G4219" i="6" s="1"/>
  <c r="G4235" i="6" a="1"/>
  <c r="G4235" i="6" s="1"/>
  <c r="G4210" i="6" a="1"/>
  <c r="G4210" i="6" s="1"/>
  <c r="G4229" i="6" a="1"/>
  <c r="G4229" i="6" s="1"/>
  <c r="G4216" i="6" a="1"/>
  <c r="G4216" i="6" s="1"/>
  <c r="G4232" i="6" a="1"/>
  <c r="G4232" i="6" s="1"/>
  <c r="G5172" i="6" a="1"/>
  <c r="G5172" i="6" s="1"/>
  <c r="G5177" i="6" a="1"/>
  <c r="G5177" i="6" s="1"/>
  <c r="G5180" i="6" a="1"/>
  <c r="G5180" i="6" s="1"/>
  <c r="G5185" i="6" a="1"/>
  <c r="G5185" i="6" s="1"/>
  <c r="G5188" i="6" a="1"/>
  <c r="G5188" i="6" s="1"/>
  <c r="H4210" i="6"/>
  <c r="H4214" i="6"/>
  <c r="H4218" i="6"/>
  <c r="H4222" i="6"/>
  <c r="H4226" i="6"/>
  <c r="H4230" i="6"/>
  <c r="H4234" i="6"/>
  <c r="H4238" i="6"/>
  <c r="G5175" i="6" a="1"/>
  <c r="G5175" i="6" s="1"/>
  <c r="G5178" i="6" a="1"/>
  <c r="G5178" i="6" s="1"/>
  <c r="G5183" i="6" a="1"/>
  <c r="G5183" i="6" s="1"/>
  <c r="G5186" i="6" a="1"/>
  <c r="G5186" i="6" s="1"/>
  <c r="H4211" i="6"/>
  <c r="H4215" i="6"/>
  <c r="H4219" i="6"/>
  <c r="H4223" i="6"/>
  <c r="H4227" i="6"/>
  <c r="H4231" i="6"/>
  <c r="H4235" i="6"/>
  <c r="H4239" i="6"/>
  <c r="G5173" i="6" a="1"/>
  <c r="G5173" i="6" s="1"/>
  <c r="G5176" i="6" a="1"/>
  <c r="G5176" i="6" s="1"/>
  <c r="G5181" i="6" a="1"/>
  <c r="G5181" i="6" s="1"/>
  <c r="G5184" i="6" a="1"/>
  <c r="G5184" i="6" s="1"/>
  <c r="H4208" i="6"/>
  <c r="H4212" i="6"/>
  <c r="H4216" i="6"/>
  <c r="H4220" i="6"/>
  <c r="H4224" i="6"/>
  <c r="H4228" i="6"/>
  <c r="H4232" i="6"/>
  <c r="H4236" i="6"/>
  <c r="H4240" i="6"/>
  <c r="G5171" i="6" a="1"/>
  <c r="G5171" i="6" s="1"/>
  <c r="G5174" i="6" a="1"/>
  <c r="G5174" i="6" s="1"/>
  <c r="G5179" i="6" a="1"/>
  <c r="G5179" i="6" s="1"/>
  <c r="G5182" i="6" a="1"/>
  <c r="G5182" i="6" s="1"/>
  <c r="G5187" i="6" a="1"/>
  <c r="G5187" i="6" s="1"/>
  <c r="H4209" i="6"/>
  <c r="H4213" i="6"/>
  <c r="H4217" i="6"/>
  <c r="H4221" i="6"/>
  <c r="H4225" i="6"/>
  <c r="H4229" i="6"/>
  <c r="H4233" i="6"/>
  <c r="H4237" i="6"/>
  <c r="H5185" i="6"/>
  <c r="H5181" i="6"/>
  <c r="H5177" i="6"/>
  <c r="H5173" i="6"/>
  <c r="H5188" i="6"/>
  <c r="H5184" i="6"/>
  <c r="H5180" i="6"/>
  <c r="H5176" i="6"/>
  <c r="H5172" i="6"/>
  <c r="H5187" i="6"/>
  <c r="H5183" i="6"/>
  <c r="H5179" i="6"/>
  <c r="H5175" i="6"/>
  <c r="H5171" i="6"/>
  <c r="P6" i="1"/>
  <c r="A5" i="5"/>
  <c r="A37" i="2"/>
  <c r="C38" i="1"/>
  <c r="A4" i="2"/>
  <c r="A5" i="2"/>
  <c r="C6" i="1"/>
  <c r="G4195" i="6" l="1" a="1"/>
  <c r="G4195" i="6" s="1"/>
  <c r="G4135" i="6" a="1"/>
  <c r="G4135" i="6" s="1"/>
  <c r="G4196" i="6" a="1"/>
  <c r="G4196" i="6" s="1"/>
  <c r="G4201" i="6" a="1"/>
  <c r="G4201" i="6" s="1"/>
  <c r="G4136" i="6" a="1"/>
  <c r="G4136" i="6" s="1"/>
  <c r="G4200" i="6" a="1"/>
  <c r="G4200" i="6" s="1"/>
  <c r="G4203" i="6" a="1"/>
  <c r="G4203" i="6" s="1"/>
  <c r="G4137" i="6" a="1"/>
  <c r="G4137" i="6" s="1"/>
  <c r="G4202" i="6" a="1"/>
  <c r="G4202" i="6" s="1"/>
  <c r="G4138" i="6" a="1"/>
  <c r="G4138" i="6" s="1"/>
  <c r="G4199" i="6" a="1"/>
  <c r="G4199" i="6" s="1"/>
  <c r="G4140" i="6" a="1"/>
  <c r="G4140" i="6" s="1"/>
  <c r="G4204" i="6" a="1"/>
  <c r="G4204" i="6" s="1"/>
  <c r="G4139" i="6" a="1"/>
  <c r="G4139" i="6" s="1"/>
  <c r="G4141" i="6" a="1"/>
  <c r="G4141" i="6" s="1"/>
  <c r="G4205" i="6" a="1"/>
  <c r="G4205" i="6" s="1"/>
  <c r="G4142" i="6" a="1"/>
  <c r="G4142" i="6" s="1"/>
  <c r="G4206" i="6" a="1"/>
  <c r="G4206" i="6" s="1"/>
  <c r="G4143" i="6" a="1"/>
  <c r="G4143" i="6" s="1"/>
  <c r="G4191" i="6" a="1"/>
  <c r="G4191" i="6" s="1"/>
  <c r="G4207" i="6" a="1"/>
  <c r="G4207" i="6" s="1"/>
  <c r="G4144" i="6" a="1"/>
  <c r="G4144" i="6" s="1"/>
  <c r="G4192" i="6" a="1"/>
  <c r="G4192" i="6" s="1"/>
  <c r="G4145" i="6" a="1"/>
  <c r="G4145" i="6" s="1"/>
  <c r="G4193" i="6" a="1"/>
  <c r="G4193" i="6" s="1"/>
  <c r="G4198" i="6" a="1"/>
  <c r="G4198" i="6" s="1"/>
  <c r="G4194" i="6" a="1"/>
  <c r="G4194" i="6" s="1"/>
  <c r="G4197" i="6" a="1"/>
  <c r="G4197" i="6" s="1"/>
  <c r="H4194" i="6"/>
  <c r="H4139" i="6"/>
  <c r="H4203" i="6"/>
  <c r="H4144" i="6"/>
  <c r="H4192" i="6"/>
  <c r="H4137" i="6"/>
  <c r="H4201" i="6"/>
  <c r="G4134" i="6" a="1"/>
  <c r="G4134" i="6" s="1"/>
  <c r="H4198" i="6"/>
  <c r="H4143" i="6"/>
  <c r="H4191" i="6"/>
  <c r="H4207" i="6"/>
  <c r="H4196" i="6"/>
  <c r="H4141" i="6"/>
  <c r="H4205" i="6"/>
  <c r="H4138" i="6"/>
  <c r="H4202" i="6"/>
  <c r="H4195" i="6"/>
  <c r="H4136" i="6"/>
  <c r="H4200" i="6"/>
  <c r="H4145" i="6"/>
  <c r="H4193" i="6"/>
  <c r="H4142" i="6"/>
  <c r="H4206" i="6"/>
  <c r="H4135" i="6"/>
  <c r="H4199" i="6"/>
  <c r="H4140" i="6"/>
  <c r="H4204" i="6"/>
  <c r="H4197" i="6"/>
  <c r="H4134" i="6"/>
  <c r="P7" i="1"/>
  <c r="A6" i="5"/>
  <c r="A38" i="2"/>
  <c r="C39" i="1"/>
  <c r="A6" i="2"/>
  <c r="C7" i="1"/>
  <c r="G4147" i="6" l="1" a="1"/>
  <c r="G4147" i="6" s="1"/>
  <c r="G4153" i="6" a="1"/>
  <c r="G4153" i="6" s="1"/>
  <c r="G4186" i="6" a="1"/>
  <c r="G4186" i="6" s="1"/>
  <c r="G4167" i="6" a="1"/>
  <c r="G4167" i="6" s="1"/>
  <c r="G4188" i="6" a="1"/>
  <c r="G4188" i="6" s="1"/>
  <c r="G4173" i="6" a="1"/>
  <c r="G4173" i="6" s="1"/>
  <c r="G4158" i="6" a="1"/>
  <c r="G4158" i="6" s="1"/>
  <c r="G4175" i="6" a="1"/>
  <c r="G4175" i="6" s="1"/>
  <c r="G4178" i="6" a="1"/>
  <c r="G4178" i="6" s="1"/>
  <c r="G4166" i="6" a="1"/>
  <c r="G4166" i="6" s="1"/>
  <c r="G4187" i="6" a="1"/>
  <c r="G4187" i="6" s="1"/>
  <c r="G4163" i="6" a="1"/>
  <c r="G4163" i="6" s="1"/>
  <c r="G4148" i="6" a="1"/>
  <c r="G4148" i="6" s="1"/>
  <c r="G4169" i="6" a="1"/>
  <c r="G4169" i="6" s="1"/>
  <c r="G4183" i="6" a="1"/>
  <c r="G4183" i="6" s="1"/>
  <c r="G4146" i="6" a="1"/>
  <c r="G4146" i="6" s="1"/>
  <c r="G4189" i="6" a="1"/>
  <c r="G4189" i="6" s="1"/>
  <c r="G4174" i="6" a="1"/>
  <c r="G4174" i="6" s="1"/>
  <c r="G4165" i="6" a="1"/>
  <c r="G4165" i="6" s="1"/>
  <c r="G4160" i="6" a="1"/>
  <c r="G4160" i="6" s="1"/>
  <c r="G4161" i="6" a="1"/>
  <c r="G4161" i="6" s="1"/>
  <c r="G4182" i="6" a="1"/>
  <c r="G4182" i="6" s="1"/>
  <c r="G4181" i="6" a="1"/>
  <c r="G4181" i="6" s="1"/>
  <c r="G4179" i="6" a="1"/>
  <c r="G4179" i="6" s="1"/>
  <c r="G4164" i="6" a="1"/>
  <c r="G4164" i="6" s="1"/>
  <c r="G4185" i="6" a="1"/>
  <c r="G4185" i="6" s="1"/>
  <c r="G4154" i="6" a="1"/>
  <c r="G4154" i="6" s="1"/>
  <c r="G4156" i="6" a="1"/>
  <c r="G4156" i="6" s="1"/>
  <c r="G4149" i="6" a="1"/>
  <c r="G4149" i="6" s="1"/>
  <c r="G4152" i="6" a="1"/>
  <c r="G4152" i="6" s="1"/>
  <c r="G4190" i="6" a="1"/>
  <c r="G4190" i="6" s="1"/>
  <c r="G4171" i="6" a="1"/>
  <c r="G4171" i="6" s="1"/>
  <c r="G4176" i="6" a="1"/>
  <c r="G4176" i="6" s="1"/>
  <c r="G4177" i="6" a="1"/>
  <c r="G4177" i="6" s="1"/>
  <c r="G4180" i="6" a="1"/>
  <c r="G4180" i="6" s="1"/>
  <c r="G4170" i="6" a="1"/>
  <c r="G4170" i="6" s="1"/>
  <c r="G4151" i="6" a="1"/>
  <c r="G4151" i="6" s="1"/>
  <c r="G4172" i="6" a="1"/>
  <c r="G4172" i="6" s="1"/>
  <c r="G4157" i="6" a="1"/>
  <c r="G4157" i="6" s="1"/>
  <c r="G4159" i="6" a="1"/>
  <c r="G4159" i="6" s="1"/>
  <c r="G4162" i="6" a="1"/>
  <c r="G4162" i="6" s="1"/>
  <c r="G4155" i="6" a="1"/>
  <c r="G4155" i="6" s="1"/>
  <c r="G4168" i="6" a="1"/>
  <c r="G4168" i="6" s="1"/>
  <c r="G4150" i="6" a="1"/>
  <c r="G4150" i="6" s="1"/>
  <c r="G4184" i="6" a="1"/>
  <c r="G4184" i="6" s="1"/>
  <c r="H4178" i="6"/>
  <c r="H4160" i="6"/>
  <c r="H4182" i="6"/>
  <c r="H4164" i="6"/>
  <c r="H4186" i="6"/>
  <c r="H4147" i="6"/>
  <c r="H4168" i="6"/>
  <c r="H4190" i="6"/>
  <c r="H4151" i="6"/>
  <c r="H4172" i="6"/>
  <c r="H4155" i="6"/>
  <c r="H4176" i="6"/>
  <c r="H4153" i="6"/>
  <c r="H4159" i="6"/>
  <c r="H4180" i="6"/>
  <c r="H4157" i="6"/>
  <c r="H4163" i="6"/>
  <c r="H4184" i="6"/>
  <c r="H4167" i="6"/>
  <c r="H4188" i="6"/>
  <c r="H4149" i="6"/>
  <c r="H4146" i="6"/>
  <c r="H4171" i="6"/>
  <c r="H4169" i="6"/>
  <c r="H4150" i="6"/>
  <c r="H4175" i="6"/>
  <c r="H4173" i="6"/>
  <c r="H4154" i="6"/>
  <c r="H4179" i="6"/>
  <c r="H4161" i="6"/>
  <c r="H4158" i="6"/>
  <c r="H4183" i="6"/>
  <c r="H4165" i="6"/>
  <c r="H4162" i="6"/>
  <c r="H4187" i="6"/>
  <c r="H4185" i="6"/>
  <c r="H4166" i="6"/>
  <c r="H4148" i="6"/>
  <c r="H4189" i="6"/>
  <c r="H4170" i="6"/>
  <c r="H4152" i="6"/>
  <c r="H4177" i="6"/>
  <c r="H4174" i="6"/>
  <c r="H4156" i="6"/>
  <c r="H4181" i="6"/>
  <c r="P8" i="1"/>
  <c r="A7" i="5"/>
  <c r="C40" i="1"/>
  <c r="A39" i="2"/>
  <c r="C8" i="1"/>
  <c r="A7" i="2"/>
  <c r="G4133" i="6" l="1"/>
  <c r="G4131" i="6"/>
  <c r="G4129" i="6"/>
  <c r="G4128" i="6"/>
  <c r="G4126" i="6"/>
  <c r="G4130" i="6"/>
  <c r="G4127" i="6"/>
  <c r="G4132" i="6"/>
  <c r="G4123" i="6"/>
  <c r="G4125" i="6"/>
  <c r="G4124" i="6"/>
  <c r="H5059" i="6"/>
  <c r="H5157" i="6"/>
  <c r="H5167" i="6"/>
  <c r="H5158" i="6"/>
  <c r="G4641" i="6" a="1"/>
  <c r="G4641" i="6" s="1"/>
  <c r="H5170" i="6"/>
  <c r="H5051" i="6"/>
  <c r="G4642" i="6" a="1"/>
  <c r="G4642" i="6" s="1"/>
  <c r="H5057" i="6"/>
  <c r="G5164" i="6" a="1"/>
  <c r="G5164" i="6" s="1"/>
  <c r="G5051" i="6" a="1"/>
  <c r="G5051" i="6" s="1"/>
  <c r="G4640" i="6" a="1"/>
  <c r="G4640" i="6" s="1"/>
  <c r="G5062" i="6" a="1"/>
  <c r="G5062" i="6" s="1"/>
  <c r="G5168" i="6" a="1"/>
  <c r="G5168" i="6" s="1"/>
  <c r="H5056" i="6"/>
  <c r="H5168" i="6"/>
  <c r="H5062" i="6"/>
  <c r="H5154" i="6"/>
  <c r="H4642" i="6"/>
  <c r="G5058" i="6" a="1"/>
  <c r="G5058" i="6" s="1"/>
  <c r="H5166" i="6"/>
  <c r="H4641" i="6"/>
  <c r="H5050" i="6"/>
  <c r="H5060" i="6"/>
  <c r="H5162" i="6"/>
  <c r="G5054" i="6" a="1"/>
  <c r="G5054" i="6" s="1"/>
  <c r="G5063" i="6" a="1"/>
  <c r="G5063" i="6" s="1"/>
  <c r="G5049" i="6" a="1"/>
  <c r="G5049" i="6" s="1"/>
  <c r="G5157" i="6" a="1"/>
  <c r="G5157" i="6" s="1"/>
  <c r="H5169" i="6"/>
  <c r="G5052" i="6" a="1"/>
  <c r="G5052" i="6" s="1"/>
  <c r="G5165" i="6" a="1"/>
  <c r="G5165" i="6" s="1"/>
  <c r="G5056" i="6" a="1"/>
  <c r="G5056" i="6" s="1"/>
  <c r="H5164" i="6"/>
  <c r="H5159" i="6"/>
  <c r="H5054" i="6"/>
  <c r="H5058" i="6"/>
  <c r="H5156" i="6"/>
  <c r="H5055" i="6"/>
  <c r="H5163" i="6"/>
  <c r="H5160" i="6"/>
  <c r="G5161" i="6" a="1"/>
  <c r="G5161" i="6" s="1"/>
  <c r="G5169" i="6" a="1"/>
  <c r="G5169" i="6" s="1"/>
  <c r="G5156" i="6" a="1"/>
  <c r="G5156" i="6" s="1"/>
  <c r="G5059" i="6" a="1"/>
  <c r="G5059" i="6" s="1"/>
  <c r="G5057" i="6" a="1"/>
  <c r="G5057" i="6" s="1"/>
  <c r="H5049" i="6"/>
  <c r="G5154" i="6" a="1"/>
  <c r="G5154" i="6" s="1"/>
  <c r="G5159" i="6" a="1"/>
  <c r="G5159" i="6" s="1"/>
  <c r="G5053" i="6" a="1"/>
  <c r="G5053" i="6" s="1"/>
  <c r="H5161" i="6"/>
  <c r="G5060" i="6" a="1"/>
  <c r="G5060" i="6" s="1"/>
  <c r="G5158" i="6" a="1"/>
  <c r="G5158" i="6" s="1"/>
  <c r="G5050" i="6" a="1"/>
  <c r="G5050" i="6" s="1"/>
  <c r="H4640" i="6"/>
  <c r="G5155" i="6" a="1"/>
  <c r="G5155" i="6" s="1"/>
  <c r="H5053" i="6"/>
  <c r="G5167" i="6" a="1"/>
  <c r="G5167" i="6" s="1"/>
  <c r="H5165" i="6"/>
  <c r="G5160" i="6" a="1"/>
  <c r="G5160" i="6" s="1"/>
  <c r="H5061" i="6"/>
  <c r="G5055" i="6" a="1"/>
  <c r="G5055" i="6" s="1"/>
  <c r="G5061" i="6" a="1"/>
  <c r="G5061" i="6" s="1"/>
  <c r="G5170" i="6" a="1"/>
  <c r="G5170" i="6" s="1"/>
  <c r="G5162" i="6" a="1"/>
  <c r="G5162" i="6" s="1"/>
  <c r="H5063" i="6"/>
  <c r="G5166" i="6" a="1"/>
  <c r="G5166" i="6" s="1"/>
  <c r="H5155" i="6"/>
  <c r="H5052" i="6"/>
  <c r="G5163" i="6" a="1"/>
  <c r="G5163" i="6" s="1"/>
  <c r="A8" i="5"/>
  <c r="P9" i="1"/>
  <c r="C41" i="1"/>
  <c r="A40" i="2"/>
  <c r="C9" i="1"/>
  <c r="A8" i="2"/>
  <c r="P10" i="1" l="1"/>
  <c r="A9" i="5"/>
  <c r="G5153" i="6" s="1" a="1"/>
  <c r="G5153" i="6" s="1"/>
  <c r="C42" i="1"/>
  <c r="A41" i="2"/>
  <c r="A9" i="2"/>
  <c r="C10" i="1"/>
  <c r="H5118" i="6" l="1"/>
  <c r="G4121" i="6"/>
  <c r="G4119" i="6"/>
  <c r="G4122" i="6"/>
  <c r="G4623" i="6" a="1"/>
  <c r="G4623" i="6" s="1"/>
  <c r="G4118" i="6"/>
  <c r="G4120" i="6"/>
  <c r="H4633" i="6"/>
  <c r="H4634" i="6"/>
  <c r="G4638" i="6" a="1"/>
  <c r="G4638" i="6" s="1"/>
  <c r="G5147" i="6" a="1"/>
  <c r="G5147" i="6" s="1"/>
  <c r="H5145" i="6"/>
  <c r="G5109" i="6" a="1"/>
  <c r="G5109" i="6" s="1"/>
  <c r="G5116" i="6" a="1"/>
  <c r="G5116" i="6" s="1"/>
  <c r="G5145" i="6" a="1"/>
  <c r="G5145" i="6" s="1"/>
  <c r="H4635" i="6"/>
  <c r="H4639" i="6"/>
  <c r="H4629" i="6"/>
  <c r="H4619" i="6"/>
  <c r="P11" i="1"/>
  <c r="A10" i="5"/>
  <c r="A42" i="2"/>
  <c r="C43" i="1"/>
  <c r="A10" i="2"/>
  <c r="C11" i="1"/>
  <c r="P12" i="1" l="1"/>
  <c r="A11" i="5"/>
  <c r="C44" i="1"/>
  <c r="C12" i="1"/>
  <c r="A11" i="2"/>
  <c r="G4093" i="6" l="1"/>
  <c r="A12" i="5"/>
  <c r="P13" i="1"/>
  <c r="C45" i="1"/>
  <c r="A12" i="2"/>
  <c r="C13" i="1"/>
  <c r="A13" i="5" l="1"/>
  <c r="P14" i="1"/>
  <c r="C46" i="1"/>
  <c r="A13" i="2"/>
  <c r="C14" i="1"/>
  <c r="P15" i="1" l="1"/>
  <c r="A14" i="5"/>
  <c r="C47" i="1"/>
  <c r="A14" i="2"/>
  <c r="C15" i="1"/>
  <c r="P16" i="1" l="1"/>
  <c r="A15" i="5"/>
  <c r="C48" i="1"/>
  <c r="C16" i="1"/>
  <c r="A15" i="2"/>
  <c r="A16" i="5" l="1"/>
  <c r="P17" i="1"/>
  <c r="C49" i="1"/>
  <c r="A16" i="2"/>
  <c r="C17" i="1"/>
  <c r="P18" i="1" l="1"/>
  <c r="A17" i="5"/>
  <c r="C50" i="1"/>
  <c r="A17" i="2"/>
  <c r="C18" i="1"/>
  <c r="P19" i="1" l="1"/>
  <c r="A18" i="5"/>
  <c r="C51" i="1"/>
  <c r="A18" i="2"/>
  <c r="C19" i="1"/>
  <c r="P20" i="1" l="1"/>
  <c r="A19" i="5"/>
  <c r="C52" i="1"/>
  <c r="C20" i="1"/>
  <c r="A19" i="2"/>
  <c r="A20" i="5" l="1"/>
  <c r="P21" i="1"/>
  <c r="C53" i="1"/>
  <c r="C21" i="1"/>
  <c r="A20" i="2"/>
  <c r="A21" i="5" l="1"/>
  <c r="P22" i="1"/>
  <c r="C54" i="1"/>
  <c r="A21" i="2"/>
  <c r="C22" i="1"/>
  <c r="P23" i="1" l="1"/>
  <c r="A22" i="5"/>
  <c r="C55" i="1"/>
  <c r="A22" i="2"/>
  <c r="C23" i="1"/>
  <c r="P24" i="1" l="1"/>
  <c r="A23" i="5"/>
  <c r="C24" i="1"/>
  <c r="A23" i="2"/>
  <c r="P25" i="1" l="1"/>
  <c r="A24" i="5"/>
  <c r="A24" i="2"/>
  <c r="C25" i="1"/>
  <c r="P26" i="1" l="1"/>
  <c r="A25" i="5"/>
  <c r="A25" i="2"/>
  <c r="C26" i="1"/>
  <c r="P27" i="1" l="1"/>
  <c r="A26" i="5"/>
  <c r="A26" i="2"/>
  <c r="C27" i="1"/>
  <c r="P28" i="1" l="1"/>
  <c r="A27" i="5"/>
  <c r="C28" i="1"/>
  <c r="A27" i="2"/>
  <c r="P29" i="1" l="1"/>
  <c r="A28" i="5"/>
  <c r="C29" i="1"/>
  <c r="A28" i="2"/>
  <c r="P30" i="1" l="1"/>
  <c r="A29" i="5"/>
  <c r="A29" i="2"/>
  <c r="C30" i="1"/>
  <c r="P31" i="1" l="1"/>
  <c r="A30" i="5"/>
  <c r="A30" i="2"/>
  <c r="C31" i="1"/>
  <c r="P32" i="1" l="1"/>
  <c r="A31" i="5"/>
  <c r="C32" i="1"/>
  <c r="A31" i="2"/>
  <c r="P33" i="1" l="1"/>
  <c r="A32" i="5"/>
  <c r="A32" i="2"/>
  <c r="C33" i="1"/>
  <c r="P34" i="1" l="1"/>
  <c r="A33" i="5"/>
  <c r="A33" i="2"/>
  <c r="C34" i="1"/>
  <c r="A34" i="2" s="1"/>
  <c r="P35" i="1" l="1"/>
  <c r="A34" i="5"/>
  <c r="P36" i="1" l="1"/>
  <c r="A35" i="5"/>
  <c r="P37" i="1" l="1"/>
  <c r="A36" i="5"/>
  <c r="P38" i="1" l="1"/>
  <c r="A37" i="5"/>
  <c r="P39" i="1" l="1"/>
  <c r="A38" i="5"/>
  <c r="P40" i="1" l="1"/>
  <c r="A39" i="5"/>
  <c r="A40" i="5" l="1"/>
  <c r="P41" i="1"/>
  <c r="A41" i="5" l="1"/>
  <c r="P42" i="1"/>
  <c r="P43" i="1" l="1"/>
  <c r="A42" i="5"/>
  <c r="P44" i="1" l="1"/>
  <c r="A43" i="5"/>
  <c r="A44" i="5" l="1"/>
  <c r="P45" i="1"/>
  <c r="A45" i="5" l="1"/>
  <c r="P46" i="1"/>
  <c r="A46" i="5" l="1"/>
  <c r="P47" i="1"/>
  <c r="P48" i="1" l="1"/>
  <c r="A47" i="5"/>
  <c r="A48" i="5" l="1"/>
  <c r="P49" i="1"/>
  <c r="A49" i="5" l="1"/>
  <c r="P50" i="1"/>
  <c r="P51" i="1" l="1"/>
  <c r="A50" i="5"/>
  <c r="P52" i="1" l="1"/>
  <c r="A51" i="5"/>
  <c r="A52" i="5" l="1"/>
  <c r="P53" i="1"/>
  <c r="A53" i="5" l="1"/>
  <c r="P54" i="1"/>
  <c r="A54" i="5" l="1"/>
  <c r="P55" i="1"/>
  <c r="P56" i="1" l="1"/>
  <c r="A55" i="5"/>
  <c r="A56" i="5" l="1"/>
  <c r="P57" i="1"/>
  <c r="A57" i="5" l="1"/>
  <c r="P58" i="1"/>
  <c r="P59" i="1" l="1"/>
  <c r="A58" i="5"/>
  <c r="P60" i="1" l="1"/>
  <c r="A59" i="5"/>
  <c r="A60" i="5" l="1"/>
  <c r="P61" i="1"/>
  <c r="A61" i="5" l="1"/>
  <c r="P62" i="1"/>
  <c r="A62" i="5" l="1"/>
  <c r="P63" i="1"/>
  <c r="P64" i="1" l="1"/>
  <c r="A63" i="5"/>
  <c r="A64" i="5" l="1"/>
  <c r="P65" i="1"/>
  <c r="P66" i="1" l="1"/>
  <c r="A65" i="5"/>
  <c r="P67" i="1" l="1"/>
  <c r="A66" i="5"/>
  <c r="P68" i="1" l="1"/>
  <c r="A67" i="5"/>
  <c r="P69" i="1" l="1"/>
  <c r="A68" i="5"/>
  <c r="A69" i="5" l="1"/>
  <c r="P70" i="1"/>
  <c r="A70" i="5" l="1"/>
  <c r="P71" i="1"/>
  <c r="P72" i="1" l="1"/>
  <c r="A71" i="5"/>
  <c r="P73" i="1" l="1"/>
  <c r="A72" i="5"/>
  <c r="A73" i="5" l="1"/>
  <c r="P74" i="1"/>
  <c r="A74" i="5" l="1"/>
  <c r="P75" i="1"/>
  <c r="P76" i="1" l="1"/>
  <c r="A75" i="5"/>
  <c r="P77" i="1" l="1"/>
  <c r="A76" i="5"/>
  <c r="P78" i="1" l="1"/>
  <c r="A77" i="5"/>
  <c r="P79" i="1" l="1"/>
  <c r="A78" i="5"/>
  <c r="P80" i="1" l="1"/>
  <c r="A79" i="5"/>
  <c r="P81" i="1" l="1"/>
  <c r="A80" i="5"/>
  <c r="P82" i="1" l="1"/>
  <c r="A81" i="5"/>
  <c r="G4052" i="6" l="1"/>
  <c r="G4017" i="6"/>
  <c r="G4005" i="6"/>
  <c r="G4044" i="6"/>
  <c r="G4064" i="6"/>
  <c r="G4094" i="6"/>
  <c r="G4096" i="6"/>
  <c r="G4087" i="6"/>
  <c r="G4033" i="6"/>
  <c r="G4107" i="6"/>
  <c r="G4053" i="6"/>
  <c r="G4073" i="6"/>
  <c r="G4071" i="6"/>
  <c r="G4046" i="6"/>
  <c r="G4117" i="6"/>
  <c r="G4012" i="6"/>
  <c r="G4066" i="6"/>
  <c r="G4028" i="6"/>
  <c r="G4099" i="6"/>
  <c r="G4060" i="6"/>
  <c r="G4115" i="6"/>
  <c r="G4091" i="6"/>
  <c r="G4097" i="6"/>
  <c r="G4078" i="6"/>
  <c r="G4075" i="6"/>
  <c r="G4019" i="6"/>
  <c r="G4008" i="6"/>
  <c r="G4037" i="6"/>
  <c r="G4103" i="6"/>
  <c r="G4023" i="6"/>
  <c r="G4113" i="6"/>
  <c r="G4084" i="6"/>
  <c r="G4110" i="6"/>
  <c r="G4030" i="6"/>
  <c r="G4032" i="6"/>
  <c r="G4026" i="6"/>
  <c r="G4065" i="6"/>
  <c r="G4092" i="6"/>
  <c r="G4106" i="6"/>
  <c r="G4062" i="6"/>
  <c r="G4068" i="6"/>
  <c r="G4014" i="6"/>
  <c r="G4114" i="6"/>
  <c r="G4009" i="6"/>
  <c r="G4101" i="6"/>
  <c r="G4069" i="6"/>
  <c r="G4039" i="6"/>
  <c r="G4112" i="6"/>
  <c r="G4059" i="6"/>
  <c r="G4055" i="6"/>
  <c r="G4057" i="6"/>
  <c r="G4011" i="6"/>
  <c r="G4088" i="6"/>
  <c r="G4083" i="6"/>
  <c r="G4024" i="6"/>
  <c r="G4034" i="6"/>
  <c r="G4090" i="6"/>
  <c r="G4074" i="6"/>
  <c r="G4027" i="6"/>
  <c r="G4049" i="6"/>
  <c r="G4051" i="6"/>
  <c r="G4021" i="6"/>
  <c r="G4116" i="6"/>
  <c r="G4104" i="6"/>
  <c r="G4007" i="6"/>
  <c r="G4067" i="6"/>
  <c r="G4085" i="6"/>
  <c r="G4035" i="6"/>
  <c r="G4105" i="6"/>
  <c r="G4042" i="6"/>
  <c r="G4081" i="6"/>
  <c r="G4072" i="6"/>
  <c r="G4108" i="6"/>
  <c r="G4098" i="6"/>
  <c r="G4040" i="6"/>
  <c r="G4036" i="6"/>
  <c r="G4070" i="6"/>
  <c r="G4043" i="6"/>
  <c r="G4006" i="6"/>
  <c r="G4111" i="6"/>
  <c r="G4100" i="6"/>
  <c r="G4077" i="6"/>
  <c r="G4079" i="6"/>
  <c r="G4025" i="6"/>
  <c r="G4004" i="6"/>
  <c r="G4003" i="6"/>
  <c r="G4010" i="6"/>
  <c r="G4089" i="6"/>
  <c r="G4002" i="6"/>
  <c r="G4041" i="6"/>
  <c r="G4047" i="6"/>
  <c r="G4063" i="6"/>
  <c r="G4029" i="6"/>
  <c r="G4048" i="6"/>
  <c r="G4013" i="6"/>
  <c r="G4050" i="6"/>
  <c r="G4056" i="6"/>
  <c r="G4018" i="6"/>
  <c r="G4082" i="6"/>
  <c r="G4058" i="6"/>
  <c r="G4016" i="6"/>
  <c r="G4031" i="6"/>
  <c r="G4109" i="6"/>
  <c r="G4095" i="6"/>
  <c r="G4045" i="6"/>
  <c r="G4080" i="6"/>
  <c r="G4022" i="6"/>
  <c r="G4076" i="6"/>
  <c r="G4061" i="6"/>
  <c r="G4001" i="6"/>
  <c r="G4102" i="6"/>
  <c r="G4054" i="6"/>
  <c r="G4086" i="6"/>
  <c r="G4020" i="6"/>
  <c r="G4038" i="6"/>
  <c r="G4015" i="6"/>
  <c r="C4" i="7"/>
  <c r="H4562" i="6"/>
  <c r="H4608" i="6"/>
  <c r="H5045" i="6"/>
  <c r="G4672" i="6" a="1"/>
  <c r="G4672" i="6" s="1"/>
  <c r="G5003" i="6" a="1"/>
  <c r="G5003" i="6" s="1"/>
  <c r="H4570" i="6"/>
  <c r="H4999" i="6"/>
  <c r="H5208" i="6"/>
  <c r="H4441" i="6"/>
  <c r="G5001" i="6" a="1"/>
  <c r="G5001" i="6" s="1"/>
  <c r="G5133" i="6" a="1"/>
  <c r="G5133" i="6" s="1"/>
  <c r="H4896" i="6"/>
  <c r="H4805" i="6"/>
  <c r="H4421" i="6"/>
  <c r="H4445" i="6"/>
  <c r="H4757" i="6"/>
  <c r="H4439" i="6"/>
  <c r="H4284" i="6"/>
  <c r="G4916" i="6" a="1"/>
  <c r="G4916" i="6" s="1"/>
  <c r="G4462" i="6" a="1"/>
  <c r="G4462" i="6" s="1"/>
  <c r="H4846" i="6"/>
  <c r="H4728" i="6"/>
  <c r="G5039" i="6" a="1"/>
  <c r="G5039" i="6" s="1"/>
  <c r="G5065" i="6" a="1"/>
  <c r="G5065" i="6" s="1"/>
  <c r="H4358" i="6"/>
  <c r="H4761" i="6"/>
  <c r="H4477" i="6"/>
  <c r="H4490" i="6"/>
  <c r="H4871" i="6"/>
  <c r="H4251" i="6"/>
  <c r="G5078" i="6" a="1"/>
  <c r="G5078" i="6" s="1"/>
  <c r="H4294" i="6"/>
  <c r="H4544" i="6"/>
  <c r="H4396" i="6"/>
  <c r="G5104" i="6" a="1"/>
  <c r="G5104" i="6" s="1"/>
  <c r="G5113" i="6" a="1"/>
  <c r="G5113" i="6" s="1"/>
  <c r="G4965" i="6" a="1"/>
  <c r="G4965" i="6" s="1"/>
  <c r="H4882" i="6"/>
  <c r="G4549" i="6" a="1"/>
  <c r="G4549" i="6" s="1"/>
  <c r="H5218" i="6"/>
  <c r="G4555" i="6" a="1"/>
  <c r="G4555" i="6" s="1"/>
  <c r="H5195" i="6"/>
  <c r="H5200" i="6"/>
  <c r="G4754" i="6" a="1"/>
  <c r="G4754" i="6" s="1"/>
  <c r="H5100" i="6"/>
  <c r="H5012" i="6"/>
  <c r="G4759" i="6" a="1"/>
  <c r="G4759" i="6" s="1"/>
  <c r="G4472" i="6" a="1"/>
  <c r="G4472" i="6" s="1"/>
  <c r="H5038" i="6"/>
  <c r="G4548" i="6" a="1"/>
  <c r="G4548" i="6" s="1"/>
  <c r="G4251" i="6" a="1"/>
  <c r="G4251" i="6" s="1"/>
  <c r="H5144" i="6"/>
  <c r="G4440" i="6" a="1"/>
  <c r="G4440" i="6" s="1"/>
  <c r="H4706" i="6"/>
  <c r="H4968" i="6"/>
  <c r="G4551" i="6" a="1"/>
  <c r="G4551" i="6" s="1"/>
  <c r="G4304" i="6" a="1"/>
  <c r="G4304" i="6" s="1"/>
  <c r="G4995" i="6" a="1"/>
  <c r="G4995" i="6" s="1"/>
  <c r="H4582" i="6"/>
  <c r="H4389" i="6"/>
  <c r="H4516" i="6"/>
  <c r="H4255" i="6"/>
  <c r="H4973" i="6"/>
  <c r="H4543" i="6"/>
  <c r="G5212" i="6" a="1"/>
  <c r="G5212" i="6" s="1"/>
  <c r="G4966" i="6" a="1"/>
  <c r="G4966" i="6" s="1"/>
  <c r="H4507" i="6"/>
  <c r="H4919" i="6"/>
  <c r="H5031" i="6"/>
  <c r="H4939" i="6"/>
  <c r="G4525" i="6" a="1"/>
  <c r="G4525" i="6" s="1"/>
  <c r="H4826" i="6"/>
  <c r="G4694" i="6" a="1"/>
  <c r="G4694" i="6" s="1"/>
  <c r="G4975" i="6" a="1"/>
  <c r="G4975" i="6" s="1"/>
  <c r="H5147" i="6"/>
  <c r="H4746" i="6"/>
  <c r="G4624" i="6" a="1"/>
  <c r="G4624" i="6" s="1"/>
  <c r="G4673" i="6" a="1"/>
  <c r="G4673" i="6" s="1"/>
  <c r="H4660" i="6"/>
  <c r="G4364" i="6" a="1"/>
  <c r="G4364" i="6" s="1"/>
  <c r="G4733" i="6" a="1"/>
  <c r="G4733" i="6" s="1"/>
  <c r="H4740" i="6"/>
  <c r="G4328" i="6" a="1"/>
  <c r="G4328" i="6" s="1"/>
  <c r="G4644" i="6" a="1"/>
  <c r="G4644" i="6" s="1"/>
  <c r="G4753" i="6" a="1"/>
  <c r="G4753" i="6" s="1"/>
  <c r="H4604" i="6"/>
  <c r="H4729" i="6"/>
  <c r="H4862" i="6"/>
  <c r="G4650" i="6" a="1"/>
  <c r="G4650" i="6" s="1"/>
  <c r="G4538" i="6" a="1"/>
  <c r="G4538" i="6" s="1"/>
  <c r="H4872" i="6"/>
  <c r="G4272" i="6" a="1"/>
  <c r="G4272" i="6" s="1"/>
  <c r="H4879" i="6"/>
  <c r="G4457" i="6" a="1"/>
  <c r="G4457" i="6" s="1"/>
  <c r="G4506" i="6" a="1"/>
  <c r="G4506" i="6" s="1"/>
  <c r="H4840" i="6"/>
  <c r="G4454" i="6" a="1"/>
  <c r="G4454" i="6" s="1"/>
  <c r="G4421" i="6" a="1"/>
  <c r="G4421" i="6" s="1"/>
  <c r="H4946" i="6"/>
  <c r="H4286" i="6"/>
  <c r="G5067" i="6" a="1"/>
  <c r="G5067" i="6" s="1"/>
  <c r="G4835" i="6" a="1"/>
  <c r="G4835" i="6" s="1"/>
  <c r="H4607" i="6"/>
  <c r="H4493" i="6"/>
  <c r="H4296" i="6"/>
  <c r="G4998" i="6" a="1"/>
  <c r="G4998" i="6" s="1"/>
  <c r="H4605" i="6"/>
  <c r="H4244" i="6"/>
  <c r="G4859" i="6" a="1"/>
  <c r="G4859" i="6" s="1"/>
  <c r="H4672" i="6"/>
  <c r="H4645" i="6"/>
  <c r="H4948" i="6"/>
  <c r="G4329" i="6" a="1"/>
  <c r="G4329" i="6" s="1"/>
  <c r="G4936" i="6" a="1"/>
  <c r="G4936" i="6" s="1"/>
  <c r="G4705" i="6" a="1"/>
  <c r="G4705" i="6" s="1"/>
  <c r="H4763" i="6"/>
  <c r="G4348" i="6" a="1"/>
  <c r="G4348" i="6" s="1"/>
  <c r="G4670" i="6" a="1"/>
  <c r="G4670" i="6" s="1"/>
  <c r="H4788" i="6"/>
  <c r="G4312" i="6" a="1"/>
  <c r="G4312" i="6" s="1"/>
  <c r="G4879" i="6" a="1"/>
  <c r="G4879" i="6" s="1"/>
  <c r="H4987" i="6"/>
  <c r="H4983" i="6"/>
  <c r="H5095" i="6"/>
  <c r="H4653" i="6"/>
  <c r="G4562" i="6" a="1"/>
  <c r="G4562" i="6" s="1"/>
  <c r="G4398" i="6" a="1"/>
  <c r="G4398" i="6" s="1"/>
  <c r="H4902" i="6"/>
  <c r="G4599" i="6" a="1"/>
  <c r="G4599" i="6" s="1"/>
  <c r="H5083" i="6"/>
  <c r="G4541" i="6" a="1"/>
  <c r="G4541" i="6" s="1"/>
  <c r="H4810" i="6"/>
  <c r="G4404" i="6" a="1"/>
  <c r="G4404" i="6" s="1"/>
  <c r="G4709" i="6" a="1"/>
  <c r="G4709" i="6" s="1"/>
  <c r="G4671" i="6" a="1"/>
  <c r="G4671" i="6" s="1"/>
  <c r="H5199" i="6"/>
  <c r="G4261" i="6" a="1"/>
  <c r="G4261" i="6" s="1"/>
  <c r="H4336" i="6"/>
  <c r="H4260" i="6"/>
  <c r="G4961" i="6" a="1"/>
  <c r="G4961" i="6" s="1"/>
  <c r="H4584" i="6"/>
  <c r="G5096" i="6" a="1"/>
  <c r="G5096" i="6" s="1"/>
  <c r="G4949" i="6" a="1"/>
  <c r="G4949" i="6" s="1"/>
  <c r="H4589" i="6"/>
  <c r="G5215" i="6" a="1"/>
  <c r="G5215" i="6" s="1"/>
  <c r="G4843" i="6" a="1"/>
  <c r="G4843" i="6" s="1"/>
  <c r="H4670" i="6"/>
  <c r="G4604" i="6" a="1"/>
  <c r="G4604" i="6" s="1"/>
  <c r="G4826" i="6" a="1"/>
  <c r="G4826" i="6" s="1"/>
  <c r="G4633" i="6" a="1"/>
  <c r="G4633" i="6" s="1"/>
  <c r="G4324" i="6" a="1"/>
  <c r="G4324" i="6" s="1"/>
  <c r="G4658" i="6" a="1"/>
  <c r="G4658" i="6" s="1"/>
  <c r="G4700" i="6" a="1"/>
  <c r="G4700" i="6" s="1"/>
  <c r="G4533" i="6" a="1"/>
  <c r="G4533" i="6" s="1"/>
  <c r="G4295" i="6" a="1"/>
  <c r="G4295" i="6" s="1"/>
  <c r="G4726" i="6" a="1"/>
  <c r="G4726" i="6" s="1"/>
  <c r="G4865" i="6" a="1"/>
  <c r="G4865" i="6" s="1"/>
  <c r="H4996" i="6"/>
  <c r="G4577" i="6" a="1"/>
  <c r="G4577" i="6" s="1"/>
  <c r="G4313" i="6" a="1"/>
  <c r="G4313" i="6" s="1"/>
  <c r="G4856" i="6" a="1"/>
  <c r="G4856" i="6" s="1"/>
  <c r="G4583" i="6" a="1"/>
  <c r="G4583" i="6" s="1"/>
  <c r="G4635" i="6" a="1"/>
  <c r="G4635" i="6" s="1"/>
  <c r="H4504" i="6"/>
  <c r="G4745" i="6" a="1"/>
  <c r="G4745" i="6" s="1"/>
  <c r="G4568" i="6" a="1"/>
  <c r="G4568" i="6" s="1"/>
  <c r="G4256" i="6" a="1"/>
  <c r="G4256" i="6" s="1"/>
  <c r="H4735" i="6"/>
  <c r="G4498" i="6" a="1"/>
  <c r="G4498" i="6" s="1"/>
  <c r="G4411" i="6" a="1"/>
  <c r="G4411" i="6" s="1"/>
  <c r="G4270" i="6" a="1"/>
  <c r="G4270" i="6" s="1"/>
  <c r="G4845" i="6" a="1"/>
  <c r="G4845" i="6" s="1"/>
  <c r="H4980" i="6"/>
  <c r="G4466" i="6" a="1"/>
  <c r="G4466" i="6" s="1"/>
  <c r="G4361" i="6" a="1"/>
  <c r="G4361" i="6" s="1"/>
  <c r="G4790" i="6" a="1"/>
  <c r="G4790" i="6" s="1"/>
  <c r="G4929" i="6" a="1"/>
  <c r="G4929" i="6" s="1"/>
  <c r="G4469" i="6" a="1"/>
  <c r="G4469" i="6" s="1"/>
  <c r="H4650" i="6"/>
  <c r="G4938" i="6" a="1"/>
  <c r="G4938" i="6" s="1"/>
  <c r="G4875" i="6" a="1"/>
  <c r="G4875" i="6" s="1"/>
  <c r="H5048" i="6"/>
  <c r="G4653" i="6" a="1"/>
  <c r="G4653" i="6" s="1"/>
  <c r="G4366" i="6" a="1"/>
  <c r="G4366" i="6" s="1"/>
  <c r="H4738" i="6"/>
  <c r="H4863" i="6"/>
  <c r="G4274" i="6" a="1"/>
  <c r="G4274" i="6" s="1"/>
  <c r="H4628" i="6"/>
  <c r="G4400" i="6" a="1"/>
  <c r="G4400" i="6" s="1"/>
  <c r="H4631" i="6"/>
  <c r="G4286" i="6" a="1"/>
  <c r="G4286" i="6" s="1"/>
  <c r="H5193" i="6"/>
  <c r="H4932" i="6"/>
  <c r="G4491" i="6" a="1"/>
  <c r="G4491" i="6" s="1"/>
  <c r="G4247" i="6" a="1"/>
  <c r="G4247" i="6" s="1"/>
  <c r="G4792" i="6" a="1"/>
  <c r="G4792" i="6" s="1"/>
  <c r="G4945" i="6" a="1"/>
  <c r="G4945" i="6" s="1"/>
  <c r="H4525" i="6"/>
  <c r="H4289" i="6"/>
  <c r="G5007" i="6" a="1"/>
  <c r="G5007" i="6" s="1"/>
  <c r="H4401" i="6"/>
  <c r="H4348" i="6"/>
  <c r="G4617" i="6" a="1"/>
  <c r="G4617" i="6" s="1"/>
  <c r="H4593" i="6"/>
  <c r="G5117" i="6" a="1"/>
  <c r="G5117" i="6" s="1"/>
  <c r="H4451" i="6"/>
  <c r="H4563" i="6"/>
  <c r="H4737" i="6"/>
  <c r="G4685" i="6" a="1"/>
  <c r="G4685" i="6" s="1"/>
  <c r="H5205" i="6"/>
  <c r="G4761" i="6" a="1"/>
  <c r="G4761" i="6" s="1"/>
  <c r="H5086" i="6"/>
  <c r="G4773" i="6" a="1"/>
  <c r="G4773" i="6" s="1"/>
  <c r="G4858" i="6" a="1"/>
  <c r="G4858" i="6" s="1"/>
  <c r="G4751" i="6" a="1"/>
  <c r="G4751" i="6" s="1"/>
  <c r="H4859" i="6"/>
  <c r="G4334" i="6" a="1"/>
  <c r="G4334" i="6" s="1"/>
  <c r="H4970" i="6"/>
  <c r="G5144" i="6" a="1"/>
  <c r="G5144" i="6" s="1"/>
  <c r="H4819" i="6"/>
  <c r="H4931" i="6"/>
  <c r="H5039" i="6"/>
  <c r="G4370" i="6" a="1"/>
  <c r="G4370" i="6" s="1"/>
  <c r="G4254" i="6" a="1"/>
  <c r="G4254" i="6" s="1"/>
  <c r="G4765" i="6" a="1"/>
  <c r="G4765" i="6" s="1"/>
  <c r="H4836" i="6"/>
  <c r="H5014" i="6"/>
  <c r="H4843" i="6"/>
  <c r="G4281" i="6" a="1"/>
  <c r="G4281" i="6" s="1"/>
  <c r="H4998" i="6"/>
  <c r="G4815" i="6" a="1"/>
  <c r="G4815" i="6" s="1"/>
  <c r="H4804" i="6"/>
  <c r="G4392" i="6" a="1"/>
  <c r="G4392" i="6" s="1"/>
  <c r="G4676" i="6" a="1"/>
  <c r="G4676" i="6" s="1"/>
  <c r="G4618" i="6" a="1"/>
  <c r="G4618" i="6" s="1"/>
  <c r="G4960" i="6" a="1"/>
  <c r="G4960" i="6" s="1"/>
  <c r="G5105" i="6" a="1"/>
  <c r="G5105" i="6" s="1"/>
  <c r="H4315" i="6"/>
  <c r="G4784" i="6" a="1"/>
  <c r="G4784" i="6" s="1"/>
  <c r="H4427" i="6"/>
  <c r="H4529" i="6"/>
  <c r="H4512" i="6"/>
  <c r="H4242" i="6"/>
  <c r="H4321" i="6"/>
  <c r="G4979" i="6" a="1"/>
  <c r="G4979" i="6" s="1"/>
  <c r="H4519" i="6"/>
  <c r="H4376" i="6"/>
  <c r="H4652" i="6"/>
  <c r="H4764" i="6"/>
  <c r="H4857" i="6"/>
  <c r="G4481" i="6" a="1"/>
  <c r="G4481" i="6" s="1"/>
  <c r="G4579" i="6" a="1"/>
  <c r="G4579" i="6" s="1"/>
  <c r="H4966" i="6"/>
  <c r="G4847" i="6" a="1"/>
  <c r="G4847" i="6" s="1"/>
  <c r="H4644" i="6"/>
  <c r="G4578" i="6" a="1"/>
  <c r="G4578" i="6" s="1"/>
  <c r="G4429" i="6" a="1"/>
  <c r="G4429" i="6" s="1"/>
  <c r="H4950" i="6"/>
  <c r="G4615" i="6" a="1"/>
  <c r="G4615" i="6" s="1"/>
  <c r="H4907" i="6"/>
  <c r="G4343" i="6" a="1"/>
  <c r="G4343" i="6" s="1"/>
  <c r="H4986" i="6"/>
  <c r="G4986" i="6" a="1"/>
  <c r="G4986" i="6" s="1"/>
  <c r="G4737" i="6" a="1"/>
  <c r="G4737" i="6" s="1"/>
  <c r="G4297" i="6" a="1"/>
  <c r="G4297" i="6" s="1"/>
  <c r="H5098" i="6"/>
  <c r="G4728" i="6" a="1"/>
  <c r="G4728" i="6" s="1"/>
  <c r="H4436" i="6"/>
  <c r="G5127" i="6" a="1"/>
  <c r="G5127" i="6" s="1"/>
  <c r="G4585" i="6" a="1"/>
  <c r="G4585" i="6" s="1"/>
  <c r="H4354" i="6"/>
  <c r="H5105" i="6"/>
  <c r="H4491" i="6"/>
  <c r="H4405" i="6"/>
  <c r="H4331" i="6"/>
  <c r="G4902" i="6" a="1"/>
  <c r="G4902" i="6" s="1"/>
  <c r="H4542" i="6"/>
  <c r="H4713" i="6"/>
  <c r="G5111" i="6" a="1"/>
  <c r="G5111" i="6" s="1"/>
  <c r="H4486" i="6"/>
  <c r="H4668" i="6"/>
  <c r="G5207" i="6" a="1"/>
  <c r="G5207" i="6" s="1"/>
  <c r="H4447" i="6"/>
  <c r="H5027" i="6"/>
  <c r="G5008" i="6" a="1"/>
  <c r="G5008" i="6" s="1"/>
  <c r="H4988" i="6"/>
  <c r="H4940" i="6"/>
  <c r="H4380" i="6"/>
  <c r="H4585" i="6"/>
  <c r="G4907" i="6" a="1"/>
  <c r="G4907" i="6" s="1"/>
  <c r="G5044" i="6" a="1"/>
  <c r="G5044" i="6" s="1"/>
  <c r="G4788" i="6" a="1"/>
  <c r="G4788" i="6" s="1"/>
  <c r="H4963" i="6"/>
  <c r="H4725" i="6"/>
  <c r="H4849" i="6"/>
  <c r="H4911" i="6"/>
  <c r="G4396" i="6" a="1"/>
  <c r="G4396" i="6" s="1"/>
  <c r="G4662" i="6" a="1"/>
  <c r="G4662" i="6" s="1"/>
  <c r="H4964" i="6"/>
  <c r="G4449" i="6" a="1"/>
  <c r="G4449" i="6" s="1"/>
  <c r="G4345" i="6" a="1"/>
  <c r="G4345" i="6" s="1"/>
  <c r="G4589" i="6" a="1"/>
  <c r="G4589" i="6" s="1"/>
  <c r="G4849" i="6" a="1"/>
  <c r="G4849" i="6" s="1"/>
  <c r="H4749" i="6"/>
  <c r="G4514" i="6" a="1"/>
  <c r="G4514" i="6" s="1"/>
  <c r="G4483" i="6" a="1"/>
  <c r="G4483" i="6" s="1"/>
  <c r="H5126" i="6"/>
  <c r="G4631" i="6" a="1"/>
  <c r="G4631" i="6" s="1"/>
  <c r="H4795" i="6"/>
  <c r="G4359" i="6" a="1"/>
  <c r="G4359" i="6" s="1"/>
  <c r="H5034" i="6"/>
  <c r="G4924" i="6" a="1"/>
  <c r="G4924" i="6" s="1"/>
  <c r="H4500" i="6"/>
  <c r="H4861" i="6"/>
  <c r="H4527" i="6"/>
  <c r="H4450" i="6"/>
  <c r="H4249" i="6"/>
  <c r="G5079" i="6" a="1"/>
  <c r="G5079" i="6" s="1"/>
  <c r="H5204" i="6"/>
  <c r="H4469" i="6"/>
  <c r="G4964" i="6" a="1"/>
  <c r="G4964" i="6" s="1"/>
  <c r="G4625" i="6" a="1"/>
  <c r="G4625" i="6" s="1"/>
  <c r="H4656" i="6"/>
  <c r="H5076" i="6"/>
  <c r="G4430" i="6" a="1"/>
  <c r="G4430" i="6" s="1"/>
  <c r="G4439" i="6" a="1"/>
  <c r="G4439" i="6" s="1"/>
  <c r="H4930" i="6"/>
  <c r="H4669" i="6"/>
  <c r="G4402" i="6" a="1"/>
  <c r="G4402" i="6" s="1"/>
  <c r="G4531" i="6" a="1"/>
  <c r="G4531" i="6" s="1"/>
  <c r="H5078" i="6"/>
  <c r="H4817" i="6"/>
  <c r="G4524" i="6" a="1"/>
  <c r="G4524" i="6" s="1"/>
  <c r="G4465" i="6" a="1"/>
  <c r="G4465" i="6" s="1"/>
  <c r="H5032" i="6"/>
  <c r="G4299" i="6" a="1"/>
  <c r="G4299" i="6" s="1"/>
  <c r="G4368" i="6" a="1"/>
  <c r="G4368" i="6" s="1"/>
  <c r="G5033" i="6" a="1"/>
  <c r="G5033" i="6" s="1"/>
  <c r="H4592" i="6"/>
  <c r="H5111" i="6"/>
  <c r="H5198" i="6"/>
  <c r="H4747" i="6"/>
  <c r="H4762" i="6"/>
  <c r="G4890" i="6" a="1"/>
  <c r="G4890" i="6" s="1"/>
  <c r="G4373" i="6" a="1"/>
  <c r="G4373" i="6" s="1"/>
  <c r="G4660" i="6" a="1"/>
  <c r="G4660" i="6" s="1"/>
  <c r="G4574" i="6" a="1"/>
  <c r="G4574" i="6" s="1"/>
  <c r="H4766" i="6"/>
  <c r="G4855" i="6" a="1"/>
  <c r="G4855" i="6" s="1"/>
  <c r="G4582" i="6" a="1"/>
  <c r="G4582" i="6" s="1"/>
  <c r="G4405" i="6" a="1"/>
  <c r="G4405" i="6" s="1"/>
  <c r="G4377" i="6" a="1"/>
  <c r="G4377" i="6" s="1"/>
  <c r="G4920" i="6" a="1"/>
  <c r="G4920" i="6" s="1"/>
  <c r="G4817" i="6" a="1"/>
  <c r="G4817" i="6" s="1"/>
  <c r="G5152" i="6" a="1"/>
  <c r="G5152" i="6" s="1"/>
  <c r="G4738" i="6" a="1"/>
  <c r="G4738" i="6" s="1"/>
  <c r="G4822" i="6" a="1"/>
  <c r="G4822" i="6" s="1"/>
  <c r="G5090" i="6" a="1"/>
  <c r="G5090" i="6" s="1"/>
  <c r="H5153" i="6"/>
  <c r="H4554" i="6"/>
  <c r="H4364" i="6"/>
  <c r="G4898" i="6" a="1"/>
  <c r="G4898" i="6" s="1"/>
  <c r="H4438" i="6"/>
  <c r="H4552" i="6"/>
  <c r="G5114" i="6" a="1"/>
  <c r="G5114" i="6" s="1"/>
  <c r="H4789" i="6"/>
  <c r="H4933" i="6"/>
  <c r="H4692" i="6"/>
  <c r="G4344" i="6" a="1"/>
  <c r="G4344" i="6" s="1"/>
  <c r="G4684" i="6" a="1"/>
  <c r="G4684" i="6" s="1"/>
  <c r="H4694" i="6"/>
  <c r="G4927" i="6" a="1"/>
  <c r="G4927" i="6" s="1"/>
  <c r="H4687" i="6"/>
  <c r="G4434" i="6" a="1"/>
  <c r="G4434" i="6" s="1"/>
  <c r="H4678" i="6"/>
  <c r="H5026" i="6"/>
  <c r="H5124" i="6"/>
  <c r="G4380" i="6" a="1"/>
  <c r="G4380" i="6" s="1"/>
  <c r="G4749" i="6" a="1"/>
  <c r="G4749" i="6" s="1"/>
  <c r="H4371" i="6"/>
  <c r="H4452" i="6"/>
  <c r="G5032" i="6" a="1"/>
  <c r="G5032" i="6" s="1"/>
  <c r="G4827" i="6" a="1"/>
  <c r="G4827" i="6" s="1"/>
  <c r="H4479" i="6"/>
  <c r="G5132" i="6" a="1"/>
  <c r="G5132" i="6" s="1"/>
  <c r="H4283" i="6"/>
  <c r="G5101" i="6" a="1"/>
  <c r="G5101" i="6" s="1"/>
  <c r="H4917" i="6"/>
  <c r="H4558" i="6"/>
  <c r="H4630" i="6"/>
  <c r="H4418" i="6"/>
  <c r="H4524" i="6"/>
  <c r="H4366" i="6"/>
  <c r="G5134" i="6" a="1"/>
  <c r="G5134" i="6" s="1"/>
  <c r="H4588" i="6"/>
  <c r="H4618" i="6"/>
  <c r="G5119" i="6" a="1"/>
  <c r="G5119" i="6" s="1"/>
  <c r="H4677" i="6"/>
  <c r="H4273" i="6"/>
  <c r="H4349" i="6"/>
  <c r="H4384" i="6"/>
  <c r="H5116" i="6"/>
  <c r="H4433" i="6"/>
  <c r="H4549" i="6"/>
  <c r="G5093" i="6" a="1"/>
  <c r="G5093" i="6" s="1"/>
  <c r="H4620" i="6"/>
  <c r="H5143" i="6"/>
  <c r="H4264" i="6"/>
  <c r="G5143" i="6" a="1"/>
  <c r="G5143" i="6" s="1"/>
  <c r="G4958" i="6" a="1"/>
  <c r="G4958" i="6" s="1"/>
  <c r="G4962" i="6" a="1"/>
  <c r="G4962" i="6" s="1"/>
  <c r="G4987" i="6" a="1"/>
  <c r="G4987" i="6" s="1"/>
  <c r="G4974" i="6" a="1"/>
  <c r="G4974" i="6" s="1"/>
  <c r="H4627" i="6"/>
  <c r="H4899" i="6"/>
  <c r="G4739" i="6" a="1"/>
  <c r="G4739" i="6" s="1"/>
  <c r="G4787" i="6" a="1"/>
  <c r="G4787" i="6" s="1"/>
  <c r="H4697" i="6"/>
  <c r="H4723" i="6"/>
  <c r="H4488" i="6"/>
  <c r="G4766" i="6" a="1"/>
  <c r="G4766" i="6" s="1"/>
  <c r="H4322" i="6"/>
  <c r="G5094" i="6" a="1"/>
  <c r="G5094" i="6" s="1"/>
  <c r="G4926" i="6" a="1"/>
  <c r="G4926" i="6" s="1"/>
  <c r="H4461" i="6"/>
  <c r="G4850" i="6" a="1"/>
  <c r="G4850" i="6" s="1"/>
  <c r="G4255" i="6" a="1"/>
  <c r="G4255" i="6" s="1"/>
  <c r="G4730" i="6" a="1"/>
  <c r="G4730" i="6" s="1"/>
  <c r="G4333" i="6" a="1"/>
  <c r="G4333" i="6" s="1"/>
  <c r="H4811" i="6"/>
  <c r="G4699" i="6" a="1"/>
  <c r="G4699" i="6" s="1"/>
  <c r="H4271" i="6"/>
  <c r="H4541" i="6"/>
  <c r="G4779" i="6" a="1"/>
  <c r="G4779" i="6" s="1"/>
  <c r="G5017" i="6" a="1"/>
  <c r="G5017" i="6" s="1"/>
  <c r="H4382" i="6"/>
  <c r="G4609" i="6" a="1"/>
  <c r="G4609" i="6" s="1"/>
  <c r="H4602" i="6"/>
  <c r="G5028" i="6" a="1"/>
  <c r="G5028" i="6" s="1"/>
  <c r="H4347" i="6"/>
  <c r="G5128" i="6" a="1"/>
  <c r="G5128" i="6" s="1"/>
  <c r="G5136" i="6" a="1"/>
  <c r="G5136" i="6" s="1"/>
  <c r="H4771" i="6"/>
  <c r="H4693" i="6"/>
  <c r="G5202" i="6" a="1"/>
  <c r="G5202" i="6" s="1"/>
  <c r="H4470" i="6"/>
  <c r="H4951" i="6"/>
  <c r="G4683" i="6" a="1"/>
  <c r="G4683" i="6" s="1"/>
  <c r="G4763" i="6" a="1"/>
  <c r="G4763" i="6" s="1"/>
  <c r="G4659" i="6" a="1"/>
  <c r="G4659" i="6" s="1"/>
  <c r="H5069" i="6"/>
  <c r="H5017" i="6"/>
  <c r="H4887" i="6"/>
  <c r="H4796" i="6"/>
  <c r="G4606" i="6" a="1"/>
  <c r="G4606" i="6" s="1"/>
  <c r="G5005" i="6" a="1"/>
  <c r="G5005" i="6" s="1"/>
  <c r="H4357" i="6"/>
  <c r="H4935" i="6"/>
  <c r="H4752" i="6"/>
  <c r="H4626" i="6"/>
  <c r="H4304" i="6"/>
  <c r="G4770" i="6" a="1"/>
  <c r="G4770" i="6" s="1"/>
  <c r="G4795" i="6" a="1"/>
  <c r="G4795" i="6" s="1"/>
  <c r="H4889" i="6"/>
  <c r="H4391" i="6"/>
  <c r="H4468" i="6"/>
  <c r="H4398" i="6"/>
  <c r="G4886" i="6" a="1"/>
  <c r="G4886" i="6" s="1"/>
  <c r="G4550" i="6" a="1"/>
  <c r="G4550" i="6" s="1"/>
  <c r="G4518" i="6" a="1"/>
  <c r="G4518" i="6" s="1"/>
  <c r="G4317" i="6" a="1"/>
  <c r="G4317" i="6" s="1"/>
  <c r="H5093" i="6"/>
  <c r="G4957" i="6" a="1"/>
  <c r="G4957" i="6" s="1"/>
  <c r="G5142" i="6" a="1"/>
  <c r="G5142" i="6" s="1"/>
  <c r="H4245" i="6"/>
  <c r="H4473" i="6"/>
  <c r="H4649" i="6"/>
  <c r="H4743" i="6"/>
  <c r="G5150" i="6" a="1"/>
  <c r="G5150" i="6" s="1"/>
  <c r="H4476" i="6"/>
  <c r="G4747" i="6" a="1"/>
  <c r="G4747" i="6" s="1"/>
  <c r="G5027" i="6" a="1"/>
  <c r="G5027" i="6" s="1"/>
  <c r="H4359" i="6"/>
  <c r="H4434" i="6"/>
  <c r="G4854" i="6" a="1"/>
  <c r="G4854" i="6" s="1"/>
  <c r="H4622" i="6"/>
  <c r="G5048" i="6" a="1"/>
  <c r="G5048" i="6" s="1"/>
  <c r="H4944" i="6"/>
  <c r="H5085" i="6"/>
  <c r="G5022" i="6" a="1"/>
  <c r="G5022" i="6" s="1"/>
  <c r="H4253" i="6"/>
  <c r="H4925" i="6"/>
  <c r="G5118" i="6" a="1"/>
  <c r="G5118" i="6" s="1"/>
  <c r="G4789" i="6" a="1"/>
  <c r="G4789" i="6" s="1"/>
  <c r="G4646" i="6" a="1"/>
  <c r="G4646" i="6" s="1"/>
  <c r="H5044" i="6"/>
  <c r="G4889" i="6" a="1"/>
  <c r="G4889" i="6" s="1"/>
  <c r="H5197" i="6"/>
  <c r="H5020" i="6"/>
  <c r="H5009" i="6"/>
  <c r="H4378" i="6"/>
  <c r="G5108" i="6" a="1"/>
  <c r="G5108" i="6" s="1"/>
  <c r="G4768" i="6" a="1"/>
  <c r="G4768" i="6" s="1"/>
  <c r="H4691" i="6"/>
  <c r="H4803" i="6"/>
  <c r="G4461" i="6" a="1"/>
  <c r="G4461" i="6" s="1"/>
  <c r="H4890" i="6"/>
  <c r="G4762" i="6" a="1"/>
  <c r="G4762" i="6" s="1"/>
  <c r="G4769" i="6" a="1"/>
  <c r="G4769" i="6" s="1"/>
  <c r="H4827" i="6"/>
  <c r="G4265" i="6" a="1"/>
  <c r="G4265" i="6" s="1"/>
  <c r="H5066" i="6"/>
  <c r="G4778" i="6" a="1"/>
  <c r="G4778" i="6" s="1"/>
  <c r="G4342" i="6" a="1"/>
  <c r="G4342" i="6" s="1"/>
  <c r="H4638" i="6"/>
  <c r="G4983" i="6" a="1"/>
  <c r="G4983" i="6" s="1"/>
  <c r="G4468" i="6" a="1"/>
  <c r="G4468" i="6" s="1"/>
  <c r="G4306" i="6" a="1"/>
  <c r="G4306" i="6" s="1"/>
  <c r="H4814" i="6"/>
  <c r="G4871" i="6" a="1"/>
  <c r="G4871" i="6" s="1"/>
  <c r="G4508" i="6" a="1"/>
  <c r="G4508" i="6" s="1"/>
  <c r="G5141" i="6" a="1"/>
  <c r="G5141" i="6" s="1"/>
  <c r="G4934" i="6" a="1"/>
  <c r="G4934" i="6" s="1"/>
  <c r="H4446" i="6"/>
  <c r="H4317" i="6"/>
  <c r="G5018" i="6" a="1"/>
  <c r="G5018" i="6" s="1"/>
  <c r="G4734" i="6" a="1"/>
  <c r="G4734" i="6" s="1"/>
  <c r="G4969" i="6" a="1"/>
  <c r="G4969" i="6" s="1"/>
  <c r="G4864" i="6" a="1"/>
  <c r="G4864" i="6" s="1"/>
  <c r="H4780" i="6"/>
  <c r="H4892" i="6"/>
  <c r="H4717" i="6"/>
  <c r="G4478" i="6" a="1"/>
  <c r="G4478" i="6" s="1"/>
  <c r="H4674" i="6"/>
  <c r="H5029" i="6"/>
  <c r="G4406" i="6" a="1"/>
  <c r="G4406" i="6" s="1"/>
  <c r="H4822" i="6"/>
  <c r="G4781" i="6" a="1"/>
  <c r="G4781" i="6" s="1"/>
  <c r="H4815" i="6"/>
  <c r="G4293" i="6" a="1"/>
  <c r="G4293" i="6" s="1"/>
  <c r="G4416" i="6" a="1"/>
  <c r="G4416" i="6" s="1"/>
  <c r="H4895" i="6"/>
  <c r="H4790" i="6"/>
  <c r="G4877" i="6" a="1"/>
  <c r="G4877" i="6" s="1"/>
  <c r="G4978" i="6" a="1"/>
  <c r="G4978" i="6" s="1"/>
  <c r="H4993" i="6"/>
  <c r="H4855" i="6"/>
  <c r="H4967" i="6"/>
  <c r="H5003" i="6"/>
  <c r="G4282" i="6" a="1"/>
  <c r="G4282" i="6" s="1"/>
  <c r="G4652" i="6" a="1"/>
  <c r="G4652" i="6" s="1"/>
  <c r="H4910" i="6"/>
  <c r="G4711" i="6" a="1"/>
  <c r="G4711" i="6" s="1"/>
  <c r="G4764" i="6" a="1"/>
  <c r="G4764" i="6" s="1"/>
  <c r="G4529" i="6" a="1"/>
  <c r="G4529" i="6" s="1"/>
  <c r="G4275" i="6" a="1"/>
  <c r="G4275" i="6" s="1"/>
  <c r="G4634" i="6" a="1"/>
  <c r="G4634" i="6" s="1"/>
  <c r="G4780" i="6" a="1"/>
  <c r="G4780" i="6" s="1"/>
  <c r="H4942" i="6"/>
  <c r="G4743" i="6" a="1"/>
  <c r="G4743" i="6" s="1"/>
  <c r="G4505" i="6" a="1"/>
  <c r="G4505" i="6" s="1"/>
  <c r="G4458" i="6" a="1"/>
  <c r="G4458" i="6" s="1"/>
  <c r="H4274" i="6"/>
  <c r="G4720" i="6" a="1"/>
  <c r="G4720" i="6" s="1"/>
  <c r="H4539" i="6"/>
  <c r="H4513" i="6"/>
  <c r="H4332" i="6"/>
  <c r="G4994" i="6" a="1"/>
  <c r="G4994" i="6" s="1"/>
  <c r="H4534" i="6"/>
  <c r="H4586" i="6"/>
  <c r="H4267" i="6"/>
  <c r="G4848" i="6" a="1"/>
  <c r="G4848" i="6" s="1"/>
  <c r="G4656" i="6" a="1"/>
  <c r="G4656" i="6" s="1"/>
  <c r="H4355" i="6"/>
  <c r="H4755" i="6"/>
  <c r="H4867" i="6"/>
  <c r="H5103" i="6"/>
  <c r="G4332" i="6" a="1"/>
  <c r="G4332" i="6" s="1"/>
  <c r="G4829" i="6" a="1"/>
  <c r="G4829" i="6" s="1"/>
  <c r="H4680" i="6"/>
  <c r="G4661" i="6" a="1"/>
  <c r="G4661" i="6" s="1"/>
  <c r="G4336" i="6" a="1"/>
  <c r="G4336" i="6" s="1"/>
  <c r="H4943" i="6"/>
  <c r="H4770" i="6"/>
  <c r="H4765" i="6"/>
  <c r="H4844" i="6"/>
  <c r="H4956" i="6"/>
  <c r="H4792" i="6"/>
  <c r="G4566" i="6" a="1"/>
  <c r="G4566" i="6" s="1"/>
  <c r="G4290" i="6" a="1"/>
  <c r="G4290" i="6" s="1"/>
  <c r="H4994" i="6"/>
  <c r="H4881" i="6"/>
  <c r="G4516" i="6" a="1"/>
  <c r="G4516" i="6" s="1"/>
  <c r="H4886" i="6"/>
  <c r="G4991" i="6" a="1"/>
  <c r="G4991" i="6" s="1"/>
  <c r="H4852" i="6"/>
  <c r="G4376" i="6" a="1"/>
  <c r="G4376" i="6" s="1"/>
  <c r="G4776" i="6" a="1"/>
  <c r="G4776" i="6" s="1"/>
  <c r="G4602" i="6" a="1"/>
  <c r="G4602" i="6" s="1"/>
  <c r="G4291" i="6" a="1"/>
  <c r="G4291" i="6" s="1"/>
  <c r="G4266" i="6" a="1"/>
  <c r="G4266" i="6" s="1"/>
  <c r="G4592" i="6" a="1"/>
  <c r="G4592" i="6" s="1"/>
  <c r="G4689" i="6" a="1"/>
  <c r="G4689" i="6" s="1"/>
  <c r="G5046" i="6" a="1"/>
  <c r="G5046" i="6" s="1"/>
  <c r="G5211" i="6" a="1"/>
  <c r="G5211" i="6" s="1"/>
  <c r="G4724" i="6" a="1"/>
  <c r="G4724" i="6" s="1"/>
  <c r="H4406" i="6"/>
  <c r="G5037" i="6" a="1"/>
  <c r="G5037" i="6" s="1"/>
  <c r="G4972" i="6" a="1"/>
  <c r="G4972" i="6" s="1"/>
  <c r="G4648" i="6" a="1"/>
  <c r="G4648" i="6" s="1"/>
  <c r="H4275" i="6"/>
  <c r="H4775" i="6"/>
  <c r="G4576" i="6" a="1"/>
  <c r="G4576" i="6" s="1"/>
  <c r="G4451" i="6" a="1"/>
  <c r="G4451" i="6" s="1"/>
  <c r="H5094" i="6"/>
  <c r="G4701" i="6" a="1"/>
  <c r="G4701" i="6" s="1"/>
  <c r="H4772" i="6"/>
  <c r="G4424" i="6" a="1"/>
  <c r="G4424" i="6" s="1"/>
  <c r="G4824" i="6" a="1"/>
  <c r="G4824" i="6" s="1"/>
  <c r="G4913" i="6" a="1"/>
  <c r="G4913" i="6" s="1"/>
  <c r="H4916" i="6"/>
  <c r="G4470" i="6" a="1"/>
  <c r="G4470" i="6" s="1"/>
  <c r="G4349" i="6" a="1"/>
  <c r="G4349" i="6" s="1"/>
  <c r="G4401" i="6" a="1"/>
  <c r="G4401" i="6" s="1"/>
  <c r="H5151" i="6"/>
  <c r="G4496" i="6" a="1"/>
  <c r="G4496" i="6" s="1"/>
  <c r="G4253" i="6" a="1"/>
  <c r="G4253" i="6" s="1"/>
  <c r="H5010" i="6"/>
  <c r="G4704" i="6" a="1"/>
  <c r="G4704" i="6" s="1"/>
  <c r="H4535" i="6"/>
  <c r="H4992" i="6"/>
  <c r="H5104" i="6"/>
  <c r="G4292" i="6" a="1"/>
  <c r="G4292" i="6" s="1"/>
  <c r="G4869" i="6" a="1"/>
  <c r="G4869" i="6" s="1"/>
  <c r="G4748" i="6" a="1"/>
  <c r="G4748" i="6" s="1"/>
  <c r="H5128" i="6"/>
  <c r="G4521" i="6" a="1"/>
  <c r="G4521" i="6" s="1"/>
  <c r="G4257" i="6" a="1"/>
  <c r="G4257" i="6" s="1"/>
  <c r="H5135" i="6"/>
  <c r="G4437" i="6" a="1"/>
  <c r="G4437" i="6" s="1"/>
  <c r="G4303" i="6" a="1"/>
  <c r="G4303" i="6" s="1"/>
  <c r="H5090" i="6"/>
  <c r="H4703" i="6"/>
  <c r="G4545" i="6" a="1"/>
  <c r="G4545" i="6" s="1"/>
  <c r="G4346" i="6" a="1"/>
  <c r="G4346" i="6" s="1"/>
  <c r="H4982" i="6"/>
  <c r="G4959" i="6" a="1"/>
  <c r="G4959" i="6" s="1"/>
  <c r="G4667" i="6" a="1"/>
  <c r="G4667" i="6" s="1"/>
  <c r="H5120" i="6"/>
  <c r="H5207" i="6"/>
  <c r="H4734" i="6"/>
  <c r="G4741" i="6" a="1"/>
  <c r="G4741" i="6" s="1"/>
  <c r="G4655" i="6" a="1"/>
  <c r="G4655" i="6" s="1"/>
  <c r="G4419" i="6" a="1"/>
  <c r="G4419" i="6" s="1"/>
  <c r="H4621" i="6"/>
  <c r="G4504" i="6" a="1"/>
  <c r="G4504" i="6" s="1"/>
  <c r="G4552" i="6" a="1"/>
  <c r="G4552" i="6" s="1"/>
  <c r="H5150" i="6"/>
  <c r="G4841" i="6" a="1"/>
  <c r="G4841" i="6" s="1"/>
  <c r="G4337" i="6" a="1"/>
  <c r="G4337" i="6" s="1"/>
  <c r="H5087" i="6"/>
  <c r="G4399" i="6" a="1"/>
  <c r="G4399" i="6" s="1"/>
  <c r="G4302" i="6" a="1"/>
  <c r="G4302" i="6" s="1"/>
  <c r="H5074" i="6"/>
  <c r="G4664" i="6" a="1"/>
  <c r="G4664" i="6" s="1"/>
  <c r="H4560" i="6"/>
  <c r="G4947" i="6" a="1"/>
  <c r="G4947" i="6" s="1"/>
  <c r="H4474" i="6"/>
  <c r="G5193" i="6" a="1"/>
  <c r="G5193" i="6" s="1"/>
  <c r="H5025" i="6"/>
  <c r="H4800" i="6"/>
  <c r="H4912" i="6"/>
  <c r="G4372" i="6" a="1"/>
  <c r="G4372" i="6" s="1"/>
  <c r="G4805" i="6" a="1"/>
  <c r="G4805" i="6" s="1"/>
  <c r="G4608" i="6" a="1"/>
  <c r="G4608" i="6" s="1"/>
  <c r="G4833" i="6" a="1"/>
  <c r="G4833" i="6" s="1"/>
  <c r="G4309" i="6" a="1"/>
  <c r="G4309" i="6" s="1"/>
  <c r="G4885" i="6" a="1"/>
  <c r="G4885" i="6" s="1"/>
  <c r="H4779" i="6"/>
  <c r="G4330" i="6" a="1"/>
  <c r="G4330" i="6" s="1"/>
  <c r="G4315" i="6" a="1"/>
  <c r="G4315" i="6" s="1"/>
  <c r="G4471" i="6" a="1"/>
  <c r="G4471" i="6" s="1"/>
  <c r="H4898" i="6"/>
  <c r="H4637" i="6"/>
  <c r="G4450" i="6" a="1"/>
  <c r="G4450" i="6" s="1"/>
  <c r="G4331" i="6" a="1"/>
  <c r="G4331" i="6" s="1"/>
  <c r="G4742" i="6" a="1"/>
  <c r="G4742" i="6" s="1"/>
  <c r="G4895" i="6" a="1"/>
  <c r="G4895" i="6" s="1"/>
  <c r="G4836" i="6" a="1"/>
  <c r="G4836" i="6" s="1"/>
  <c r="H4454" i="6"/>
  <c r="H4385" i="6"/>
  <c r="H4499" i="6"/>
  <c r="H4801" i="6"/>
  <c r="G4409" i="6" a="1"/>
  <c r="G4409" i="6" s="1"/>
  <c r="G4305" i="6" a="1"/>
  <c r="G4305" i="6" s="1"/>
  <c r="H4991" i="6"/>
  <c r="G4413" i="6" a="1"/>
  <c r="G4413" i="6" s="1"/>
  <c r="G4351" i="6" a="1"/>
  <c r="G4351" i="6" s="1"/>
  <c r="H5042" i="6"/>
  <c r="H4616" i="6"/>
  <c r="G4438" i="6" a="1"/>
  <c r="G4438" i="6" s="1"/>
  <c r="G4535" i="6" a="1"/>
  <c r="G4535" i="6" s="1"/>
  <c r="H4834" i="6"/>
  <c r="H4959" i="6"/>
  <c r="H4726" i="6"/>
  <c r="G4686" i="6" a="1"/>
  <c r="G4686" i="6" s="1"/>
  <c r="G4900" i="6" a="1"/>
  <c r="G4900" i="6" s="1"/>
  <c r="H4518" i="6"/>
  <c r="H4397" i="6"/>
  <c r="G5149" i="6" a="1"/>
  <c r="G5149" i="6" s="1"/>
  <c r="G4862" i="6" a="1"/>
  <c r="G4862" i="6" s="1"/>
  <c r="H4388" i="6"/>
  <c r="H4845" i="6"/>
  <c r="H4368" i="6"/>
  <c r="G5068" i="6" a="1"/>
  <c r="G5068" i="6" s="1"/>
  <c r="G4996" i="6" a="1"/>
  <c r="G4996" i="6" s="1"/>
  <c r="G4702" i="6" a="1"/>
  <c r="G4702" i="6" s="1"/>
  <c r="H4984" i="6"/>
  <c r="G4485" i="6" a="1"/>
  <c r="G4485" i="6" s="1"/>
  <c r="G4335" i="6" a="1"/>
  <c r="G4335" i="6" s="1"/>
  <c r="H4802" i="6"/>
  <c r="H4799" i="6"/>
  <c r="G4502" i="6" a="1"/>
  <c r="G4502" i="6" s="1"/>
  <c r="G4363" i="6" a="1"/>
  <c r="G4363" i="6" s="1"/>
  <c r="H4978" i="6"/>
  <c r="H4685" i="6"/>
  <c r="G4433" i="6" a="1"/>
  <c r="G4433" i="6" s="1"/>
  <c r="G4452" i="6" a="1"/>
  <c r="G4452" i="6" s="1"/>
  <c r="H4934" i="6"/>
  <c r="G4861" i="6" a="1"/>
  <c r="G4861" i="6" s="1"/>
  <c r="H4868" i="6"/>
  <c r="H4662" i="6"/>
  <c r="G4708" i="6" a="1"/>
  <c r="G4708" i="6" s="1"/>
  <c r="H5065" i="6"/>
  <c r="G5006" i="6" a="1"/>
  <c r="G5006" i="6" s="1"/>
  <c r="G5015" i="6" a="1"/>
  <c r="G5015" i="6" s="1"/>
  <c r="G4800" i="6" a="1"/>
  <c r="G4800" i="6" s="1"/>
  <c r="H4335" i="6"/>
  <c r="G4771" i="6" a="1"/>
  <c r="G4771" i="6" s="1"/>
  <c r="H4420" i="6"/>
  <c r="H4583" i="6"/>
  <c r="H5008" i="6"/>
  <c r="H4597" i="6"/>
  <c r="H4345" i="6"/>
  <c r="H4465" i="6"/>
  <c r="G4619" i="6" a="1"/>
  <c r="G4619" i="6" s="1"/>
  <c r="H4688" i="6"/>
  <c r="G5192" i="6" a="1"/>
  <c r="G5192" i="6" s="1"/>
  <c r="H4545" i="6"/>
  <c r="H4632" i="6"/>
  <c r="G4846" i="6" a="1"/>
  <c r="G4846" i="6" s="1"/>
  <c r="H5079" i="6"/>
  <c r="G5012" i="6" a="1"/>
  <c r="G5012" i="6" s="1"/>
  <c r="G5217" i="6" a="1"/>
  <c r="G5217" i="6" s="1"/>
  <c r="H4287" i="6"/>
  <c r="H4258" i="6"/>
  <c r="G5120" i="6" a="1"/>
  <c r="G5120" i="6" s="1"/>
  <c r="G5139" i="6" a="1"/>
  <c r="G5139" i="6" s="1"/>
  <c r="H4280" i="6"/>
  <c r="G5088" i="6" a="1"/>
  <c r="G5088" i="6" s="1"/>
  <c r="G4923" i="6" a="1"/>
  <c r="G4923" i="6" s="1"/>
  <c r="H4947" i="6"/>
  <c r="H4673" i="6"/>
  <c r="G4873" i="6" a="1"/>
  <c r="G4873" i="6" s="1"/>
  <c r="G4384" i="6" a="1"/>
  <c r="G4384" i="6" s="1"/>
  <c r="H5119" i="6"/>
  <c r="G4412" i="6" a="1"/>
  <c r="G4412" i="6" s="1"/>
  <c r="G4385" i="6" a="1"/>
  <c r="G4385" i="6" s="1"/>
  <c r="H4888" i="6"/>
  <c r="G4395" i="6" a="1"/>
  <c r="G4395" i="6" s="1"/>
  <c r="H4962" i="6"/>
  <c r="G4280" i="6" a="1"/>
  <c r="G4280" i="6" s="1"/>
  <c r="G4268" i="6" a="1"/>
  <c r="G4268" i="6" s="1"/>
  <c r="G4621" i="6" a="1"/>
  <c r="G4621" i="6" s="1"/>
  <c r="G4831" i="6" a="1"/>
  <c r="G4831" i="6" s="1"/>
  <c r="G4772" i="6" a="1"/>
  <c r="G4772" i="6" s="1"/>
  <c r="H4440" i="6"/>
  <c r="G5002" i="6" a="1"/>
  <c r="G5002" i="6" s="1"/>
  <c r="G4715" i="6" a="1"/>
  <c r="G4715" i="6" s="1"/>
  <c r="G5123" i="6" a="1"/>
  <c r="G5123" i="6" s="1"/>
  <c r="G5121" i="6" a="1"/>
  <c r="G5121" i="6" s="1"/>
  <c r="H4985" i="6"/>
  <c r="H4532" i="6"/>
  <c r="G5198" i="6" a="1"/>
  <c r="G5198" i="6" s="1"/>
  <c r="H5021" i="6"/>
  <c r="H5036" i="6"/>
  <c r="H5148" i="6"/>
  <c r="H5206" i="6"/>
  <c r="G4527" i="6" a="1"/>
  <c r="G4527" i="6" s="1"/>
  <c r="G4474" i="6" a="1"/>
  <c r="G4474" i="6" s="1"/>
  <c r="H4808" i="6"/>
  <c r="G4426" i="6" a="1"/>
  <c r="G4426" i="6" s="1"/>
  <c r="H4952" i="6"/>
  <c r="G4905" i="6" a="1"/>
  <c r="G4905" i="6" s="1"/>
  <c r="G4553" i="6" a="1"/>
  <c r="G4553" i="6" s="1"/>
  <c r="H4750" i="6"/>
  <c r="G4935" i="6" a="1"/>
  <c r="G4935" i="6" s="1"/>
  <c r="G4981" i="6" a="1"/>
  <c r="G4981" i="6" s="1"/>
  <c r="G5203" i="6" a="1"/>
  <c r="G5203" i="6" s="1"/>
  <c r="H4972" i="6"/>
  <c r="H5084" i="6"/>
  <c r="H5140" i="6"/>
  <c r="G4362" i="6" a="1"/>
  <c r="G4362" i="6" s="1"/>
  <c r="G4515" i="6" a="1"/>
  <c r="G4515" i="6" s="1"/>
  <c r="H5030" i="6"/>
  <c r="G4897" i="6" a="1"/>
  <c r="G4897" i="6" s="1"/>
  <c r="H4699" i="6"/>
  <c r="H4758" i="6"/>
  <c r="G4863" i="6" a="1"/>
  <c r="G4863" i="6" s="1"/>
  <c r="H5099" i="6"/>
  <c r="G4493" i="6" a="1"/>
  <c r="G4493" i="6" s="1"/>
  <c r="H4794" i="6"/>
  <c r="G4668" i="6" a="1"/>
  <c r="G4668" i="6" s="1"/>
  <c r="G4581" i="6" a="1"/>
  <c r="G4581" i="6" s="1"/>
  <c r="G4316" i="6" a="1"/>
  <c r="G4316" i="6" s="1"/>
  <c r="G4786" i="6" a="1"/>
  <c r="G4786" i="6" s="1"/>
  <c r="H4989" i="6"/>
  <c r="H4574" i="6"/>
  <c r="H4383" i="6"/>
  <c r="G4750" i="6" a="1"/>
  <c r="G4750" i="6" s="1"/>
  <c r="H4415" i="6"/>
  <c r="H4402" i="6"/>
  <c r="G5189" i="6" a="1"/>
  <c r="G5189" i="6" s="1"/>
  <c r="H4246" i="6"/>
  <c r="G5197" i="6" a="1"/>
  <c r="G5197" i="6" s="1"/>
  <c r="H5011" i="6"/>
  <c r="H5123" i="6"/>
  <c r="H4847" i="6"/>
  <c r="H4710" i="6"/>
  <c r="G4628" i="6" a="1"/>
  <c r="G4628" i="6" s="1"/>
  <c r="H4900" i="6"/>
  <c r="G4407" i="6" a="1"/>
  <c r="G4407" i="6" s="1"/>
  <c r="H4722" i="6"/>
  <c r="H5080" i="6"/>
  <c r="G4382" i="6" a="1"/>
  <c r="G4382" i="6" s="1"/>
  <c r="G4355" i="6" a="1"/>
  <c r="G4355" i="6" s="1"/>
  <c r="H4648" i="6"/>
  <c r="G4367" i="6" a="1"/>
  <c r="G4367" i="6" s="1"/>
  <c r="G4289" i="6" a="1"/>
  <c r="G4289" i="6" s="1"/>
  <c r="G4931" i="6" a="1"/>
  <c r="G4931" i="6" s="1"/>
  <c r="H4522" i="6"/>
  <c r="H4492" i="6"/>
  <c r="G4675" i="6" a="1"/>
  <c r="G4675" i="6" s="1"/>
  <c r="H4387" i="6"/>
  <c r="G4593" i="6" a="1"/>
  <c r="G4593" i="6" s="1"/>
  <c r="G5009" i="6" a="1"/>
  <c r="G5009" i="6" s="1"/>
  <c r="H4254" i="6"/>
  <c r="G4910" i="6" a="1"/>
  <c r="G4910" i="6" s="1"/>
  <c r="H4482" i="6"/>
  <c r="G4930" i="6" a="1"/>
  <c r="G4930" i="6" s="1"/>
  <c r="H4876" i="6"/>
  <c r="H4424" i="6"/>
  <c r="G5038" i="6" a="1"/>
  <c r="G5038" i="6" s="1"/>
  <c r="H4464" i="6"/>
  <c r="G5126" i="6" a="1"/>
  <c r="G5126" i="6" s="1"/>
  <c r="H4833" i="6"/>
  <c r="H5133" i="6"/>
  <c r="H4339" i="6"/>
  <c r="G4880" i="6" a="1"/>
  <c r="G4880" i="6" s="1"/>
  <c r="H4816" i="6"/>
  <c r="H4704" i="6"/>
  <c r="H4330" i="6"/>
  <c r="H4326" i="6"/>
  <c r="G5031" i="6" a="1"/>
  <c r="G5031" i="6" s="1"/>
  <c r="G5066" i="6" a="1"/>
  <c r="G5066" i="6" s="1"/>
  <c r="H4949" i="6"/>
  <c r="H4909" i="6"/>
  <c r="G5019" i="6" a="1"/>
  <c r="G5019" i="6" s="1"/>
  <c r="H4540" i="6"/>
  <c r="H4343" i="6"/>
  <c r="H4732" i="6"/>
  <c r="H5081" i="6"/>
  <c r="H4615" i="6"/>
  <c r="H4443" i="6"/>
  <c r="H4510" i="6"/>
  <c r="H4292" i="6"/>
  <c r="G5206" i="6" a="1"/>
  <c r="G5206" i="6" s="1"/>
  <c r="G4915" i="6" a="1"/>
  <c r="G4915" i="6" s="1"/>
  <c r="H4262" i="6"/>
  <c r="G5069" i="6" a="1"/>
  <c r="G5069" i="6" s="1"/>
  <c r="G4973" i="6" a="1"/>
  <c r="G4973" i="6" s="1"/>
  <c r="H5107" i="6"/>
  <c r="H4551" i="6"/>
  <c r="H4501" i="6"/>
  <c r="G5216" i="6" a="1"/>
  <c r="G5216" i="6" s="1"/>
  <c r="H4248" i="6"/>
  <c r="G4977" i="6" a="1"/>
  <c r="G4977" i="6" s="1"/>
  <c r="G5137" i="6" a="1"/>
  <c r="G5137" i="6" s="1"/>
  <c r="H4268" i="6"/>
  <c r="H4252" i="6"/>
  <c r="H4829" i="6"/>
  <c r="G5204" i="6" a="1"/>
  <c r="G5204" i="6" s="1"/>
  <c r="H4594" i="6"/>
  <c r="H4375" i="6"/>
  <c r="G5043" i="6" a="1"/>
  <c r="G5043" i="6" s="1"/>
  <c r="G4307" i="6" a="1"/>
  <c r="G4307" i="6" s="1"/>
  <c r="H4767" i="6"/>
  <c r="G4714" i="6" a="1"/>
  <c r="G4714" i="6" s="1"/>
  <c r="G4480" i="6" a="1"/>
  <c r="G4480" i="6" s="1"/>
  <c r="H4281" i="6"/>
  <c r="H4517" i="6"/>
  <c r="H4913" i="6"/>
  <c r="H4467" i="6"/>
  <c r="H5097" i="6"/>
  <c r="H4526" i="6"/>
  <c r="H4325" i="6"/>
  <c r="H4270" i="6"/>
  <c r="G4752" i="6" a="1"/>
  <c r="G4752" i="6" s="1"/>
  <c r="H5210" i="6"/>
  <c r="H5212" i="6"/>
  <c r="G4884" i="6" a="1"/>
  <c r="G4884" i="6" s="1"/>
  <c r="G4830" i="6" a="1"/>
  <c r="G4830" i="6" s="1"/>
  <c r="H4557" i="6"/>
  <c r="G4600" i="6" a="1"/>
  <c r="G4600" i="6" s="1"/>
  <c r="G4632" i="6" a="1"/>
  <c r="G4632" i="6" s="1"/>
  <c r="G4487" i="6" a="1"/>
  <c r="G4487" i="6" s="1"/>
  <c r="G4321" i="6" a="1"/>
  <c r="G4321" i="6" s="1"/>
  <c r="H4936" i="6"/>
  <c r="G4347" i="6" a="1"/>
  <c r="G4347" i="6" s="1"/>
  <c r="H4908" i="6"/>
  <c r="G5209" i="6" a="1"/>
  <c r="G5209" i="6" s="1"/>
  <c r="H4408" i="6"/>
  <c r="H4344" i="6"/>
  <c r="H4587" i="6"/>
  <c r="G4561" i="6" a="1"/>
  <c r="G4561" i="6" s="1"/>
  <c r="G4350" i="6" a="1"/>
  <c r="G4350" i="6" s="1"/>
  <c r="G4381" i="6" a="1"/>
  <c r="G4381" i="6" s="1"/>
  <c r="G4893" i="6" a="1"/>
  <c r="G4893" i="6" s="1"/>
  <c r="H5211" i="6"/>
  <c r="G4467" i="6" a="1"/>
  <c r="G4467" i="6" s="1"/>
  <c r="H5142" i="6"/>
  <c r="G4735" i="6" a="1"/>
  <c r="G4735" i="6" s="1"/>
  <c r="H5202" i="6"/>
  <c r="G4448" i="6" a="1"/>
  <c r="G4448" i="6" s="1"/>
  <c r="H4666" i="6"/>
  <c r="G4494" i="6" a="1"/>
  <c r="G4494" i="6" s="1"/>
  <c r="G4573" i="6" a="1"/>
  <c r="G4573" i="6" s="1"/>
  <c r="H4778" i="6"/>
  <c r="G4810" i="6" a="1"/>
  <c r="G4810" i="6" s="1"/>
  <c r="G5080" i="6" a="1"/>
  <c r="G5080" i="6" s="1"/>
  <c r="G4731" i="6" a="1"/>
  <c r="G4731" i="6" s="1"/>
  <c r="H4487" i="6"/>
  <c r="H4572" i="6"/>
  <c r="H4327" i="6"/>
  <c r="G4882" i="6" a="1"/>
  <c r="G4882" i="6" s="1"/>
  <c r="H4422" i="6"/>
  <c r="H4536" i="6"/>
  <c r="G5098" i="6" a="1"/>
  <c r="G5098" i="6" s="1"/>
  <c r="H5196" i="6"/>
  <c r="H4856" i="6"/>
  <c r="G4511" i="6" a="1"/>
  <c r="G4511" i="6" s="1"/>
  <c r="G4507" i="6" a="1"/>
  <c r="G4507" i="6" s="1"/>
  <c r="H5064" i="6"/>
  <c r="G4436" i="6" a="1"/>
  <c r="G4436" i="6" s="1"/>
  <c r="G4443" i="6" a="1"/>
  <c r="G4443" i="6" s="1"/>
  <c r="G4791" i="6" a="1"/>
  <c r="G4791" i="6" s="1"/>
  <c r="G4716" i="6" a="1"/>
  <c r="G4716" i="6" s="1"/>
  <c r="H4657" i="6"/>
  <c r="G4594" i="6" a="1"/>
  <c r="G4594" i="6" s="1"/>
  <c r="G4564" i="6" a="1"/>
  <c r="G4564" i="6" s="1"/>
  <c r="G4371" i="6" a="1"/>
  <c r="G4371" i="6" s="1"/>
  <c r="H4297" i="6"/>
  <c r="G4989" i="6" a="1"/>
  <c r="G4989" i="6" s="1"/>
  <c r="H4716" i="6"/>
  <c r="H4828" i="6"/>
  <c r="H4781" i="6"/>
  <c r="G4580" i="6" a="1"/>
  <c r="G4580" i="6" s="1"/>
  <c r="H4774" i="6"/>
  <c r="G4783" i="6" a="1"/>
  <c r="G4783" i="6" s="1"/>
  <c r="H4955" i="6"/>
  <c r="G4410" i="6" a="1"/>
  <c r="G4410" i="6" s="1"/>
  <c r="H4938" i="6"/>
  <c r="G4888" i="6" a="1"/>
  <c r="G4888" i="6" s="1"/>
  <c r="G4558" i="6" a="1"/>
  <c r="G4558" i="6" s="1"/>
  <c r="G4250" i="6" a="1"/>
  <c r="G4250" i="6" s="1"/>
  <c r="G4904" i="6" a="1"/>
  <c r="G4904" i="6" s="1"/>
  <c r="G4681" i="6" a="1"/>
  <c r="G4681" i="6" s="1"/>
  <c r="H4923" i="6"/>
  <c r="G4445" i="6" a="1"/>
  <c r="G4445" i="6" s="1"/>
  <c r="H4906" i="6"/>
  <c r="G4627" i="6" a="1"/>
  <c r="G4627" i="6" s="1"/>
  <c r="G4536" i="6" a="1"/>
  <c r="G4536" i="6" s="1"/>
  <c r="H4361" i="6"/>
  <c r="H4367" i="6"/>
  <c r="G4928" i="6" a="1"/>
  <c r="G4928" i="6" s="1"/>
  <c r="H4290" i="6"/>
  <c r="H4404" i="6"/>
  <c r="G5095" i="6" a="1"/>
  <c r="G5095" i="6" s="1"/>
  <c r="H5149" i="6"/>
  <c r="H4478" i="6"/>
  <c r="H4485" i="6"/>
  <c r="H4386" i="6"/>
  <c r="H4442" i="6"/>
  <c r="H4412" i="6"/>
  <c r="H4435" i="6"/>
  <c r="H4885" i="6"/>
  <c r="G4809" i="6" a="1"/>
  <c r="G4809" i="6" s="1"/>
  <c r="G4369" i="6" a="1"/>
  <c r="G4369" i="6" s="1"/>
  <c r="H5102" i="6"/>
  <c r="G4757" i="6" a="1"/>
  <c r="G4757" i="6" s="1"/>
  <c r="G4828" i="6" a="1"/>
  <c r="G4828" i="6" s="1"/>
  <c r="H4705" i="6"/>
  <c r="G4322" i="6" a="1"/>
  <c r="G4322" i="6" s="1"/>
  <c r="G4570" i="6" a="1"/>
  <c r="G4570" i="6" s="1"/>
  <c r="H4904" i="6"/>
  <c r="H4990" i="6"/>
  <c r="G4441" i="6" a="1"/>
  <c r="G4441" i="6" s="1"/>
  <c r="G4414" i="6" a="1"/>
  <c r="G4414" i="6" s="1"/>
  <c r="H5000" i="6"/>
  <c r="G4455" i="6" a="1"/>
  <c r="G4455" i="6" s="1"/>
  <c r="H4658" i="6"/>
  <c r="H5007" i="6"/>
  <c r="G4354" i="6" a="1"/>
  <c r="G4354" i="6" s="1"/>
  <c r="G4301" i="6" a="1"/>
  <c r="G4301" i="6" s="1"/>
  <c r="G4678" i="6" a="1"/>
  <c r="G4678" i="6" s="1"/>
  <c r="H4676" i="6"/>
  <c r="G4559" i="6" a="1"/>
  <c r="G4559" i="6" s="1"/>
  <c r="H4854" i="6"/>
  <c r="G4813" i="6" a="1"/>
  <c r="G4813" i="6" s="1"/>
  <c r="G4914" i="6" a="1"/>
  <c r="G4914" i="6" s="1"/>
  <c r="H4377" i="6"/>
  <c r="H4293" i="6"/>
  <c r="G4597" i="6" a="1"/>
  <c r="G4597" i="6" s="1"/>
  <c r="H4370" i="6"/>
  <c r="H4426" i="6"/>
  <c r="H4997" i="6"/>
  <c r="H4636" i="6"/>
  <c r="H4719" i="6"/>
  <c r="G4241" i="6" a="1"/>
  <c r="G4241" i="6" s="1"/>
  <c r="H4927" i="6"/>
  <c r="G4453" i="6" a="1"/>
  <c r="G4453" i="6" s="1"/>
  <c r="G4287" i="6" a="1"/>
  <c r="G4287" i="6" s="1"/>
  <c r="H5106" i="6"/>
  <c r="H5071" i="6"/>
  <c r="H4981" i="6"/>
  <c r="G4793" i="6" a="1"/>
  <c r="G4793" i="6" s="1"/>
  <c r="G4418" i="6" a="1"/>
  <c r="G4418" i="6" s="1"/>
  <c r="G4375" i="6" a="1"/>
  <c r="G4375" i="6" s="1"/>
  <c r="H4363" i="6"/>
  <c r="G4723" i="6" a="1"/>
  <c r="G4723" i="6" s="1"/>
  <c r="H4869" i="6"/>
  <c r="H4711" i="6"/>
  <c r="H4625" i="6"/>
  <c r="G4513" i="6" a="1"/>
  <c r="G4513" i="6" s="1"/>
  <c r="G4263" i="6" a="1"/>
  <c r="G4263" i="6" s="1"/>
  <c r="G4872" i="6" a="1"/>
  <c r="G4872" i="6" s="1"/>
  <c r="H4654" i="6"/>
  <c r="G4967" i="6" a="1"/>
  <c r="G4967" i="6" s="1"/>
  <c r="G4595" i="6" a="1"/>
  <c r="G4595" i="6" s="1"/>
  <c r="G4310" i="6" a="1"/>
  <c r="G4310" i="6" s="1"/>
  <c r="H4929" i="6"/>
  <c r="G4713" i="6" a="1"/>
  <c r="G4713" i="6" s="1"/>
  <c r="G4546" i="6" a="1"/>
  <c r="G4546" i="6" s="1"/>
  <c r="H5096" i="6"/>
  <c r="G4464" i="6" a="1"/>
  <c r="G4464" i="6" s="1"/>
  <c r="G4460" i="6" a="1"/>
  <c r="G4460" i="6" s="1"/>
  <c r="H4690" i="6"/>
  <c r="G4917" i="6" a="1"/>
  <c r="G4917" i="6" s="1"/>
  <c r="H4458" i="6"/>
  <c r="H4727" i="6"/>
  <c r="H4839" i="6"/>
  <c r="H5131" i="6"/>
  <c r="G4408" i="6" a="1"/>
  <c r="G4408" i="6" s="1"/>
  <c r="G4744" i="6" a="1"/>
  <c r="G4744" i="6" s="1"/>
  <c r="G4259" i="6" a="1"/>
  <c r="G4259" i="6" s="1"/>
  <c r="G4620" i="6" a="1"/>
  <c r="G4620" i="6" s="1"/>
  <c r="G4663" i="6" a="1"/>
  <c r="G4663" i="6" s="1"/>
  <c r="H4715" i="6"/>
  <c r="G4389" i="6" a="1"/>
  <c r="G4389" i="6" s="1"/>
  <c r="G4908" i="6" a="1"/>
  <c r="G4908" i="6" s="1"/>
  <c r="G4572" i="6" a="1"/>
  <c r="G4572" i="6" s="1"/>
  <c r="H4865" i="6"/>
  <c r="G4729" i="6" a="1"/>
  <c r="G4729" i="6" s="1"/>
  <c r="G4479" i="6" a="1"/>
  <c r="G4479" i="6" s="1"/>
  <c r="G4984" i="6" a="1"/>
  <c r="G4984" i="6" s="1"/>
  <c r="H4342" i="6"/>
  <c r="H5117" i="6"/>
  <c r="G5070" i="6" a="1"/>
  <c r="G5070" i="6" s="1"/>
  <c r="H5216" i="6"/>
  <c r="H4530" i="6"/>
  <c r="H4265" i="6"/>
  <c r="H4374" i="6"/>
  <c r="H4661" i="6"/>
  <c r="H4773" i="6"/>
  <c r="H4820" i="6"/>
  <c r="G4423" i="6" a="1"/>
  <c r="G4423" i="6" s="1"/>
  <c r="G4495" i="6" a="1"/>
  <c r="G4495" i="6" s="1"/>
  <c r="H4838" i="6"/>
  <c r="H5028" i="6"/>
  <c r="G4530" i="6" a="1"/>
  <c r="G4530" i="6" s="1"/>
  <c r="G4300" i="6" a="1"/>
  <c r="G4300" i="6" s="1"/>
  <c r="G4710" i="6" a="1"/>
  <c r="G4710" i="6" s="1"/>
  <c r="G4799" i="6" a="1"/>
  <c r="G4799" i="6" s="1"/>
  <c r="G4569" i="6" a="1"/>
  <c r="G4569" i="6" s="1"/>
  <c r="G4442" i="6" a="1"/>
  <c r="G4442" i="6" s="1"/>
  <c r="H4776" i="6"/>
  <c r="G4296" i="6" a="1"/>
  <c r="G4296" i="6" s="1"/>
  <c r="G4365" i="6" a="1"/>
  <c r="G4365" i="6" s="1"/>
  <c r="H4754" i="6"/>
  <c r="G4803" i="6" a="1"/>
  <c r="G4803" i="6" s="1"/>
  <c r="H4736" i="6"/>
  <c r="H4848" i="6"/>
  <c r="G4311" i="6" a="1"/>
  <c r="G4311" i="6" s="1"/>
  <c r="H5018" i="6"/>
  <c r="G4444" i="6" a="1"/>
  <c r="G4444" i="6" s="1"/>
  <c r="H4753" i="6"/>
  <c r="G4626" i="6" a="1"/>
  <c r="G4626" i="6" s="1"/>
  <c r="G4314" i="6" a="1"/>
  <c r="G4314" i="6" s="1"/>
  <c r="G4278" i="6" a="1"/>
  <c r="G4278" i="6" s="1"/>
  <c r="H4760" i="6"/>
  <c r="G4378" i="6" a="1"/>
  <c r="G4378" i="6" s="1"/>
  <c r="H4721" i="6"/>
  <c r="G4645" i="6" a="1"/>
  <c r="G4645" i="6" s="1"/>
  <c r="G4432" i="6" a="1"/>
  <c r="G4432" i="6" s="1"/>
  <c r="G4867" i="6" a="1"/>
  <c r="G4867" i="6" s="1"/>
  <c r="H4311" i="6"/>
  <c r="G4852" i="6" a="1"/>
  <c r="G4852" i="6" s="1"/>
  <c r="H4456" i="6"/>
  <c r="G5146" i="6" a="1"/>
  <c r="G5146" i="6" s="1"/>
  <c r="H5113" i="6"/>
  <c r="G5112" i="6" a="1"/>
  <c r="G5112" i="6" s="1"/>
  <c r="G4629" i="6" a="1"/>
  <c r="G4629" i="6" s="1"/>
  <c r="H4548" i="6"/>
  <c r="G5214" i="6" a="1"/>
  <c r="G5214" i="6" s="1"/>
  <c r="H5005" i="6"/>
  <c r="H4665" i="6"/>
  <c r="H4798" i="6"/>
  <c r="G4951" i="6" a="1"/>
  <c r="G4951" i="6" s="1"/>
  <c r="G4245" i="6" a="1"/>
  <c r="G4245" i="6" s="1"/>
  <c r="G4775" i="6" a="1"/>
  <c r="G4775" i="6" s="1"/>
  <c r="G4463" i="6" a="1"/>
  <c r="G4463" i="6" s="1"/>
  <c r="G4339" i="6" a="1"/>
  <c r="G4339" i="6" s="1"/>
  <c r="H4824" i="6"/>
  <c r="G4528" i="6" a="1"/>
  <c r="G4528" i="6" s="1"/>
  <c r="G4543" i="6" a="1"/>
  <c r="G4543" i="6" s="1"/>
  <c r="G4273" i="6" a="1"/>
  <c r="G4273" i="6" s="1"/>
  <c r="H5023" i="6"/>
  <c r="G4542" i="6" a="1"/>
  <c r="G4542" i="6" s="1"/>
  <c r="H4623" i="6"/>
  <c r="H4407" i="6"/>
  <c r="G5213" i="6" a="1"/>
  <c r="G5213" i="6" s="1"/>
  <c r="H4350" i="6"/>
  <c r="H4537" i="6"/>
  <c r="H4520" i="6"/>
  <c r="G5087" i="6" a="1"/>
  <c r="G5087" i="6" s="1"/>
  <c r="G4932" i="6" a="1"/>
  <c r="G4932" i="6" s="1"/>
  <c r="H4610" i="6"/>
  <c r="H4360" i="6"/>
  <c r="H4860" i="6"/>
  <c r="H4409" i="6"/>
  <c r="H4979" i="6"/>
  <c r="H4291" i="6"/>
  <c r="G5047" i="6" a="1"/>
  <c r="G5047" i="6" s="1"/>
  <c r="G5081" i="6" a="1"/>
  <c r="G5081" i="6" s="1"/>
  <c r="H4279" i="6"/>
  <c r="H4567" i="6"/>
  <c r="G5071" i="6" a="1"/>
  <c r="G5071" i="6" s="1"/>
  <c r="H4695" i="6"/>
  <c r="G5000" i="6" a="1"/>
  <c r="G5000" i="6" s="1"/>
  <c r="G5026" i="6" a="1"/>
  <c r="G5026" i="6" s="1"/>
  <c r="H4613" i="6"/>
  <c r="H4498" i="6"/>
  <c r="H4853" i="6"/>
  <c r="H4941" i="6"/>
  <c r="H5073" i="6"/>
  <c r="G4706" i="6" a="1"/>
  <c r="G4706" i="6" s="1"/>
  <c r="G5110" i="6" a="1"/>
  <c r="G5110" i="6" s="1"/>
  <c r="G5210" i="6" a="1"/>
  <c r="G5210" i="6" s="1"/>
  <c r="H4515" i="6"/>
  <c r="G4308" i="6" a="1"/>
  <c r="G4308" i="6" s="1"/>
  <c r="H5146" i="6"/>
  <c r="G4876" i="6" a="1"/>
  <c r="G4876" i="6" s="1"/>
  <c r="H4905" i="6"/>
  <c r="G4697" i="6" a="1"/>
  <c r="G4697" i="6" s="1"/>
  <c r="G4391" i="6" a="1"/>
  <c r="G4391" i="6" s="1"/>
  <c r="H4894" i="6"/>
  <c r="G4727" i="6" a="1"/>
  <c r="G4727" i="6" s="1"/>
  <c r="G4484" i="6" a="1"/>
  <c r="G4484" i="6" s="1"/>
  <c r="G4318" i="6" a="1"/>
  <c r="G4318" i="6" s="1"/>
  <c r="H4712" i="6"/>
  <c r="G4319" i="6" a="1"/>
  <c r="G4319" i="6" s="1"/>
  <c r="H4818" i="6"/>
  <c r="G4718" i="6" a="1"/>
  <c r="G4718" i="6" s="1"/>
  <c r="H4471" i="6"/>
  <c r="H4556" i="6"/>
  <c r="G5024" i="6" a="1"/>
  <c r="G5024" i="6" s="1"/>
  <c r="G4866" i="6" a="1"/>
  <c r="G4866" i="6" s="1"/>
  <c r="H4413" i="6"/>
  <c r="H4305" i="6"/>
  <c r="G5151" i="6" a="1"/>
  <c r="G5151" i="6" s="1"/>
  <c r="H4269" i="6"/>
  <c r="H4250" i="6"/>
  <c r="H4624" i="6"/>
  <c r="H4739" i="6"/>
  <c r="G4937" i="6" a="1"/>
  <c r="G4937" i="6" s="1"/>
  <c r="G4687" i="6" a="1"/>
  <c r="G4687" i="6" s="1"/>
  <c r="G4556" i="6" a="1"/>
  <c r="G4556" i="6" s="1"/>
  <c r="H4974" i="6"/>
  <c r="G4591" i="6" a="1"/>
  <c r="G4591" i="6" s="1"/>
  <c r="G4492" i="6" a="1"/>
  <c r="G4492" i="6" s="1"/>
  <c r="H4830" i="6"/>
  <c r="H5114" i="6"/>
  <c r="G4636" i="6" a="1"/>
  <c r="G4636" i="6" s="1"/>
  <c r="H5115" i="6"/>
  <c r="G4326" i="6" a="1"/>
  <c r="G4326" i="6" s="1"/>
  <c r="H4714" i="6"/>
  <c r="G4874" i="6" a="1"/>
  <c r="G4874" i="6" s="1"/>
  <c r="H4393" i="6"/>
  <c r="H4324" i="6"/>
  <c r="H5141" i="6"/>
  <c r="H4675" i="6"/>
  <c r="H4664" i="6"/>
  <c r="G4374" i="6" a="1"/>
  <c r="G4374" i="6" s="1"/>
  <c r="G4271" i="6" a="1"/>
  <c r="G4271" i="6" s="1"/>
  <c r="H5122" i="6"/>
  <c r="H5092" i="6"/>
  <c r="H4786" i="6"/>
  <c r="H4901" i="6"/>
  <c r="H4742" i="6"/>
  <c r="G4596" i="6" a="1"/>
  <c r="G4596" i="6" s="1"/>
  <c r="H5190" i="6"/>
  <c r="G4246" i="6" a="1"/>
  <c r="G4246" i="6" s="1"/>
  <c r="G5097" i="6" a="1"/>
  <c r="G5097" i="6" s="1"/>
  <c r="H4301" i="6"/>
  <c r="H4282" i="6"/>
  <c r="H4323" i="6"/>
  <c r="G4933" i="6" a="1"/>
  <c r="G4933" i="6" s="1"/>
  <c r="G4651" i="6" a="1"/>
  <c r="G4651" i="6" s="1"/>
  <c r="H4489" i="6"/>
  <c r="H4356" i="6"/>
  <c r="G4971" i="6" a="1"/>
  <c r="G4971" i="6" s="1"/>
  <c r="H4559" i="6"/>
  <c r="H4546" i="6"/>
  <c r="H4256" i="6"/>
  <c r="G4982" i="6" a="1"/>
  <c r="G4982" i="6" s="1"/>
  <c r="H4523" i="6"/>
  <c r="H4497" i="6"/>
  <c r="G5115" i="6" a="1"/>
  <c r="G5115" i="6" s="1"/>
  <c r="G5205" i="6" a="1"/>
  <c r="G5205" i="6" s="1"/>
  <c r="H4419" i="6"/>
  <c r="G5076" i="6" a="1"/>
  <c r="G5076" i="6" s="1"/>
  <c r="G4613" i="6" a="1"/>
  <c r="G4613" i="6" s="1"/>
  <c r="H4483" i="6"/>
  <c r="H4379" i="6"/>
  <c r="G4435" i="6" a="1"/>
  <c r="G4435" i="6" s="1"/>
  <c r="H5101" i="6"/>
  <c r="G4622" i="6" a="1"/>
  <c r="G4622" i="6" s="1"/>
  <c r="G5030" i="6" a="1"/>
  <c r="G5030" i="6" s="1"/>
  <c r="H4278" i="6"/>
  <c r="G4415" i="6" a="1"/>
  <c r="G4415" i="6" s="1"/>
  <c r="H5214" i="6"/>
  <c r="G4565" i="6" a="1"/>
  <c r="G4565" i="6" s="1"/>
  <c r="H4751" i="6"/>
  <c r="G4943" i="6" a="1"/>
  <c r="G4943" i="6" s="1"/>
  <c r="H5110" i="6"/>
  <c r="G4601" i="6" a="1"/>
  <c r="G4601" i="6" s="1"/>
  <c r="H4793" i="6"/>
  <c r="G4940" i="6" a="1"/>
  <c r="G4940" i="6" s="1"/>
  <c r="G4903" i="6" a="1"/>
  <c r="G4903" i="6" s="1"/>
  <c r="G4431" i="6" a="1"/>
  <c r="G4431" i="6" s="1"/>
  <c r="G4497" i="6" a="1"/>
  <c r="G4497" i="6" s="1"/>
  <c r="H4724" i="6"/>
  <c r="G4797" i="6" a="1"/>
  <c r="G4797" i="6" s="1"/>
  <c r="H5213" i="6"/>
  <c r="H4568" i="6"/>
  <c r="H4352" i="6"/>
  <c r="G4868" i="6" a="1"/>
  <c r="G4868" i="6" s="1"/>
  <c r="G4357" i="6" a="1"/>
  <c r="G4357" i="6" s="1"/>
  <c r="G4338" i="6" a="1"/>
  <c r="G4338" i="6" s="1"/>
  <c r="G4586" i="6" a="1"/>
  <c r="G4586" i="6" s="1"/>
  <c r="G4844" i="6" a="1"/>
  <c r="G4844" i="6" s="1"/>
  <c r="H4873" i="6"/>
  <c r="G4839" i="6" a="1"/>
  <c r="G4839" i="6" s="1"/>
  <c r="H4769" i="6"/>
  <c r="G4352" i="6" a="1"/>
  <c r="G4352" i="6" s="1"/>
  <c r="G4950" i="6" a="1"/>
  <c r="G4950" i="6" s="1"/>
  <c r="G5086" i="6" a="1"/>
  <c r="G5086" i="6" s="1"/>
  <c r="G4341" i="6" a="1"/>
  <c r="G4341" i="6" s="1"/>
  <c r="G4520" i="6" a="1"/>
  <c r="G4520" i="6" s="1"/>
  <c r="G4269" i="6" a="1"/>
  <c r="G4269" i="6" s="1"/>
  <c r="H4682" i="6"/>
  <c r="G4260" i="6" a="1"/>
  <c r="G4260" i="6" s="1"/>
  <c r="G4489" i="6" a="1"/>
  <c r="G4489" i="6" s="1"/>
  <c r="H4708" i="6"/>
  <c r="G4717" i="6" a="1"/>
  <c r="G4717" i="6" s="1"/>
  <c r="G4605" i="6" a="1"/>
  <c r="G4605" i="6" s="1"/>
  <c r="G4853" i="6" a="1"/>
  <c r="G4853" i="6" s="1"/>
  <c r="H4302" i="6"/>
  <c r="G5073" i="6" a="1"/>
  <c r="G5073" i="6" s="1"/>
  <c r="H4850" i="6"/>
  <c r="G4956" i="6" a="1"/>
  <c r="G4956" i="6" s="1"/>
  <c r="G4358" i="6" a="1"/>
  <c r="G4358" i="6" s="1"/>
  <c r="G4922" i="6" a="1"/>
  <c r="G4922" i="6" s="1"/>
  <c r="G4725" i="6" a="1"/>
  <c r="G4725" i="6" s="1"/>
  <c r="G5013" i="6" a="1"/>
  <c r="G5013" i="6" s="1"/>
  <c r="H4432" i="6"/>
  <c r="H4903" i="6"/>
  <c r="G4954" i="6" a="1"/>
  <c r="G4954" i="6" s="1"/>
  <c r="H4874" i="6"/>
  <c r="H4958" i="6"/>
  <c r="G4488" i="6" a="1"/>
  <c r="G4488" i="6" s="1"/>
  <c r="G4575" i="6" a="1"/>
  <c r="G4575" i="6" s="1"/>
  <c r="G4899" i="6" a="1"/>
  <c r="G4899" i="6" s="1"/>
  <c r="H4659" i="6"/>
  <c r="H4277" i="6"/>
  <c r="H5125" i="6"/>
  <c r="G4690" i="6" a="1"/>
  <c r="G4690" i="6" s="1"/>
  <c r="H4864" i="6"/>
  <c r="G4393" i="6" a="1"/>
  <c r="G4393" i="6" s="1"/>
  <c r="G4244" i="6" a="1"/>
  <c r="G4244" i="6" s="1"/>
  <c r="H4971" i="6"/>
  <c r="H5077" i="6"/>
  <c r="H5082" i="6"/>
  <c r="G4327" i="6" a="1"/>
  <c r="G4327" i="6" s="1"/>
  <c r="H5035" i="6"/>
  <c r="H5046" i="6"/>
  <c r="H4897" i="6"/>
  <c r="G4887" i="6" a="1"/>
  <c r="G4887" i="6" s="1"/>
  <c r="H4600" i="6"/>
  <c r="G4490" i="6" a="1"/>
  <c r="G4490" i="6" s="1"/>
  <c r="G4796" i="6" a="1"/>
  <c r="G4796" i="6" s="1"/>
  <c r="G4832" i="6" a="1"/>
  <c r="G4832" i="6" s="1"/>
  <c r="G4755" i="6" a="1"/>
  <c r="G4755" i="6" s="1"/>
  <c r="G4909" i="6" a="1"/>
  <c r="G4909" i="6" s="1"/>
  <c r="G4610" i="6" a="1"/>
  <c r="G4610" i="6" s="1"/>
  <c r="G4567" i="6" a="1"/>
  <c r="G4567" i="6" s="1"/>
  <c r="H4821" i="6"/>
  <c r="G4630" i="6" a="1"/>
  <c r="G4630" i="6" s="1"/>
  <c r="G4554" i="6" a="1"/>
  <c r="G4554" i="6" s="1"/>
  <c r="G4919" i="6" a="1"/>
  <c r="G4919" i="6" s="1"/>
  <c r="H5134" i="6"/>
  <c r="G4860" i="6" a="1"/>
  <c r="G4860" i="6" s="1"/>
  <c r="G4417" i="6" a="1"/>
  <c r="G4417" i="6" s="1"/>
  <c r="G4870" i="6" a="1"/>
  <c r="G4870" i="6" s="1"/>
  <c r="G4941" i="6" a="1"/>
  <c r="G4941" i="6" s="1"/>
  <c r="H4410" i="6"/>
  <c r="H4263" i="6"/>
  <c r="H4475" i="6"/>
  <c r="G4968" i="6" a="1"/>
  <c r="G4968" i="6" s="1"/>
  <c r="G4782" i="6" a="1"/>
  <c r="G4782" i="6" s="1"/>
  <c r="H4937" i="6"/>
  <c r="G4918" i="6" a="1"/>
  <c r="G4918" i="6" s="1"/>
  <c r="H5132" i="6"/>
  <c r="H4575" i="6"/>
  <c r="H4431" i="6"/>
  <c r="H4340" i="6"/>
  <c r="H5088" i="6"/>
  <c r="G5004" i="6" a="1"/>
  <c r="G5004" i="6" s="1"/>
  <c r="H5109" i="6"/>
  <c r="H4430" i="6"/>
  <c r="H5136" i="6"/>
  <c r="G4688" i="6" a="1"/>
  <c r="G4688" i="6" s="1"/>
  <c r="G4953" i="6" a="1"/>
  <c r="G4953" i="6" s="1"/>
  <c r="G4707" i="6" a="1"/>
  <c r="G4707" i="6" s="1"/>
  <c r="H4812" i="6"/>
  <c r="H4547" i="6"/>
  <c r="H4707" i="6"/>
  <c r="G4883" i="6" a="1"/>
  <c r="G4883" i="6" s="1"/>
  <c r="H4272" i="6"/>
  <c r="G4746" i="6" a="1"/>
  <c r="G4746" i="6" s="1"/>
  <c r="H5209" i="6"/>
  <c r="G4698" i="6" a="1"/>
  <c r="G4698" i="6" s="1"/>
  <c r="H4609" i="6"/>
  <c r="H4893" i="6"/>
  <c r="G4643" i="6" a="1"/>
  <c r="G4643" i="6" s="1"/>
  <c r="G4544" i="6" a="1"/>
  <c r="G4544" i="6" s="1"/>
  <c r="G4501" i="6" a="1"/>
  <c r="G4501" i="6" s="1"/>
  <c r="H4954" i="6"/>
  <c r="H5130" i="6"/>
  <c r="H4617" i="6"/>
  <c r="H4870" i="6"/>
  <c r="G5010" i="6" a="1"/>
  <c r="G5010" i="6" s="1"/>
  <c r="G4823" i="6" a="1"/>
  <c r="G4823" i="6" s="1"/>
  <c r="H4733" i="6"/>
  <c r="G4277" i="6" a="1"/>
  <c r="G4277" i="6" s="1"/>
  <c r="H4578" i="6"/>
  <c r="G4666" i="6" a="1"/>
  <c r="G4666" i="6" s="1"/>
  <c r="G5029" i="6" a="1"/>
  <c r="G5029" i="6" s="1"/>
  <c r="H5139" i="6"/>
  <c r="H5075" i="6"/>
  <c r="G4422" i="6" a="1"/>
  <c r="G4422" i="6" s="1"/>
  <c r="G4806" i="6" a="1"/>
  <c r="G4806" i="6" s="1"/>
  <c r="G4911" i="6" a="1"/>
  <c r="G4911" i="6" s="1"/>
  <c r="G4252" i="6" a="1"/>
  <c r="G4252" i="6" s="1"/>
  <c r="G4427" i="6" a="1"/>
  <c r="G4427" i="6" s="1"/>
  <c r="G4891" i="6" a="1"/>
  <c r="G4891" i="6" s="1"/>
  <c r="H4975" i="6"/>
  <c r="G4519" i="6" a="1"/>
  <c r="G4519" i="6" s="1"/>
  <c r="H4884" i="6"/>
  <c r="G4587" i="6" a="1"/>
  <c r="G4587" i="6" s="1"/>
  <c r="H4698" i="6"/>
  <c r="G4584" i="6" a="1"/>
  <c r="G4584" i="6" s="1"/>
  <c r="G4736" i="6" a="1"/>
  <c r="G4736" i="6" s="1"/>
  <c r="H4353" i="6"/>
  <c r="H4891" i="6"/>
  <c r="G4248" i="6" a="1"/>
  <c r="G4248" i="6" s="1"/>
  <c r="H4457" i="6"/>
  <c r="G4980" i="6" a="1"/>
  <c r="G4980" i="6" s="1"/>
  <c r="H5040" i="6"/>
  <c r="G4526" i="6" a="1"/>
  <c r="G4526" i="6" s="1"/>
  <c r="G4557" i="6" a="1"/>
  <c r="G4557" i="6" s="1"/>
  <c r="H4842" i="6"/>
  <c r="G4939" i="6" a="1"/>
  <c r="G4939" i="6" s="1"/>
  <c r="G5129" i="6" a="1"/>
  <c r="G5129" i="6" s="1"/>
  <c r="H4915" i="6"/>
  <c r="G5035" i="6" a="1"/>
  <c r="G5035" i="6" s="1"/>
  <c r="G5072" i="6" a="1"/>
  <c r="G5072" i="6" s="1"/>
  <c r="G5042" i="6" a="1"/>
  <c r="G5042" i="6" s="1"/>
  <c r="H4684" i="6"/>
  <c r="H4448" i="6"/>
  <c r="H4878" i="6"/>
  <c r="G4267" i="6" a="1"/>
  <c r="G4267" i="6" s="1"/>
  <c r="G5083" i="6" a="1"/>
  <c r="G5083" i="6" s="1"/>
  <c r="H4369" i="6"/>
  <c r="H4945" i="6"/>
  <c r="G4288" i="6" a="1"/>
  <c r="G4288" i="6" s="1"/>
  <c r="H4809" i="6"/>
  <c r="H4399" i="6"/>
  <c r="G5041" i="6" a="1"/>
  <c r="G5041" i="6" s="1"/>
  <c r="H4825" i="6"/>
  <c r="H4308" i="6"/>
  <c r="H4362" i="6"/>
  <c r="H4720" i="6"/>
  <c r="G4523" i="6" a="1"/>
  <c r="G4523" i="6" s="1"/>
  <c r="H4837" i="6"/>
  <c r="G4612" i="6" a="1"/>
  <c r="G4612" i="6" s="1"/>
  <c r="G5021" i="6" a="1"/>
  <c r="G5021" i="6" s="1"/>
  <c r="H4858" i="6"/>
  <c r="G4356" i="6" a="1"/>
  <c r="G4356" i="6" s="1"/>
  <c r="G4446" i="6" a="1"/>
  <c r="G4446" i="6" s="1"/>
  <c r="G4503" i="6" a="1"/>
  <c r="G4503" i="6" s="1"/>
  <c r="G4534" i="6" a="1"/>
  <c r="G4534" i="6" s="1"/>
  <c r="H4701" i="6"/>
  <c r="G4703" i="6" a="1"/>
  <c r="G4703" i="6" s="1"/>
  <c r="G5130" i="6" a="1"/>
  <c r="G5130" i="6" s="1"/>
  <c r="G5199" i="6" a="1"/>
  <c r="G5199" i="6" s="1"/>
  <c r="G4258" i="6" a="1"/>
  <c r="G4258" i="6" s="1"/>
  <c r="H4875" i="6"/>
  <c r="G4637" i="6" a="1"/>
  <c r="G4637" i="6" s="1"/>
  <c r="H4831" i="6"/>
  <c r="G4353" i="6" a="1"/>
  <c r="G4353" i="6" s="1"/>
  <c r="H4555" i="6"/>
  <c r="H5112" i="6"/>
  <c r="G4242" i="6" a="1"/>
  <c r="G4242" i="6" s="1"/>
  <c r="H5201" i="6"/>
  <c r="H4564" i="6"/>
  <c r="H4783" i="6"/>
  <c r="G4774" i="6" a="1"/>
  <c r="G4774" i="6" s="1"/>
  <c r="G4837" i="6" a="1"/>
  <c r="G4837" i="6" s="1"/>
  <c r="H4686" i="6"/>
  <c r="G4482" i="6" a="1"/>
  <c r="G4482" i="6" s="1"/>
  <c r="H5194" i="6"/>
  <c r="H5108" i="6"/>
  <c r="G4801" i="6" a="1"/>
  <c r="G4801" i="6" s="1"/>
  <c r="G4679" i="6" a="1"/>
  <c r="G4679" i="6" s="1"/>
  <c r="G5107" i="6" a="1"/>
  <c r="G5107" i="6" s="1"/>
  <c r="G4740" i="6" a="1"/>
  <c r="G4740" i="6" s="1"/>
  <c r="H4883" i="6"/>
  <c r="H4696" i="6"/>
  <c r="G4383" i="6" a="1"/>
  <c r="G4383" i="6" s="1"/>
  <c r="H5203" i="6"/>
  <c r="G4284" i="6" a="1"/>
  <c r="G4284" i="6" s="1"/>
  <c r="G4388" i="6" a="1"/>
  <c r="G4388" i="6" s="1"/>
  <c r="G4598" i="6" a="1"/>
  <c r="G4598" i="6" s="1"/>
  <c r="G5036" i="6" a="1"/>
  <c r="G5036" i="6" s="1"/>
  <c r="G4819" i="6" a="1"/>
  <c r="G4819" i="6" s="1"/>
  <c r="G5023" i="6" a="1"/>
  <c r="G5023" i="6" s="1"/>
  <c r="G5201" i="6" a="1"/>
  <c r="G5201" i="6" s="1"/>
  <c r="H4285" i="6"/>
  <c r="H5067" i="6"/>
  <c r="G4970" i="6" a="1"/>
  <c r="G4970" i="6" s="1"/>
  <c r="G4607" i="6" a="1"/>
  <c r="G4607" i="6" s="1"/>
  <c r="H4785" i="6"/>
  <c r="G4571" i="6" a="1"/>
  <c r="G4571" i="6" s="1"/>
  <c r="H4577" i="6"/>
  <c r="H4459" i="6"/>
  <c r="H4877" i="6"/>
  <c r="G4946" i="6" a="1"/>
  <c r="G4946" i="6" s="1"/>
  <c r="H4566" i="6"/>
  <c r="H4976" i="6"/>
  <c r="G4821" i="6" a="1"/>
  <c r="G4821" i="6" s="1"/>
  <c r="G4264" i="6" a="1"/>
  <c r="G4264" i="6" s="1"/>
  <c r="G4510" i="6" a="1"/>
  <c r="G4510" i="6" s="1"/>
  <c r="H4411" i="6"/>
  <c r="H5041" i="6"/>
  <c r="G4963" i="6" a="1"/>
  <c r="G4963" i="6" s="1"/>
  <c r="G4808" i="6" a="1"/>
  <c r="G4808" i="6" s="1"/>
  <c r="H5002" i="6"/>
  <c r="H4921" i="6"/>
  <c r="G4654" i="6" a="1"/>
  <c r="G4654" i="6" s="1"/>
  <c r="G4825" i="6" a="1"/>
  <c r="G4825" i="6" s="1"/>
  <c r="H5016" i="6"/>
  <c r="G4294" i="6" a="1"/>
  <c r="G4294" i="6" s="1"/>
  <c r="H4328" i="6"/>
  <c r="H4598" i="6"/>
  <c r="H4928" i="6"/>
  <c r="G4682" i="6" a="1"/>
  <c r="G4682" i="6" s="1"/>
  <c r="G4512" i="6" a="1"/>
  <c r="G4512" i="6" s="1"/>
  <c r="G4696" i="6" a="1"/>
  <c r="G4696" i="6" s="1"/>
  <c r="H4730" i="6"/>
  <c r="G4509" i="6" a="1"/>
  <c r="G4509" i="6" s="1"/>
  <c r="G5016" i="6" a="1"/>
  <c r="G5016" i="6" s="1"/>
  <c r="H4463" i="6"/>
  <c r="H4309" i="6"/>
  <c r="H4481" i="6"/>
  <c r="G4901" i="6" a="1"/>
  <c r="G4901" i="6" s="1"/>
  <c r="H4924" i="6"/>
  <c r="G5085" i="6" a="1"/>
  <c r="G5085" i="6" s="1"/>
  <c r="H4787" i="6"/>
  <c r="H4460" i="6"/>
  <c r="H4580" i="6"/>
  <c r="H4334" i="6"/>
  <c r="H5004" i="6"/>
  <c r="H4313" i="6"/>
  <c r="H4414" i="6"/>
  <c r="H4741" i="6"/>
  <c r="H4509" i="6"/>
  <c r="H4480" i="6"/>
  <c r="G4816" i="6" a="1"/>
  <c r="G4816" i="6" s="1"/>
  <c r="G5135" i="6" a="1"/>
  <c r="G5135" i="6" s="1"/>
  <c r="G4499" i="6" a="1"/>
  <c r="G4499" i="6" s="1"/>
  <c r="H4373" i="6"/>
  <c r="H4718" i="6"/>
  <c r="G4649" i="6" a="1"/>
  <c r="G4649" i="6" s="1"/>
  <c r="G4665" i="6" a="1"/>
  <c r="G4665" i="6" s="1"/>
  <c r="G4477" i="6" a="1"/>
  <c r="G4477" i="6" s="1"/>
  <c r="G4647" i="6" a="1"/>
  <c r="G4647" i="6" s="1"/>
  <c r="G5131" i="6" a="1"/>
  <c r="G5131" i="6" s="1"/>
  <c r="H4777" i="6"/>
  <c r="G5099" i="6" a="1"/>
  <c r="G5099" i="6" s="1"/>
  <c r="H4299" i="6"/>
  <c r="G4563" i="6" a="1"/>
  <c r="G4563" i="6" s="1"/>
  <c r="G4323" i="6" a="1"/>
  <c r="G4323" i="6" s="1"/>
  <c r="G4857" i="6" a="1"/>
  <c r="G4857" i="6" s="1"/>
  <c r="G5040" i="6" a="1"/>
  <c r="G5040" i="6" s="1"/>
  <c r="G4614" i="6" a="1"/>
  <c r="G4614" i="6" s="1"/>
  <c r="H4731" i="6"/>
  <c r="G4944" i="6" a="1"/>
  <c r="G4944" i="6" s="1"/>
  <c r="H4495" i="6"/>
  <c r="G4798" i="6" a="1"/>
  <c r="G4798" i="6" s="1"/>
  <c r="H4316" i="6"/>
  <c r="H4449" i="6"/>
  <c r="H4395" i="6"/>
  <c r="H4561" i="6"/>
  <c r="H4601" i="6"/>
  <c r="H4565" i="6"/>
  <c r="H4466" i="6"/>
  <c r="H4603" i="6"/>
  <c r="H4851" i="6"/>
  <c r="G5045" i="6" a="1"/>
  <c r="G5045" i="6" s="1"/>
  <c r="H5015" i="6"/>
  <c r="G4616" i="6" a="1"/>
  <c r="G4616" i="6" s="1"/>
  <c r="H4599" i="6"/>
  <c r="H5019" i="6"/>
  <c r="G4403" i="6" a="1"/>
  <c r="G4403" i="6" s="1"/>
  <c r="G4397" i="6" a="1"/>
  <c r="G4397" i="6" s="1"/>
  <c r="G4537" i="6" a="1"/>
  <c r="G4537" i="6" s="1"/>
  <c r="G4283" i="6" a="1"/>
  <c r="G4283" i="6" s="1"/>
  <c r="G4603" i="6" a="1"/>
  <c r="G4603" i="6" s="1"/>
  <c r="G4990" i="6" a="1"/>
  <c r="G4990" i="6" s="1"/>
  <c r="H4926" i="6"/>
  <c r="G4540" i="6" a="1"/>
  <c r="G4540" i="6" s="1"/>
  <c r="G4840" i="6" a="1"/>
  <c r="G4840" i="6" s="1"/>
  <c r="G4674" i="6" a="1"/>
  <c r="G4674" i="6" s="1"/>
  <c r="H4920" i="6"/>
  <c r="H4866" i="6"/>
  <c r="G4285" i="6" a="1"/>
  <c r="G4285" i="6" s="1"/>
  <c r="G4560" i="6" a="1"/>
  <c r="G4560" i="6" s="1"/>
  <c r="G4539" i="6" a="1"/>
  <c r="G4539" i="6" s="1"/>
  <c r="H5129" i="6"/>
  <c r="G4993" i="6" a="1"/>
  <c r="G4993" i="6" s="1"/>
  <c r="G5194" i="6" a="1"/>
  <c r="G5194" i="6" s="1"/>
  <c r="G5102" i="6" a="1"/>
  <c r="G5102" i="6" s="1"/>
  <c r="H4784" i="6"/>
  <c r="G4812" i="6" a="1"/>
  <c r="G4812" i="6" s="1"/>
  <c r="G4279" i="6" a="1"/>
  <c r="G4279" i="6" s="1"/>
  <c r="G4340" i="6" a="1"/>
  <c r="G4340" i="6" s="1"/>
  <c r="G4394" i="6" a="1"/>
  <c r="G4394" i="6" s="1"/>
  <c r="G4486" i="6" a="1"/>
  <c r="G4486" i="6" s="1"/>
  <c r="G4456" i="6" a="1"/>
  <c r="G4456" i="6" s="1"/>
  <c r="G4532" i="6" a="1"/>
  <c r="G4532" i="6" s="1"/>
  <c r="G5200" i="6" a="1"/>
  <c r="G5200" i="6" s="1"/>
  <c r="H4462" i="6"/>
  <c r="H4689" i="6"/>
  <c r="G4732" i="6" a="1"/>
  <c r="G4732" i="6" s="1"/>
  <c r="H4303" i="6"/>
  <c r="G4721" i="6" a="1"/>
  <c r="G4721" i="6" s="1"/>
  <c r="G4611" i="6" a="1"/>
  <c r="G4611" i="6" s="1"/>
  <c r="G4999" i="6" a="1"/>
  <c r="G4999" i="6" s="1"/>
  <c r="G5122" i="6" a="1"/>
  <c r="G5122" i="6" s="1"/>
  <c r="H4700" i="6"/>
  <c r="H4646" i="6"/>
  <c r="G4360" i="6" a="1"/>
  <c r="G4360" i="6" s="1"/>
  <c r="G5208" i="6" a="1"/>
  <c r="G5208" i="6" s="1"/>
  <c r="H4276" i="6"/>
  <c r="H4995" i="6"/>
  <c r="G4669" i="6" a="1"/>
  <c r="G4669" i="6" s="1"/>
  <c r="H5006" i="6"/>
  <c r="H4709" i="6"/>
  <c r="G4758" i="6" a="1"/>
  <c r="G4758" i="6" s="1"/>
  <c r="G4693" i="6" a="1"/>
  <c r="G4693" i="6" s="1"/>
  <c r="H5022" i="6"/>
  <c r="H4596" i="6"/>
  <c r="H4591" i="6"/>
  <c r="H4969" i="6"/>
  <c r="H4266" i="6"/>
  <c r="G4386" i="6" a="1"/>
  <c r="G4386" i="6" s="1"/>
  <c r="G4921" i="6" a="1"/>
  <c r="G4921" i="6" s="1"/>
  <c r="G4976" i="6" a="1"/>
  <c r="G4976" i="6" s="1"/>
  <c r="H4241" i="6"/>
  <c r="H4614" i="6"/>
  <c r="G4894" i="6" a="1"/>
  <c r="G4894" i="6" s="1"/>
  <c r="H4319" i="6"/>
  <c r="H4514" i="6"/>
  <c r="H4756" i="6"/>
  <c r="G4892" i="6" a="1"/>
  <c r="G4892" i="6" s="1"/>
  <c r="H4922" i="6"/>
  <c r="H5070" i="6"/>
  <c r="H4503" i="6"/>
  <c r="G4719" i="6" a="1"/>
  <c r="G4719" i="6" s="1"/>
  <c r="G4842" i="6" a="1"/>
  <c r="G4842" i="6" s="1"/>
  <c r="G4547" i="6" a="1"/>
  <c r="G4547" i="6" s="1"/>
  <c r="G4459" i="6" a="1"/>
  <c r="G4459" i="6" s="1"/>
  <c r="G4722" i="6" a="1"/>
  <c r="G4722" i="6" s="1"/>
  <c r="G5092" i="6" a="1"/>
  <c r="G5092" i="6" s="1"/>
  <c r="H4444" i="6"/>
  <c r="H4579" i="6"/>
  <c r="H5215" i="6"/>
  <c r="G4320" i="6" a="1"/>
  <c r="G4320" i="6" s="1"/>
  <c r="G4447" i="6" a="1"/>
  <c r="G4447" i="6" s="1"/>
  <c r="H4702" i="6"/>
  <c r="G4639" i="6" a="1"/>
  <c r="G4639" i="6" s="1"/>
  <c r="G4425" i="6" a="1"/>
  <c r="G4425" i="6" s="1"/>
  <c r="G4807" i="6" a="1"/>
  <c r="G4807" i="6" s="1"/>
  <c r="G5077" i="6" a="1"/>
  <c r="G5077" i="6" s="1"/>
  <c r="G5218" i="6" a="1"/>
  <c r="G5218" i="6" s="1"/>
  <c r="H4423" i="6"/>
  <c r="H4508" i="6"/>
  <c r="G4818" i="6" a="1"/>
  <c r="G4818" i="6" s="1"/>
  <c r="H4807" i="6"/>
  <c r="H5152" i="6"/>
  <c r="G5148" i="6" a="1"/>
  <c r="G5148" i="6" s="1"/>
  <c r="G5103" i="6" a="1"/>
  <c r="G5103" i="6" s="1"/>
  <c r="H4538" i="6"/>
  <c r="H4832" i="6"/>
  <c r="H4590" i="6"/>
  <c r="H4403" i="6"/>
  <c r="G4692" i="6" a="1"/>
  <c r="G4692" i="6" s="1"/>
  <c r="H4329" i="6"/>
  <c r="H4243" i="6"/>
  <c r="H4573" i="6"/>
  <c r="H4437" i="6"/>
  <c r="H5191" i="6"/>
  <c r="G4955" i="6" a="1"/>
  <c r="G4955" i="6" s="1"/>
  <c r="H4351" i="6"/>
  <c r="G4851" i="6" a="1"/>
  <c r="G4851" i="6" s="1"/>
  <c r="H4472" i="6"/>
  <c r="H4496" i="6"/>
  <c r="G5100" i="6" a="1"/>
  <c r="G5100" i="6" s="1"/>
  <c r="H5138" i="6"/>
  <c r="G4588" i="6" a="1"/>
  <c r="G4588" i="6" s="1"/>
  <c r="H5217" i="6"/>
  <c r="G4379" i="6" a="1"/>
  <c r="G4379" i="6" s="1"/>
  <c r="H4400" i="6"/>
  <c r="H4428" i="6"/>
  <c r="H4341" i="6"/>
  <c r="H4823" i="6"/>
  <c r="G4680" i="6" a="1"/>
  <c r="G4680" i="6" s="1"/>
  <c r="G4881" i="6" a="1"/>
  <c r="G4881" i="6" s="1"/>
  <c r="H4310" i="6"/>
  <c r="G4475" i="6" a="1"/>
  <c r="G4475" i="6" s="1"/>
  <c r="H4744" i="6"/>
  <c r="H4914" i="6"/>
  <c r="H4390" i="6"/>
  <c r="H4681" i="6"/>
  <c r="G4476" i="6" a="1"/>
  <c r="G4476" i="6" s="1"/>
  <c r="G4428" i="6" a="1"/>
  <c r="G4428" i="6" s="1"/>
  <c r="G4878" i="6" a="1"/>
  <c r="G4878" i="6" s="1"/>
  <c r="G4952" i="6" a="1"/>
  <c r="G4952" i="6" s="1"/>
  <c r="H4745" i="6"/>
  <c r="H4782" i="6"/>
  <c r="H4841" i="6"/>
  <c r="G4517" i="6" a="1"/>
  <c r="G4517" i="6" s="1"/>
  <c r="H4965" i="6"/>
  <c r="G4760" i="6" a="1"/>
  <c r="G4760" i="6" s="1"/>
  <c r="G4276" i="6" a="1"/>
  <c r="G4276" i="6" s="1"/>
  <c r="H5001" i="6"/>
  <c r="G5075" i="6" a="1"/>
  <c r="G5075" i="6" s="1"/>
  <c r="G4262" i="6" a="1"/>
  <c r="G4262" i="6" s="1"/>
  <c r="G4906" i="6" a="1"/>
  <c r="G4906" i="6" s="1"/>
  <c r="G4420" i="6" a="1"/>
  <c r="G4420" i="6" s="1"/>
  <c r="H4550" i="6"/>
  <c r="H4791" i="6"/>
  <c r="G4925" i="6" a="1"/>
  <c r="G4925" i="6" s="1"/>
  <c r="G4820" i="6" a="1"/>
  <c r="G4820" i="6" s="1"/>
  <c r="H4494" i="6"/>
  <c r="G4794" i="6" a="1"/>
  <c r="G4794" i="6" s="1"/>
  <c r="G4249" i="6" a="1"/>
  <c r="G4249" i="6" s="1"/>
  <c r="H4806" i="6"/>
  <c r="G5064" i="6" a="1"/>
  <c r="G5064" i="6" s="1"/>
  <c r="G4243" i="6" a="1"/>
  <c r="G4243" i="6" s="1"/>
  <c r="G4298" i="6" a="1"/>
  <c r="G4298" i="6" s="1"/>
  <c r="G4712" i="6" a="1"/>
  <c r="G4712" i="6" s="1"/>
  <c r="G4657" i="6" a="1"/>
  <c r="G4657" i="6" s="1"/>
  <c r="H4581" i="6"/>
  <c r="G4988" i="6" a="1"/>
  <c r="G4988" i="6" s="1"/>
  <c r="H4835" i="6"/>
  <c r="H4643" i="6"/>
  <c r="H5024" i="6"/>
  <c r="G4834" i="6" a="1"/>
  <c r="G4834" i="6" s="1"/>
  <c r="G4325" i="6" a="1"/>
  <c r="G4325" i="6" s="1"/>
  <c r="H4663" i="6"/>
  <c r="H4511" i="6"/>
  <c r="H4502" i="6"/>
  <c r="G5074" i="6" a="1"/>
  <c r="G5074" i="6" s="1"/>
  <c r="H5013" i="6"/>
  <c r="H5121" i="6"/>
  <c r="G4802" i="6" a="1"/>
  <c r="G4802" i="6" s="1"/>
  <c r="G4942" i="6" a="1"/>
  <c r="G4942" i="6" s="1"/>
  <c r="G5034" i="6" a="1"/>
  <c r="G5034" i="6" s="1"/>
  <c r="H4259" i="6"/>
  <c r="H4333" i="6"/>
  <c r="H4960" i="6"/>
  <c r="H4505" i="6"/>
  <c r="H4257" i="6"/>
  <c r="G4590" i="6" a="1"/>
  <c r="G4590" i="6" s="1"/>
  <c r="G4912" i="6" a="1"/>
  <c r="G4912" i="6" s="1"/>
  <c r="G4992" i="6" a="1"/>
  <c r="G4992" i="6" s="1"/>
  <c r="G4756" i="6" a="1"/>
  <c r="G4756" i="6" s="1"/>
  <c r="H5047" i="6"/>
  <c r="H5189" i="6"/>
  <c r="G4473" i="6" a="1"/>
  <c r="G4473" i="6" s="1"/>
  <c r="H4521" i="6"/>
  <c r="H4381" i="6"/>
  <c r="H4300" i="6"/>
  <c r="G5140" i="6" a="1"/>
  <c r="G5140" i="6" s="1"/>
  <c r="H5091" i="6"/>
  <c r="H4533" i="6"/>
  <c r="H4528" i="6"/>
  <c r="H4748" i="6"/>
  <c r="H4320" i="6"/>
  <c r="H4571" i="6"/>
  <c r="H4247" i="6"/>
  <c r="H4671" i="6"/>
  <c r="H4612" i="6"/>
  <c r="H4484" i="6"/>
  <c r="H4314" i="6"/>
  <c r="H4453" i="6"/>
  <c r="G4500" i="6" a="1"/>
  <c r="G4500" i="6" s="1"/>
  <c r="G4777" i="6" a="1"/>
  <c r="G4777" i="6" s="1"/>
  <c r="H4531" i="6"/>
  <c r="H5127" i="6"/>
  <c r="G5125" i="6" a="1"/>
  <c r="G5125" i="6" s="1"/>
  <c r="H4953" i="6"/>
  <c r="G5124" i="6" a="1"/>
  <c r="G5124" i="6" s="1"/>
  <c r="G4896" i="6" a="1"/>
  <c r="G4896" i="6" s="1"/>
  <c r="H5192" i="6"/>
  <c r="H4298" i="6"/>
  <c r="G4838" i="6" a="1"/>
  <c r="G4838" i="6" s="1"/>
  <c r="H4797" i="6"/>
  <c r="H4918" i="6"/>
  <c r="H4365" i="6"/>
  <c r="G5196" i="6" a="1"/>
  <c r="G5196" i="6" s="1"/>
  <c r="H4576" i="6"/>
  <c r="H5043" i="6"/>
  <c r="H4569" i="6"/>
  <c r="H4288" i="6"/>
  <c r="G5190" i="6" a="1"/>
  <c r="G5190" i="6" s="1"/>
  <c r="G4804" i="6" a="1"/>
  <c r="G4804" i="6" s="1"/>
  <c r="H4394" i="6"/>
  <c r="H4655" i="6"/>
  <c r="H4312" i="6"/>
  <c r="G5106" i="6" a="1"/>
  <c r="G5106" i="6" s="1"/>
  <c r="G4985" i="6" a="1"/>
  <c r="G4985" i="6" s="1"/>
  <c r="H4595" i="6"/>
  <c r="G4522" i="6" a="1"/>
  <c r="G4522" i="6" s="1"/>
  <c r="H4553" i="6"/>
  <c r="G5025" i="6" a="1"/>
  <c r="G5025" i="6" s="1"/>
  <c r="H4961" i="6"/>
  <c r="G4814" i="6" a="1"/>
  <c r="G4814" i="6" s="1"/>
  <c r="H4295" i="6"/>
  <c r="G5138" i="6" a="1"/>
  <c r="G5138" i="6" s="1"/>
  <c r="H4611" i="6"/>
  <c r="G5091" i="6" a="1"/>
  <c r="G5091" i="6" s="1"/>
  <c r="G4695" i="6" a="1"/>
  <c r="G4695" i="6" s="1"/>
  <c r="G4387" i="6" a="1"/>
  <c r="G4387" i="6" s="1"/>
  <c r="G4767" i="6" a="1"/>
  <c r="G4767" i="6" s="1"/>
  <c r="H4346" i="6"/>
  <c r="H4306" i="6"/>
  <c r="H5068" i="6"/>
  <c r="H4759" i="6"/>
  <c r="H4416" i="6"/>
  <c r="H4606" i="6"/>
  <c r="G5195" i="6" a="1"/>
  <c r="G5195" i="6" s="1"/>
  <c r="H4372" i="6"/>
  <c r="H4261" i="6"/>
  <c r="G5082" i="6" a="1"/>
  <c r="G5082" i="6" s="1"/>
  <c r="H4647" i="6"/>
  <c r="H4683" i="6"/>
  <c r="G4691" i="6" a="1"/>
  <c r="G4691" i="6" s="1"/>
  <c r="H5137" i="6"/>
  <c r="G4948" i="6" a="1"/>
  <c r="G4948" i="6" s="1"/>
  <c r="H5033" i="6"/>
  <c r="H4425" i="6"/>
  <c r="H4977" i="6"/>
  <c r="G4811" i="6" a="1"/>
  <c r="G4811" i="6" s="1"/>
  <c r="G4677" i="6" a="1"/>
  <c r="G4677" i="6" s="1"/>
  <c r="H4338" i="6"/>
  <c r="G5191" i="6" a="1"/>
  <c r="G5191" i="6" s="1"/>
  <c r="G4997" i="6" a="1"/>
  <c r="G4997" i="6" s="1"/>
  <c r="G5011" i="6" a="1"/>
  <c r="G5011" i="6" s="1"/>
  <c r="H4429" i="6"/>
  <c r="H4506" i="6"/>
  <c r="H5072" i="6"/>
  <c r="G5084" i="6" a="1"/>
  <c r="G5084" i="6" s="1"/>
  <c r="H4957" i="6"/>
  <c r="H4768" i="6"/>
  <c r="G5020" i="6" a="1"/>
  <c r="G5020" i="6" s="1"/>
  <c r="H4318" i="6"/>
  <c r="H4392" i="6"/>
  <c r="H4307" i="6"/>
  <c r="H4417" i="6"/>
  <c r="G5089" i="6" a="1"/>
  <c r="G5089" i="6" s="1"/>
  <c r="G4785" i="6" a="1"/>
  <c r="G4785" i="6" s="1"/>
  <c r="G4390" i="6" a="1"/>
  <c r="G4390" i="6" s="1"/>
  <c r="H5037" i="6"/>
  <c r="H5089" i="6"/>
  <c r="H4813" i="6"/>
  <c r="H4337" i="6"/>
  <c r="G5014" i="6" a="1"/>
  <c r="G5014" i="6" s="1"/>
  <c r="H4880" i="6"/>
  <c r="H4455" i="6"/>
  <c r="H4679" i="6"/>
  <c r="H4667" i="6"/>
  <c r="H465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F31B8B-487D-43F0-AEAC-C2D7FEEB91CF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4B73C6F-B60F-4512-8D87-4081BB37D3EA}" name="WorksheetConnection_Clientes.xlsx!Tabela11" type="102" refreshedVersion="7" minRefreshableVersion="5">
    <extLst>
      <ext xmlns:x15="http://schemas.microsoft.com/office/spreadsheetml/2010/11/main" uri="{DE250136-89BD-433C-8126-D09CA5730AF9}">
        <x15:connection id="Tabela11">
          <x15:rangePr sourceName="_xlcn.WorksheetConnection_Clientes.xlsxTabela111"/>
        </x15:connection>
      </ext>
    </extLst>
  </connection>
</connections>
</file>

<file path=xl/sharedStrings.xml><?xml version="1.0" encoding="utf-8"?>
<sst xmlns="http://schemas.openxmlformats.org/spreadsheetml/2006/main" count="39204" uniqueCount="537">
  <si>
    <t>a</t>
  </si>
  <si>
    <t>b</t>
  </si>
  <si>
    <t>c</t>
  </si>
  <si>
    <t>d</t>
  </si>
  <si>
    <t>e</t>
  </si>
  <si>
    <t>f</t>
  </si>
  <si>
    <t>g</t>
  </si>
  <si>
    <t>h</t>
  </si>
  <si>
    <t>j</t>
  </si>
  <si>
    <t>l</t>
  </si>
  <si>
    <t>m</t>
  </si>
  <si>
    <t>s</t>
  </si>
  <si>
    <t>r</t>
  </si>
  <si>
    <t>ID_Client</t>
  </si>
  <si>
    <t>Cliente</t>
  </si>
  <si>
    <t>Cidade</t>
  </si>
  <si>
    <t>Estado</t>
  </si>
  <si>
    <t>Postirsch</t>
  </si>
  <si>
    <t>Gewistaar</t>
  </si>
  <si>
    <t>Loja_Sollar</t>
  </si>
  <si>
    <t>Loja_Andorinha</t>
  </si>
  <si>
    <t>Loja_Recrutadoor</t>
  </si>
  <si>
    <t>Adelucian_Supermercados</t>
  </si>
  <si>
    <t>Yahuaas_Supermercados</t>
  </si>
  <si>
    <t>Hildresser</t>
  </si>
  <si>
    <t>Bolsas_Assandra</t>
  </si>
  <si>
    <t>Armazém_Sobral</t>
  </si>
  <si>
    <t>Luar_Confecções</t>
  </si>
  <si>
    <t>Guilheer_Schön</t>
  </si>
  <si>
    <t>Quick_Style</t>
  </si>
  <si>
    <t>Academias_Bremmer</t>
  </si>
  <si>
    <t>Materias_Debuar</t>
  </si>
  <si>
    <t>Segmento</t>
  </si>
  <si>
    <t>Battle_Games</t>
  </si>
  <si>
    <t>LSMF_Informática</t>
  </si>
  <si>
    <t>Rockstar_Instrumentos</t>
  </si>
  <si>
    <t>Takkar_Rock</t>
  </si>
  <si>
    <t>StrongestString</t>
  </si>
  <si>
    <t>The_Way_of_Music</t>
  </si>
  <si>
    <t>Papelaria_Hajjarg</t>
  </si>
  <si>
    <t>Papeis_Vammar</t>
  </si>
  <si>
    <t>Papelaria_Jukklimner</t>
  </si>
  <si>
    <t>Papelaria_JMG</t>
  </si>
  <si>
    <t>Materiais_Honorio</t>
  </si>
  <si>
    <t>English_Further</t>
  </si>
  <si>
    <t>New_World_Languages</t>
  </si>
  <si>
    <t>Cittar_Idiomas</t>
  </si>
  <si>
    <t>Saude_Health</t>
  </si>
  <si>
    <t>Latin_American_Languaages</t>
  </si>
  <si>
    <t>Perfumes_BRFR</t>
  </si>
  <si>
    <t>Attakkhermar_Fight</t>
  </si>
  <si>
    <t>Supermercados</t>
  </si>
  <si>
    <t>supermercados</t>
  </si>
  <si>
    <t>Informatica</t>
  </si>
  <si>
    <t>Utensilios</t>
  </si>
  <si>
    <t>RH</t>
  </si>
  <si>
    <t>Beleza</t>
  </si>
  <si>
    <t>Comercio</t>
  </si>
  <si>
    <t>Textil</t>
  </si>
  <si>
    <t>Academias</t>
  </si>
  <si>
    <t>Musica</t>
  </si>
  <si>
    <t>Ensino</t>
  </si>
  <si>
    <t>Saude</t>
  </si>
  <si>
    <t>São_Paulo</t>
  </si>
  <si>
    <t>Belo_Horizonte</t>
  </si>
  <si>
    <t>Recife</t>
  </si>
  <si>
    <t>Rio_de_Janeiro</t>
  </si>
  <si>
    <t>Fortaleza</t>
  </si>
  <si>
    <t>Olinda</t>
  </si>
  <si>
    <t>SP</t>
  </si>
  <si>
    <t>MG</t>
  </si>
  <si>
    <t>PE</t>
  </si>
  <si>
    <t>RJ</t>
  </si>
  <si>
    <t>CE</t>
  </si>
  <si>
    <t>Códigos para Clientes</t>
  </si>
  <si>
    <t>va</t>
  </si>
  <si>
    <t>vf</t>
  </si>
  <si>
    <t>vd</t>
  </si>
  <si>
    <t>vr</t>
  </si>
  <si>
    <t>vu</t>
  </si>
  <si>
    <t>vk</t>
  </si>
  <si>
    <t>vl</t>
  </si>
  <si>
    <t>vs</t>
  </si>
  <si>
    <t>vv</t>
  </si>
  <si>
    <t>vz</t>
  </si>
  <si>
    <t>vy</t>
  </si>
  <si>
    <t>t</t>
  </si>
  <si>
    <t>o</t>
  </si>
  <si>
    <t>p</t>
  </si>
  <si>
    <t>w</t>
  </si>
  <si>
    <t>ID_Vendedores</t>
  </si>
  <si>
    <t>Sexo</t>
  </si>
  <si>
    <t>Idade</t>
  </si>
  <si>
    <t>Maria_Antônia</t>
  </si>
  <si>
    <t>F</t>
  </si>
  <si>
    <t>Douglas_Brites</t>
  </si>
  <si>
    <t>M</t>
  </si>
  <si>
    <t>Aldair_Rodrigues</t>
  </si>
  <si>
    <t>Jessica_Toledo</t>
  </si>
  <si>
    <t>Marcos_Roberto</t>
  </si>
  <si>
    <t>Maria_Teresa</t>
  </si>
  <si>
    <t>Rafael_Moreira</t>
  </si>
  <si>
    <t>Walter_Schaaar</t>
  </si>
  <si>
    <t>Camila_Martinez</t>
  </si>
  <si>
    <t>Gessica_Rodrigues</t>
  </si>
  <si>
    <t>Laura_Grossman</t>
  </si>
  <si>
    <t>Ana_Cardoso</t>
  </si>
  <si>
    <t>Ana_Clara</t>
  </si>
  <si>
    <t>Ana_Rodrigues</t>
  </si>
  <si>
    <t>Roberto_Mathias</t>
  </si>
  <si>
    <t>Jose_Ferreia</t>
  </si>
  <si>
    <t>Amanda_Klisckor</t>
  </si>
  <si>
    <t>Alice_Sanchez</t>
  </si>
  <si>
    <t>Aline_Almeida</t>
  </si>
  <si>
    <t>Diego_Andrade</t>
  </si>
  <si>
    <t>Altair_Robertson</t>
  </si>
  <si>
    <t>Clarice_Sobral</t>
  </si>
  <si>
    <t>Guilhermina_Hauch</t>
  </si>
  <si>
    <t>Guilher_Feer</t>
  </si>
  <si>
    <t>Gilberto_Amantkkar</t>
  </si>
  <si>
    <t>Gilmario_Rodrigues</t>
  </si>
  <si>
    <t>Amanda_Souza</t>
  </si>
  <si>
    <t>Hilton_Garcia</t>
  </si>
  <si>
    <t>Hiltonildo_Saar</t>
  </si>
  <si>
    <t>Hilda_Coleccion</t>
  </si>
  <si>
    <t>Antonio_Messias</t>
  </si>
  <si>
    <t>Antonia_Mendes</t>
  </si>
  <si>
    <t>Julio_Marcos</t>
  </si>
  <si>
    <t>Guilherme_Prado</t>
  </si>
  <si>
    <t>Debora_Almeida</t>
  </si>
  <si>
    <t>Deborah_Seccanst</t>
  </si>
  <si>
    <t>Suelli_Souza</t>
  </si>
  <si>
    <t>Valkiria_Montag</t>
  </si>
  <si>
    <t>Walter_Hoss</t>
  </si>
  <si>
    <t>Heldrich_Korr</t>
  </si>
  <si>
    <t>Douglas_Herr</t>
  </si>
  <si>
    <t>Dieg_Goess</t>
  </si>
  <si>
    <t>Amanda_Leflour</t>
  </si>
  <si>
    <t>Fatima_Santana</t>
  </si>
  <si>
    <t>Fabiola_Souza</t>
  </si>
  <si>
    <t>Deborahh_Greccakr</t>
  </si>
  <si>
    <t>Vilma_Santana</t>
  </si>
  <si>
    <t>Leticia_Amanda</t>
  </si>
  <si>
    <t>Jessica_Pilttrar</t>
  </si>
  <si>
    <t>Holanda_Feer</t>
  </si>
  <si>
    <t>Gonzales_Vercistos</t>
  </si>
  <si>
    <t>Gonzales_Larua</t>
  </si>
  <si>
    <t>Fernando_Amaral</t>
  </si>
  <si>
    <t>Barbara_Santos</t>
  </si>
  <si>
    <t>Belinda_Bor</t>
  </si>
  <si>
    <t>Bruna_Santos</t>
  </si>
  <si>
    <t>Bruno_Carvalho</t>
  </si>
  <si>
    <t>Marcelo_Souza</t>
  </si>
  <si>
    <t>Ana_Debora</t>
  </si>
  <si>
    <t>Rafaela_Deboron</t>
  </si>
  <si>
    <t>Sounds_Grat</t>
  </si>
  <si>
    <t>Fanfarra</t>
  </si>
  <si>
    <t>Gusmanton</t>
  </si>
  <si>
    <t>Julian_Acessores</t>
  </si>
  <si>
    <t>Juridico</t>
  </si>
  <si>
    <t>Florianopolis</t>
  </si>
  <si>
    <t>SC</t>
  </si>
  <si>
    <t>Hernandez_Advgados</t>
  </si>
  <si>
    <t>Santos</t>
  </si>
  <si>
    <t>Estrada_Auto</t>
  </si>
  <si>
    <t>Automoveis</t>
  </si>
  <si>
    <t>Fusion_NewShapeBody</t>
  </si>
  <si>
    <t>Fusion_Guitar</t>
  </si>
  <si>
    <t>Salvador</t>
  </si>
  <si>
    <t>BA</t>
  </si>
  <si>
    <t>Roseli_Baandon</t>
  </si>
  <si>
    <t>Lab</t>
  </si>
  <si>
    <t>Lcb</t>
  </si>
  <si>
    <t>Lkj</t>
  </si>
  <si>
    <t>Lde</t>
  </si>
  <si>
    <t>Llio</t>
  </si>
  <si>
    <t>Ljhy</t>
  </si>
  <si>
    <t>Loi</t>
  </si>
  <si>
    <t>Lae</t>
  </si>
  <si>
    <t>Lre</t>
  </si>
  <si>
    <t>Lrt</t>
  </si>
  <si>
    <t>Ltr</t>
  </si>
  <si>
    <t>Luy</t>
  </si>
  <si>
    <t>i</t>
  </si>
  <si>
    <t>Lop</t>
  </si>
  <si>
    <t>Lpuy</t>
  </si>
  <si>
    <t>Lkwq</t>
  </si>
  <si>
    <t>Lwe</t>
  </si>
  <si>
    <t>Lrty</t>
  </si>
  <si>
    <t>Lrr</t>
  </si>
  <si>
    <t>Lsd</t>
  </si>
  <si>
    <t>k</t>
  </si>
  <si>
    <t>u</t>
  </si>
  <si>
    <t>qq</t>
  </si>
  <si>
    <t>v</t>
  </si>
  <si>
    <t>y</t>
  </si>
  <si>
    <t>ww</t>
  </si>
  <si>
    <t>n</t>
  </si>
  <si>
    <t>aa</t>
  </si>
  <si>
    <t>ID_Loja</t>
  </si>
  <si>
    <t>Cidadade</t>
  </si>
  <si>
    <t xml:space="preserve">Olinda </t>
  </si>
  <si>
    <t>Maceio</t>
  </si>
  <si>
    <t>AL</t>
  </si>
  <si>
    <t>Caruaru</t>
  </si>
  <si>
    <t>Osasco</t>
  </si>
  <si>
    <t>Barueri</t>
  </si>
  <si>
    <t>São_Caetano</t>
  </si>
  <si>
    <t>Jandira</t>
  </si>
  <si>
    <t>Itapevi</t>
  </si>
  <si>
    <t>Nova_Iguaçu</t>
  </si>
  <si>
    <t>Maua</t>
  </si>
  <si>
    <t>Francisco_Morato</t>
  </si>
  <si>
    <t>Agrestina</t>
  </si>
  <si>
    <t>Belem</t>
  </si>
  <si>
    <t>PA</t>
  </si>
  <si>
    <t>Uberlandia</t>
  </si>
  <si>
    <t>Cuiaba</t>
  </si>
  <si>
    <t>MS</t>
  </si>
  <si>
    <t>Curitiba</t>
  </si>
  <si>
    <t>PR</t>
  </si>
  <si>
    <t>Registro</t>
  </si>
  <si>
    <t>Assis</t>
  </si>
  <si>
    <t>Sp</t>
  </si>
  <si>
    <t>São_Jose_Rio_Preto</t>
  </si>
  <si>
    <t>Feira_Santana</t>
  </si>
  <si>
    <t>q</t>
  </si>
  <si>
    <t>z</t>
  </si>
  <si>
    <t>x</t>
  </si>
  <si>
    <t>ID_Produto</t>
  </si>
  <si>
    <t>Produto</t>
  </si>
  <si>
    <t>Categoria</t>
  </si>
  <si>
    <t>Preco_Custo</t>
  </si>
  <si>
    <t>Preco_Venda</t>
  </si>
  <si>
    <t>Lapis</t>
  </si>
  <si>
    <t>Escritorio</t>
  </si>
  <si>
    <t>Borracha</t>
  </si>
  <si>
    <t>Faca_Grande_Lisa</t>
  </si>
  <si>
    <t>Cozinha</t>
  </si>
  <si>
    <t>Faca_Pequena_Lisa</t>
  </si>
  <si>
    <t>Tabua_Carne_Pequena</t>
  </si>
  <si>
    <t>Smartphone_80G</t>
  </si>
  <si>
    <t>Eletronicos</t>
  </si>
  <si>
    <t>Smartphone_90G</t>
  </si>
  <si>
    <t>Smartphone_95G</t>
  </si>
  <si>
    <t>Eletronios</t>
  </si>
  <si>
    <t>Smartphone_98GP</t>
  </si>
  <si>
    <t>Notebook_100GB</t>
  </si>
  <si>
    <t>Notebook_250GB</t>
  </si>
  <si>
    <t>Notebook_500GB</t>
  </si>
  <si>
    <t>Mesa_Escritorio</t>
  </si>
  <si>
    <t>Cadeira_Gamer_20</t>
  </si>
  <si>
    <t>Cadeira_Gamer_35</t>
  </si>
  <si>
    <t>Escrittorio</t>
  </si>
  <si>
    <t>Cadeira_Gamer40</t>
  </si>
  <si>
    <t>Cadeira_Gamer70</t>
  </si>
  <si>
    <t>Teclado_Gamer10</t>
  </si>
  <si>
    <t>Teclado_Gamer25</t>
  </si>
  <si>
    <t>Teclado_Gamer35</t>
  </si>
  <si>
    <t>Teclado_Gamer50</t>
  </si>
  <si>
    <t>Mouse_Gamer</t>
  </si>
  <si>
    <t>Mouse_Gamer10</t>
  </si>
  <si>
    <t>Mouse_Gamer20</t>
  </si>
  <si>
    <t>Mouse_Gamer30</t>
  </si>
  <si>
    <t>Mouse_Gamer45</t>
  </si>
  <si>
    <t>Mouse_Gamer50</t>
  </si>
  <si>
    <t>Mouse_Gamer60</t>
  </si>
  <si>
    <t>Mouse_Gamer80</t>
  </si>
  <si>
    <t>Monitor15</t>
  </si>
  <si>
    <t>Monitor20</t>
  </si>
  <si>
    <t>Monitor35</t>
  </si>
  <si>
    <t>Monitor50</t>
  </si>
  <si>
    <t>Monitor60</t>
  </si>
  <si>
    <t>Monitor70</t>
  </si>
  <si>
    <t>Tubo_PVC20mm</t>
  </si>
  <si>
    <t>Construcao</t>
  </si>
  <si>
    <t>Tubo_PVC25mm</t>
  </si>
  <si>
    <t>Tubo_PVC32mm</t>
  </si>
  <si>
    <t>Tubo_PVC40mm</t>
  </si>
  <si>
    <t>Tubo_PVC40mmES</t>
  </si>
  <si>
    <t>Tubo_PVC50mm</t>
  </si>
  <si>
    <t>Tubo_PVC50mmES</t>
  </si>
  <si>
    <t>Tubo_PVC60mm</t>
  </si>
  <si>
    <t>Tubo_PVC75mm</t>
  </si>
  <si>
    <t>Tubo_PVC75mmES</t>
  </si>
  <si>
    <t>Tubo_PVC100mmES</t>
  </si>
  <si>
    <t>Tubo_PVC150mmES</t>
  </si>
  <si>
    <t>Tubo_PVC200mmES</t>
  </si>
  <si>
    <t>Arroz_Branco1KG</t>
  </si>
  <si>
    <t>Mercearia</t>
  </si>
  <si>
    <t>Arroz_Branco2KG</t>
  </si>
  <si>
    <t>Arroz_Branco5KG</t>
  </si>
  <si>
    <t>Feijao_Carioca1KG</t>
  </si>
  <si>
    <t>Feijao_Branco1KG</t>
  </si>
  <si>
    <t>Feijao_Preto1KG</t>
  </si>
  <si>
    <t>Feijao_Fradinho1KG</t>
  </si>
  <si>
    <t>Feijao_Corda</t>
  </si>
  <si>
    <t>Feijao_Jalo</t>
  </si>
  <si>
    <t>Cafe_Comum1/2KG</t>
  </si>
  <si>
    <t>Cafe_Comum1KG</t>
  </si>
  <si>
    <t>Fubá_Mimoso1KG</t>
  </si>
  <si>
    <t>Fubá_Mimoso3KG</t>
  </si>
  <si>
    <t>svv</t>
  </si>
  <si>
    <t>ID_Venda</t>
  </si>
  <si>
    <t>ID_Vendas</t>
  </si>
  <si>
    <t>ID_Cliente</t>
  </si>
  <si>
    <t>ID_Vendedor</t>
  </si>
  <si>
    <t>Data</t>
  </si>
  <si>
    <t>Quantidade</t>
  </si>
  <si>
    <t>Vendedor</t>
  </si>
  <si>
    <t>Violão_Classico</t>
  </si>
  <si>
    <t>Guitarra_Strato</t>
  </si>
  <si>
    <t>Guitarra_Lespaul</t>
  </si>
  <si>
    <t>Contrabaixo_4</t>
  </si>
  <si>
    <t>Clinica_Teeth</t>
  </si>
  <si>
    <t>bh19</t>
  </si>
  <si>
    <t>dl14</t>
  </si>
  <si>
    <t>vvw108</t>
  </si>
  <si>
    <t>Lcb918j</t>
  </si>
  <si>
    <t>ua270r</t>
  </si>
  <si>
    <t>em15</t>
  </si>
  <si>
    <t>em35</t>
  </si>
  <si>
    <t>gr17</t>
  </si>
  <si>
    <t>vft112</t>
  </si>
  <si>
    <t>gd218y</t>
  </si>
  <si>
    <t>Ljhy1326p</t>
  </si>
  <si>
    <t>ka222y</t>
  </si>
  <si>
    <t>ox226r</t>
  </si>
  <si>
    <t>iv228n</t>
  </si>
  <si>
    <t>vup115</t>
  </si>
  <si>
    <t>wu232l</t>
  </si>
  <si>
    <t>Lcb1632e</t>
  </si>
  <si>
    <t>dl20</t>
  </si>
  <si>
    <t>qo234h</t>
  </si>
  <si>
    <t>cx214g</t>
  </si>
  <si>
    <t>hs220j</t>
  </si>
  <si>
    <t>gr23</t>
  </si>
  <si>
    <t>dl242h</t>
  </si>
  <si>
    <t>dl27</t>
  </si>
  <si>
    <t>em28</t>
  </si>
  <si>
    <t>fs29</t>
  </si>
  <si>
    <t>gr30</t>
  </si>
  <si>
    <t>af18</t>
  </si>
  <si>
    <t>we320p</t>
  </si>
  <si>
    <t>fs36</t>
  </si>
  <si>
    <t>gr37</t>
  </si>
  <si>
    <t>cj40</t>
  </si>
  <si>
    <t>dy318t</t>
  </si>
  <si>
    <t>dx202g</t>
  </si>
  <si>
    <t>vfo123</t>
  </si>
  <si>
    <t>Lre2448e</t>
  </si>
  <si>
    <t>vuw126</t>
  </si>
  <si>
    <t>Lae2754t</t>
  </si>
  <si>
    <t>vza131</t>
  </si>
  <si>
    <t>Lre3264f</t>
  </si>
  <si>
    <t>ya210q</t>
  </si>
  <si>
    <t>vrb136</t>
  </si>
  <si>
    <t>Lrt3774m</t>
  </si>
  <si>
    <t>vrt104</t>
  </si>
  <si>
    <t>Llio510l</t>
  </si>
  <si>
    <t>vzb110</t>
  </si>
  <si>
    <t>Lde1122l</t>
  </si>
  <si>
    <t>vkr117</t>
  </si>
  <si>
    <t>Lde1836s</t>
  </si>
  <si>
    <t>sp236a</t>
  </si>
  <si>
    <t>yv250h</t>
  </si>
  <si>
    <t>cu254m</t>
  </si>
  <si>
    <t>gh244a</t>
  </si>
  <si>
    <t>vro115</t>
  </si>
  <si>
    <t>vlt139</t>
  </si>
  <si>
    <t>Lab12a</t>
  </si>
  <si>
    <t>em42</t>
  </si>
  <si>
    <t>vua105</t>
  </si>
  <si>
    <t>Ljhy612u</t>
  </si>
  <si>
    <t>fs16</t>
  </si>
  <si>
    <t>ud230m</t>
  </si>
  <si>
    <t>cm240l</t>
  </si>
  <si>
    <t>cj316y</t>
  </si>
  <si>
    <t>pl308c</t>
  </si>
  <si>
    <t>zh304m</t>
  </si>
  <si>
    <t>vup116</t>
  </si>
  <si>
    <t>Lkj1734qq</t>
  </si>
  <si>
    <t>lz224t</t>
  </si>
  <si>
    <t>vsb119</t>
  </si>
  <si>
    <t>Lre2040g</t>
  </si>
  <si>
    <t>hd246m</t>
  </si>
  <si>
    <t>pt302l</t>
  </si>
  <si>
    <t>ch288a</t>
  </si>
  <si>
    <t>vvd120</t>
  </si>
  <si>
    <t>Lrt2142h</t>
  </si>
  <si>
    <t>km262r</t>
  </si>
  <si>
    <t>dk290m</t>
  </si>
  <si>
    <t>fr284l</t>
  </si>
  <si>
    <t>sp276l</t>
  </si>
  <si>
    <t>af10</t>
  </si>
  <si>
    <t>bh11</t>
  </si>
  <si>
    <t>cj19</t>
  </si>
  <si>
    <t>vlw118</t>
  </si>
  <si>
    <t>Lae1938v</t>
  </si>
  <si>
    <t>vzh121</t>
  </si>
  <si>
    <t>Ltr2244j</t>
  </si>
  <si>
    <t>hs314k</t>
  </si>
  <si>
    <t>dc310v</t>
  </si>
  <si>
    <t>vda114</t>
  </si>
  <si>
    <t>Lab1530r</t>
  </si>
  <si>
    <t>zk306v</t>
  </si>
  <si>
    <t>cj12</t>
  </si>
  <si>
    <t>dl13</t>
  </si>
  <si>
    <t>em21</t>
  </si>
  <si>
    <t>bh25</t>
  </si>
  <si>
    <t>cj26</t>
  </si>
  <si>
    <t>oh266m</t>
  </si>
  <si>
    <t>do256a</t>
  </si>
  <si>
    <t>gp258j</t>
  </si>
  <si>
    <t>vdh102</t>
  </si>
  <si>
    <t>Lkj36j</t>
  </si>
  <si>
    <t>ud252a</t>
  </si>
  <si>
    <t>Placa_Mae1150</t>
  </si>
  <si>
    <t>Placa_Mae1151</t>
  </si>
  <si>
    <t>Placa_MaeAM4</t>
  </si>
  <si>
    <t>DDR38G</t>
  </si>
  <si>
    <t>DDR34G</t>
  </si>
  <si>
    <t>DDR22G</t>
  </si>
  <si>
    <t>DDR32G</t>
  </si>
  <si>
    <t>DDR44G</t>
  </si>
  <si>
    <t>DDR48G</t>
  </si>
  <si>
    <t>DDR416G</t>
  </si>
  <si>
    <t>DDR432G</t>
  </si>
  <si>
    <t>DDR464G</t>
  </si>
  <si>
    <t>FonteATX600W</t>
  </si>
  <si>
    <t>FonteATX400W</t>
  </si>
  <si>
    <t>vrr125</t>
  </si>
  <si>
    <t>Ltr2652r</t>
  </si>
  <si>
    <t>vkb127</t>
  </si>
  <si>
    <t>Lre2856y</t>
  </si>
  <si>
    <t>dv216h</t>
  </si>
  <si>
    <t>hd328y</t>
  </si>
  <si>
    <t>hw260u</t>
  </si>
  <si>
    <t>vua104</t>
  </si>
  <si>
    <t>ts330u</t>
  </si>
  <si>
    <t>vro114</t>
  </si>
  <si>
    <t>vsb118</t>
  </si>
  <si>
    <t>vzh120</t>
  </si>
  <si>
    <t>gv326h</t>
  </si>
  <si>
    <t>vdw135</t>
  </si>
  <si>
    <t>Lre3672n</t>
  </si>
  <si>
    <t>vab100</t>
  </si>
  <si>
    <t>vfd101</t>
  </si>
  <si>
    <t>Lcb24f</t>
  </si>
  <si>
    <t>dx324g</t>
  </si>
  <si>
    <t>cz322a</t>
  </si>
  <si>
    <t>em14</t>
  </si>
  <si>
    <t>fs15</t>
  </si>
  <si>
    <t>gv204h</t>
  </si>
  <si>
    <t>hd206y</t>
  </si>
  <si>
    <t>ts208u</t>
  </si>
  <si>
    <t>fs22</t>
  </si>
  <si>
    <t>ta248l</t>
  </si>
  <si>
    <t>vlp106</t>
  </si>
  <si>
    <t>Loi714a</t>
  </si>
  <si>
    <t>af38</t>
  </si>
  <si>
    <t>dx350g</t>
  </si>
  <si>
    <t>Guitarra_Explorer</t>
  </si>
  <si>
    <t>Guitarra_Telecaster</t>
  </si>
  <si>
    <t>Guitarra_SG</t>
  </si>
  <si>
    <t>Violao_Jumbo</t>
  </si>
  <si>
    <t>Violao_Parlor</t>
  </si>
  <si>
    <t>uz360a</t>
  </si>
  <si>
    <t>aq362m</t>
  </si>
  <si>
    <t>af11</t>
  </si>
  <si>
    <t>vyd110</t>
  </si>
  <si>
    <t>vda113</t>
  </si>
  <si>
    <t>Loi1428t</t>
  </si>
  <si>
    <t>de364l</t>
  </si>
  <si>
    <t>fr366k</t>
  </si>
  <si>
    <t>vvd119</t>
  </si>
  <si>
    <t>ht368y</t>
  </si>
  <si>
    <t>vaa122</t>
  </si>
  <si>
    <t>Lae2346y</t>
  </si>
  <si>
    <t>vko105</t>
  </si>
  <si>
    <t>vzb109</t>
  </si>
  <si>
    <t>ts356u</t>
  </si>
  <si>
    <t>Lkj1020k</t>
  </si>
  <si>
    <t>Violao_Flat</t>
  </si>
  <si>
    <t>Violao_Ovation</t>
  </si>
  <si>
    <t>dk372p</t>
  </si>
  <si>
    <t>ch370t</t>
  </si>
  <si>
    <t>Saco_Areia_Pequeno</t>
  </si>
  <si>
    <t>Saco_Areia_Medio</t>
  </si>
  <si>
    <t>Saco_Areia_Grande</t>
  </si>
  <si>
    <t>pa378v</t>
  </si>
  <si>
    <t>yc376m</t>
  </si>
  <si>
    <t>wl374l</t>
  </si>
  <si>
    <t>vah111</t>
  </si>
  <si>
    <t>Llio1224o</t>
  </si>
  <si>
    <t>vlw117</t>
  </si>
  <si>
    <t>af24</t>
  </si>
  <si>
    <t>af31</t>
  </si>
  <si>
    <t>bh32</t>
  </si>
  <si>
    <t>cj33</t>
  </si>
  <si>
    <t>dl34</t>
  </si>
  <si>
    <t>vyt121</t>
  </si>
  <si>
    <t>cz200a</t>
  </si>
  <si>
    <t>vvw109</t>
  </si>
  <si>
    <t>dw238m</t>
  </si>
  <si>
    <t>id268t</t>
  </si>
  <si>
    <t>de282m</t>
  </si>
  <si>
    <t>vdp124</t>
  </si>
  <si>
    <t>Lrt2550ww</t>
  </si>
  <si>
    <t>uz212a</t>
  </si>
  <si>
    <t>vab101</t>
  </si>
  <si>
    <t>vko106</t>
  </si>
  <si>
    <t>ht286h</t>
  </si>
  <si>
    <t>ya332q</t>
  </si>
  <si>
    <t>uz334a</t>
  </si>
  <si>
    <t>gd340y</t>
  </si>
  <si>
    <t>hs342j</t>
  </si>
  <si>
    <t>cz348a</t>
  </si>
  <si>
    <t>ya358q</t>
  </si>
  <si>
    <t>gv352h</t>
  </si>
  <si>
    <t>lz346t</t>
  </si>
  <si>
    <t>ka344y</t>
  </si>
  <si>
    <t>cx336g</t>
  </si>
  <si>
    <t>dv338h</t>
  </si>
  <si>
    <t>vrt103</t>
  </si>
  <si>
    <t>Lde48k</t>
  </si>
  <si>
    <t>hd354y</t>
  </si>
  <si>
    <t>vsh129</t>
  </si>
  <si>
    <t>Ltr3060i</t>
  </si>
  <si>
    <t>vyo132</t>
  </si>
  <si>
    <t>Lrt3366g</t>
  </si>
  <si>
    <t>vud137</t>
  </si>
  <si>
    <t>Luy3876k</t>
  </si>
  <si>
    <t>vah112</t>
  </si>
  <si>
    <t>aq280a</t>
  </si>
  <si>
    <t>wl292l</t>
  </si>
  <si>
    <t>yc294k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</si>
</sst>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0" xfId="0" applyNumberFormat="1" applyAlignment="1">
      <alignment horizontal="center"/>
    </xf>
    <xf numFmtId="0" fontId="0" fillId="6" borderId="0" xfId="0" applyFill="1"/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0</xdr:row>
      <xdr:rowOff>85725</xdr:rowOff>
    </xdr:from>
    <xdr:to>
      <xdr:col>8</xdr:col>
      <xdr:colOff>1552575</xdr:colOff>
      <xdr:row>2</xdr:row>
      <xdr:rowOff>142875</xdr:rowOff>
    </xdr:to>
    <xdr:sp macro="[0]!Inserir" textlink="">
      <xdr:nvSpPr>
        <xdr:cNvPr id="3" name="Retângulo 2">
          <a:extLst>
            <a:ext uri="{FF2B5EF4-FFF2-40B4-BE49-F238E27FC236}">
              <a16:creationId xmlns:a16="http://schemas.microsoft.com/office/drawing/2014/main" id="{C0A73D5C-EF8D-4C85-9D22-49641228ECB0}"/>
            </a:ext>
          </a:extLst>
        </xdr:cNvPr>
        <xdr:cNvSpPr/>
      </xdr:nvSpPr>
      <xdr:spPr>
        <a:xfrm>
          <a:off x="12925425" y="85725"/>
          <a:ext cx="1323975" cy="43815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</a:t>
          </a:r>
        </a:p>
      </xdr:txBody>
    </xdr:sp>
    <xdr:clientData/>
  </xdr:twoCellAnchor>
  <xdr:twoCellAnchor>
    <xdr:from>
      <xdr:col>8</xdr:col>
      <xdr:colOff>238125</xdr:colOff>
      <xdr:row>3</xdr:row>
      <xdr:rowOff>47625</xdr:rowOff>
    </xdr:from>
    <xdr:to>
      <xdr:col>8</xdr:col>
      <xdr:colOff>1590674</xdr:colOff>
      <xdr:row>5</xdr:row>
      <xdr:rowOff>114300</xdr:rowOff>
    </xdr:to>
    <xdr:sp macro="[0]!Limpar" textlink="">
      <xdr:nvSpPr>
        <xdr:cNvPr id="4" name="Retângulo 3">
          <a:extLst>
            <a:ext uri="{FF2B5EF4-FFF2-40B4-BE49-F238E27FC236}">
              <a16:creationId xmlns:a16="http://schemas.microsoft.com/office/drawing/2014/main" id="{2CC9C3AC-BE55-4869-BEF5-73AC1B47B137}"/>
            </a:ext>
          </a:extLst>
        </xdr:cNvPr>
        <xdr:cNvSpPr/>
      </xdr:nvSpPr>
      <xdr:spPr>
        <a:xfrm>
          <a:off x="12934950" y="619125"/>
          <a:ext cx="1352549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2</xdr:col>
      <xdr:colOff>0</xdr:colOff>
      <xdr:row>4</xdr:row>
      <xdr:rowOff>28575</xdr:rowOff>
    </xdr:from>
    <xdr:to>
      <xdr:col>2</xdr:col>
      <xdr:colOff>1581150</xdr:colOff>
      <xdr:row>6</xdr:row>
      <xdr:rowOff>76200</xdr:rowOff>
    </xdr:to>
    <xdr:sp macro="[0]!Registro" textlink="">
      <xdr:nvSpPr>
        <xdr:cNvPr id="2" name="Retângulo 1">
          <a:extLst>
            <a:ext uri="{FF2B5EF4-FFF2-40B4-BE49-F238E27FC236}">
              <a16:creationId xmlns:a16="http://schemas.microsoft.com/office/drawing/2014/main" id="{DEF43DED-7DE0-495A-88F1-5B1BEA8A452B}"/>
            </a:ext>
          </a:extLst>
        </xdr:cNvPr>
        <xdr:cNvSpPr/>
      </xdr:nvSpPr>
      <xdr:spPr>
        <a:xfrm>
          <a:off x="1800225" y="790575"/>
          <a:ext cx="15811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ABA9D-553B-4DFE-80EE-C9B7A6B48D40}" name="Tabela2" displayName="Tabela2" ref="A1:E43" totalsRowShown="0" headerRowDxfId="8" dataDxfId="7">
  <tableColumns count="5">
    <tableColumn id="1" xr3:uid="{61F78216-44C4-4F6D-939C-740468E5B524}" name="ID_Client" dataDxfId="6">
      <calculatedColumnFormula>CONCATENATE(Códigos!A2,Códigos!B2,Códigos!C2)</calculatedColumnFormula>
    </tableColumn>
    <tableColumn id="2" xr3:uid="{5FA1C9E0-252E-420C-971F-037DFC905CDA}" name="Cliente" dataDxfId="5"/>
    <tableColumn id="3" xr3:uid="{84FF9D27-8BF5-429A-AF82-279A15384202}" name="Segmento" dataDxfId="4"/>
    <tableColumn id="4" xr3:uid="{B6BE5240-6DE3-47CC-B6BE-A9327591FD14}" name="Cidade" dataDxfId="3"/>
    <tableColumn id="5" xr3:uid="{9189773E-8D51-450F-9CF0-3DB2A64B2860}" name="Estado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E0853-AF30-4B16-8E50-41A365153103}" name="Tabela1" displayName="Tabela1" ref="A1:E62" totalsRowShown="0">
  <autoFilter ref="A1:E62" xr:uid="{04BE0853-AF30-4B16-8E50-41A365153103}"/>
  <tableColumns count="5">
    <tableColumn id="1" xr3:uid="{26A7F79B-9B7B-4F9E-B3A9-E6861A93A75B}" name="ID_Vendedores">
      <calculatedColumnFormula>CONCATENATE(Códigos!E2,Códigos!F2,Códigos!G2)</calculatedColumnFormula>
    </tableColumn>
    <tableColumn id="5" xr3:uid="{B6C21471-4851-4578-87E4-0FA610E15278}" name="ID_Loja" dataDxfId="1">
      <calculatedColumnFormula>Tabela5[[#This Row],[ID_Loja]]</calculatedColumnFormula>
    </tableColumn>
    <tableColumn id="2" xr3:uid="{69B12BA6-AFBC-474D-A2FD-3E86A7D70AC4}" name="Vendedor"/>
    <tableColumn id="3" xr3:uid="{D8591D3E-BE0B-46CC-90B2-37AADE1619FB}" name="Sexo"/>
    <tableColumn id="4" xr3:uid="{18B777B4-5C29-47FB-B206-C9BB833F4925}" name="Ida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F47DF4-D2F8-462E-84DE-0C8D48506500}" name="Tabela5" displayName="Tabela5" ref="A1:C40" totalsRowShown="0" headerRowDxfId="0">
  <autoFilter ref="A1:C40" xr:uid="{B5F47DF4-D2F8-462E-84DE-0C8D48506500}"/>
  <tableColumns count="3">
    <tableColumn id="1" xr3:uid="{242F912E-9C66-43C8-ADAD-2B0926BDD06B}" name="ID_Loja">
      <calculatedColumnFormula>CONCATENATE(Códigos!I2,Códigos!J2,Códigos!K2,Códigos!L2)</calculatedColumnFormula>
    </tableColumn>
    <tableColumn id="2" xr3:uid="{521B7992-587A-4220-9245-6D3BBD80A1E8}" name="Cidadade"/>
    <tableColumn id="3" xr3:uid="{41856E50-C966-4903-A0BF-064440BDBFD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DDF1D8-8625-4CC7-9F16-DC35B311D747}" name="Tabela11" displayName="Tabela11" ref="A1:E91" totalsRowShown="0">
  <autoFilter ref="A1:E91" xr:uid="{6FDDF1D8-8625-4CC7-9F16-DC35B311D747}"/>
  <tableColumns count="5">
    <tableColumn id="1" xr3:uid="{70416235-0AD7-4F9D-8375-6A345322C407}" name="ID_Produto">
      <calculatedColumnFormula>CONCATENATE(Códigos!N2,Códigos!O2,Códigos!P2,Códigos!Q2)</calculatedColumnFormula>
    </tableColumn>
    <tableColumn id="2" xr3:uid="{CCFD2621-BAEA-448F-AE3D-8844527CFBB6}" name="Produto"/>
    <tableColumn id="3" xr3:uid="{265FD38F-318A-4378-91B7-0E205FF64BD8}" name="Categoria"/>
    <tableColumn id="4" xr3:uid="{0304FB2D-1932-4BB3-92DE-C9BC21A6C15E}" name="Preco_Custo"/>
    <tableColumn id="5" xr3:uid="{95C4A878-77A5-4F11-8B50-B01DE80314F2}" name="Preco_Ven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BB8C8-D5EA-4E68-A8FB-2429988AA950}">
  <sheetPr codeName="Planilha1"/>
  <dimension ref="A1:U7879"/>
  <sheetViews>
    <sheetView workbookViewId="0">
      <selection activeCell="S2781" sqref="S2781:U7879"/>
    </sheetView>
  </sheetViews>
  <sheetFormatPr defaultRowHeight="15" x14ac:dyDescent="0.25"/>
  <cols>
    <col min="1" max="3" width="9.140625" style="4"/>
    <col min="5" max="7" width="9.140625" style="4"/>
    <col min="9" max="12" width="9.140625" style="5"/>
    <col min="14" max="17" width="9.140625" style="5"/>
    <col min="19" max="21" width="9.140625" style="4"/>
  </cols>
  <sheetData>
    <row r="1" spans="1:21" x14ac:dyDescent="0.25">
      <c r="A1" s="16" t="s">
        <v>74</v>
      </c>
      <c r="B1" s="16"/>
      <c r="C1" s="16"/>
      <c r="E1" s="16" t="s">
        <v>90</v>
      </c>
      <c r="F1" s="16"/>
      <c r="G1" s="16"/>
      <c r="I1" s="16" t="s">
        <v>199</v>
      </c>
      <c r="J1" s="16"/>
      <c r="K1" s="16"/>
      <c r="L1" s="16"/>
      <c r="N1" s="16" t="s">
        <v>229</v>
      </c>
      <c r="O1" s="16"/>
      <c r="P1" s="16"/>
      <c r="Q1" s="16"/>
      <c r="S1" s="16" t="s">
        <v>303</v>
      </c>
      <c r="T1" s="16"/>
      <c r="U1" s="16"/>
    </row>
    <row r="2" spans="1:21" x14ac:dyDescent="0.25">
      <c r="A2" s="4" t="s">
        <v>0</v>
      </c>
      <c r="B2" s="4" t="s">
        <v>5</v>
      </c>
      <c r="C2" s="4">
        <v>10</v>
      </c>
      <c r="E2" s="4" t="s">
        <v>75</v>
      </c>
      <c r="F2" s="4" t="s">
        <v>1</v>
      </c>
      <c r="G2" s="4">
        <v>100</v>
      </c>
      <c r="I2" s="5" t="s">
        <v>171</v>
      </c>
      <c r="J2" s="5">
        <v>1</v>
      </c>
      <c r="K2" s="5">
        <v>2</v>
      </c>
      <c r="L2" s="5" t="s">
        <v>0</v>
      </c>
      <c r="N2" s="5" t="s">
        <v>2</v>
      </c>
      <c r="O2" s="5" t="s">
        <v>227</v>
      </c>
      <c r="P2" s="5">
        <v>200</v>
      </c>
      <c r="Q2" s="5" t="s">
        <v>0</v>
      </c>
      <c r="S2" s="6" t="s">
        <v>302</v>
      </c>
      <c r="T2" s="6">
        <v>1</v>
      </c>
      <c r="U2" s="4" t="s">
        <v>194</v>
      </c>
    </row>
    <row r="3" spans="1:21" x14ac:dyDescent="0.25">
      <c r="A3" s="4" t="s">
        <v>1</v>
      </c>
      <c r="B3" s="4" t="s">
        <v>7</v>
      </c>
      <c r="C3" s="4">
        <f>C2+1</f>
        <v>11</v>
      </c>
      <c r="E3" s="4" t="s">
        <v>76</v>
      </c>
      <c r="F3" s="4" t="s">
        <v>3</v>
      </c>
      <c r="G3" s="4">
        <f>G2+1</f>
        <v>101</v>
      </c>
      <c r="I3" s="5" t="s">
        <v>172</v>
      </c>
      <c r="J3" s="5">
        <f>J2+1</f>
        <v>2</v>
      </c>
      <c r="K3" s="5">
        <f>K2+2</f>
        <v>4</v>
      </c>
      <c r="L3" s="5" t="s">
        <v>5</v>
      </c>
      <c r="N3" s="5" t="s">
        <v>3</v>
      </c>
      <c r="O3" s="5" t="s">
        <v>228</v>
      </c>
      <c r="P3" s="5">
        <f>P2+2</f>
        <v>202</v>
      </c>
      <c r="Q3" s="5" t="s">
        <v>6</v>
      </c>
      <c r="S3" s="6" t="s">
        <v>302</v>
      </c>
      <c r="T3" s="6">
        <f>T2+1</f>
        <v>2</v>
      </c>
      <c r="U3" s="4" t="s">
        <v>194</v>
      </c>
    </row>
    <row r="4" spans="1:21" x14ac:dyDescent="0.25">
      <c r="A4" s="4" t="s">
        <v>2</v>
      </c>
      <c r="B4" s="4" t="s">
        <v>8</v>
      </c>
      <c r="C4" s="4">
        <f t="shared" ref="C4:C34" si="0">C3+1</f>
        <v>12</v>
      </c>
      <c r="E4" s="4" t="s">
        <v>77</v>
      </c>
      <c r="F4" s="4" t="s">
        <v>7</v>
      </c>
      <c r="G4" s="4">
        <f t="shared" ref="G4:G41" si="1">G3+1</f>
        <v>102</v>
      </c>
      <c r="I4" s="5" t="s">
        <v>173</v>
      </c>
      <c r="J4" s="5">
        <f t="shared" ref="J4:J62" si="2">J3+1</f>
        <v>3</v>
      </c>
      <c r="K4" s="5">
        <f t="shared" ref="K4:K62" si="3">K3+2</f>
        <v>6</v>
      </c>
      <c r="L4" s="5" t="s">
        <v>8</v>
      </c>
      <c r="N4" s="5" t="s">
        <v>6</v>
      </c>
      <c r="O4" s="5" t="s">
        <v>194</v>
      </c>
      <c r="P4" s="5">
        <f t="shared" ref="P4:P67" si="4">P3+2</f>
        <v>204</v>
      </c>
      <c r="Q4" s="5" t="s">
        <v>7</v>
      </c>
      <c r="S4" s="6" t="s">
        <v>302</v>
      </c>
      <c r="T4" s="6">
        <f>T3+1</f>
        <v>3</v>
      </c>
      <c r="U4" s="4" t="s">
        <v>194</v>
      </c>
    </row>
    <row r="5" spans="1:21" x14ac:dyDescent="0.25">
      <c r="A5" s="4" t="s">
        <v>3</v>
      </c>
      <c r="B5" s="4" t="s">
        <v>9</v>
      </c>
      <c r="C5" s="4">
        <f t="shared" si="0"/>
        <v>13</v>
      </c>
      <c r="E5" s="4" t="s">
        <v>78</v>
      </c>
      <c r="F5" s="4" t="s">
        <v>86</v>
      </c>
      <c r="G5" s="4">
        <f t="shared" si="1"/>
        <v>103</v>
      </c>
      <c r="I5" s="5" t="s">
        <v>174</v>
      </c>
      <c r="J5" s="5">
        <f t="shared" si="2"/>
        <v>4</v>
      </c>
      <c r="K5" s="5">
        <f t="shared" si="3"/>
        <v>8</v>
      </c>
      <c r="L5" s="5" t="s">
        <v>191</v>
      </c>
      <c r="N5" s="5" t="s">
        <v>7</v>
      </c>
      <c r="O5" s="5" t="s">
        <v>3</v>
      </c>
      <c r="P5" s="5">
        <f t="shared" si="4"/>
        <v>206</v>
      </c>
      <c r="Q5" s="5" t="s">
        <v>195</v>
      </c>
      <c r="S5" s="6" t="s">
        <v>302</v>
      </c>
      <c r="T5" s="6">
        <f t="shared" ref="T5:T68" si="5">T4+1</f>
        <v>4</v>
      </c>
      <c r="U5" s="4" t="s">
        <v>194</v>
      </c>
    </row>
    <row r="6" spans="1:21" x14ac:dyDescent="0.25">
      <c r="A6" s="4" t="s">
        <v>4</v>
      </c>
      <c r="B6" s="4" t="s">
        <v>10</v>
      </c>
      <c r="C6" s="4">
        <f t="shared" si="0"/>
        <v>14</v>
      </c>
      <c r="E6" s="4" t="s">
        <v>79</v>
      </c>
      <c r="F6" s="4" t="s">
        <v>0</v>
      </c>
      <c r="G6" s="4">
        <f t="shared" si="1"/>
        <v>104</v>
      </c>
      <c r="I6" s="5" t="s">
        <v>175</v>
      </c>
      <c r="J6" s="5">
        <f t="shared" si="2"/>
        <v>5</v>
      </c>
      <c r="K6" s="5">
        <f t="shared" si="3"/>
        <v>10</v>
      </c>
      <c r="L6" s="5" t="s">
        <v>9</v>
      </c>
      <c r="N6" s="5" t="s">
        <v>86</v>
      </c>
      <c r="O6" s="5" t="s">
        <v>11</v>
      </c>
      <c r="P6" s="5">
        <f t="shared" si="4"/>
        <v>208</v>
      </c>
      <c r="Q6" s="5" t="s">
        <v>192</v>
      </c>
      <c r="S6" s="6" t="s">
        <v>302</v>
      </c>
      <c r="T6" s="6">
        <f t="shared" si="5"/>
        <v>5</v>
      </c>
      <c r="U6" s="4" t="s">
        <v>194</v>
      </c>
    </row>
    <row r="7" spans="1:21" x14ac:dyDescent="0.25">
      <c r="A7" s="4" t="s">
        <v>5</v>
      </c>
      <c r="B7" s="4" t="s">
        <v>11</v>
      </c>
      <c r="C7" s="4">
        <f t="shared" si="0"/>
        <v>15</v>
      </c>
      <c r="E7" s="4" t="s">
        <v>80</v>
      </c>
      <c r="F7" s="4" t="s">
        <v>87</v>
      </c>
      <c r="G7" s="4">
        <f t="shared" si="1"/>
        <v>105</v>
      </c>
      <c r="I7" s="5" t="s">
        <v>176</v>
      </c>
      <c r="J7" s="5">
        <f t="shared" si="2"/>
        <v>6</v>
      </c>
      <c r="K7" s="5">
        <f t="shared" si="3"/>
        <v>12</v>
      </c>
      <c r="L7" s="5" t="s">
        <v>192</v>
      </c>
      <c r="N7" s="5" t="s">
        <v>195</v>
      </c>
      <c r="O7" s="5" t="s">
        <v>0</v>
      </c>
      <c r="P7" s="5">
        <f t="shared" si="4"/>
        <v>210</v>
      </c>
      <c r="Q7" s="5" t="s">
        <v>226</v>
      </c>
      <c r="S7" s="6" t="s">
        <v>302</v>
      </c>
      <c r="T7" s="6">
        <f t="shared" si="5"/>
        <v>6</v>
      </c>
      <c r="U7" s="4" t="s">
        <v>194</v>
      </c>
    </row>
    <row r="8" spans="1:21" x14ac:dyDescent="0.25">
      <c r="A8" s="4" t="s">
        <v>6</v>
      </c>
      <c r="B8" s="4" t="s">
        <v>12</v>
      </c>
      <c r="C8" s="4">
        <f t="shared" si="0"/>
        <v>16</v>
      </c>
      <c r="E8" s="4" t="s">
        <v>81</v>
      </c>
      <c r="F8" s="4" t="s">
        <v>88</v>
      </c>
      <c r="G8" s="4">
        <f t="shared" si="1"/>
        <v>106</v>
      </c>
      <c r="I8" s="5" t="s">
        <v>177</v>
      </c>
      <c r="J8" s="5">
        <f t="shared" si="2"/>
        <v>7</v>
      </c>
      <c r="K8" s="5">
        <f t="shared" si="3"/>
        <v>14</v>
      </c>
      <c r="L8" s="5" t="s">
        <v>0</v>
      </c>
      <c r="N8" s="5" t="s">
        <v>192</v>
      </c>
      <c r="O8" s="5" t="s">
        <v>227</v>
      </c>
      <c r="P8" s="5">
        <f t="shared" si="4"/>
        <v>212</v>
      </c>
      <c r="Q8" s="5" t="s">
        <v>0</v>
      </c>
      <c r="S8" s="6" t="s">
        <v>302</v>
      </c>
      <c r="T8" s="6">
        <f t="shared" si="5"/>
        <v>7</v>
      </c>
      <c r="U8" s="4" t="s">
        <v>194</v>
      </c>
    </row>
    <row r="9" spans="1:21" x14ac:dyDescent="0.25">
      <c r="A9" s="4" t="s">
        <v>0</v>
      </c>
      <c r="B9" s="4" t="s">
        <v>5</v>
      </c>
      <c r="C9" s="4">
        <f t="shared" si="0"/>
        <v>17</v>
      </c>
      <c r="E9" s="4" t="s">
        <v>82</v>
      </c>
      <c r="F9" s="4" t="s">
        <v>12</v>
      </c>
      <c r="G9" s="4">
        <f t="shared" si="1"/>
        <v>107</v>
      </c>
      <c r="I9" s="5" t="s">
        <v>171</v>
      </c>
      <c r="J9" s="5">
        <f t="shared" si="2"/>
        <v>8</v>
      </c>
      <c r="K9" s="5">
        <f t="shared" si="3"/>
        <v>16</v>
      </c>
      <c r="L9" s="5" t="s">
        <v>5</v>
      </c>
      <c r="N9" s="5" t="s">
        <v>2</v>
      </c>
      <c r="O9" s="5" t="s">
        <v>228</v>
      </c>
      <c r="P9" s="5">
        <f t="shared" si="4"/>
        <v>214</v>
      </c>
      <c r="Q9" s="5" t="s">
        <v>6</v>
      </c>
      <c r="S9" s="6" t="s">
        <v>302</v>
      </c>
      <c r="T9" s="6">
        <f t="shared" si="5"/>
        <v>8</v>
      </c>
      <c r="U9" s="4" t="s">
        <v>194</v>
      </c>
    </row>
    <row r="10" spans="1:21" x14ac:dyDescent="0.25">
      <c r="A10" s="4" t="s">
        <v>1</v>
      </c>
      <c r="B10" s="4" t="s">
        <v>7</v>
      </c>
      <c r="C10" s="4">
        <f t="shared" si="0"/>
        <v>18</v>
      </c>
      <c r="E10" s="4" t="s">
        <v>83</v>
      </c>
      <c r="F10" s="4" t="s">
        <v>89</v>
      </c>
      <c r="G10" s="4">
        <f t="shared" si="1"/>
        <v>108</v>
      </c>
      <c r="I10" s="5" t="s">
        <v>172</v>
      </c>
      <c r="J10" s="5">
        <f t="shared" si="2"/>
        <v>9</v>
      </c>
      <c r="K10" s="5">
        <f t="shared" si="3"/>
        <v>18</v>
      </c>
      <c r="L10" s="5" t="s">
        <v>8</v>
      </c>
      <c r="N10" s="5" t="s">
        <v>3</v>
      </c>
      <c r="O10" s="5" t="s">
        <v>194</v>
      </c>
      <c r="P10" s="5">
        <f t="shared" si="4"/>
        <v>216</v>
      </c>
      <c r="Q10" s="5" t="s">
        <v>7</v>
      </c>
      <c r="S10" s="6" t="s">
        <v>302</v>
      </c>
      <c r="T10" s="6">
        <f t="shared" si="5"/>
        <v>9</v>
      </c>
      <c r="U10" s="4" t="s">
        <v>194</v>
      </c>
    </row>
    <row r="11" spans="1:21" x14ac:dyDescent="0.25">
      <c r="A11" s="4" t="s">
        <v>2</v>
      </c>
      <c r="B11" s="4" t="s">
        <v>8</v>
      </c>
      <c r="C11" s="4">
        <f t="shared" si="0"/>
        <v>19</v>
      </c>
      <c r="E11" s="4" t="s">
        <v>84</v>
      </c>
      <c r="F11" s="4" t="s">
        <v>1</v>
      </c>
      <c r="G11" s="4">
        <f t="shared" si="1"/>
        <v>109</v>
      </c>
      <c r="I11" s="5" t="s">
        <v>173</v>
      </c>
      <c r="J11" s="5">
        <f t="shared" si="2"/>
        <v>10</v>
      </c>
      <c r="K11" s="5">
        <f t="shared" si="3"/>
        <v>20</v>
      </c>
      <c r="L11" s="5" t="s">
        <v>191</v>
      </c>
      <c r="N11" s="5" t="s">
        <v>6</v>
      </c>
      <c r="O11" s="5" t="s">
        <v>3</v>
      </c>
      <c r="P11" s="5">
        <f t="shared" si="4"/>
        <v>218</v>
      </c>
      <c r="Q11" s="5" t="s">
        <v>195</v>
      </c>
      <c r="S11" s="6" t="s">
        <v>302</v>
      </c>
      <c r="T11" s="6">
        <f t="shared" si="5"/>
        <v>10</v>
      </c>
      <c r="U11" s="4" t="s">
        <v>194</v>
      </c>
    </row>
    <row r="12" spans="1:21" x14ac:dyDescent="0.25">
      <c r="A12" s="4" t="s">
        <v>3</v>
      </c>
      <c r="B12" s="4" t="s">
        <v>9</v>
      </c>
      <c r="C12" s="4">
        <f t="shared" si="0"/>
        <v>20</v>
      </c>
      <c r="E12" s="4" t="s">
        <v>85</v>
      </c>
      <c r="F12" s="4" t="s">
        <v>3</v>
      </c>
      <c r="G12" s="4">
        <f t="shared" si="1"/>
        <v>110</v>
      </c>
      <c r="I12" s="5" t="s">
        <v>174</v>
      </c>
      <c r="J12" s="5">
        <f t="shared" si="2"/>
        <v>11</v>
      </c>
      <c r="K12" s="5">
        <f t="shared" si="3"/>
        <v>22</v>
      </c>
      <c r="L12" s="5" t="s">
        <v>9</v>
      </c>
      <c r="N12" s="5" t="s">
        <v>7</v>
      </c>
      <c r="O12" s="5" t="s">
        <v>11</v>
      </c>
      <c r="P12" s="5">
        <f t="shared" si="4"/>
        <v>220</v>
      </c>
      <c r="Q12" s="5" t="s">
        <v>8</v>
      </c>
      <c r="S12" s="6" t="s">
        <v>302</v>
      </c>
      <c r="T12" s="6">
        <f t="shared" si="5"/>
        <v>11</v>
      </c>
      <c r="U12" s="4" t="s">
        <v>194</v>
      </c>
    </row>
    <row r="13" spans="1:21" x14ac:dyDescent="0.25">
      <c r="A13" s="4" t="s">
        <v>4</v>
      </c>
      <c r="B13" s="4" t="s">
        <v>10</v>
      </c>
      <c r="C13" s="4">
        <f t="shared" si="0"/>
        <v>21</v>
      </c>
      <c r="E13" s="4" t="s">
        <v>75</v>
      </c>
      <c r="F13" s="4" t="s">
        <v>7</v>
      </c>
      <c r="G13" s="4">
        <f t="shared" si="1"/>
        <v>111</v>
      </c>
      <c r="I13" s="5" t="s">
        <v>175</v>
      </c>
      <c r="J13" s="5">
        <f t="shared" si="2"/>
        <v>12</v>
      </c>
      <c r="K13" s="5">
        <f t="shared" si="3"/>
        <v>24</v>
      </c>
      <c r="L13" s="5" t="s">
        <v>87</v>
      </c>
      <c r="N13" s="5" t="s">
        <v>191</v>
      </c>
      <c r="O13" s="5" t="s">
        <v>0</v>
      </c>
      <c r="P13" s="5">
        <f t="shared" si="4"/>
        <v>222</v>
      </c>
      <c r="Q13" s="5" t="s">
        <v>195</v>
      </c>
      <c r="S13" s="6" t="s">
        <v>302</v>
      </c>
      <c r="T13" s="6">
        <f t="shared" si="5"/>
        <v>12</v>
      </c>
      <c r="U13" s="4" t="s">
        <v>194</v>
      </c>
    </row>
    <row r="14" spans="1:21" x14ac:dyDescent="0.25">
      <c r="A14" s="4" t="s">
        <v>5</v>
      </c>
      <c r="B14" s="4" t="s">
        <v>11</v>
      </c>
      <c r="C14" s="4">
        <f t="shared" si="0"/>
        <v>22</v>
      </c>
      <c r="E14" s="4" t="s">
        <v>76</v>
      </c>
      <c r="F14" s="4" t="s">
        <v>86</v>
      </c>
      <c r="G14" s="4">
        <f t="shared" si="1"/>
        <v>112</v>
      </c>
      <c r="I14" s="5" t="s">
        <v>176</v>
      </c>
      <c r="J14" s="5">
        <f t="shared" si="2"/>
        <v>13</v>
      </c>
      <c r="K14" s="5">
        <f t="shared" si="3"/>
        <v>26</v>
      </c>
      <c r="L14" s="5" t="s">
        <v>88</v>
      </c>
      <c r="N14" s="5" t="s">
        <v>9</v>
      </c>
      <c r="O14" s="5" t="s">
        <v>227</v>
      </c>
      <c r="P14" s="5">
        <f t="shared" si="4"/>
        <v>224</v>
      </c>
      <c r="Q14" s="5" t="s">
        <v>86</v>
      </c>
      <c r="S14" s="6" t="s">
        <v>302</v>
      </c>
      <c r="T14" s="6">
        <f t="shared" si="5"/>
        <v>13</v>
      </c>
      <c r="U14" s="4" t="s">
        <v>194</v>
      </c>
    </row>
    <row r="15" spans="1:21" x14ac:dyDescent="0.25">
      <c r="A15" s="4" t="s">
        <v>6</v>
      </c>
      <c r="B15" s="4" t="s">
        <v>12</v>
      </c>
      <c r="C15" s="4">
        <f t="shared" si="0"/>
        <v>23</v>
      </c>
      <c r="E15" s="4" t="s">
        <v>77</v>
      </c>
      <c r="F15" s="4" t="s">
        <v>0</v>
      </c>
      <c r="G15" s="4">
        <f t="shared" si="1"/>
        <v>113</v>
      </c>
      <c r="I15" s="5" t="s">
        <v>177</v>
      </c>
      <c r="J15" s="5">
        <f t="shared" si="2"/>
        <v>14</v>
      </c>
      <c r="K15" s="5">
        <f t="shared" si="3"/>
        <v>28</v>
      </c>
      <c r="L15" s="5" t="s">
        <v>86</v>
      </c>
      <c r="N15" s="5" t="s">
        <v>87</v>
      </c>
      <c r="O15" s="5" t="s">
        <v>228</v>
      </c>
      <c r="P15" s="5">
        <f t="shared" si="4"/>
        <v>226</v>
      </c>
      <c r="Q15" s="5" t="s">
        <v>12</v>
      </c>
      <c r="S15" s="6" t="s">
        <v>302</v>
      </c>
      <c r="T15" s="6">
        <f t="shared" si="5"/>
        <v>14</v>
      </c>
      <c r="U15" s="4" t="s">
        <v>194</v>
      </c>
    </row>
    <row r="16" spans="1:21" x14ac:dyDescent="0.25">
      <c r="A16" s="4" t="s">
        <v>0</v>
      </c>
      <c r="B16" s="4" t="s">
        <v>5</v>
      </c>
      <c r="C16" s="4">
        <f t="shared" si="0"/>
        <v>24</v>
      </c>
      <c r="E16" s="4" t="s">
        <v>78</v>
      </c>
      <c r="F16" s="4" t="s">
        <v>87</v>
      </c>
      <c r="G16" s="4">
        <f t="shared" si="1"/>
        <v>114</v>
      </c>
      <c r="I16" s="5" t="s">
        <v>171</v>
      </c>
      <c r="J16" s="5">
        <f t="shared" si="2"/>
        <v>15</v>
      </c>
      <c r="K16" s="5">
        <f t="shared" si="3"/>
        <v>30</v>
      </c>
      <c r="L16" s="5" t="s">
        <v>12</v>
      </c>
      <c r="N16" s="5" t="s">
        <v>183</v>
      </c>
      <c r="O16" s="5" t="s">
        <v>194</v>
      </c>
      <c r="P16" s="5">
        <f t="shared" si="4"/>
        <v>228</v>
      </c>
      <c r="Q16" s="5" t="s">
        <v>197</v>
      </c>
      <c r="S16" s="6" t="s">
        <v>302</v>
      </c>
      <c r="T16" s="6">
        <f t="shared" si="5"/>
        <v>15</v>
      </c>
      <c r="U16" s="4" t="s">
        <v>194</v>
      </c>
    </row>
    <row r="17" spans="1:21" x14ac:dyDescent="0.25">
      <c r="A17" s="4" t="s">
        <v>1</v>
      </c>
      <c r="B17" s="4" t="s">
        <v>7</v>
      </c>
      <c r="C17" s="4">
        <f t="shared" si="0"/>
        <v>25</v>
      </c>
      <c r="E17" s="4" t="s">
        <v>79</v>
      </c>
      <c r="F17" s="4" t="s">
        <v>88</v>
      </c>
      <c r="G17" s="4">
        <f t="shared" si="1"/>
        <v>115</v>
      </c>
      <c r="I17" s="5" t="s">
        <v>172</v>
      </c>
      <c r="J17" s="5">
        <f t="shared" si="2"/>
        <v>16</v>
      </c>
      <c r="K17" s="5">
        <f t="shared" si="3"/>
        <v>32</v>
      </c>
      <c r="L17" s="5" t="s">
        <v>4</v>
      </c>
      <c r="N17" s="5" t="s">
        <v>192</v>
      </c>
      <c r="O17" s="5" t="s">
        <v>3</v>
      </c>
      <c r="P17" s="5">
        <f t="shared" si="4"/>
        <v>230</v>
      </c>
      <c r="Q17" s="5" t="s">
        <v>10</v>
      </c>
      <c r="S17" s="6" t="s">
        <v>302</v>
      </c>
      <c r="T17" s="6">
        <f t="shared" si="5"/>
        <v>16</v>
      </c>
      <c r="U17" s="4" t="s">
        <v>194</v>
      </c>
    </row>
    <row r="18" spans="1:21" x14ac:dyDescent="0.25">
      <c r="A18" s="4" t="s">
        <v>2</v>
      </c>
      <c r="B18" s="4" t="s">
        <v>8</v>
      </c>
      <c r="C18" s="4">
        <f t="shared" si="0"/>
        <v>26</v>
      </c>
      <c r="E18" s="4" t="s">
        <v>80</v>
      </c>
      <c r="F18" s="4" t="s">
        <v>12</v>
      </c>
      <c r="G18" s="4">
        <f t="shared" si="1"/>
        <v>116</v>
      </c>
      <c r="I18" s="5" t="s">
        <v>173</v>
      </c>
      <c r="J18" s="5">
        <f t="shared" si="2"/>
        <v>17</v>
      </c>
      <c r="K18" s="5">
        <f t="shared" si="3"/>
        <v>34</v>
      </c>
      <c r="L18" s="5" t="s">
        <v>193</v>
      </c>
      <c r="N18" s="5" t="s">
        <v>89</v>
      </c>
      <c r="O18" s="5" t="s">
        <v>192</v>
      </c>
      <c r="P18" s="5">
        <f t="shared" si="4"/>
        <v>232</v>
      </c>
      <c r="Q18" s="5" t="s">
        <v>9</v>
      </c>
      <c r="S18" s="6" t="s">
        <v>302</v>
      </c>
      <c r="T18" s="6">
        <f t="shared" si="5"/>
        <v>17</v>
      </c>
      <c r="U18" s="4" t="s">
        <v>194</v>
      </c>
    </row>
    <row r="19" spans="1:21" x14ac:dyDescent="0.25">
      <c r="A19" s="4" t="s">
        <v>3</v>
      </c>
      <c r="B19" s="4" t="s">
        <v>9</v>
      </c>
      <c r="C19" s="4">
        <f t="shared" si="0"/>
        <v>27</v>
      </c>
      <c r="E19" s="4" t="s">
        <v>81</v>
      </c>
      <c r="F19" s="4" t="s">
        <v>89</v>
      </c>
      <c r="G19" s="4">
        <f t="shared" si="1"/>
        <v>117</v>
      </c>
      <c r="I19" s="5" t="s">
        <v>174</v>
      </c>
      <c r="J19" s="5">
        <f t="shared" si="2"/>
        <v>18</v>
      </c>
      <c r="K19" s="5">
        <f t="shared" si="3"/>
        <v>36</v>
      </c>
      <c r="L19" s="5" t="s">
        <v>11</v>
      </c>
      <c r="N19" s="5" t="s">
        <v>226</v>
      </c>
      <c r="O19" s="5" t="s">
        <v>87</v>
      </c>
      <c r="P19" s="5">
        <f t="shared" si="4"/>
        <v>234</v>
      </c>
      <c r="Q19" s="5" t="s">
        <v>7</v>
      </c>
      <c r="S19" s="6" t="s">
        <v>302</v>
      </c>
      <c r="T19" s="6">
        <f t="shared" si="5"/>
        <v>18</v>
      </c>
      <c r="U19" s="4" t="s">
        <v>194</v>
      </c>
    </row>
    <row r="20" spans="1:21" x14ac:dyDescent="0.25">
      <c r="A20" s="4" t="s">
        <v>4</v>
      </c>
      <c r="B20" s="4" t="s">
        <v>10</v>
      </c>
      <c r="C20" s="4">
        <f t="shared" si="0"/>
        <v>28</v>
      </c>
      <c r="E20" s="4" t="s">
        <v>82</v>
      </c>
      <c r="F20" s="4" t="s">
        <v>1</v>
      </c>
      <c r="G20" s="4">
        <f t="shared" si="1"/>
        <v>118</v>
      </c>
      <c r="I20" s="5" t="s">
        <v>178</v>
      </c>
      <c r="J20" s="5">
        <f t="shared" si="2"/>
        <v>19</v>
      </c>
      <c r="K20" s="5">
        <f t="shared" si="3"/>
        <v>38</v>
      </c>
      <c r="L20" s="5" t="s">
        <v>194</v>
      </c>
      <c r="N20" s="5" t="s">
        <v>11</v>
      </c>
      <c r="O20" s="5" t="s">
        <v>88</v>
      </c>
      <c r="P20" s="5">
        <f t="shared" si="4"/>
        <v>236</v>
      </c>
      <c r="Q20" s="5" t="s">
        <v>0</v>
      </c>
      <c r="S20" s="6" t="s">
        <v>302</v>
      </c>
      <c r="T20" s="6">
        <f t="shared" si="5"/>
        <v>19</v>
      </c>
      <c r="U20" s="4" t="s">
        <v>194</v>
      </c>
    </row>
    <row r="21" spans="1:21" x14ac:dyDescent="0.25">
      <c r="A21" s="4" t="s">
        <v>5</v>
      </c>
      <c r="B21" s="4" t="s">
        <v>11</v>
      </c>
      <c r="C21" s="4">
        <f t="shared" si="0"/>
        <v>29</v>
      </c>
      <c r="E21" s="4" t="s">
        <v>83</v>
      </c>
      <c r="F21" s="4" t="s">
        <v>3</v>
      </c>
      <c r="G21" s="4">
        <f t="shared" si="1"/>
        <v>119</v>
      </c>
      <c r="I21" s="5" t="s">
        <v>179</v>
      </c>
      <c r="J21" s="5">
        <f t="shared" si="2"/>
        <v>20</v>
      </c>
      <c r="K21" s="5">
        <f t="shared" si="3"/>
        <v>40</v>
      </c>
      <c r="L21" s="5" t="s">
        <v>6</v>
      </c>
      <c r="N21" s="5" t="s">
        <v>3</v>
      </c>
      <c r="O21" s="5" t="s">
        <v>89</v>
      </c>
      <c r="P21" s="5">
        <f t="shared" si="4"/>
        <v>238</v>
      </c>
      <c r="Q21" s="5" t="s">
        <v>10</v>
      </c>
      <c r="S21" s="6" t="s">
        <v>302</v>
      </c>
      <c r="T21" s="6">
        <f t="shared" si="5"/>
        <v>20</v>
      </c>
      <c r="U21" s="4" t="s">
        <v>194</v>
      </c>
    </row>
    <row r="22" spans="1:21" x14ac:dyDescent="0.25">
      <c r="A22" s="4" t="s">
        <v>6</v>
      </c>
      <c r="B22" s="4" t="s">
        <v>12</v>
      </c>
      <c r="C22" s="4">
        <f t="shared" si="0"/>
        <v>30</v>
      </c>
      <c r="E22" s="4" t="s">
        <v>84</v>
      </c>
      <c r="F22" s="4" t="s">
        <v>7</v>
      </c>
      <c r="G22" s="4">
        <f t="shared" si="1"/>
        <v>120</v>
      </c>
      <c r="I22" s="5" t="s">
        <v>180</v>
      </c>
      <c r="J22" s="5">
        <f t="shared" si="2"/>
        <v>21</v>
      </c>
      <c r="K22" s="5">
        <f t="shared" si="3"/>
        <v>42</v>
      </c>
      <c r="L22" s="5" t="s">
        <v>7</v>
      </c>
      <c r="N22" s="5" t="s">
        <v>2</v>
      </c>
      <c r="O22" s="5" t="s">
        <v>10</v>
      </c>
      <c r="P22" s="5">
        <f t="shared" si="4"/>
        <v>240</v>
      </c>
      <c r="Q22" s="5" t="s">
        <v>9</v>
      </c>
      <c r="S22" s="6" t="s">
        <v>302</v>
      </c>
      <c r="T22" s="6">
        <f t="shared" si="5"/>
        <v>21</v>
      </c>
      <c r="U22" s="4" t="s">
        <v>194</v>
      </c>
    </row>
    <row r="23" spans="1:21" x14ac:dyDescent="0.25">
      <c r="A23" s="4" t="s">
        <v>0</v>
      </c>
      <c r="B23" s="4" t="s">
        <v>5</v>
      </c>
      <c r="C23" s="4">
        <f t="shared" si="0"/>
        <v>31</v>
      </c>
      <c r="E23" s="4" t="s">
        <v>85</v>
      </c>
      <c r="F23" s="4" t="s">
        <v>86</v>
      </c>
      <c r="G23" s="4">
        <f t="shared" si="1"/>
        <v>121</v>
      </c>
      <c r="I23" s="5" t="s">
        <v>181</v>
      </c>
      <c r="J23" s="5">
        <f t="shared" si="2"/>
        <v>22</v>
      </c>
      <c r="K23" s="5">
        <f t="shared" si="3"/>
        <v>44</v>
      </c>
      <c r="L23" s="5" t="s">
        <v>8</v>
      </c>
      <c r="N23" s="5" t="s">
        <v>3</v>
      </c>
      <c r="O23" s="5" t="s">
        <v>9</v>
      </c>
      <c r="P23" s="5">
        <f t="shared" si="4"/>
        <v>242</v>
      </c>
      <c r="Q23" s="5" t="s">
        <v>7</v>
      </c>
      <c r="S23" s="6" t="s">
        <v>302</v>
      </c>
      <c r="T23" s="6">
        <f t="shared" si="5"/>
        <v>22</v>
      </c>
      <c r="U23" s="4" t="s">
        <v>194</v>
      </c>
    </row>
    <row r="24" spans="1:21" x14ac:dyDescent="0.25">
      <c r="A24" s="4" t="s">
        <v>1</v>
      </c>
      <c r="B24" s="4" t="s">
        <v>7</v>
      </c>
      <c r="C24" s="4">
        <f t="shared" si="0"/>
        <v>32</v>
      </c>
      <c r="E24" s="4" t="s">
        <v>75</v>
      </c>
      <c r="F24" s="4" t="s">
        <v>0</v>
      </c>
      <c r="G24" s="4">
        <f t="shared" si="1"/>
        <v>122</v>
      </c>
      <c r="I24" s="5" t="s">
        <v>178</v>
      </c>
      <c r="J24" s="5">
        <f t="shared" si="2"/>
        <v>23</v>
      </c>
      <c r="K24" s="5">
        <f t="shared" si="3"/>
        <v>46</v>
      </c>
      <c r="L24" s="5" t="s">
        <v>195</v>
      </c>
      <c r="N24" s="5" t="s">
        <v>6</v>
      </c>
      <c r="O24" s="5" t="s">
        <v>7</v>
      </c>
      <c r="P24" s="5">
        <f t="shared" si="4"/>
        <v>244</v>
      </c>
      <c r="Q24" s="5" t="s">
        <v>0</v>
      </c>
      <c r="S24" s="6" t="s">
        <v>302</v>
      </c>
      <c r="T24" s="6">
        <f t="shared" si="5"/>
        <v>23</v>
      </c>
      <c r="U24" s="4" t="s">
        <v>194</v>
      </c>
    </row>
    <row r="25" spans="1:21" x14ac:dyDescent="0.25">
      <c r="A25" s="4" t="s">
        <v>2</v>
      </c>
      <c r="B25" s="4" t="s">
        <v>8</v>
      </c>
      <c r="C25" s="4">
        <f t="shared" si="0"/>
        <v>33</v>
      </c>
      <c r="E25" s="4" t="s">
        <v>76</v>
      </c>
      <c r="F25" s="4" t="s">
        <v>87</v>
      </c>
      <c r="G25" s="4">
        <f t="shared" si="1"/>
        <v>123</v>
      </c>
      <c r="I25" s="5" t="s">
        <v>179</v>
      </c>
      <c r="J25" s="5">
        <f t="shared" si="2"/>
        <v>24</v>
      </c>
      <c r="K25" s="5">
        <f t="shared" si="3"/>
        <v>48</v>
      </c>
      <c r="L25" s="5" t="s">
        <v>4</v>
      </c>
      <c r="N25" s="5" t="s">
        <v>7</v>
      </c>
      <c r="O25" s="5" t="s">
        <v>3</v>
      </c>
      <c r="P25" s="5">
        <f t="shared" si="4"/>
        <v>246</v>
      </c>
      <c r="Q25" s="5" t="s">
        <v>10</v>
      </c>
      <c r="S25" s="6" t="s">
        <v>302</v>
      </c>
      <c r="T25" s="6">
        <f t="shared" si="5"/>
        <v>24</v>
      </c>
      <c r="U25" s="4" t="s">
        <v>194</v>
      </c>
    </row>
    <row r="26" spans="1:21" x14ac:dyDescent="0.25">
      <c r="A26" s="4" t="s">
        <v>3</v>
      </c>
      <c r="B26" s="4" t="s">
        <v>9</v>
      </c>
      <c r="C26" s="4">
        <f t="shared" si="0"/>
        <v>34</v>
      </c>
      <c r="E26" s="4" t="s">
        <v>77</v>
      </c>
      <c r="F26" s="4" t="s">
        <v>88</v>
      </c>
      <c r="G26" s="4">
        <f t="shared" si="1"/>
        <v>124</v>
      </c>
      <c r="I26" s="5" t="s">
        <v>180</v>
      </c>
      <c r="J26" s="5">
        <f t="shared" si="2"/>
        <v>25</v>
      </c>
      <c r="K26" s="5">
        <f t="shared" si="3"/>
        <v>50</v>
      </c>
      <c r="L26" s="5" t="s">
        <v>196</v>
      </c>
      <c r="N26" s="5" t="s">
        <v>86</v>
      </c>
      <c r="O26" s="5" t="s">
        <v>0</v>
      </c>
      <c r="P26" s="5">
        <f t="shared" si="4"/>
        <v>248</v>
      </c>
      <c r="Q26" s="5" t="s">
        <v>9</v>
      </c>
      <c r="S26" s="6" t="s">
        <v>302</v>
      </c>
      <c r="T26" s="6">
        <f t="shared" si="5"/>
        <v>25</v>
      </c>
      <c r="U26" s="4" t="s">
        <v>194</v>
      </c>
    </row>
    <row r="27" spans="1:21" x14ac:dyDescent="0.25">
      <c r="A27" s="4" t="s">
        <v>4</v>
      </c>
      <c r="B27" s="4" t="s">
        <v>10</v>
      </c>
      <c r="C27" s="4">
        <f t="shared" si="0"/>
        <v>35</v>
      </c>
      <c r="E27" s="4" t="s">
        <v>78</v>
      </c>
      <c r="F27" s="4" t="s">
        <v>12</v>
      </c>
      <c r="G27" s="4">
        <f t="shared" si="1"/>
        <v>125</v>
      </c>
      <c r="I27" s="5" t="s">
        <v>181</v>
      </c>
      <c r="J27" s="5">
        <f t="shared" si="2"/>
        <v>26</v>
      </c>
      <c r="K27" s="5">
        <f t="shared" si="3"/>
        <v>52</v>
      </c>
      <c r="L27" s="5" t="s">
        <v>12</v>
      </c>
      <c r="N27" s="5" t="s">
        <v>195</v>
      </c>
      <c r="O27" s="5" t="s">
        <v>194</v>
      </c>
      <c r="P27" s="5">
        <f t="shared" si="4"/>
        <v>250</v>
      </c>
      <c r="Q27" s="5" t="s">
        <v>7</v>
      </c>
      <c r="S27" s="6" t="s">
        <v>302</v>
      </c>
      <c r="T27" s="6">
        <f t="shared" si="5"/>
        <v>26</v>
      </c>
      <c r="U27" s="4" t="s">
        <v>194</v>
      </c>
    </row>
    <row r="28" spans="1:21" x14ac:dyDescent="0.25">
      <c r="A28" s="4" t="s">
        <v>5</v>
      </c>
      <c r="B28" s="4" t="s">
        <v>11</v>
      </c>
      <c r="C28" s="4">
        <f t="shared" si="0"/>
        <v>36</v>
      </c>
      <c r="E28" s="4" t="s">
        <v>79</v>
      </c>
      <c r="F28" s="4" t="s">
        <v>89</v>
      </c>
      <c r="G28" s="4">
        <f t="shared" si="1"/>
        <v>126</v>
      </c>
      <c r="I28" s="5" t="s">
        <v>178</v>
      </c>
      <c r="J28" s="5">
        <f t="shared" si="2"/>
        <v>27</v>
      </c>
      <c r="K28" s="5">
        <f t="shared" si="3"/>
        <v>54</v>
      </c>
      <c r="L28" s="5" t="s">
        <v>86</v>
      </c>
      <c r="N28" s="5" t="s">
        <v>192</v>
      </c>
      <c r="O28" s="5" t="s">
        <v>3</v>
      </c>
      <c r="P28" s="5">
        <f t="shared" si="4"/>
        <v>252</v>
      </c>
      <c r="Q28" s="5" t="s">
        <v>0</v>
      </c>
      <c r="S28" s="6" t="s">
        <v>302</v>
      </c>
      <c r="T28" s="6">
        <f t="shared" si="5"/>
        <v>27</v>
      </c>
      <c r="U28" s="4" t="s">
        <v>194</v>
      </c>
    </row>
    <row r="29" spans="1:21" x14ac:dyDescent="0.25">
      <c r="A29" s="4" t="s">
        <v>6</v>
      </c>
      <c r="B29" s="4" t="s">
        <v>12</v>
      </c>
      <c r="C29" s="4">
        <f t="shared" si="0"/>
        <v>37</v>
      </c>
      <c r="E29" s="4" t="s">
        <v>80</v>
      </c>
      <c r="F29" s="4" t="s">
        <v>1</v>
      </c>
      <c r="G29" s="4">
        <f t="shared" si="1"/>
        <v>127</v>
      </c>
      <c r="I29" s="5" t="s">
        <v>179</v>
      </c>
      <c r="J29" s="5">
        <f t="shared" si="2"/>
        <v>28</v>
      </c>
      <c r="K29" s="5">
        <f t="shared" si="3"/>
        <v>56</v>
      </c>
      <c r="L29" s="5" t="s">
        <v>195</v>
      </c>
      <c r="N29" s="5" t="s">
        <v>2</v>
      </c>
      <c r="O29" s="5" t="s">
        <v>192</v>
      </c>
      <c r="P29" s="5">
        <f t="shared" si="4"/>
        <v>254</v>
      </c>
      <c r="Q29" s="5" t="s">
        <v>10</v>
      </c>
      <c r="S29" s="6" t="s">
        <v>302</v>
      </c>
      <c r="T29" s="6">
        <f t="shared" si="5"/>
        <v>28</v>
      </c>
      <c r="U29" s="4" t="s">
        <v>194</v>
      </c>
    </row>
    <row r="30" spans="1:21" x14ac:dyDescent="0.25">
      <c r="A30" s="4" t="s">
        <v>0</v>
      </c>
      <c r="B30" s="4" t="s">
        <v>5</v>
      </c>
      <c r="C30" s="4">
        <f t="shared" si="0"/>
        <v>38</v>
      </c>
      <c r="E30" s="4" t="s">
        <v>81</v>
      </c>
      <c r="F30" s="4" t="s">
        <v>3</v>
      </c>
      <c r="G30" s="4">
        <f t="shared" si="1"/>
        <v>128</v>
      </c>
      <c r="I30" s="5" t="s">
        <v>180</v>
      </c>
      <c r="J30" s="5">
        <f t="shared" si="2"/>
        <v>29</v>
      </c>
      <c r="K30" s="5">
        <f t="shared" si="3"/>
        <v>58</v>
      </c>
      <c r="L30" s="5" t="s">
        <v>192</v>
      </c>
      <c r="N30" s="5" t="s">
        <v>3</v>
      </c>
      <c r="O30" s="5" t="s">
        <v>87</v>
      </c>
      <c r="P30" s="5">
        <f t="shared" si="4"/>
        <v>256</v>
      </c>
      <c r="Q30" s="5" t="s">
        <v>0</v>
      </c>
      <c r="S30" s="6" t="s">
        <v>302</v>
      </c>
      <c r="T30" s="6">
        <f t="shared" si="5"/>
        <v>29</v>
      </c>
      <c r="U30" s="4" t="s">
        <v>194</v>
      </c>
    </row>
    <row r="31" spans="1:21" x14ac:dyDescent="0.25">
      <c r="A31" s="4" t="s">
        <v>1</v>
      </c>
      <c r="B31" s="4" t="s">
        <v>7</v>
      </c>
      <c r="C31" s="4">
        <f t="shared" si="0"/>
        <v>39</v>
      </c>
      <c r="E31" s="4" t="s">
        <v>82</v>
      </c>
      <c r="F31" s="4" t="s">
        <v>7</v>
      </c>
      <c r="G31" s="4">
        <f t="shared" si="1"/>
        <v>129</v>
      </c>
      <c r="I31" s="5" t="s">
        <v>181</v>
      </c>
      <c r="J31" s="5">
        <f t="shared" si="2"/>
        <v>30</v>
      </c>
      <c r="K31" s="5">
        <f t="shared" si="3"/>
        <v>60</v>
      </c>
      <c r="L31" s="5" t="s">
        <v>183</v>
      </c>
      <c r="N31" s="5" t="s">
        <v>6</v>
      </c>
      <c r="O31" s="5" t="s">
        <v>88</v>
      </c>
      <c r="P31" s="5">
        <f t="shared" si="4"/>
        <v>258</v>
      </c>
      <c r="Q31" s="5" t="s">
        <v>8</v>
      </c>
      <c r="S31" s="6" t="s">
        <v>302</v>
      </c>
      <c r="T31" s="6">
        <f t="shared" si="5"/>
        <v>30</v>
      </c>
      <c r="U31" s="4" t="s">
        <v>194</v>
      </c>
    </row>
    <row r="32" spans="1:21" x14ac:dyDescent="0.25">
      <c r="A32" s="4" t="s">
        <v>2</v>
      </c>
      <c r="B32" s="4" t="s">
        <v>8</v>
      </c>
      <c r="C32" s="4">
        <f t="shared" si="0"/>
        <v>40</v>
      </c>
      <c r="E32" s="4" t="s">
        <v>83</v>
      </c>
      <c r="F32" s="4" t="s">
        <v>86</v>
      </c>
      <c r="G32" s="4">
        <f t="shared" si="1"/>
        <v>130</v>
      </c>
      <c r="I32" s="5" t="s">
        <v>178</v>
      </c>
      <c r="J32" s="5">
        <f t="shared" si="2"/>
        <v>31</v>
      </c>
      <c r="K32" s="5">
        <f t="shared" si="3"/>
        <v>62</v>
      </c>
      <c r="L32" s="5" t="s">
        <v>87</v>
      </c>
      <c r="N32" s="5" t="s">
        <v>7</v>
      </c>
      <c r="O32" s="5" t="s">
        <v>89</v>
      </c>
      <c r="P32" s="5">
        <f t="shared" si="4"/>
        <v>260</v>
      </c>
      <c r="Q32" s="5" t="s">
        <v>192</v>
      </c>
      <c r="S32" s="6" t="s">
        <v>302</v>
      </c>
      <c r="T32" s="6">
        <f t="shared" si="5"/>
        <v>31</v>
      </c>
      <c r="U32" s="4" t="s">
        <v>194</v>
      </c>
    </row>
    <row r="33" spans="1:21" x14ac:dyDescent="0.25">
      <c r="A33" s="4" t="s">
        <v>3</v>
      </c>
      <c r="B33" s="4" t="s">
        <v>9</v>
      </c>
      <c r="C33" s="4">
        <f t="shared" si="0"/>
        <v>41</v>
      </c>
      <c r="E33" s="4" t="s">
        <v>84</v>
      </c>
      <c r="F33" s="4" t="s">
        <v>0</v>
      </c>
      <c r="G33" s="4">
        <f t="shared" si="1"/>
        <v>131</v>
      </c>
      <c r="I33" s="5" t="s">
        <v>179</v>
      </c>
      <c r="J33" s="5">
        <f t="shared" si="2"/>
        <v>32</v>
      </c>
      <c r="K33" s="5">
        <f t="shared" si="3"/>
        <v>64</v>
      </c>
      <c r="L33" s="5" t="s">
        <v>5</v>
      </c>
      <c r="N33" s="5" t="s">
        <v>191</v>
      </c>
      <c r="O33" s="5" t="s">
        <v>10</v>
      </c>
      <c r="P33" s="5">
        <f t="shared" si="4"/>
        <v>262</v>
      </c>
      <c r="Q33" s="5" t="s">
        <v>12</v>
      </c>
      <c r="S33" s="6" t="s">
        <v>302</v>
      </c>
      <c r="T33" s="6">
        <f t="shared" si="5"/>
        <v>32</v>
      </c>
      <c r="U33" s="4" t="s">
        <v>194</v>
      </c>
    </row>
    <row r="34" spans="1:21" x14ac:dyDescent="0.25">
      <c r="A34" s="4" t="s">
        <v>4</v>
      </c>
      <c r="B34" s="4" t="s">
        <v>10</v>
      </c>
      <c r="C34" s="4">
        <f t="shared" si="0"/>
        <v>42</v>
      </c>
      <c r="E34" s="4" t="s">
        <v>85</v>
      </c>
      <c r="F34" s="4" t="s">
        <v>87</v>
      </c>
      <c r="G34" s="4">
        <f t="shared" si="1"/>
        <v>132</v>
      </c>
      <c r="I34" s="5" t="s">
        <v>180</v>
      </c>
      <c r="J34" s="5">
        <f t="shared" si="2"/>
        <v>33</v>
      </c>
      <c r="K34" s="5">
        <f t="shared" si="3"/>
        <v>66</v>
      </c>
      <c r="L34" s="5" t="s">
        <v>6</v>
      </c>
      <c r="N34" s="5" t="s">
        <v>9</v>
      </c>
      <c r="O34" s="5" t="s">
        <v>9</v>
      </c>
      <c r="P34" s="5">
        <f t="shared" si="4"/>
        <v>264</v>
      </c>
      <c r="Q34" s="5" t="s">
        <v>86</v>
      </c>
      <c r="S34" s="6" t="s">
        <v>302</v>
      </c>
      <c r="T34" s="6">
        <f t="shared" si="5"/>
        <v>33</v>
      </c>
      <c r="U34" s="4" t="s">
        <v>194</v>
      </c>
    </row>
    <row r="35" spans="1:21" x14ac:dyDescent="0.25">
      <c r="A35" s="4" t="s">
        <v>0</v>
      </c>
      <c r="B35" s="4" t="s">
        <v>5</v>
      </c>
      <c r="C35" s="4">
        <v>11</v>
      </c>
      <c r="E35" s="4" t="s">
        <v>75</v>
      </c>
      <c r="F35" s="4" t="s">
        <v>88</v>
      </c>
      <c r="G35" s="4">
        <f t="shared" si="1"/>
        <v>133</v>
      </c>
      <c r="I35" s="5" t="s">
        <v>181</v>
      </c>
      <c r="J35" s="5">
        <f t="shared" si="2"/>
        <v>34</v>
      </c>
      <c r="K35" s="5">
        <f t="shared" si="3"/>
        <v>68</v>
      </c>
      <c r="L35" s="5" t="s">
        <v>8</v>
      </c>
      <c r="N35" s="5" t="s">
        <v>87</v>
      </c>
      <c r="O35" s="5" t="s">
        <v>7</v>
      </c>
      <c r="P35" s="5">
        <f t="shared" si="4"/>
        <v>266</v>
      </c>
      <c r="Q35" s="5" t="s">
        <v>10</v>
      </c>
      <c r="S35" s="6" t="s">
        <v>302</v>
      </c>
      <c r="T35" s="6">
        <f t="shared" si="5"/>
        <v>34</v>
      </c>
      <c r="U35" s="4" t="s">
        <v>194</v>
      </c>
    </row>
    <row r="36" spans="1:21" x14ac:dyDescent="0.25">
      <c r="A36" s="4" t="s">
        <v>1</v>
      </c>
      <c r="B36" s="4" t="s">
        <v>7</v>
      </c>
      <c r="C36" s="4">
        <f>C35+1</f>
        <v>12</v>
      </c>
      <c r="E36" s="4" t="s">
        <v>76</v>
      </c>
      <c r="F36" s="4" t="s">
        <v>12</v>
      </c>
      <c r="G36" s="4">
        <f t="shared" si="1"/>
        <v>134</v>
      </c>
      <c r="I36" s="5" t="s">
        <v>178</v>
      </c>
      <c r="J36" s="5">
        <f t="shared" si="2"/>
        <v>35</v>
      </c>
      <c r="K36" s="5">
        <f t="shared" si="3"/>
        <v>70</v>
      </c>
      <c r="L36" s="5" t="s">
        <v>1</v>
      </c>
      <c r="N36" s="5" t="s">
        <v>183</v>
      </c>
      <c r="O36" s="5" t="s">
        <v>3</v>
      </c>
      <c r="P36" s="5">
        <f t="shared" si="4"/>
        <v>268</v>
      </c>
      <c r="Q36" s="5" t="s">
        <v>86</v>
      </c>
      <c r="S36" s="6" t="s">
        <v>302</v>
      </c>
      <c r="T36" s="6">
        <f t="shared" si="5"/>
        <v>35</v>
      </c>
      <c r="U36" s="4" t="s">
        <v>194</v>
      </c>
    </row>
    <row r="37" spans="1:21" x14ac:dyDescent="0.25">
      <c r="A37" s="4" t="s">
        <v>2</v>
      </c>
      <c r="B37" s="4" t="s">
        <v>8</v>
      </c>
      <c r="C37" s="4">
        <f t="shared" ref="C37:C55" si="6">C36+1</f>
        <v>13</v>
      </c>
      <c r="E37" s="4" t="s">
        <v>77</v>
      </c>
      <c r="F37" s="4" t="s">
        <v>89</v>
      </c>
      <c r="G37" s="4">
        <f t="shared" si="1"/>
        <v>135</v>
      </c>
      <c r="I37" s="5" t="s">
        <v>179</v>
      </c>
      <c r="J37" s="5">
        <f t="shared" si="2"/>
        <v>36</v>
      </c>
      <c r="K37" s="5">
        <f t="shared" si="3"/>
        <v>72</v>
      </c>
      <c r="L37" s="5" t="s">
        <v>197</v>
      </c>
      <c r="N37" s="5" t="s">
        <v>192</v>
      </c>
      <c r="O37" s="5" t="s">
        <v>0</v>
      </c>
      <c r="P37" s="5">
        <f t="shared" si="4"/>
        <v>270</v>
      </c>
      <c r="Q37" s="5" t="s">
        <v>12</v>
      </c>
      <c r="S37" s="6" t="s">
        <v>302</v>
      </c>
      <c r="T37" s="6">
        <f t="shared" si="5"/>
        <v>36</v>
      </c>
      <c r="U37" s="4" t="s">
        <v>194</v>
      </c>
    </row>
    <row r="38" spans="1:21" x14ac:dyDescent="0.25">
      <c r="A38" s="4" t="s">
        <v>3</v>
      </c>
      <c r="B38" s="4" t="s">
        <v>9</v>
      </c>
      <c r="C38" s="4">
        <f t="shared" si="6"/>
        <v>14</v>
      </c>
      <c r="E38" s="4" t="s">
        <v>78</v>
      </c>
      <c r="F38" s="4" t="s">
        <v>1</v>
      </c>
      <c r="G38" s="4">
        <f t="shared" si="1"/>
        <v>136</v>
      </c>
      <c r="I38" s="5" t="s">
        <v>180</v>
      </c>
      <c r="J38" s="5">
        <f t="shared" si="2"/>
        <v>37</v>
      </c>
      <c r="K38" s="5">
        <f t="shared" si="3"/>
        <v>74</v>
      </c>
      <c r="L38" s="5" t="s">
        <v>10</v>
      </c>
      <c r="N38" s="5" t="s">
        <v>89</v>
      </c>
      <c r="O38" s="5" t="s">
        <v>9</v>
      </c>
      <c r="P38" s="5">
        <f t="shared" si="4"/>
        <v>272</v>
      </c>
      <c r="Q38" s="5" t="s">
        <v>197</v>
      </c>
      <c r="S38" s="6" t="s">
        <v>302</v>
      </c>
      <c r="T38" s="6">
        <f t="shared" si="5"/>
        <v>37</v>
      </c>
      <c r="U38" s="4" t="s">
        <v>194</v>
      </c>
    </row>
    <row r="39" spans="1:21" x14ac:dyDescent="0.25">
      <c r="A39" s="4" t="s">
        <v>4</v>
      </c>
      <c r="B39" s="4" t="s">
        <v>10</v>
      </c>
      <c r="C39" s="4">
        <f t="shared" si="6"/>
        <v>15</v>
      </c>
      <c r="E39" s="4" t="s">
        <v>79</v>
      </c>
      <c r="F39" s="4" t="s">
        <v>3</v>
      </c>
      <c r="G39" s="4">
        <f t="shared" si="1"/>
        <v>137</v>
      </c>
      <c r="I39" s="5" t="s">
        <v>182</v>
      </c>
      <c r="J39" s="5">
        <f t="shared" si="2"/>
        <v>38</v>
      </c>
      <c r="K39" s="5">
        <f t="shared" si="3"/>
        <v>76</v>
      </c>
      <c r="L39" s="5" t="s">
        <v>191</v>
      </c>
      <c r="N39" s="5" t="s">
        <v>226</v>
      </c>
      <c r="O39" s="5" t="s">
        <v>87</v>
      </c>
      <c r="P39" s="5">
        <f t="shared" si="4"/>
        <v>274</v>
      </c>
      <c r="Q39" s="5" t="s">
        <v>10</v>
      </c>
      <c r="S39" s="6" t="s">
        <v>302</v>
      </c>
      <c r="T39" s="6">
        <f t="shared" si="5"/>
        <v>38</v>
      </c>
      <c r="U39" s="4" t="s">
        <v>194</v>
      </c>
    </row>
    <row r="40" spans="1:21" x14ac:dyDescent="0.25">
      <c r="A40" s="4" t="s">
        <v>5</v>
      </c>
      <c r="B40" s="4" t="s">
        <v>11</v>
      </c>
      <c r="C40" s="4">
        <f t="shared" si="6"/>
        <v>16</v>
      </c>
      <c r="E40" s="4" t="s">
        <v>80</v>
      </c>
      <c r="F40" s="4" t="s">
        <v>7</v>
      </c>
      <c r="G40" s="4">
        <f t="shared" si="1"/>
        <v>138</v>
      </c>
      <c r="I40" s="5" t="s">
        <v>177</v>
      </c>
      <c r="J40" s="5">
        <f t="shared" si="2"/>
        <v>39</v>
      </c>
      <c r="K40" s="5">
        <f t="shared" si="3"/>
        <v>78</v>
      </c>
      <c r="L40" s="5" t="s">
        <v>8</v>
      </c>
      <c r="N40" s="5" t="s">
        <v>11</v>
      </c>
      <c r="O40" s="5" t="s">
        <v>88</v>
      </c>
      <c r="P40" s="5">
        <f t="shared" si="4"/>
        <v>276</v>
      </c>
      <c r="Q40" s="5" t="s">
        <v>9</v>
      </c>
      <c r="S40" s="6" t="s">
        <v>302</v>
      </c>
      <c r="T40" s="6">
        <f t="shared" si="5"/>
        <v>39</v>
      </c>
      <c r="U40" s="4" t="s">
        <v>194</v>
      </c>
    </row>
    <row r="41" spans="1:21" x14ac:dyDescent="0.25">
      <c r="A41" s="4" t="s">
        <v>6</v>
      </c>
      <c r="B41" s="4" t="s">
        <v>12</v>
      </c>
      <c r="C41" s="4">
        <f t="shared" si="6"/>
        <v>17</v>
      </c>
      <c r="E41" s="4" t="s">
        <v>81</v>
      </c>
      <c r="F41" s="4" t="s">
        <v>86</v>
      </c>
      <c r="G41" s="4">
        <f t="shared" si="1"/>
        <v>139</v>
      </c>
      <c r="I41" s="5" t="s">
        <v>184</v>
      </c>
      <c r="J41" s="5">
        <f t="shared" si="2"/>
        <v>40</v>
      </c>
      <c r="K41" s="5">
        <f t="shared" si="3"/>
        <v>80</v>
      </c>
      <c r="L41" s="5" t="s">
        <v>7</v>
      </c>
      <c r="N41" s="5" t="s">
        <v>3</v>
      </c>
      <c r="O41" s="5" t="s">
        <v>89</v>
      </c>
      <c r="P41" s="5">
        <f t="shared" si="4"/>
        <v>278</v>
      </c>
      <c r="Q41" s="5" t="s">
        <v>7</v>
      </c>
      <c r="S41" s="6" t="s">
        <v>302</v>
      </c>
      <c r="T41" s="6">
        <f t="shared" si="5"/>
        <v>40</v>
      </c>
      <c r="U41" s="4" t="s">
        <v>194</v>
      </c>
    </row>
    <row r="42" spans="1:21" x14ac:dyDescent="0.25">
      <c r="A42" s="4" t="s">
        <v>0</v>
      </c>
      <c r="B42" s="4" t="s">
        <v>5</v>
      </c>
      <c r="C42" s="4">
        <f t="shared" si="6"/>
        <v>18</v>
      </c>
      <c r="E42" s="4" t="s">
        <v>75</v>
      </c>
      <c r="F42" s="4" t="s">
        <v>1</v>
      </c>
      <c r="G42" s="4">
        <v>101</v>
      </c>
      <c r="I42" s="5" t="s">
        <v>185</v>
      </c>
      <c r="J42" s="5">
        <f t="shared" si="2"/>
        <v>41</v>
      </c>
      <c r="K42" s="5">
        <f t="shared" si="3"/>
        <v>82</v>
      </c>
      <c r="L42" s="5" t="s">
        <v>195</v>
      </c>
      <c r="N42" s="5" t="s">
        <v>0</v>
      </c>
      <c r="O42" s="5" t="s">
        <v>226</v>
      </c>
      <c r="P42" s="5">
        <f t="shared" si="4"/>
        <v>280</v>
      </c>
      <c r="Q42" s="5" t="s">
        <v>0</v>
      </c>
      <c r="S42" s="6" t="s">
        <v>302</v>
      </c>
      <c r="T42" s="6">
        <f t="shared" si="5"/>
        <v>41</v>
      </c>
      <c r="U42" s="4" t="s">
        <v>194</v>
      </c>
    </row>
    <row r="43" spans="1:21" x14ac:dyDescent="0.25">
      <c r="A43" s="4" t="s">
        <v>1</v>
      </c>
      <c r="B43" s="4" t="s">
        <v>7</v>
      </c>
      <c r="C43" s="4">
        <f t="shared" si="6"/>
        <v>19</v>
      </c>
      <c r="E43" s="4" t="s">
        <v>76</v>
      </c>
      <c r="F43" s="4" t="s">
        <v>3</v>
      </c>
      <c r="G43" s="4">
        <f>G42+1</f>
        <v>102</v>
      </c>
      <c r="I43" s="5" t="s">
        <v>186</v>
      </c>
      <c r="J43" s="5">
        <f t="shared" si="2"/>
        <v>42</v>
      </c>
      <c r="K43" s="5">
        <f t="shared" si="3"/>
        <v>84</v>
      </c>
      <c r="L43" s="5" t="s">
        <v>8</v>
      </c>
      <c r="N43" s="5" t="s">
        <v>3</v>
      </c>
      <c r="O43" s="5" t="s">
        <v>4</v>
      </c>
      <c r="P43" s="5">
        <f t="shared" si="4"/>
        <v>282</v>
      </c>
      <c r="Q43" s="5" t="s">
        <v>10</v>
      </c>
      <c r="S43" s="6" t="s">
        <v>302</v>
      </c>
      <c r="T43" s="6">
        <f t="shared" si="5"/>
        <v>42</v>
      </c>
      <c r="U43" s="4" t="s">
        <v>194</v>
      </c>
    </row>
    <row r="44" spans="1:21" x14ac:dyDescent="0.25">
      <c r="A44" s="4" t="s">
        <v>2</v>
      </c>
      <c r="B44" s="4" t="s">
        <v>8</v>
      </c>
      <c r="C44" s="4">
        <f t="shared" si="6"/>
        <v>20</v>
      </c>
      <c r="E44" s="4" t="s">
        <v>77</v>
      </c>
      <c r="F44" s="4" t="s">
        <v>7</v>
      </c>
      <c r="G44" s="4">
        <f t="shared" ref="G44:G62" si="7">G43+1</f>
        <v>103</v>
      </c>
      <c r="I44" s="5" t="s">
        <v>187</v>
      </c>
      <c r="J44" s="5">
        <f t="shared" si="2"/>
        <v>43</v>
      </c>
      <c r="K44" s="5">
        <f t="shared" si="3"/>
        <v>86</v>
      </c>
      <c r="L44" s="5" t="s">
        <v>1</v>
      </c>
      <c r="N44" s="5" t="s">
        <v>5</v>
      </c>
      <c r="O44" s="5" t="s">
        <v>12</v>
      </c>
      <c r="P44" s="5">
        <f t="shared" si="4"/>
        <v>284</v>
      </c>
      <c r="Q44" s="5" t="s">
        <v>9</v>
      </c>
      <c r="S44" s="6" t="s">
        <v>302</v>
      </c>
      <c r="T44" s="6">
        <f t="shared" si="5"/>
        <v>43</v>
      </c>
      <c r="U44" s="4" t="s">
        <v>194</v>
      </c>
    </row>
    <row r="45" spans="1:21" x14ac:dyDescent="0.25">
      <c r="A45" s="4" t="s">
        <v>3</v>
      </c>
      <c r="B45" s="4" t="s">
        <v>9</v>
      </c>
      <c r="C45" s="4">
        <f t="shared" si="6"/>
        <v>21</v>
      </c>
      <c r="E45" s="4" t="s">
        <v>78</v>
      </c>
      <c r="F45" s="4" t="s">
        <v>86</v>
      </c>
      <c r="G45" s="4">
        <f t="shared" si="7"/>
        <v>104</v>
      </c>
      <c r="I45" s="5" t="s">
        <v>188</v>
      </c>
      <c r="J45" s="5">
        <f t="shared" si="2"/>
        <v>44</v>
      </c>
      <c r="K45" s="5">
        <f t="shared" si="3"/>
        <v>88</v>
      </c>
      <c r="L45" s="5" t="s">
        <v>197</v>
      </c>
      <c r="N45" s="5" t="s">
        <v>7</v>
      </c>
      <c r="O45" s="5" t="s">
        <v>86</v>
      </c>
      <c r="P45" s="5">
        <f t="shared" si="4"/>
        <v>286</v>
      </c>
      <c r="Q45" s="5" t="s">
        <v>7</v>
      </c>
      <c r="S45" s="6" t="s">
        <v>302</v>
      </c>
      <c r="T45" s="6">
        <f t="shared" si="5"/>
        <v>44</v>
      </c>
      <c r="U45" s="4" t="s">
        <v>194</v>
      </c>
    </row>
    <row r="46" spans="1:21" x14ac:dyDescent="0.25">
      <c r="A46" s="4" t="s">
        <v>4</v>
      </c>
      <c r="B46" s="4" t="s">
        <v>10</v>
      </c>
      <c r="C46" s="4">
        <f t="shared" si="6"/>
        <v>22</v>
      </c>
      <c r="E46" s="4" t="s">
        <v>79</v>
      </c>
      <c r="F46" s="4" t="s">
        <v>0</v>
      </c>
      <c r="G46" s="4">
        <f t="shared" si="7"/>
        <v>105</v>
      </c>
      <c r="I46" s="5" t="s">
        <v>189</v>
      </c>
      <c r="J46" s="5">
        <f t="shared" si="2"/>
        <v>45</v>
      </c>
      <c r="K46" s="5">
        <f t="shared" si="3"/>
        <v>90</v>
      </c>
      <c r="L46" s="5" t="s">
        <v>10</v>
      </c>
      <c r="N46" s="5" t="s">
        <v>2</v>
      </c>
      <c r="O46" s="5" t="s">
        <v>7</v>
      </c>
      <c r="P46" s="5">
        <f t="shared" si="4"/>
        <v>288</v>
      </c>
      <c r="Q46" s="5" t="s">
        <v>0</v>
      </c>
      <c r="S46" s="6" t="s">
        <v>302</v>
      </c>
      <c r="T46" s="6">
        <f t="shared" si="5"/>
        <v>45</v>
      </c>
      <c r="U46" s="4" t="s">
        <v>194</v>
      </c>
    </row>
    <row r="47" spans="1:21" x14ac:dyDescent="0.25">
      <c r="A47" s="4" t="s">
        <v>5</v>
      </c>
      <c r="B47" s="4" t="s">
        <v>11</v>
      </c>
      <c r="C47" s="4">
        <f t="shared" si="6"/>
        <v>23</v>
      </c>
      <c r="E47" s="4" t="s">
        <v>80</v>
      </c>
      <c r="F47" s="4" t="s">
        <v>87</v>
      </c>
      <c r="G47" s="4">
        <f t="shared" si="7"/>
        <v>106</v>
      </c>
      <c r="I47" s="5" t="s">
        <v>190</v>
      </c>
      <c r="J47" s="5">
        <f t="shared" si="2"/>
        <v>46</v>
      </c>
      <c r="K47" s="5">
        <f t="shared" si="3"/>
        <v>92</v>
      </c>
      <c r="L47" s="5" t="s">
        <v>191</v>
      </c>
      <c r="N47" s="5" t="s">
        <v>3</v>
      </c>
      <c r="O47" s="5" t="s">
        <v>191</v>
      </c>
      <c r="P47" s="5">
        <f t="shared" si="4"/>
        <v>290</v>
      </c>
      <c r="Q47" s="5" t="s">
        <v>10</v>
      </c>
      <c r="S47" s="6" t="s">
        <v>302</v>
      </c>
      <c r="T47" s="6">
        <f t="shared" si="5"/>
        <v>46</v>
      </c>
      <c r="U47" s="4" t="s">
        <v>194</v>
      </c>
    </row>
    <row r="48" spans="1:21" x14ac:dyDescent="0.25">
      <c r="A48" s="4" t="s">
        <v>6</v>
      </c>
      <c r="B48" s="4" t="s">
        <v>12</v>
      </c>
      <c r="C48" s="4">
        <f t="shared" si="6"/>
        <v>24</v>
      </c>
      <c r="E48" s="4" t="s">
        <v>81</v>
      </c>
      <c r="F48" s="4" t="s">
        <v>88</v>
      </c>
      <c r="G48" s="4">
        <f t="shared" si="7"/>
        <v>107</v>
      </c>
      <c r="I48" s="5" t="s">
        <v>182</v>
      </c>
      <c r="J48" s="5">
        <f t="shared" si="2"/>
        <v>47</v>
      </c>
      <c r="K48" s="5">
        <f t="shared" si="3"/>
        <v>94</v>
      </c>
      <c r="L48" s="5" t="s">
        <v>8</v>
      </c>
      <c r="N48" s="5" t="s">
        <v>89</v>
      </c>
      <c r="O48" s="5" t="s">
        <v>9</v>
      </c>
      <c r="P48" s="5">
        <f t="shared" si="4"/>
        <v>292</v>
      </c>
      <c r="Q48" s="5" t="s">
        <v>9</v>
      </c>
      <c r="S48" s="6" t="s">
        <v>302</v>
      </c>
      <c r="T48" s="6">
        <f t="shared" si="5"/>
        <v>47</v>
      </c>
      <c r="U48" s="4" t="s">
        <v>194</v>
      </c>
    </row>
    <row r="49" spans="1:21" x14ac:dyDescent="0.25">
      <c r="A49" s="4" t="s">
        <v>0</v>
      </c>
      <c r="B49" s="4" t="s">
        <v>5</v>
      </c>
      <c r="C49" s="4">
        <f t="shared" si="6"/>
        <v>25</v>
      </c>
      <c r="E49" s="4" t="s">
        <v>82</v>
      </c>
      <c r="F49" s="4" t="s">
        <v>12</v>
      </c>
      <c r="G49" s="4">
        <f t="shared" si="7"/>
        <v>108</v>
      </c>
      <c r="I49" s="5" t="s">
        <v>177</v>
      </c>
      <c r="J49" s="5">
        <f t="shared" si="2"/>
        <v>48</v>
      </c>
      <c r="K49" s="5">
        <f t="shared" si="3"/>
        <v>96</v>
      </c>
      <c r="L49" s="5" t="s">
        <v>7</v>
      </c>
      <c r="N49" s="5" t="s">
        <v>195</v>
      </c>
      <c r="O49" s="5" t="s">
        <v>2</v>
      </c>
      <c r="P49" s="5">
        <f t="shared" si="4"/>
        <v>294</v>
      </c>
      <c r="Q49" s="5" t="s">
        <v>191</v>
      </c>
      <c r="S49" s="6" t="s">
        <v>302</v>
      </c>
      <c r="T49" s="6">
        <f t="shared" si="5"/>
        <v>48</v>
      </c>
      <c r="U49" s="4" t="s">
        <v>194</v>
      </c>
    </row>
    <row r="50" spans="1:21" x14ac:dyDescent="0.25">
      <c r="A50" s="4" t="s">
        <v>1</v>
      </c>
      <c r="B50" s="4" t="s">
        <v>7</v>
      </c>
      <c r="C50" s="4">
        <f t="shared" si="6"/>
        <v>26</v>
      </c>
      <c r="E50" s="4" t="s">
        <v>83</v>
      </c>
      <c r="F50" s="4" t="s">
        <v>89</v>
      </c>
      <c r="G50" s="4">
        <f t="shared" si="7"/>
        <v>109</v>
      </c>
      <c r="I50" s="5" t="s">
        <v>184</v>
      </c>
      <c r="J50" s="5">
        <f t="shared" si="2"/>
        <v>49</v>
      </c>
      <c r="K50" s="5">
        <f t="shared" si="3"/>
        <v>98</v>
      </c>
      <c r="L50" s="5" t="s">
        <v>195</v>
      </c>
      <c r="N50" s="5" t="s">
        <v>88</v>
      </c>
      <c r="O50" s="5" t="s">
        <v>0</v>
      </c>
      <c r="P50" s="5">
        <f t="shared" si="4"/>
        <v>296</v>
      </c>
      <c r="Q50" s="5" t="s">
        <v>195</v>
      </c>
      <c r="S50" s="6" t="s">
        <v>302</v>
      </c>
      <c r="T50" s="6">
        <f t="shared" si="5"/>
        <v>49</v>
      </c>
      <c r="U50" s="4" t="s">
        <v>194</v>
      </c>
    </row>
    <row r="51" spans="1:21" x14ac:dyDescent="0.25">
      <c r="A51" s="4" t="s">
        <v>2</v>
      </c>
      <c r="B51" s="4" t="s">
        <v>8</v>
      </c>
      <c r="C51" s="4">
        <f t="shared" si="6"/>
        <v>27</v>
      </c>
      <c r="E51" s="4" t="s">
        <v>84</v>
      </c>
      <c r="F51" s="4" t="s">
        <v>1</v>
      </c>
      <c r="G51" s="4">
        <f t="shared" si="7"/>
        <v>110</v>
      </c>
      <c r="I51" s="5" t="s">
        <v>185</v>
      </c>
      <c r="J51" s="5">
        <f t="shared" si="2"/>
        <v>50</v>
      </c>
      <c r="K51" s="5">
        <f t="shared" si="3"/>
        <v>100</v>
      </c>
      <c r="L51" s="5" t="s">
        <v>8</v>
      </c>
      <c r="N51" s="5" t="s">
        <v>227</v>
      </c>
      <c r="O51" s="5" t="s">
        <v>11</v>
      </c>
      <c r="P51" s="5">
        <f t="shared" si="4"/>
        <v>298</v>
      </c>
      <c r="Q51" s="5" t="s">
        <v>86</v>
      </c>
      <c r="S51" s="6" t="s">
        <v>302</v>
      </c>
      <c r="T51" s="6">
        <f t="shared" si="5"/>
        <v>50</v>
      </c>
      <c r="U51" s="4" t="s">
        <v>194</v>
      </c>
    </row>
    <row r="52" spans="1:21" x14ac:dyDescent="0.25">
      <c r="A52" s="4" t="s">
        <v>3</v>
      </c>
      <c r="B52" s="4" t="s">
        <v>9</v>
      </c>
      <c r="C52" s="4">
        <f t="shared" si="6"/>
        <v>28</v>
      </c>
      <c r="E52" s="4" t="s">
        <v>85</v>
      </c>
      <c r="F52" s="4" t="s">
        <v>3</v>
      </c>
      <c r="G52" s="4">
        <f t="shared" si="7"/>
        <v>111</v>
      </c>
      <c r="I52" s="5" t="s">
        <v>186</v>
      </c>
      <c r="J52" s="5">
        <f t="shared" si="2"/>
        <v>51</v>
      </c>
      <c r="K52" s="5">
        <f t="shared" si="3"/>
        <v>102</v>
      </c>
      <c r="L52" s="5" t="s">
        <v>198</v>
      </c>
      <c r="N52" s="5" t="s">
        <v>227</v>
      </c>
      <c r="O52" s="5" t="s">
        <v>12</v>
      </c>
      <c r="P52" s="5">
        <f t="shared" si="4"/>
        <v>300</v>
      </c>
      <c r="Q52" s="5" t="s">
        <v>88</v>
      </c>
      <c r="S52" s="6" t="s">
        <v>302</v>
      </c>
      <c r="T52" s="6">
        <f t="shared" si="5"/>
        <v>51</v>
      </c>
      <c r="U52" s="4" t="s">
        <v>194</v>
      </c>
    </row>
    <row r="53" spans="1:21" x14ac:dyDescent="0.25">
      <c r="A53" s="4" t="s">
        <v>4</v>
      </c>
      <c r="B53" s="4" t="s">
        <v>10</v>
      </c>
      <c r="C53" s="4">
        <f t="shared" si="6"/>
        <v>29</v>
      </c>
      <c r="E53" s="4" t="s">
        <v>75</v>
      </c>
      <c r="F53" s="4" t="s">
        <v>7</v>
      </c>
      <c r="G53" s="4">
        <f t="shared" si="7"/>
        <v>112</v>
      </c>
      <c r="I53" s="5" t="s">
        <v>187</v>
      </c>
      <c r="J53" s="5">
        <f t="shared" si="2"/>
        <v>52</v>
      </c>
      <c r="K53" s="5">
        <f t="shared" si="3"/>
        <v>104</v>
      </c>
      <c r="L53" s="5" t="s">
        <v>3</v>
      </c>
      <c r="N53" s="5" t="s">
        <v>88</v>
      </c>
      <c r="O53" s="5" t="s">
        <v>86</v>
      </c>
      <c r="P53" s="5">
        <f t="shared" si="4"/>
        <v>302</v>
      </c>
      <c r="Q53" s="5" t="s">
        <v>9</v>
      </c>
      <c r="S53" s="6" t="s">
        <v>302</v>
      </c>
      <c r="T53" s="6">
        <f t="shared" si="5"/>
        <v>52</v>
      </c>
      <c r="U53" s="4" t="s">
        <v>194</v>
      </c>
    </row>
    <row r="54" spans="1:21" x14ac:dyDescent="0.25">
      <c r="A54" s="4" t="s">
        <v>5</v>
      </c>
      <c r="B54" s="4" t="s">
        <v>11</v>
      </c>
      <c r="C54" s="4">
        <f t="shared" si="6"/>
        <v>30</v>
      </c>
      <c r="E54" s="4" t="s">
        <v>76</v>
      </c>
      <c r="F54" s="4" t="s">
        <v>86</v>
      </c>
      <c r="G54" s="4">
        <f t="shared" si="7"/>
        <v>113</v>
      </c>
      <c r="I54" s="5" t="s">
        <v>188</v>
      </c>
      <c r="J54" s="5">
        <f t="shared" si="2"/>
        <v>53</v>
      </c>
      <c r="K54" s="5">
        <f t="shared" si="3"/>
        <v>106</v>
      </c>
      <c r="L54" s="5" t="s">
        <v>6</v>
      </c>
      <c r="N54" s="5" t="s">
        <v>227</v>
      </c>
      <c r="O54" s="5" t="s">
        <v>7</v>
      </c>
      <c r="P54" s="5">
        <f t="shared" si="4"/>
        <v>304</v>
      </c>
      <c r="Q54" s="5" t="s">
        <v>10</v>
      </c>
      <c r="S54" s="6" t="s">
        <v>302</v>
      </c>
      <c r="T54" s="6">
        <f t="shared" si="5"/>
        <v>53</v>
      </c>
      <c r="U54" s="4" t="s">
        <v>194</v>
      </c>
    </row>
    <row r="55" spans="1:21" x14ac:dyDescent="0.25">
      <c r="A55" s="4" t="s">
        <v>6</v>
      </c>
      <c r="B55" s="4" t="s">
        <v>12</v>
      </c>
      <c r="C55" s="4">
        <f t="shared" si="6"/>
        <v>31</v>
      </c>
      <c r="E55" s="4" t="s">
        <v>77</v>
      </c>
      <c r="F55" s="4" t="s">
        <v>0</v>
      </c>
      <c r="G55" s="4">
        <f t="shared" si="7"/>
        <v>114</v>
      </c>
      <c r="I55" s="5" t="s">
        <v>189</v>
      </c>
      <c r="J55" s="5">
        <f t="shared" si="2"/>
        <v>54</v>
      </c>
      <c r="K55" s="5">
        <f t="shared" si="3"/>
        <v>108</v>
      </c>
      <c r="L55" s="5" t="s">
        <v>12</v>
      </c>
      <c r="N55" s="5" t="s">
        <v>227</v>
      </c>
      <c r="O55" s="5" t="s">
        <v>191</v>
      </c>
      <c r="P55" s="5">
        <f t="shared" si="4"/>
        <v>306</v>
      </c>
      <c r="Q55" s="5" t="s">
        <v>194</v>
      </c>
      <c r="S55" s="6" t="s">
        <v>302</v>
      </c>
      <c r="T55" s="6">
        <f t="shared" si="5"/>
        <v>54</v>
      </c>
      <c r="U55" s="4" t="s">
        <v>194</v>
      </c>
    </row>
    <row r="56" spans="1:21" x14ac:dyDescent="0.25">
      <c r="E56" s="4" t="s">
        <v>78</v>
      </c>
      <c r="F56" s="4" t="s">
        <v>87</v>
      </c>
      <c r="G56" s="4">
        <f t="shared" si="7"/>
        <v>115</v>
      </c>
      <c r="I56" s="5" t="s">
        <v>190</v>
      </c>
      <c r="J56" s="5">
        <f t="shared" si="2"/>
        <v>55</v>
      </c>
      <c r="K56" s="5">
        <f t="shared" si="3"/>
        <v>110</v>
      </c>
      <c r="L56" s="5" t="s">
        <v>86</v>
      </c>
      <c r="N56" s="5" t="s">
        <v>88</v>
      </c>
      <c r="O56" s="5" t="s">
        <v>9</v>
      </c>
      <c r="P56" s="5">
        <f t="shared" si="4"/>
        <v>308</v>
      </c>
      <c r="Q56" s="5" t="s">
        <v>2</v>
      </c>
      <c r="S56" s="6" t="s">
        <v>302</v>
      </c>
      <c r="T56" s="6">
        <f t="shared" si="5"/>
        <v>55</v>
      </c>
      <c r="U56" s="4" t="s">
        <v>194</v>
      </c>
    </row>
    <row r="57" spans="1:21" x14ac:dyDescent="0.25">
      <c r="E57" s="4" t="s">
        <v>79</v>
      </c>
      <c r="F57" s="4" t="s">
        <v>88</v>
      </c>
      <c r="G57" s="4">
        <f t="shared" si="7"/>
        <v>116</v>
      </c>
      <c r="I57" s="5" t="s">
        <v>182</v>
      </c>
      <c r="J57" s="5">
        <f t="shared" si="2"/>
        <v>56</v>
      </c>
      <c r="K57" s="5">
        <f t="shared" si="3"/>
        <v>112</v>
      </c>
      <c r="L57" s="5" t="s">
        <v>86</v>
      </c>
      <c r="N57" s="5" t="s">
        <v>3</v>
      </c>
      <c r="O57" s="5" t="s">
        <v>2</v>
      </c>
      <c r="P57" s="5">
        <f t="shared" si="4"/>
        <v>310</v>
      </c>
      <c r="Q57" s="5" t="s">
        <v>194</v>
      </c>
      <c r="S57" s="6" t="s">
        <v>302</v>
      </c>
      <c r="T57" s="6">
        <f t="shared" si="5"/>
        <v>56</v>
      </c>
      <c r="U57" s="4" t="s">
        <v>194</v>
      </c>
    </row>
    <row r="58" spans="1:21" x14ac:dyDescent="0.25">
      <c r="E58" s="4" t="s">
        <v>80</v>
      </c>
      <c r="F58" s="4" t="s">
        <v>12</v>
      </c>
      <c r="G58" s="4">
        <f t="shared" si="7"/>
        <v>117</v>
      </c>
      <c r="I58" s="5" t="s">
        <v>177</v>
      </c>
      <c r="J58" s="5">
        <f t="shared" si="2"/>
        <v>57</v>
      </c>
      <c r="K58" s="5">
        <f t="shared" si="3"/>
        <v>114</v>
      </c>
      <c r="L58" s="5" t="s">
        <v>10</v>
      </c>
      <c r="N58" s="5" t="s">
        <v>5</v>
      </c>
      <c r="O58" s="5" t="s">
        <v>0</v>
      </c>
      <c r="P58" s="5">
        <f t="shared" si="4"/>
        <v>312</v>
      </c>
      <c r="Q58" s="5" t="s">
        <v>194</v>
      </c>
      <c r="S58" s="6" t="s">
        <v>302</v>
      </c>
      <c r="T58" s="6">
        <f t="shared" si="5"/>
        <v>57</v>
      </c>
      <c r="U58" s="4" t="s">
        <v>194</v>
      </c>
    </row>
    <row r="59" spans="1:21" x14ac:dyDescent="0.25">
      <c r="E59" s="4" t="s">
        <v>81</v>
      </c>
      <c r="F59" s="4" t="s">
        <v>89</v>
      </c>
      <c r="G59" s="4">
        <f t="shared" si="7"/>
        <v>118</v>
      </c>
      <c r="I59" s="5" t="s">
        <v>182</v>
      </c>
      <c r="J59" s="5">
        <f t="shared" si="2"/>
        <v>58</v>
      </c>
      <c r="K59" s="5">
        <f t="shared" si="3"/>
        <v>116</v>
      </c>
      <c r="L59" s="5" t="s">
        <v>191</v>
      </c>
      <c r="N59" s="5" t="s">
        <v>7</v>
      </c>
      <c r="O59" s="5" t="s">
        <v>11</v>
      </c>
      <c r="P59" s="5">
        <f t="shared" si="4"/>
        <v>314</v>
      </c>
      <c r="Q59" s="5" t="s">
        <v>191</v>
      </c>
      <c r="S59" s="6" t="s">
        <v>302</v>
      </c>
      <c r="T59" s="6">
        <f t="shared" si="5"/>
        <v>58</v>
      </c>
      <c r="U59" s="4" t="s">
        <v>194</v>
      </c>
    </row>
    <row r="60" spans="1:21" x14ac:dyDescent="0.25">
      <c r="E60" s="4" t="s">
        <v>82</v>
      </c>
      <c r="F60" s="4" t="s">
        <v>1</v>
      </c>
      <c r="G60" s="4">
        <f t="shared" si="7"/>
        <v>119</v>
      </c>
      <c r="I60" s="5" t="s">
        <v>177</v>
      </c>
      <c r="J60" s="5">
        <f t="shared" si="2"/>
        <v>59</v>
      </c>
      <c r="K60" s="5">
        <f t="shared" si="3"/>
        <v>118</v>
      </c>
      <c r="L60" s="5" t="s">
        <v>8</v>
      </c>
      <c r="N60" s="5" t="s">
        <v>2</v>
      </c>
      <c r="O60" s="5" t="s">
        <v>8</v>
      </c>
      <c r="P60" s="5">
        <f t="shared" si="4"/>
        <v>316</v>
      </c>
      <c r="Q60" s="5" t="s">
        <v>195</v>
      </c>
      <c r="S60" s="6" t="s">
        <v>302</v>
      </c>
      <c r="T60" s="6">
        <f t="shared" si="5"/>
        <v>59</v>
      </c>
      <c r="U60" s="4" t="s">
        <v>194</v>
      </c>
    </row>
    <row r="61" spans="1:21" x14ac:dyDescent="0.25">
      <c r="E61" s="4" t="s">
        <v>83</v>
      </c>
      <c r="F61" s="4" t="s">
        <v>3</v>
      </c>
      <c r="G61" s="4">
        <f t="shared" si="7"/>
        <v>120</v>
      </c>
      <c r="I61" s="5" t="s">
        <v>184</v>
      </c>
      <c r="J61" s="5">
        <f t="shared" si="2"/>
        <v>60</v>
      </c>
      <c r="K61" s="5">
        <f t="shared" si="3"/>
        <v>120</v>
      </c>
      <c r="L61" s="5" t="s">
        <v>7</v>
      </c>
      <c r="N61" s="5" t="s">
        <v>3</v>
      </c>
      <c r="O61" s="5" t="s">
        <v>195</v>
      </c>
      <c r="P61" s="5">
        <f t="shared" si="4"/>
        <v>318</v>
      </c>
      <c r="Q61" s="5" t="s">
        <v>86</v>
      </c>
      <c r="S61" s="6" t="s">
        <v>302</v>
      </c>
      <c r="T61" s="6">
        <f t="shared" si="5"/>
        <v>60</v>
      </c>
      <c r="U61" s="4" t="s">
        <v>194</v>
      </c>
    </row>
    <row r="62" spans="1:21" x14ac:dyDescent="0.25">
      <c r="E62" s="4" t="s">
        <v>84</v>
      </c>
      <c r="F62" s="4" t="s">
        <v>7</v>
      </c>
      <c r="G62" s="4">
        <f t="shared" si="7"/>
        <v>121</v>
      </c>
      <c r="I62" s="5" t="s">
        <v>185</v>
      </c>
      <c r="J62" s="5">
        <f t="shared" si="2"/>
        <v>61</v>
      </c>
      <c r="K62" s="5">
        <f t="shared" si="3"/>
        <v>122</v>
      </c>
      <c r="L62" s="5" t="s">
        <v>195</v>
      </c>
      <c r="N62" s="5" t="s">
        <v>89</v>
      </c>
      <c r="O62" s="5" t="s">
        <v>4</v>
      </c>
      <c r="P62" s="5">
        <f t="shared" si="4"/>
        <v>320</v>
      </c>
      <c r="Q62" s="5" t="s">
        <v>88</v>
      </c>
      <c r="S62" s="6" t="s">
        <v>302</v>
      </c>
      <c r="T62" s="6">
        <f t="shared" si="5"/>
        <v>61</v>
      </c>
      <c r="U62" s="4" t="s">
        <v>194</v>
      </c>
    </row>
    <row r="63" spans="1:21" x14ac:dyDescent="0.25">
      <c r="N63" s="5" t="s">
        <v>2</v>
      </c>
      <c r="O63" s="5" t="s">
        <v>227</v>
      </c>
      <c r="P63" s="5">
        <f t="shared" si="4"/>
        <v>322</v>
      </c>
      <c r="Q63" s="5" t="s">
        <v>0</v>
      </c>
      <c r="S63" s="6" t="s">
        <v>302</v>
      </c>
      <c r="T63" s="6">
        <f t="shared" si="5"/>
        <v>62</v>
      </c>
      <c r="U63" s="4" t="s">
        <v>194</v>
      </c>
    </row>
    <row r="64" spans="1:21" x14ac:dyDescent="0.25">
      <c r="N64" s="5" t="s">
        <v>3</v>
      </c>
      <c r="O64" s="5" t="s">
        <v>228</v>
      </c>
      <c r="P64" s="5">
        <f t="shared" si="4"/>
        <v>324</v>
      </c>
      <c r="Q64" s="5" t="s">
        <v>6</v>
      </c>
      <c r="S64" s="6" t="s">
        <v>302</v>
      </c>
      <c r="T64" s="6">
        <f t="shared" si="5"/>
        <v>63</v>
      </c>
      <c r="U64" s="4" t="s">
        <v>194</v>
      </c>
    </row>
    <row r="65" spans="14:21" x14ac:dyDescent="0.25">
      <c r="N65" s="5" t="s">
        <v>6</v>
      </c>
      <c r="O65" s="5" t="s">
        <v>194</v>
      </c>
      <c r="P65" s="5">
        <f t="shared" si="4"/>
        <v>326</v>
      </c>
      <c r="Q65" s="5" t="s">
        <v>7</v>
      </c>
      <c r="S65" s="6" t="s">
        <v>302</v>
      </c>
      <c r="T65" s="6">
        <f t="shared" si="5"/>
        <v>64</v>
      </c>
      <c r="U65" s="4" t="s">
        <v>194</v>
      </c>
    </row>
    <row r="66" spans="14:21" x14ac:dyDescent="0.25">
      <c r="N66" s="5" t="s">
        <v>7</v>
      </c>
      <c r="O66" s="5" t="s">
        <v>3</v>
      </c>
      <c r="P66" s="5">
        <f t="shared" si="4"/>
        <v>328</v>
      </c>
      <c r="Q66" s="5" t="s">
        <v>195</v>
      </c>
      <c r="S66" s="6" t="s">
        <v>302</v>
      </c>
      <c r="T66" s="6">
        <f t="shared" si="5"/>
        <v>65</v>
      </c>
      <c r="U66" s="4" t="s">
        <v>194</v>
      </c>
    </row>
    <row r="67" spans="14:21" x14ac:dyDescent="0.25">
      <c r="N67" s="5" t="s">
        <v>86</v>
      </c>
      <c r="O67" s="5" t="s">
        <v>11</v>
      </c>
      <c r="P67" s="5">
        <f t="shared" si="4"/>
        <v>330</v>
      </c>
      <c r="Q67" s="5" t="s">
        <v>192</v>
      </c>
      <c r="S67" s="6" t="s">
        <v>302</v>
      </c>
      <c r="T67" s="6">
        <f t="shared" si="5"/>
        <v>66</v>
      </c>
      <c r="U67" s="4" t="s">
        <v>194</v>
      </c>
    </row>
    <row r="68" spans="14:21" x14ac:dyDescent="0.25">
      <c r="N68" s="5" t="s">
        <v>195</v>
      </c>
      <c r="O68" s="5" t="s">
        <v>0</v>
      </c>
      <c r="P68" s="5">
        <f t="shared" ref="P68:P131" si="8">P67+2</f>
        <v>332</v>
      </c>
      <c r="Q68" s="5" t="s">
        <v>226</v>
      </c>
      <c r="S68" s="6" t="s">
        <v>302</v>
      </c>
      <c r="T68" s="6">
        <f t="shared" si="5"/>
        <v>67</v>
      </c>
      <c r="U68" s="4" t="s">
        <v>194</v>
      </c>
    </row>
    <row r="69" spans="14:21" x14ac:dyDescent="0.25">
      <c r="N69" s="5" t="s">
        <v>192</v>
      </c>
      <c r="O69" s="5" t="s">
        <v>227</v>
      </c>
      <c r="P69" s="5">
        <f t="shared" si="8"/>
        <v>334</v>
      </c>
      <c r="Q69" s="5" t="s">
        <v>0</v>
      </c>
      <c r="S69" s="6" t="s">
        <v>302</v>
      </c>
      <c r="T69" s="6">
        <f t="shared" ref="T69:T132" si="9">T68+1</f>
        <v>68</v>
      </c>
      <c r="U69" s="4" t="s">
        <v>194</v>
      </c>
    </row>
    <row r="70" spans="14:21" x14ac:dyDescent="0.25">
      <c r="N70" s="5" t="s">
        <v>2</v>
      </c>
      <c r="O70" s="5" t="s">
        <v>228</v>
      </c>
      <c r="P70" s="5">
        <f t="shared" si="8"/>
        <v>336</v>
      </c>
      <c r="Q70" s="5" t="s">
        <v>6</v>
      </c>
      <c r="S70" s="6" t="s">
        <v>302</v>
      </c>
      <c r="T70" s="6">
        <f t="shared" si="9"/>
        <v>69</v>
      </c>
      <c r="U70" s="4" t="s">
        <v>194</v>
      </c>
    </row>
    <row r="71" spans="14:21" x14ac:dyDescent="0.25">
      <c r="N71" s="5" t="s">
        <v>3</v>
      </c>
      <c r="O71" s="5" t="s">
        <v>194</v>
      </c>
      <c r="P71" s="5">
        <f t="shared" si="8"/>
        <v>338</v>
      </c>
      <c r="Q71" s="5" t="s">
        <v>7</v>
      </c>
      <c r="S71" s="6" t="s">
        <v>302</v>
      </c>
      <c r="T71" s="6">
        <f t="shared" si="9"/>
        <v>70</v>
      </c>
      <c r="U71" s="4" t="s">
        <v>194</v>
      </c>
    </row>
    <row r="72" spans="14:21" x14ac:dyDescent="0.25">
      <c r="N72" s="5" t="s">
        <v>6</v>
      </c>
      <c r="O72" s="5" t="s">
        <v>3</v>
      </c>
      <c r="P72" s="5">
        <f t="shared" si="8"/>
        <v>340</v>
      </c>
      <c r="Q72" s="5" t="s">
        <v>195</v>
      </c>
      <c r="S72" s="6" t="s">
        <v>302</v>
      </c>
      <c r="T72" s="6">
        <f t="shared" si="9"/>
        <v>71</v>
      </c>
      <c r="U72" s="4" t="s">
        <v>194</v>
      </c>
    </row>
    <row r="73" spans="14:21" x14ac:dyDescent="0.25">
      <c r="N73" s="5" t="s">
        <v>7</v>
      </c>
      <c r="O73" s="5" t="s">
        <v>11</v>
      </c>
      <c r="P73" s="5">
        <f t="shared" si="8"/>
        <v>342</v>
      </c>
      <c r="Q73" s="5" t="s">
        <v>8</v>
      </c>
      <c r="S73" s="6" t="s">
        <v>302</v>
      </c>
      <c r="T73" s="6">
        <f t="shared" si="9"/>
        <v>72</v>
      </c>
      <c r="U73" s="4" t="s">
        <v>194</v>
      </c>
    </row>
    <row r="74" spans="14:21" x14ac:dyDescent="0.25">
      <c r="N74" s="5" t="s">
        <v>191</v>
      </c>
      <c r="O74" s="5" t="s">
        <v>0</v>
      </c>
      <c r="P74" s="5">
        <f t="shared" si="8"/>
        <v>344</v>
      </c>
      <c r="Q74" s="5" t="s">
        <v>195</v>
      </c>
      <c r="S74" s="6" t="s">
        <v>302</v>
      </c>
      <c r="T74" s="6">
        <f t="shared" si="9"/>
        <v>73</v>
      </c>
      <c r="U74" s="4" t="s">
        <v>194</v>
      </c>
    </row>
    <row r="75" spans="14:21" x14ac:dyDescent="0.25">
      <c r="N75" s="5" t="s">
        <v>9</v>
      </c>
      <c r="O75" s="5" t="s">
        <v>227</v>
      </c>
      <c r="P75" s="5">
        <f t="shared" si="8"/>
        <v>346</v>
      </c>
      <c r="Q75" s="5" t="s">
        <v>86</v>
      </c>
      <c r="S75" s="6" t="s">
        <v>302</v>
      </c>
      <c r="T75" s="6">
        <f t="shared" si="9"/>
        <v>74</v>
      </c>
      <c r="U75" s="4" t="s">
        <v>194</v>
      </c>
    </row>
    <row r="76" spans="14:21" x14ac:dyDescent="0.25">
      <c r="N76" s="5" t="s">
        <v>2</v>
      </c>
      <c r="O76" s="5" t="s">
        <v>227</v>
      </c>
      <c r="P76" s="5">
        <f t="shared" si="8"/>
        <v>348</v>
      </c>
      <c r="Q76" s="5" t="s">
        <v>0</v>
      </c>
      <c r="S76" s="6" t="s">
        <v>302</v>
      </c>
      <c r="T76" s="6">
        <f t="shared" si="9"/>
        <v>75</v>
      </c>
      <c r="U76" s="4" t="s">
        <v>194</v>
      </c>
    </row>
    <row r="77" spans="14:21" x14ac:dyDescent="0.25">
      <c r="N77" s="5" t="s">
        <v>3</v>
      </c>
      <c r="O77" s="5" t="s">
        <v>228</v>
      </c>
      <c r="P77" s="5">
        <f t="shared" si="8"/>
        <v>350</v>
      </c>
      <c r="Q77" s="5" t="s">
        <v>6</v>
      </c>
      <c r="S77" s="6" t="s">
        <v>302</v>
      </c>
      <c r="T77" s="6">
        <f t="shared" si="9"/>
        <v>76</v>
      </c>
      <c r="U77" s="4" t="s">
        <v>194</v>
      </c>
    </row>
    <row r="78" spans="14:21" x14ac:dyDescent="0.25">
      <c r="N78" s="5" t="s">
        <v>6</v>
      </c>
      <c r="O78" s="5" t="s">
        <v>194</v>
      </c>
      <c r="P78" s="5">
        <f t="shared" si="8"/>
        <v>352</v>
      </c>
      <c r="Q78" s="5" t="s">
        <v>7</v>
      </c>
      <c r="S78" s="6" t="s">
        <v>302</v>
      </c>
      <c r="T78" s="6">
        <f t="shared" si="9"/>
        <v>77</v>
      </c>
      <c r="U78" s="4" t="s">
        <v>194</v>
      </c>
    </row>
    <row r="79" spans="14:21" x14ac:dyDescent="0.25">
      <c r="N79" s="5" t="s">
        <v>7</v>
      </c>
      <c r="O79" s="5" t="s">
        <v>3</v>
      </c>
      <c r="P79" s="5">
        <f t="shared" si="8"/>
        <v>354</v>
      </c>
      <c r="Q79" s="5" t="s">
        <v>195</v>
      </c>
      <c r="S79" s="6" t="s">
        <v>302</v>
      </c>
      <c r="T79" s="6">
        <f t="shared" si="9"/>
        <v>78</v>
      </c>
      <c r="U79" s="4" t="s">
        <v>194</v>
      </c>
    </row>
    <row r="80" spans="14:21" x14ac:dyDescent="0.25">
      <c r="N80" s="5" t="s">
        <v>86</v>
      </c>
      <c r="O80" s="5" t="s">
        <v>11</v>
      </c>
      <c r="P80" s="5">
        <f t="shared" si="8"/>
        <v>356</v>
      </c>
      <c r="Q80" s="5" t="s">
        <v>192</v>
      </c>
      <c r="S80" s="6" t="s">
        <v>302</v>
      </c>
      <c r="T80" s="6">
        <f t="shared" si="9"/>
        <v>79</v>
      </c>
      <c r="U80" s="4" t="s">
        <v>194</v>
      </c>
    </row>
    <row r="81" spans="13:21" x14ac:dyDescent="0.25">
      <c r="N81" s="5" t="s">
        <v>195</v>
      </c>
      <c r="O81" s="5" t="s">
        <v>0</v>
      </c>
      <c r="P81" s="5">
        <f t="shared" si="8"/>
        <v>358</v>
      </c>
      <c r="Q81" s="5" t="s">
        <v>226</v>
      </c>
      <c r="S81" s="6" t="s">
        <v>302</v>
      </c>
      <c r="T81" s="6">
        <f t="shared" si="9"/>
        <v>80</v>
      </c>
      <c r="U81" s="4" t="s">
        <v>194</v>
      </c>
    </row>
    <row r="82" spans="13:21" x14ac:dyDescent="0.25">
      <c r="M82" s="12"/>
      <c r="N82" s="5" t="s">
        <v>192</v>
      </c>
      <c r="O82" s="5" t="s">
        <v>227</v>
      </c>
      <c r="P82" s="5">
        <f t="shared" si="8"/>
        <v>360</v>
      </c>
      <c r="Q82" s="5" t="s">
        <v>0</v>
      </c>
      <c r="S82" s="6" t="s">
        <v>302</v>
      </c>
      <c r="T82" s="6">
        <f t="shared" si="9"/>
        <v>81</v>
      </c>
      <c r="U82" s="4" t="s">
        <v>194</v>
      </c>
    </row>
    <row r="83" spans="13:21" x14ac:dyDescent="0.25">
      <c r="M83" s="13"/>
      <c r="N83" s="5" t="s">
        <v>0</v>
      </c>
      <c r="O83" s="5" t="s">
        <v>226</v>
      </c>
      <c r="P83" s="5">
        <f t="shared" si="8"/>
        <v>362</v>
      </c>
      <c r="Q83" s="5" t="s">
        <v>10</v>
      </c>
      <c r="S83" s="6" t="s">
        <v>302</v>
      </c>
      <c r="T83" s="6">
        <f t="shared" si="9"/>
        <v>82</v>
      </c>
      <c r="U83" s="4" t="s">
        <v>194</v>
      </c>
    </row>
    <row r="84" spans="13:21" x14ac:dyDescent="0.25">
      <c r="N84" s="5" t="s">
        <v>3</v>
      </c>
      <c r="O84" s="5" t="s">
        <v>4</v>
      </c>
      <c r="P84" s="5">
        <f t="shared" si="8"/>
        <v>364</v>
      </c>
      <c r="Q84" s="5" t="s">
        <v>9</v>
      </c>
      <c r="S84" s="6" t="s">
        <v>302</v>
      </c>
      <c r="T84" s="6">
        <f t="shared" si="9"/>
        <v>83</v>
      </c>
      <c r="U84" s="4" t="s">
        <v>194</v>
      </c>
    </row>
    <row r="85" spans="13:21" x14ac:dyDescent="0.25">
      <c r="N85" s="5" t="s">
        <v>5</v>
      </c>
      <c r="O85" s="5" t="s">
        <v>12</v>
      </c>
      <c r="P85" s="5">
        <f t="shared" si="8"/>
        <v>366</v>
      </c>
      <c r="Q85" s="5" t="s">
        <v>191</v>
      </c>
      <c r="S85" s="6" t="s">
        <v>302</v>
      </c>
      <c r="T85" s="6">
        <f t="shared" si="9"/>
        <v>84</v>
      </c>
      <c r="U85" s="4" t="s">
        <v>194</v>
      </c>
    </row>
    <row r="86" spans="13:21" x14ac:dyDescent="0.25">
      <c r="N86" s="5" t="s">
        <v>7</v>
      </c>
      <c r="O86" s="5" t="s">
        <v>86</v>
      </c>
      <c r="P86" s="5">
        <f t="shared" si="8"/>
        <v>368</v>
      </c>
      <c r="Q86" s="5" t="s">
        <v>195</v>
      </c>
      <c r="S86" s="6" t="s">
        <v>302</v>
      </c>
      <c r="T86" s="6">
        <f t="shared" si="9"/>
        <v>85</v>
      </c>
      <c r="U86" s="4" t="s">
        <v>194</v>
      </c>
    </row>
    <row r="87" spans="13:21" x14ac:dyDescent="0.25">
      <c r="N87" s="5" t="s">
        <v>2</v>
      </c>
      <c r="O87" s="5" t="s">
        <v>7</v>
      </c>
      <c r="P87" s="5">
        <f t="shared" si="8"/>
        <v>370</v>
      </c>
      <c r="Q87" s="5" t="s">
        <v>86</v>
      </c>
      <c r="S87" s="6" t="s">
        <v>302</v>
      </c>
      <c r="T87" s="6">
        <f t="shared" si="9"/>
        <v>86</v>
      </c>
      <c r="U87" s="4" t="s">
        <v>194</v>
      </c>
    </row>
    <row r="88" spans="13:21" x14ac:dyDescent="0.25">
      <c r="N88" s="5" t="s">
        <v>3</v>
      </c>
      <c r="O88" s="5" t="s">
        <v>191</v>
      </c>
      <c r="P88" s="5">
        <f t="shared" si="8"/>
        <v>372</v>
      </c>
      <c r="Q88" s="5" t="s">
        <v>88</v>
      </c>
      <c r="S88" s="6" t="s">
        <v>302</v>
      </c>
      <c r="T88" s="6">
        <f t="shared" si="9"/>
        <v>87</v>
      </c>
      <c r="U88" s="4" t="s">
        <v>194</v>
      </c>
    </row>
    <row r="89" spans="13:21" x14ac:dyDescent="0.25">
      <c r="N89" s="5" t="s">
        <v>89</v>
      </c>
      <c r="O89" s="5" t="s">
        <v>9</v>
      </c>
      <c r="P89" s="5">
        <f t="shared" si="8"/>
        <v>374</v>
      </c>
      <c r="Q89" s="5" t="s">
        <v>9</v>
      </c>
      <c r="S89" s="6" t="s">
        <v>302</v>
      </c>
      <c r="T89" s="6">
        <f t="shared" si="9"/>
        <v>88</v>
      </c>
      <c r="U89" s="4" t="s">
        <v>194</v>
      </c>
    </row>
    <row r="90" spans="13:21" x14ac:dyDescent="0.25">
      <c r="N90" s="5" t="s">
        <v>195</v>
      </c>
      <c r="O90" s="5" t="s">
        <v>2</v>
      </c>
      <c r="P90" s="5">
        <f t="shared" si="8"/>
        <v>376</v>
      </c>
      <c r="Q90" s="5" t="s">
        <v>10</v>
      </c>
      <c r="S90" s="6" t="s">
        <v>302</v>
      </c>
      <c r="T90" s="6">
        <f t="shared" si="9"/>
        <v>89</v>
      </c>
      <c r="U90" s="4" t="s">
        <v>194</v>
      </c>
    </row>
    <row r="91" spans="13:21" x14ac:dyDescent="0.25">
      <c r="N91" s="5" t="s">
        <v>88</v>
      </c>
      <c r="O91" s="5" t="s">
        <v>0</v>
      </c>
      <c r="P91" s="5">
        <f t="shared" si="8"/>
        <v>378</v>
      </c>
      <c r="Q91" s="5" t="s">
        <v>194</v>
      </c>
      <c r="S91" s="6" t="s">
        <v>302</v>
      </c>
      <c r="T91" s="6">
        <f t="shared" si="9"/>
        <v>90</v>
      </c>
      <c r="U91" s="4" t="s">
        <v>194</v>
      </c>
    </row>
    <row r="92" spans="13:21" x14ac:dyDescent="0.25">
      <c r="N92" s="5" t="s">
        <v>227</v>
      </c>
      <c r="O92" s="5" t="s">
        <v>11</v>
      </c>
      <c r="P92" s="5">
        <f t="shared" si="8"/>
        <v>380</v>
      </c>
      <c r="Q92" s="5" t="s">
        <v>2</v>
      </c>
      <c r="S92" s="6" t="s">
        <v>302</v>
      </c>
      <c r="T92" s="6">
        <f t="shared" si="9"/>
        <v>91</v>
      </c>
      <c r="U92" s="4" t="s">
        <v>194</v>
      </c>
    </row>
    <row r="93" spans="13:21" x14ac:dyDescent="0.25">
      <c r="N93" s="5" t="s">
        <v>227</v>
      </c>
      <c r="O93" s="5" t="s">
        <v>12</v>
      </c>
      <c r="P93" s="5">
        <f t="shared" si="8"/>
        <v>382</v>
      </c>
      <c r="Q93" s="5" t="s">
        <v>194</v>
      </c>
      <c r="S93" s="6" t="s">
        <v>302</v>
      </c>
      <c r="T93" s="6">
        <f t="shared" si="9"/>
        <v>92</v>
      </c>
      <c r="U93" s="4" t="s">
        <v>194</v>
      </c>
    </row>
    <row r="94" spans="13:21" x14ac:dyDescent="0.25">
      <c r="N94" s="5" t="s">
        <v>88</v>
      </c>
      <c r="O94" s="5" t="s">
        <v>86</v>
      </c>
      <c r="P94" s="5">
        <f t="shared" si="8"/>
        <v>384</v>
      </c>
      <c r="Q94" s="5" t="s">
        <v>194</v>
      </c>
      <c r="S94" s="6" t="s">
        <v>302</v>
      </c>
      <c r="T94" s="6">
        <f t="shared" si="9"/>
        <v>93</v>
      </c>
      <c r="U94" s="4" t="s">
        <v>194</v>
      </c>
    </row>
    <row r="95" spans="13:21" x14ac:dyDescent="0.25">
      <c r="N95" s="5" t="s">
        <v>227</v>
      </c>
      <c r="O95" s="5" t="s">
        <v>7</v>
      </c>
      <c r="P95" s="5">
        <f t="shared" si="8"/>
        <v>386</v>
      </c>
      <c r="Q95" s="5" t="s">
        <v>191</v>
      </c>
      <c r="S95" s="6" t="s">
        <v>302</v>
      </c>
      <c r="T95" s="6">
        <f t="shared" si="9"/>
        <v>94</v>
      </c>
      <c r="U95" s="4" t="s">
        <v>194</v>
      </c>
    </row>
    <row r="96" spans="13:21" x14ac:dyDescent="0.25">
      <c r="N96" s="5" t="s">
        <v>227</v>
      </c>
      <c r="O96" s="5" t="s">
        <v>191</v>
      </c>
      <c r="P96" s="5">
        <f t="shared" si="8"/>
        <v>388</v>
      </c>
      <c r="Q96" s="5" t="s">
        <v>195</v>
      </c>
      <c r="S96" s="6" t="s">
        <v>302</v>
      </c>
      <c r="T96" s="6">
        <f t="shared" si="9"/>
        <v>95</v>
      </c>
      <c r="U96" s="4" t="s">
        <v>194</v>
      </c>
    </row>
    <row r="97" spans="14:21" x14ac:dyDescent="0.25">
      <c r="N97" s="5" t="s">
        <v>88</v>
      </c>
      <c r="O97" s="5" t="s">
        <v>9</v>
      </c>
      <c r="P97" s="5">
        <f t="shared" si="8"/>
        <v>390</v>
      </c>
      <c r="Q97" s="5" t="s">
        <v>86</v>
      </c>
      <c r="S97" s="6" t="s">
        <v>302</v>
      </c>
      <c r="T97" s="6">
        <f t="shared" si="9"/>
        <v>96</v>
      </c>
      <c r="U97" s="4" t="s">
        <v>194</v>
      </c>
    </row>
    <row r="98" spans="14:21" x14ac:dyDescent="0.25">
      <c r="N98" s="5" t="s">
        <v>3</v>
      </c>
      <c r="O98" s="5" t="s">
        <v>2</v>
      </c>
      <c r="P98" s="5">
        <f t="shared" si="8"/>
        <v>392</v>
      </c>
      <c r="Q98" s="5" t="s">
        <v>88</v>
      </c>
      <c r="S98" s="6" t="s">
        <v>302</v>
      </c>
      <c r="T98" s="6">
        <f t="shared" si="9"/>
        <v>97</v>
      </c>
      <c r="U98" s="4" t="s">
        <v>194</v>
      </c>
    </row>
    <row r="99" spans="14:21" x14ac:dyDescent="0.25">
      <c r="N99" s="5" t="s">
        <v>5</v>
      </c>
      <c r="O99" s="5" t="s">
        <v>0</v>
      </c>
      <c r="P99" s="5">
        <f t="shared" si="8"/>
        <v>394</v>
      </c>
      <c r="Q99" s="5" t="s">
        <v>0</v>
      </c>
      <c r="S99" s="6" t="s">
        <v>302</v>
      </c>
      <c r="T99" s="6">
        <f t="shared" si="9"/>
        <v>98</v>
      </c>
      <c r="U99" s="4" t="s">
        <v>194</v>
      </c>
    </row>
    <row r="100" spans="14:21" x14ac:dyDescent="0.25">
      <c r="N100" s="5" t="s">
        <v>7</v>
      </c>
      <c r="O100" s="5" t="s">
        <v>11</v>
      </c>
      <c r="P100" s="5">
        <f t="shared" si="8"/>
        <v>396</v>
      </c>
      <c r="Q100" s="5" t="s">
        <v>6</v>
      </c>
      <c r="S100" s="6" t="s">
        <v>302</v>
      </c>
      <c r="T100" s="6">
        <f t="shared" si="9"/>
        <v>99</v>
      </c>
      <c r="U100" s="4" t="s">
        <v>194</v>
      </c>
    </row>
    <row r="101" spans="14:21" x14ac:dyDescent="0.25">
      <c r="N101" s="5" t="s">
        <v>2</v>
      </c>
      <c r="O101" s="5" t="s">
        <v>8</v>
      </c>
      <c r="P101" s="5">
        <f t="shared" si="8"/>
        <v>398</v>
      </c>
      <c r="Q101" s="5" t="s">
        <v>7</v>
      </c>
      <c r="S101" s="6" t="s">
        <v>302</v>
      </c>
      <c r="T101" s="6">
        <f t="shared" si="9"/>
        <v>100</v>
      </c>
      <c r="U101" s="4" t="s">
        <v>194</v>
      </c>
    </row>
    <row r="102" spans="14:21" x14ac:dyDescent="0.25">
      <c r="N102" s="5" t="s">
        <v>3</v>
      </c>
      <c r="O102" s="5" t="s">
        <v>195</v>
      </c>
      <c r="P102" s="5">
        <f t="shared" si="8"/>
        <v>400</v>
      </c>
      <c r="Q102" s="5" t="s">
        <v>195</v>
      </c>
      <c r="S102" s="6" t="s">
        <v>302</v>
      </c>
      <c r="T102" s="6">
        <f t="shared" si="9"/>
        <v>101</v>
      </c>
      <c r="U102" s="4" t="s">
        <v>194</v>
      </c>
    </row>
    <row r="103" spans="14:21" x14ac:dyDescent="0.25">
      <c r="N103" s="5" t="s">
        <v>89</v>
      </c>
      <c r="O103" s="5" t="s">
        <v>4</v>
      </c>
      <c r="P103" s="5">
        <f t="shared" si="8"/>
        <v>402</v>
      </c>
      <c r="Q103" s="5" t="s">
        <v>192</v>
      </c>
      <c r="S103" s="6" t="s">
        <v>302</v>
      </c>
      <c r="T103" s="6">
        <f t="shared" si="9"/>
        <v>102</v>
      </c>
      <c r="U103" s="4" t="s">
        <v>194</v>
      </c>
    </row>
    <row r="104" spans="14:21" x14ac:dyDescent="0.25">
      <c r="N104" s="5" t="s">
        <v>2</v>
      </c>
      <c r="O104" s="5" t="s">
        <v>227</v>
      </c>
      <c r="P104" s="5">
        <f t="shared" si="8"/>
        <v>404</v>
      </c>
      <c r="Q104" s="5" t="s">
        <v>226</v>
      </c>
      <c r="S104" s="6" t="s">
        <v>302</v>
      </c>
      <c r="T104" s="6">
        <f t="shared" si="9"/>
        <v>103</v>
      </c>
      <c r="U104" s="4" t="s">
        <v>194</v>
      </c>
    </row>
    <row r="105" spans="14:21" x14ac:dyDescent="0.25">
      <c r="N105" s="5" t="s">
        <v>3</v>
      </c>
      <c r="O105" s="5" t="s">
        <v>228</v>
      </c>
      <c r="P105" s="5">
        <f t="shared" si="8"/>
        <v>406</v>
      </c>
      <c r="Q105" s="5" t="s">
        <v>0</v>
      </c>
      <c r="S105" s="6" t="s">
        <v>302</v>
      </c>
      <c r="T105" s="6">
        <f t="shared" si="9"/>
        <v>104</v>
      </c>
      <c r="U105" s="4" t="s">
        <v>194</v>
      </c>
    </row>
    <row r="106" spans="14:21" x14ac:dyDescent="0.25">
      <c r="N106" s="5" t="s">
        <v>6</v>
      </c>
      <c r="O106" s="5" t="s">
        <v>194</v>
      </c>
      <c r="P106" s="5">
        <f t="shared" si="8"/>
        <v>408</v>
      </c>
      <c r="Q106" s="5" t="s">
        <v>6</v>
      </c>
      <c r="S106" s="6" t="s">
        <v>302</v>
      </c>
      <c r="T106" s="6">
        <f t="shared" si="9"/>
        <v>105</v>
      </c>
      <c r="U106" s="4" t="s">
        <v>194</v>
      </c>
    </row>
    <row r="107" spans="14:21" x14ac:dyDescent="0.25">
      <c r="N107" s="5" t="s">
        <v>7</v>
      </c>
      <c r="O107" s="5" t="s">
        <v>3</v>
      </c>
      <c r="P107" s="5">
        <f t="shared" si="8"/>
        <v>410</v>
      </c>
      <c r="Q107" s="5" t="s">
        <v>7</v>
      </c>
      <c r="S107" s="6" t="s">
        <v>302</v>
      </c>
      <c r="T107" s="6">
        <f t="shared" si="9"/>
        <v>106</v>
      </c>
      <c r="U107" s="4" t="s">
        <v>194</v>
      </c>
    </row>
    <row r="108" spans="14:21" x14ac:dyDescent="0.25">
      <c r="N108" s="5" t="s">
        <v>86</v>
      </c>
      <c r="O108" s="5" t="s">
        <v>11</v>
      </c>
      <c r="P108" s="5">
        <f t="shared" si="8"/>
        <v>412</v>
      </c>
      <c r="Q108" s="5" t="s">
        <v>195</v>
      </c>
      <c r="S108" s="6" t="s">
        <v>302</v>
      </c>
      <c r="T108" s="6">
        <f t="shared" si="9"/>
        <v>107</v>
      </c>
      <c r="U108" s="4" t="s">
        <v>194</v>
      </c>
    </row>
    <row r="109" spans="14:21" x14ac:dyDescent="0.25">
      <c r="N109" s="5" t="s">
        <v>195</v>
      </c>
      <c r="O109" s="5" t="s">
        <v>0</v>
      </c>
      <c r="P109" s="5">
        <f t="shared" si="8"/>
        <v>414</v>
      </c>
      <c r="Q109" s="5" t="s">
        <v>8</v>
      </c>
      <c r="S109" s="6" t="s">
        <v>302</v>
      </c>
      <c r="T109" s="6">
        <f t="shared" si="9"/>
        <v>108</v>
      </c>
      <c r="U109" s="4" t="s">
        <v>194</v>
      </c>
    </row>
    <row r="110" spans="14:21" x14ac:dyDescent="0.25">
      <c r="N110" s="5" t="s">
        <v>192</v>
      </c>
      <c r="O110" s="5" t="s">
        <v>227</v>
      </c>
      <c r="P110" s="5">
        <f t="shared" si="8"/>
        <v>416</v>
      </c>
      <c r="Q110" s="5" t="s">
        <v>195</v>
      </c>
      <c r="S110" s="6" t="s">
        <v>302</v>
      </c>
      <c r="T110" s="6">
        <f t="shared" si="9"/>
        <v>109</v>
      </c>
      <c r="U110" s="4" t="s">
        <v>194</v>
      </c>
    </row>
    <row r="111" spans="14:21" x14ac:dyDescent="0.25">
      <c r="N111" s="5" t="s">
        <v>2</v>
      </c>
      <c r="O111" s="5" t="s">
        <v>228</v>
      </c>
      <c r="P111" s="5">
        <f t="shared" si="8"/>
        <v>418</v>
      </c>
      <c r="Q111" s="5" t="s">
        <v>86</v>
      </c>
      <c r="S111" s="6" t="s">
        <v>302</v>
      </c>
      <c r="T111" s="6">
        <f t="shared" si="9"/>
        <v>110</v>
      </c>
      <c r="U111" s="4" t="s">
        <v>194</v>
      </c>
    </row>
    <row r="112" spans="14:21" x14ac:dyDescent="0.25">
      <c r="N112" s="5" t="s">
        <v>3</v>
      </c>
      <c r="O112" s="5" t="s">
        <v>194</v>
      </c>
      <c r="P112" s="5">
        <f t="shared" si="8"/>
        <v>420</v>
      </c>
      <c r="Q112" s="5" t="s">
        <v>0</v>
      </c>
      <c r="S112" s="6" t="s">
        <v>302</v>
      </c>
      <c r="T112" s="6">
        <f t="shared" si="9"/>
        <v>111</v>
      </c>
      <c r="U112" s="4" t="s">
        <v>194</v>
      </c>
    </row>
    <row r="113" spans="14:21" x14ac:dyDescent="0.25">
      <c r="N113" s="5" t="s">
        <v>6</v>
      </c>
      <c r="O113" s="5" t="s">
        <v>3</v>
      </c>
      <c r="P113" s="5">
        <f t="shared" si="8"/>
        <v>422</v>
      </c>
      <c r="Q113" s="5" t="s">
        <v>6</v>
      </c>
      <c r="S113" s="6" t="s">
        <v>302</v>
      </c>
      <c r="T113" s="6">
        <f t="shared" si="9"/>
        <v>112</v>
      </c>
      <c r="U113" s="4" t="s">
        <v>194</v>
      </c>
    </row>
    <row r="114" spans="14:21" x14ac:dyDescent="0.25">
      <c r="N114" s="5" t="s">
        <v>7</v>
      </c>
      <c r="O114" s="5" t="s">
        <v>11</v>
      </c>
      <c r="P114" s="5">
        <f t="shared" si="8"/>
        <v>424</v>
      </c>
      <c r="Q114" s="5" t="s">
        <v>7</v>
      </c>
      <c r="S114" s="6" t="s">
        <v>302</v>
      </c>
      <c r="T114" s="6">
        <f t="shared" si="9"/>
        <v>113</v>
      </c>
      <c r="U114" s="4" t="s">
        <v>194</v>
      </c>
    </row>
    <row r="115" spans="14:21" x14ac:dyDescent="0.25">
      <c r="N115" s="5" t="s">
        <v>191</v>
      </c>
      <c r="O115" s="5" t="s">
        <v>0</v>
      </c>
      <c r="P115" s="5">
        <f t="shared" si="8"/>
        <v>426</v>
      </c>
      <c r="Q115" s="5" t="s">
        <v>195</v>
      </c>
      <c r="S115" s="6" t="s">
        <v>302</v>
      </c>
      <c r="T115" s="6">
        <f t="shared" si="9"/>
        <v>114</v>
      </c>
      <c r="U115" s="4" t="s">
        <v>194</v>
      </c>
    </row>
    <row r="116" spans="14:21" x14ac:dyDescent="0.25">
      <c r="N116" s="5" t="s">
        <v>9</v>
      </c>
      <c r="O116" s="5" t="s">
        <v>227</v>
      </c>
      <c r="P116" s="5">
        <f t="shared" si="8"/>
        <v>428</v>
      </c>
      <c r="Q116" s="5" t="s">
        <v>192</v>
      </c>
      <c r="S116" s="6" t="s">
        <v>302</v>
      </c>
      <c r="T116" s="6">
        <f t="shared" si="9"/>
        <v>115</v>
      </c>
      <c r="U116" s="4" t="s">
        <v>194</v>
      </c>
    </row>
    <row r="117" spans="14:21" x14ac:dyDescent="0.25">
      <c r="N117" s="5" t="s">
        <v>2</v>
      </c>
      <c r="O117" s="5" t="s">
        <v>227</v>
      </c>
      <c r="P117" s="5">
        <f t="shared" si="8"/>
        <v>430</v>
      </c>
      <c r="Q117" s="5" t="s">
        <v>226</v>
      </c>
      <c r="S117" s="6" t="s">
        <v>302</v>
      </c>
      <c r="T117" s="6">
        <f t="shared" si="9"/>
        <v>116</v>
      </c>
      <c r="U117" s="4" t="s">
        <v>194</v>
      </c>
    </row>
    <row r="118" spans="14:21" x14ac:dyDescent="0.25">
      <c r="N118" s="5" t="s">
        <v>3</v>
      </c>
      <c r="O118" s="5" t="s">
        <v>228</v>
      </c>
      <c r="P118" s="5">
        <f t="shared" si="8"/>
        <v>432</v>
      </c>
      <c r="Q118" s="5" t="s">
        <v>0</v>
      </c>
      <c r="S118" s="6" t="s">
        <v>302</v>
      </c>
      <c r="T118" s="6">
        <f t="shared" si="9"/>
        <v>117</v>
      </c>
      <c r="U118" s="4" t="s">
        <v>194</v>
      </c>
    </row>
    <row r="119" spans="14:21" x14ac:dyDescent="0.25">
      <c r="N119" s="5" t="s">
        <v>6</v>
      </c>
      <c r="O119" s="5" t="s">
        <v>194</v>
      </c>
      <c r="P119" s="5">
        <f t="shared" si="8"/>
        <v>434</v>
      </c>
      <c r="Q119" s="5" t="s">
        <v>10</v>
      </c>
      <c r="S119" s="6" t="s">
        <v>302</v>
      </c>
      <c r="T119" s="6">
        <f t="shared" si="9"/>
        <v>118</v>
      </c>
      <c r="U119" s="4" t="s">
        <v>194</v>
      </c>
    </row>
    <row r="120" spans="14:21" x14ac:dyDescent="0.25">
      <c r="N120" s="5" t="s">
        <v>7</v>
      </c>
      <c r="O120" s="5" t="s">
        <v>3</v>
      </c>
      <c r="P120" s="5">
        <f t="shared" si="8"/>
        <v>436</v>
      </c>
      <c r="Q120" s="5" t="s">
        <v>9</v>
      </c>
      <c r="S120" s="6" t="s">
        <v>302</v>
      </c>
      <c r="T120" s="6">
        <f t="shared" si="9"/>
        <v>119</v>
      </c>
      <c r="U120" s="4" t="s">
        <v>194</v>
      </c>
    </row>
    <row r="121" spans="14:21" x14ac:dyDescent="0.25">
      <c r="N121" s="5" t="s">
        <v>86</v>
      </c>
      <c r="O121" s="5" t="s">
        <v>11</v>
      </c>
      <c r="P121" s="5">
        <f t="shared" si="8"/>
        <v>438</v>
      </c>
      <c r="Q121" s="5" t="s">
        <v>191</v>
      </c>
      <c r="S121" s="6" t="s">
        <v>302</v>
      </c>
      <c r="T121" s="6">
        <f t="shared" si="9"/>
        <v>120</v>
      </c>
      <c r="U121" s="4" t="s">
        <v>194</v>
      </c>
    </row>
    <row r="122" spans="14:21" x14ac:dyDescent="0.25">
      <c r="N122" s="5" t="s">
        <v>195</v>
      </c>
      <c r="O122" s="5" t="s">
        <v>0</v>
      </c>
      <c r="P122" s="5">
        <f t="shared" si="8"/>
        <v>440</v>
      </c>
      <c r="Q122" s="5" t="s">
        <v>195</v>
      </c>
      <c r="S122" s="6" t="s">
        <v>302</v>
      </c>
      <c r="T122" s="6">
        <f t="shared" si="9"/>
        <v>121</v>
      </c>
      <c r="U122" s="4" t="s">
        <v>194</v>
      </c>
    </row>
    <row r="123" spans="14:21" x14ac:dyDescent="0.25">
      <c r="N123" s="5" t="s">
        <v>192</v>
      </c>
      <c r="O123" s="5" t="s">
        <v>227</v>
      </c>
      <c r="P123" s="5">
        <f t="shared" si="8"/>
        <v>442</v>
      </c>
      <c r="Q123" s="5" t="s">
        <v>86</v>
      </c>
      <c r="S123" s="6" t="s">
        <v>302</v>
      </c>
      <c r="T123" s="6">
        <f t="shared" si="9"/>
        <v>122</v>
      </c>
      <c r="U123" s="4" t="s">
        <v>194</v>
      </c>
    </row>
    <row r="124" spans="14:21" x14ac:dyDescent="0.25">
      <c r="N124" s="5" t="s">
        <v>0</v>
      </c>
      <c r="O124" s="5" t="s">
        <v>226</v>
      </c>
      <c r="P124" s="5">
        <f t="shared" si="8"/>
        <v>444</v>
      </c>
      <c r="Q124" s="5" t="s">
        <v>88</v>
      </c>
      <c r="S124" s="6" t="s">
        <v>302</v>
      </c>
      <c r="T124" s="6">
        <f t="shared" si="9"/>
        <v>123</v>
      </c>
      <c r="U124" s="4" t="s">
        <v>194</v>
      </c>
    </row>
    <row r="125" spans="14:21" x14ac:dyDescent="0.25">
      <c r="N125" s="5" t="s">
        <v>3</v>
      </c>
      <c r="O125" s="5" t="s">
        <v>4</v>
      </c>
      <c r="P125" s="5">
        <f t="shared" si="8"/>
        <v>446</v>
      </c>
      <c r="Q125" s="5" t="s">
        <v>9</v>
      </c>
      <c r="S125" s="6" t="s">
        <v>302</v>
      </c>
      <c r="T125" s="6">
        <f t="shared" si="9"/>
        <v>124</v>
      </c>
      <c r="U125" s="4" t="s">
        <v>194</v>
      </c>
    </row>
    <row r="126" spans="14:21" x14ac:dyDescent="0.25">
      <c r="N126" s="5" t="s">
        <v>5</v>
      </c>
      <c r="O126" s="5" t="s">
        <v>12</v>
      </c>
      <c r="P126" s="5">
        <f t="shared" si="8"/>
        <v>448</v>
      </c>
      <c r="Q126" s="5" t="s">
        <v>10</v>
      </c>
      <c r="S126" s="6" t="s">
        <v>302</v>
      </c>
      <c r="T126" s="6">
        <f t="shared" si="9"/>
        <v>125</v>
      </c>
      <c r="U126" s="4" t="s">
        <v>194</v>
      </c>
    </row>
    <row r="127" spans="14:21" x14ac:dyDescent="0.25">
      <c r="N127" s="5" t="s">
        <v>7</v>
      </c>
      <c r="O127" s="5" t="s">
        <v>86</v>
      </c>
      <c r="P127" s="5">
        <f t="shared" si="8"/>
        <v>450</v>
      </c>
      <c r="Q127" s="5" t="s">
        <v>194</v>
      </c>
      <c r="S127" s="6" t="s">
        <v>302</v>
      </c>
      <c r="T127" s="6">
        <f t="shared" si="9"/>
        <v>126</v>
      </c>
      <c r="U127" s="4" t="s">
        <v>194</v>
      </c>
    </row>
    <row r="128" spans="14:21" x14ac:dyDescent="0.25">
      <c r="N128" s="5" t="s">
        <v>2</v>
      </c>
      <c r="O128" s="5" t="s">
        <v>7</v>
      </c>
      <c r="P128" s="5">
        <f t="shared" si="8"/>
        <v>452</v>
      </c>
      <c r="Q128" s="5" t="s">
        <v>2</v>
      </c>
      <c r="S128" s="6" t="s">
        <v>302</v>
      </c>
      <c r="T128" s="6">
        <f t="shared" si="9"/>
        <v>127</v>
      </c>
      <c r="U128" s="4" t="s">
        <v>194</v>
      </c>
    </row>
    <row r="129" spans="14:21" x14ac:dyDescent="0.25">
      <c r="N129" s="5" t="s">
        <v>3</v>
      </c>
      <c r="O129" s="5" t="s">
        <v>191</v>
      </c>
      <c r="P129" s="5">
        <f t="shared" si="8"/>
        <v>454</v>
      </c>
      <c r="Q129" s="5" t="s">
        <v>194</v>
      </c>
      <c r="S129" s="6" t="s">
        <v>302</v>
      </c>
      <c r="T129" s="6">
        <f t="shared" si="9"/>
        <v>128</v>
      </c>
      <c r="U129" s="4" t="s">
        <v>194</v>
      </c>
    </row>
    <row r="130" spans="14:21" x14ac:dyDescent="0.25">
      <c r="N130" s="5" t="s">
        <v>89</v>
      </c>
      <c r="O130" s="5" t="s">
        <v>9</v>
      </c>
      <c r="P130" s="5">
        <f t="shared" si="8"/>
        <v>456</v>
      </c>
      <c r="Q130" s="5" t="s">
        <v>194</v>
      </c>
      <c r="S130" s="6" t="s">
        <v>302</v>
      </c>
      <c r="T130" s="6">
        <f t="shared" si="9"/>
        <v>129</v>
      </c>
      <c r="U130" s="4" t="s">
        <v>194</v>
      </c>
    </row>
    <row r="131" spans="14:21" x14ac:dyDescent="0.25">
      <c r="N131" s="5" t="s">
        <v>195</v>
      </c>
      <c r="O131" s="5" t="s">
        <v>2</v>
      </c>
      <c r="P131" s="5">
        <f t="shared" si="8"/>
        <v>458</v>
      </c>
      <c r="Q131" s="5" t="s">
        <v>191</v>
      </c>
      <c r="S131" s="6" t="s">
        <v>302</v>
      </c>
      <c r="T131" s="6">
        <f t="shared" si="9"/>
        <v>130</v>
      </c>
      <c r="U131" s="4" t="s">
        <v>194</v>
      </c>
    </row>
    <row r="132" spans="14:21" x14ac:dyDescent="0.25">
      <c r="N132" s="5" t="s">
        <v>88</v>
      </c>
      <c r="O132" s="5" t="s">
        <v>0</v>
      </c>
      <c r="P132" s="5">
        <f t="shared" ref="P132:P195" si="10">P131+2</f>
        <v>460</v>
      </c>
      <c r="Q132" s="5" t="s">
        <v>195</v>
      </c>
      <c r="S132" s="6" t="s">
        <v>302</v>
      </c>
      <c r="T132" s="6">
        <f t="shared" si="9"/>
        <v>131</v>
      </c>
      <c r="U132" s="4" t="s">
        <v>194</v>
      </c>
    </row>
    <row r="133" spans="14:21" x14ac:dyDescent="0.25">
      <c r="N133" s="5" t="s">
        <v>227</v>
      </c>
      <c r="O133" s="5" t="s">
        <v>11</v>
      </c>
      <c r="P133" s="5">
        <f t="shared" si="10"/>
        <v>462</v>
      </c>
      <c r="Q133" s="5" t="s">
        <v>86</v>
      </c>
      <c r="S133" s="6" t="s">
        <v>302</v>
      </c>
      <c r="T133" s="6">
        <f t="shared" ref="T133:T196" si="11">T132+1</f>
        <v>132</v>
      </c>
      <c r="U133" s="4" t="s">
        <v>194</v>
      </c>
    </row>
    <row r="134" spans="14:21" x14ac:dyDescent="0.25">
      <c r="N134" s="5" t="s">
        <v>227</v>
      </c>
      <c r="O134" s="5" t="s">
        <v>12</v>
      </c>
      <c r="P134" s="5">
        <f t="shared" si="10"/>
        <v>464</v>
      </c>
      <c r="Q134" s="5" t="s">
        <v>88</v>
      </c>
      <c r="S134" s="6" t="s">
        <v>302</v>
      </c>
      <c r="T134" s="6">
        <f t="shared" si="11"/>
        <v>133</v>
      </c>
      <c r="U134" s="4" t="s">
        <v>194</v>
      </c>
    </row>
    <row r="135" spans="14:21" x14ac:dyDescent="0.25">
      <c r="N135" s="5" t="s">
        <v>88</v>
      </c>
      <c r="O135" s="5" t="s">
        <v>86</v>
      </c>
      <c r="P135" s="5">
        <f t="shared" si="10"/>
        <v>466</v>
      </c>
      <c r="Q135" s="5" t="s">
        <v>0</v>
      </c>
      <c r="S135" s="6" t="s">
        <v>302</v>
      </c>
      <c r="T135" s="6">
        <f t="shared" si="11"/>
        <v>134</v>
      </c>
      <c r="U135" s="4" t="s">
        <v>194</v>
      </c>
    </row>
    <row r="136" spans="14:21" x14ac:dyDescent="0.25">
      <c r="N136" s="5" t="s">
        <v>227</v>
      </c>
      <c r="O136" s="5" t="s">
        <v>7</v>
      </c>
      <c r="P136" s="5">
        <f t="shared" si="10"/>
        <v>468</v>
      </c>
      <c r="Q136" s="5" t="s">
        <v>6</v>
      </c>
      <c r="S136" s="6" t="s">
        <v>302</v>
      </c>
      <c r="T136" s="6">
        <f t="shared" si="11"/>
        <v>135</v>
      </c>
      <c r="U136" s="4" t="s">
        <v>194</v>
      </c>
    </row>
    <row r="137" spans="14:21" x14ac:dyDescent="0.25">
      <c r="N137" s="5" t="s">
        <v>227</v>
      </c>
      <c r="O137" s="5" t="s">
        <v>191</v>
      </c>
      <c r="P137" s="5">
        <f t="shared" si="10"/>
        <v>470</v>
      </c>
      <c r="Q137" s="5" t="s">
        <v>7</v>
      </c>
      <c r="S137" s="6" t="s">
        <v>302</v>
      </c>
      <c r="T137" s="6">
        <f t="shared" si="11"/>
        <v>136</v>
      </c>
      <c r="U137" s="4" t="s">
        <v>194</v>
      </c>
    </row>
    <row r="138" spans="14:21" x14ac:dyDescent="0.25">
      <c r="N138" s="5" t="s">
        <v>88</v>
      </c>
      <c r="O138" s="5" t="s">
        <v>9</v>
      </c>
      <c r="P138" s="5">
        <f t="shared" si="10"/>
        <v>472</v>
      </c>
      <c r="Q138" s="5" t="s">
        <v>195</v>
      </c>
      <c r="S138" s="6" t="s">
        <v>302</v>
      </c>
      <c r="T138" s="6">
        <f t="shared" si="11"/>
        <v>137</v>
      </c>
      <c r="U138" s="4" t="s">
        <v>194</v>
      </c>
    </row>
    <row r="139" spans="14:21" x14ac:dyDescent="0.25">
      <c r="N139" s="5" t="s">
        <v>3</v>
      </c>
      <c r="O139" s="5" t="s">
        <v>2</v>
      </c>
      <c r="P139" s="5">
        <f t="shared" si="10"/>
        <v>474</v>
      </c>
      <c r="Q139" s="5" t="s">
        <v>192</v>
      </c>
      <c r="S139" s="6" t="s">
        <v>302</v>
      </c>
      <c r="T139" s="6">
        <f t="shared" si="11"/>
        <v>138</v>
      </c>
      <c r="U139" s="4" t="s">
        <v>194</v>
      </c>
    </row>
    <row r="140" spans="14:21" x14ac:dyDescent="0.25">
      <c r="N140" s="5" t="s">
        <v>5</v>
      </c>
      <c r="O140" s="5" t="s">
        <v>0</v>
      </c>
      <c r="P140" s="5">
        <f t="shared" si="10"/>
        <v>476</v>
      </c>
      <c r="Q140" s="5" t="s">
        <v>226</v>
      </c>
      <c r="S140" s="6" t="s">
        <v>302</v>
      </c>
      <c r="T140" s="6">
        <f t="shared" si="11"/>
        <v>139</v>
      </c>
      <c r="U140" s="4" t="s">
        <v>194</v>
      </c>
    </row>
    <row r="141" spans="14:21" x14ac:dyDescent="0.25">
      <c r="N141" s="5" t="s">
        <v>7</v>
      </c>
      <c r="O141" s="5" t="s">
        <v>11</v>
      </c>
      <c r="P141" s="5">
        <f t="shared" si="10"/>
        <v>478</v>
      </c>
      <c r="Q141" s="5" t="s">
        <v>0</v>
      </c>
      <c r="S141" s="6" t="s">
        <v>302</v>
      </c>
      <c r="T141" s="6">
        <f t="shared" si="11"/>
        <v>140</v>
      </c>
      <c r="U141" s="4" t="s">
        <v>194</v>
      </c>
    </row>
    <row r="142" spans="14:21" x14ac:dyDescent="0.25">
      <c r="N142" s="5" t="s">
        <v>2</v>
      </c>
      <c r="O142" s="5" t="s">
        <v>8</v>
      </c>
      <c r="P142" s="5">
        <f t="shared" si="10"/>
        <v>480</v>
      </c>
      <c r="Q142" s="5" t="s">
        <v>6</v>
      </c>
      <c r="S142" s="6" t="s">
        <v>302</v>
      </c>
      <c r="T142" s="6">
        <f t="shared" si="11"/>
        <v>141</v>
      </c>
      <c r="U142" s="4" t="s">
        <v>194</v>
      </c>
    </row>
    <row r="143" spans="14:21" x14ac:dyDescent="0.25">
      <c r="N143" s="5" t="s">
        <v>3</v>
      </c>
      <c r="O143" s="5" t="s">
        <v>195</v>
      </c>
      <c r="P143" s="5">
        <f t="shared" si="10"/>
        <v>482</v>
      </c>
      <c r="Q143" s="5" t="s">
        <v>7</v>
      </c>
      <c r="S143" s="6" t="s">
        <v>302</v>
      </c>
      <c r="T143" s="6">
        <f t="shared" si="11"/>
        <v>142</v>
      </c>
      <c r="U143" s="4" t="s">
        <v>194</v>
      </c>
    </row>
    <row r="144" spans="14:21" x14ac:dyDescent="0.25">
      <c r="N144" s="5" t="s">
        <v>89</v>
      </c>
      <c r="O144" s="5" t="s">
        <v>4</v>
      </c>
      <c r="P144" s="5">
        <f t="shared" si="10"/>
        <v>484</v>
      </c>
      <c r="Q144" s="5" t="s">
        <v>195</v>
      </c>
      <c r="S144" s="6" t="s">
        <v>302</v>
      </c>
      <c r="T144" s="6">
        <f t="shared" si="11"/>
        <v>143</v>
      </c>
      <c r="U144" s="4" t="s">
        <v>194</v>
      </c>
    </row>
    <row r="145" spans="14:21" x14ac:dyDescent="0.25">
      <c r="N145" s="5" t="s">
        <v>2</v>
      </c>
      <c r="O145" s="5" t="s">
        <v>227</v>
      </c>
      <c r="P145" s="5">
        <f t="shared" si="10"/>
        <v>486</v>
      </c>
      <c r="Q145" s="5" t="s">
        <v>8</v>
      </c>
      <c r="S145" s="6" t="s">
        <v>302</v>
      </c>
      <c r="T145" s="6">
        <f t="shared" si="11"/>
        <v>144</v>
      </c>
      <c r="U145" s="4" t="s">
        <v>194</v>
      </c>
    </row>
    <row r="146" spans="14:21" x14ac:dyDescent="0.25">
      <c r="N146" s="5" t="s">
        <v>3</v>
      </c>
      <c r="O146" s="5" t="s">
        <v>228</v>
      </c>
      <c r="P146" s="5">
        <f t="shared" si="10"/>
        <v>488</v>
      </c>
      <c r="Q146" s="5" t="s">
        <v>195</v>
      </c>
      <c r="S146" s="6" t="s">
        <v>302</v>
      </c>
      <c r="T146" s="6">
        <f t="shared" si="11"/>
        <v>145</v>
      </c>
      <c r="U146" s="4" t="s">
        <v>194</v>
      </c>
    </row>
    <row r="147" spans="14:21" x14ac:dyDescent="0.25">
      <c r="N147" s="5" t="s">
        <v>6</v>
      </c>
      <c r="O147" s="5" t="s">
        <v>194</v>
      </c>
      <c r="P147" s="5">
        <f t="shared" si="10"/>
        <v>490</v>
      </c>
      <c r="Q147" s="5" t="s">
        <v>86</v>
      </c>
      <c r="S147" s="6" t="s">
        <v>302</v>
      </c>
      <c r="T147" s="6">
        <f t="shared" si="11"/>
        <v>146</v>
      </c>
      <c r="U147" s="4" t="s">
        <v>194</v>
      </c>
    </row>
    <row r="148" spans="14:21" x14ac:dyDescent="0.25">
      <c r="N148" s="5" t="s">
        <v>7</v>
      </c>
      <c r="O148" s="5" t="s">
        <v>3</v>
      </c>
      <c r="P148" s="5">
        <f t="shared" si="10"/>
        <v>492</v>
      </c>
      <c r="Q148" s="5" t="s">
        <v>0</v>
      </c>
      <c r="S148" s="6" t="s">
        <v>302</v>
      </c>
      <c r="T148" s="6">
        <f t="shared" si="11"/>
        <v>147</v>
      </c>
      <c r="U148" s="4" t="s">
        <v>194</v>
      </c>
    </row>
    <row r="149" spans="14:21" x14ac:dyDescent="0.25">
      <c r="N149" s="5" t="s">
        <v>86</v>
      </c>
      <c r="O149" s="5" t="s">
        <v>11</v>
      </c>
      <c r="P149" s="5">
        <f t="shared" si="10"/>
        <v>494</v>
      </c>
      <c r="Q149" s="5" t="s">
        <v>6</v>
      </c>
      <c r="S149" s="6" t="s">
        <v>302</v>
      </c>
      <c r="T149" s="6">
        <f t="shared" si="11"/>
        <v>148</v>
      </c>
      <c r="U149" s="4" t="s">
        <v>194</v>
      </c>
    </row>
    <row r="150" spans="14:21" x14ac:dyDescent="0.25">
      <c r="N150" s="5" t="s">
        <v>195</v>
      </c>
      <c r="O150" s="5" t="s">
        <v>0</v>
      </c>
      <c r="P150" s="5">
        <f t="shared" si="10"/>
        <v>496</v>
      </c>
      <c r="Q150" s="5" t="s">
        <v>7</v>
      </c>
      <c r="S150" s="6" t="s">
        <v>302</v>
      </c>
      <c r="T150" s="6">
        <f t="shared" si="11"/>
        <v>149</v>
      </c>
      <c r="U150" s="4" t="s">
        <v>194</v>
      </c>
    </row>
    <row r="151" spans="14:21" x14ac:dyDescent="0.25">
      <c r="N151" s="5" t="s">
        <v>192</v>
      </c>
      <c r="O151" s="5" t="s">
        <v>227</v>
      </c>
      <c r="P151" s="5">
        <f t="shared" si="10"/>
        <v>498</v>
      </c>
      <c r="Q151" s="5" t="s">
        <v>195</v>
      </c>
      <c r="S151" s="6" t="s">
        <v>302</v>
      </c>
      <c r="T151" s="6">
        <f t="shared" si="11"/>
        <v>150</v>
      </c>
      <c r="U151" s="4" t="s">
        <v>194</v>
      </c>
    </row>
    <row r="152" spans="14:21" x14ac:dyDescent="0.25">
      <c r="N152" s="5" t="s">
        <v>2</v>
      </c>
      <c r="O152" s="5" t="s">
        <v>228</v>
      </c>
      <c r="P152" s="5">
        <f t="shared" si="10"/>
        <v>500</v>
      </c>
      <c r="Q152" s="5" t="s">
        <v>192</v>
      </c>
      <c r="S152" s="6" t="s">
        <v>302</v>
      </c>
      <c r="T152" s="6">
        <f t="shared" si="11"/>
        <v>151</v>
      </c>
      <c r="U152" s="4" t="s">
        <v>194</v>
      </c>
    </row>
    <row r="153" spans="14:21" x14ac:dyDescent="0.25">
      <c r="N153" s="5" t="s">
        <v>3</v>
      </c>
      <c r="O153" s="5" t="s">
        <v>194</v>
      </c>
      <c r="P153" s="5">
        <f t="shared" si="10"/>
        <v>502</v>
      </c>
      <c r="Q153" s="5" t="s">
        <v>226</v>
      </c>
      <c r="S153" s="6" t="s">
        <v>302</v>
      </c>
      <c r="T153" s="6">
        <f t="shared" si="11"/>
        <v>152</v>
      </c>
      <c r="U153" s="4" t="s">
        <v>194</v>
      </c>
    </row>
    <row r="154" spans="14:21" x14ac:dyDescent="0.25">
      <c r="N154" s="5" t="s">
        <v>6</v>
      </c>
      <c r="O154" s="5" t="s">
        <v>3</v>
      </c>
      <c r="P154" s="5">
        <f t="shared" si="10"/>
        <v>504</v>
      </c>
      <c r="Q154" s="5" t="s">
        <v>0</v>
      </c>
      <c r="S154" s="6" t="s">
        <v>302</v>
      </c>
      <c r="T154" s="6">
        <f t="shared" si="11"/>
        <v>153</v>
      </c>
      <c r="U154" s="4" t="s">
        <v>194</v>
      </c>
    </row>
    <row r="155" spans="14:21" x14ac:dyDescent="0.25">
      <c r="N155" s="5" t="s">
        <v>7</v>
      </c>
      <c r="O155" s="5" t="s">
        <v>11</v>
      </c>
      <c r="P155" s="5">
        <f t="shared" si="10"/>
        <v>506</v>
      </c>
      <c r="Q155" s="5" t="s">
        <v>10</v>
      </c>
      <c r="S155" s="6" t="s">
        <v>302</v>
      </c>
      <c r="T155" s="6">
        <f t="shared" si="11"/>
        <v>154</v>
      </c>
      <c r="U155" s="4" t="s">
        <v>194</v>
      </c>
    </row>
    <row r="156" spans="14:21" x14ac:dyDescent="0.25">
      <c r="N156" s="5" t="s">
        <v>191</v>
      </c>
      <c r="O156" s="5" t="s">
        <v>0</v>
      </c>
      <c r="P156" s="5">
        <f t="shared" si="10"/>
        <v>508</v>
      </c>
      <c r="Q156" s="5" t="s">
        <v>9</v>
      </c>
      <c r="S156" s="6" t="s">
        <v>302</v>
      </c>
      <c r="T156" s="6">
        <f t="shared" si="11"/>
        <v>155</v>
      </c>
      <c r="U156" s="4" t="s">
        <v>194</v>
      </c>
    </row>
    <row r="157" spans="14:21" x14ac:dyDescent="0.25">
      <c r="N157" s="5" t="s">
        <v>9</v>
      </c>
      <c r="O157" s="5" t="s">
        <v>227</v>
      </c>
      <c r="P157" s="5">
        <f t="shared" si="10"/>
        <v>510</v>
      </c>
      <c r="Q157" s="5" t="s">
        <v>191</v>
      </c>
      <c r="S157" s="6" t="s">
        <v>302</v>
      </c>
      <c r="T157" s="6">
        <f t="shared" si="11"/>
        <v>156</v>
      </c>
      <c r="U157" s="4" t="s">
        <v>194</v>
      </c>
    </row>
    <row r="158" spans="14:21" x14ac:dyDescent="0.25">
      <c r="N158" s="5" t="s">
        <v>2</v>
      </c>
      <c r="O158" s="5" t="s">
        <v>227</v>
      </c>
      <c r="P158" s="5">
        <f t="shared" si="10"/>
        <v>512</v>
      </c>
      <c r="Q158" s="5" t="s">
        <v>195</v>
      </c>
      <c r="S158" s="6" t="s">
        <v>302</v>
      </c>
      <c r="T158" s="6">
        <f t="shared" si="11"/>
        <v>157</v>
      </c>
      <c r="U158" s="4" t="s">
        <v>194</v>
      </c>
    </row>
    <row r="159" spans="14:21" x14ac:dyDescent="0.25">
      <c r="N159" s="5" t="s">
        <v>3</v>
      </c>
      <c r="O159" s="5" t="s">
        <v>228</v>
      </c>
      <c r="P159" s="5">
        <f t="shared" si="10"/>
        <v>514</v>
      </c>
      <c r="Q159" s="5" t="s">
        <v>86</v>
      </c>
      <c r="S159" s="6" t="s">
        <v>302</v>
      </c>
      <c r="T159" s="6">
        <f t="shared" si="11"/>
        <v>158</v>
      </c>
      <c r="U159" s="4" t="s">
        <v>194</v>
      </c>
    </row>
    <row r="160" spans="14:21" x14ac:dyDescent="0.25">
      <c r="N160" s="5" t="s">
        <v>6</v>
      </c>
      <c r="O160" s="5" t="s">
        <v>194</v>
      </c>
      <c r="P160" s="5">
        <f t="shared" si="10"/>
        <v>516</v>
      </c>
      <c r="Q160" s="5" t="s">
        <v>88</v>
      </c>
      <c r="S160" s="6" t="s">
        <v>302</v>
      </c>
      <c r="T160" s="6">
        <f t="shared" si="11"/>
        <v>159</v>
      </c>
      <c r="U160" s="4" t="s">
        <v>194</v>
      </c>
    </row>
    <row r="161" spans="14:21" x14ac:dyDescent="0.25">
      <c r="N161" s="5" t="s">
        <v>7</v>
      </c>
      <c r="O161" s="5" t="s">
        <v>3</v>
      </c>
      <c r="P161" s="5">
        <f t="shared" si="10"/>
        <v>518</v>
      </c>
      <c r="Q161" s="5" t="s">
        <v>9</v>
      </c>
      <c r="S161" s="6" t="s">
        <v>302</v>
      </c>
      <c r="T161" s="6">
        <f t="shared" si="11"/>
        <v>160</v>
      </c>
      <c r="U161" s="4" t="s">
        <v>194</v>
      </c>
    </row>
    <row r="162" spans="14:21" x14ac:dyDescent="0.25">
      <c r="N162" s="5" t="s">
        <v>86</v>
      </c>
      <c r="O162" s="5" t="s">
        <v>11</v>
      </c>
      <c r="P162" s="5">
        <f t="shared" si="10"/>
        <v>520</v>
      </c>
      <c r="Q162" s="5" t="s">
        <v>10</v>
      </c>
      <c r="S162" s="6" t="s">
        <v>302</v>
      </c>
      <c r="T162" s="6">
        <f t="shared" si="11"/>
        <v>161</v>
      </c>
      <c r="U162" s="4" t="s">
        <v>194</v>
      </c>
    </row>
    <row r="163" spans="14:21" x14ac:dyDescent="0.25">
      <c r="N163" s="5" t="s">
        <v>195</v>
      </c>
      <c r="O163" s="5" t="s">
        <v>0</v>
      </c>
      <c r="P163" s="5">
        <f t="shared" si="10"/>
        <v>522</v>
      </c>
      <c r="Q163" s="5" t="s">
        <v>194</v>
      </c>
      <c r="S163" s="6" t="s">
        <v>302</v>
      </c>
      <c r="T163" s="6">
        <f t="shared" si="11"/>
        <v>162</v>
      </c>
      <c r="U163" s="4" t="s">
        <v>194</v>
      </c>
    </row>
    <row r="164" spans="14:21" x14ac:dyDescent="0.25">
      <c r="N164" s="5" t="s">
        <v>192</v>
      </c>
      <c r="O164" s="5" t="s">
        <v>227</v>
      </c>
      <c r="P164" s="5">
        <f t="shared" si="10"/>
        <v>524</v>
      </c>
      <c r="Q164" s="5" t="s">
        <v>2</v>
      </c>
      <c r="S164" s="6" t="s">
        <v>302</v>
      </c>
      <c r="T164" s="6">
        <f t="shared" si="11"/>
        <v>163</v>
      </c>
      <c r="U164" s="4" t="s">
        <v>194</v>
      </c>
    </row>
    <row r="165" spans="14:21" x14ac:dyDescent="0.25">
      <c r="N165" s="5" t="s">
        <v>0</v>
      </c>
      <c r="O165" s="5" t="s">
        <v>226</v>
      </c>
      <c r="P165" s="5">
        <f t="shared" si="10"/>
        <v>526</v>
      </c>
      <c r="Q165" s="5" t="s">
        <v>194</v>
      </c>
      <c r="S165" s="6" t="s">
        <v>302</v>
      </c>
      <c r="T165" s="6">
        <f t="shared" si="11"/>
        <v>164</v>
      </c>
      <c r="U165" s="4" t="s">
        <v>194</v>
      </c>
    </row>
    <row r="166" spans="14:21" x14ac:dyDescent="0.25">
      <c r="N166" s="5" t="s">
        <v>3</v>
      </c>
      <c r="O166" s="5" t="s">
        <v>4</v>
      </c>
      <c r="P166" s="5">
        <f t="shared" si="10"/>
        <v>528</v>
      </c>
      <c r="Q166" s="5" t="s">
        <v>194</v>
      </c>
      <c r="S166" s="6" t="s">
        <v>302</v>
      </c>
      <c r="T166" s="6">
        <f t="shared" si="11"/>
        <v>165</v>
      </c>
      <c r="U166" s="4" t="s">
        <v>194</v>
      </c>
    </row>
    <row r="167" spans="14:21" x14ac:dyDescent="0.25">
      <c r="N167" s="5" t="s">
        <v>5</v>
      </c>
      <c r="O167" s="5" t="s">
        <v>12</v>
      </c>
      <c r="P167" s="5">
        <f t="shared" si="10"/>
        <v>530</v>
      </c>
      <c r="Q167" s="5" t="s">
        <v>191</v>
      </c>
      <c r="S167" s="6" t="s">
        <v>302</v>
      </c>
      <c r="T167" s="6">
        <f t="shared" si="11"/>
        <v>166</v>
      </c>
      <c r="U167" s="4" t="s">
        <v>194</v>
      </c>
    </row>
    <row r="168" spans="14:21" x14ac:dyDescent="0.25">
      <c r="N168" s="5" t="s">
        <v>7</v>
      </c>
      <c r="O168" s="5" t="s">
        <v>86</v>
      </c>
      <c r="P168" s="5">
        <f t="shared" si="10"/>
        <v>532</v>
      </c>
      <c r="Q168" s="5" t="s">
        <v>195</v>
      </c>
      <c r="S168" s="6" t="s">
        <v>302</v>
      </c>
      <c r="T168" s="6">
        <f t="shared" si="11"/>
        <v>167</v>
      </c>
      <c r="U168" s="4" t="s">
        <v>194</v>
      </c>
    </row>
    <row r="169" spans="14:21" x14ac:dyDescent="0.25">
      <c r="N169" s="5" t="s">
        <v>2</v>
      </c>
      <c r="O169" s="5" t="s">
        <v>7</v>
      </c>
      <c r="P169" s="5">
        <f t="shared" si="10"/>
        <v>534</v>
      </c>
      <c r="Q169" s="5" t="s">
        <v>86</v>
      </c>
      <c r="S169" s="6" t="s">
        <v>302</v>
      </c>
      <c r="T169" s="6">
        <f t="shared" si="11"/>
        <v>168</v>
      </c>
      <c r="U169" s="4" t="s">
        <v>194</v>
      </c>
    </row>
    <row r="170" spans="14:21" x14ac:dyDescent="0.25">
      <c r="N170" s="5" t="s">
        <v>3</v>
      </c>
      <c r="O170" s="5" t="s">
        <v>191</v>
      </c>
      <c r="P170" s="5">
        <f t="shared" si="10"/>
        <v>536</v>
      </c>
      <c r="Q170" s="5" t="s">
        <v>88</v>
      </c>
      <c r="S170" s="6" t="s">
        <v>302</v>
      </c>
      <c r="T170" s="6">
        <f t="shared" si="11"/>
        <v>169</v>
      </c>
      <c r="U170" s="4" t="s">
        <v>194</v>
      </c>
    </row>
    <row r="171" spans="14:21" x14ac:dyDescent="0.25">
      <c r="N171" s="5" t="s">
        <v>89</v>
      </c>
      <c r="O171" s="5" t="s">
        <v>9</v>
      </c>
      <c r="P171" s="5">
        <f t="shared" si="10"/>
        <v>538</v>
      </c>
      <c r="Q171" s="5" t="s">
        <v>0</v>
      </c>
      <c r="S171" s="6" t="s">
        <v>302</v>
      </c>
      <c r="T171" s="6">
        <f t="shared" si="11"/>
        <v>170</v>
      </c>
      <c r="U171" s="4" t="s">
        <v>194</v>
      </c>
    </row>
    <row r="172" spans="14:21" x14ac:dyDescent="0.25">
      <c r="N172" s="5" t="s">
        <v>195</v>
      </c>
      <c r="O172" s="5" t="s">
        <v>2</v>
      </c>
      <c r="P172" s="5">
        <f t="shared" si="10"/>
        <v>540</v>
      </c>
      <c r="Q172" s="5" t="s">
        <v>6</v>
      </c>
      <c r="S172" s="6" t="s">
        <v>302</v>
      </c>
      <c r="T172" s="6">
        <f t="shared" si="11"/>
        <v>171</v>
      </c>
      <c r="U172" s="4" t="s">
        <v>194</v>
      </c>
    </row>
    <row r="173" spans="14:21" x14ac:dyDescent="0.25">
      <c r="N173" s="5" t="s">
        <v>88</v>
      </c>
      <c r="O173" s="5" t="s">
        <v>0</v>
      </c>
      <c r="P173" s="5">
        <f t="shared" si="10"/>
        <v>542</v>
      </c>
      <c r="Q173" s="5" t="s">
        <v>7</v>
      </c>
      <c r="S173" s="6" t="s">
        <v>302</v>
      </c>
      <c r="T173" s="6">
        <f t="shared" si="11"/>
        <v>172</v>
      </c>
      <c r="U173" s="4" t="s">
        <v>194</v>
      </c>
    </row>
    <row r="174" spans="14:21" x14ac:dyDescent="0.25">
      <c r="N174" s="5" t="s">
        <v>227</v>
      </c>
      <c r="O174" s="5" t="s">
        <v>11</v>
      </c>
      <c r="P174" s="5">
        <f t="shared" si="10"/>
        <v>544</v>
      </c>
      <c r="Q174" s="5" t="s">
        <v>195</v>
      </c>
      <c r="S174" s="6" t="s">
        <v>302</v>
      </c>
      <c r="T174" s="6">
        <f t="shared" si="11"/>
        <v>173</v>
      </c>
      <c r="U174" s="4" t="s">
        <v>194</v>
      </c>
    </row>
    <row r="175" spans="14:21" x14ac:dyDescent="0.25">
      <c r="N175" s="5" t="s">
        <v>227</v>
      </c>
      <c r="O175" s="5" t="s">
        <v>12</v>
      </c>
      <c r="P175" s="5">
        <f t="shared" si="10"/>
        <v>546</v>
      </c>
      <c r="Q175" s="5" t="s">
        <v>192</v>
      </c>
      <c r="S175" s="6" t="s">
        <v>302</v>
      </c>
      <c r="T175" s="6">
        <f t="shared" si="11"/>
        <v>174</v>
      </c>
      <c r="U175" s="4" t="s">
        <v>194</v>
      </c>
    </row>
    <row r="176" spans="14:21" x14ac:dyDescent="0.25">
      <c r="N176" s="5" t="s">
        <v>88</v>
      </c>
      <c r="O176" s="5" t="s">
        <v>86</v>
      </c>
      <c r="P176" s="5">
        <f t="shared" si="10"/>
        <v>548</v>
      </c>
      <c r="Q176" s="5" t="s">
        <v>226</v>
      </c>
      <c r="S176" s="6" t="s">
        <v>302</v>
      </c>
      <c r="T176" s="6">
        <f t="shared" si="11"/>
        <v>175</v>
      </c>
      <c r="U176" s="4" t="s">
        <v>194</v>
      </c>
    </row>
    <row r="177" spans="14:21" x14ac:dyDescent="0.25">
      <c r="N177" s="5" t="s">
        <v>227</v>
      </c>
      <c r="O177" s="5" t="s">
        <v>7</v>
      </c>
      <c r="P177" s="5">
        <f t="shared" si="10"/>
        <v>550</v>
      </c>
      <c r="Q177" s="5" t="s">
        <v>0</v>
      </c>
      <c r="S177" s="6" t="s">
        <v>302</v>
      </c>
      <c r="T177" s="6">
        <f t="shared" si="11"/>
        <v>176</v>
      </c>
      <c r="U177" s="4" t="s">
        <v>194</v>
      </c>
    </row>
    <row r="178" spans="14:21" x14ac:dyDescent="0.25">
      <c r="N178" s="5" t="s">
        <v>227</v>
      </c>
      <c r="O178" s="5" t="s">
        <v>191</v>
      </c>
      <c r="P178" s="5">
        <f t="shared" si="10"/>
        <v>552</v>
      </c>
      <c r="Q178" s="5" t="s">
        <v>6</v>
      </c>
      <c r="S178" s="6" t="s">
        <v>302</v>
      </c>
      <c r="T178" s="6">
        <f t="shared" si="11"/>
        <v>177</v>
      </c>
      <c r="U178" s="4" t="s">
        <v>194</v>
      </c>
    </row>
    <row r="179" spans="14:21" x14ac:dyDescent="0.25">
      <c r="N179" s="5" t="s">
        <v>88</v>
      </c>
      <c r="O179" s="5" t="s">
        <v>9</v>
      </c>
      <c r="P179" s="5">
        <f t="shared" si="10"/>
        <v>554</v>
      </c>
      <c r="Q179" s="5" t="s">
        <v>7</v>
      </c>
      <c r="S179" s="6" t="s">
        <v>302</v>
      </c>
      <c r="T179" s="6">
        <f t="shared" si="11"/>
        <v>178</v>
      </c>
      <c r="U179" s="4" t="s">
        <v>194</v>
      </c>
    </row>
    <row r="180" spans="14:21" x14ac:dyDescent="0.25">
      <c r="N180" s="5" t="s">
        <v>3</v>
      </c>
      <c r="O180" s="5" t="s">
        <v>2</v>
      </c>
      <c r="P180" s="5">
        <f t="shared" si="10"/>
        <v>556</v>
      </c>
      <c r="Q180" s="5" t="s">
        <v>195</v>
      </c>
      <c r="S180" s="6" t="s">
        <v>302</v>
      </c>
      <c r="T180" s="6">
        <f t="shared" si="11"/>
        <v>179</v>
      </c>
      <c r="U180" s="4" t="s">
        <v>194</v>
      </c>
    </row>
    <row r="181" spans="14:21" x14ac:dyDescent="0.25">
      <c r="N181" s="5" t="s">
        <v>5</v>
      </c>
      <c r="O181" s="5" t="s">
        <v>0</v>
      </c>
      <c r="P181" s="5">
        <f t="shared" si="10"/>
        <v>558</v>
      </c>
      <c r="Q181" s="5" t="s">
        <v>8</v>
      </c>
      <c r="S181" s="6" t="s">
        <v>302</v>
      </c>
      <c r="T181" s="6">
        <f t="shared" si="11"/>
        <v>180</v>
      </c>
      <c r="U181" s="4" t="s">
        <v>194</v>
      </c>
    </row>
    <row r="182" spans="14:21" x14ac:dyDescent="0.25">
      <c r="N182" s="5" t="s">
        <v>7</v>
      </c>
      <c r="O182" s="5" t="s">
        <v>11</v>
      </c>
      <c r="P182" s="5">
        <f t="shared" si="10"/>
        <v>560</v>
      </c>
      <c r="Q182" s="5" t="s">
        <v>195</v>
      </c>
      <c r="S182" s="6" t="s">
        <v>302</v>
      </c>
      <c r="T182" s="6">
        <f t="shared" si="11"/>
        <v>181</v>
      </c>
      <c r="U182" s="4" t="s">
        <v>194</v>
      </c>
    </row>
    <row r="183" spans="14:21" x14ac:dyDescent="0.25">
      <c r="N183" s="5" t="s">
        <v>2</v>
      </c>
      <c r="O183" s="5" t="s">
        <v>8</v>
      </c>
      <c r="P183" s="5">
        <f t="shared" si="10"/>
        <v>562</v>
      </c>
      <c r="Q183" s="5" t="s">
        <v>86</v>
      </c>
      <c r="S183" s="6" t="s">
        <v>302</v>
      </c>
      <c r="T183" s="6">
        <f t="shared" si="11"/>
        <v>182</v>
      </c>
      <c r="U183" s="4" t="s">
        <v>194</v>
      </c>
    </row>
    <row r="184" spans="14:21" x14ac:dyDescent="0.25">
      <c r="N184" s="5" t="s">
        <v>3</v>
      </c>
      <c r="O184" s="5" t="s">
        <v>195</v>
      </c>
      <c r="P184" s="5">
        <f t="shared" si="10"/>
        <v>564</v>
      </c>
      <c r="Q184" s="5" t="s">
        <v>0</v>
      </c>
      <c r="S184" s="6" t="s">
        <v>302</v>
      </c>
      <c r="T184" s="6">
        <f t="shared" si="11"/>
        <v>183</v>
      </c>
      <c r="U184" s="4" t="s">
        <v>194</v>
      </c>
    </row>
    <row r="185" spans="14:21" x14ac:dyDescent="0.25">
      <c r="N185" s="5" t="s">
        <v>89</v>
      </c>
      <c r="O185" s="5" t="s">
        <v>4</v>
      </c>
      <c r="P185" s="5">
        <f t="shared" si="10"/>
        <v>566</v>
      </c>
      <c r="Q185" s="5" t="s">
        <v>6</v>
      </c>
      <c r="S185" s="6" t="s">
        <v>302</v>
      </c>
      <c r="T185" s="6">
        <f t="shared" si="11"/>
        <v>184</v>
      </c>
      <c r="U185" s="4" t="s">
        <v>194</v>
      </c>
    </row>
    <row r="186" spans="14:21" x14ac:dyDescent="0.25">
      <c r="N186" s="5" t="s">
        <v>2</v>
      </c>
      <c r="O186" s="5" t="s">
        <v>227</v>
      </c>
      <c r="P186" s="5">
        <f t="shared" si="10"/>
        <v>568</v>
      </c>
      <c r="Q186" s="5" t="s">
        <v>7</v>
      </c>
      <c r="S186" s="6" t="s">
        <v>302</v>
      </c>
      <c r="T186" s="6">
        <f t="shared" si="11"/>
        <v>185</v>
      </c>
      <c r="U186" s="4" t="s">
        <v>194</v>
      </c>
    </row>
    <row r="187" spans="14:21" x14ac:dyDescent="0.25">
      <c r="N187" s="5" t="s">
        <v>3</v>
      </c>
      <c r="O187" s="5" t="s">
        <v>228</v>
      </c>
      <c r="P187" s="5">
        <f t="shared" si="10"/>
        <v>570</v>
      </c>
      <c r="Q187" s="5" t="s">
        <v>195</v>
      </c>
      <c r="S187" s="6" t="s">
        <v>302</v>
      </c>
      <c r="T187" s="6">
        <f t="shared" si="11"/>
        <v>186</v>
      </c>
      <c r="U187" s="4" t="s">
        <v>194</v>
      </c>
    </row>
    <row r="188" spans="14:21" x14ac:dyDescent="0.25">
      <c r="N188" s="5" t="s">
        <v>6</v>
      </c>
      <c r="O188" s="5" t="s">
        <v>194</v>
      </c>
      <c r="P188" s="5">
        <f t="shared" si="10"/>
        <v>572</v>
      </c>
      <c r="Q188" s="5" t="s">
        <v>192</v>
      </c>
      <c r="S188" s="6" t="s">
        <v>302</v>
      </c>
      <c r="T188" s="6">
        <f t="shared" si="11"/>
        <v>187</v>
      </c>
      <c r="U188" s="4" t="s">
        <v>194</v>
      </c>
    </row>
    <row r="189" spans="14:21" x14ac:dyDescent="0.25">
      <c r="N189" s="5" t="s">
        <v>7</v>
      </c>
      <c r="O189" s="5" t="s">
        <v>3</v>
      </c>
      <c r="P189" s="5">
        <f t="shared" si="10"/>
        <v>574</v>
      </c>
      <c r="Q189" s="5" t="s">
        <v>226</v>
      </c>
      <c r="S189" s="6" t="s">
        <v>302</v>
      </c>
      <c r="T189" s="6">
        <f t="shared" si="11"/>
        <v>188</v>
      </c>
      <c r="U189" s="4" t="s">
        <v>194</v>
      </c>
    </row>
    <row r="190" spans="14:21" x14ac:dyDescent="0.25">
      <c r="N190" s="5" t="s">
        <v>86</v>
      </c>
      <c r="O190" s="5" t="s">
        <v>11</v>
      </c>
      <c r="P190" s="5">
        <f t="shared" si="10"/>
        <v>576</v>
      </c>
      <c r="Q190" s="5" t="s">
        <v>0</v>
      </c>
      <c r="S190" s="6" t="s">
        <v>302</v>
      </c>
      <c r="T190" s="6">
        <f t="shared" si="11"/>
        <v>189</v>
      </c>
      <c r="U190" s="4" t="s">
        <v>194</v>
      </c>
    </row>
    <row r="191" spans="14:21" x14ac:dyDescent="0.25">
      <c r="N191" s="5" t="s">
        <v>195</v>
      </c>
      <c r="O191" s="5" t="s">
        <v>0</v>
      </c>
      <c r="P191" s="5">
        <f t="shared" si="10"/>
        <v>578</v>
      </c>
      <c r="Q191" s="5" t="s">
        <v>10</v>
      </c>
      <c r="S191" s="6" t="s">
        <v>302</v>
      </c>
      <c r="T191" s="6">
        <f t="shared" si="11"/>
        <v>190</v>
      </c>
      <c r="U191" s="4" t="s">
        <v>194</v>
      </c>
    </row>
    <row r="192" spans="14:21" x14ac:dyDescent="0.25">
      <c r="N192" s="5" t="s">
        <v>192</v>
      </c>
      <c r="O192" s="5" t="s">
        <v>227</v>
      </c>
      <c r="P192" s="5">
        <f t="shared" si="10"/>
        <v>580</v>
      </c>
      <c r="Q192" s="5" t="s">
        <v>9</v>
      </c>
      <c r="S192" s="6" t="s">
        <v>302</v>
      </c>
      <c r="T192" s="6">
        <f t="shared" si="11"/>
        <v>191</v>
      </c>
      <c r="U192" s="4" t="s">
        <v>194</v>
      </c>
    </row>
    <row r="193" spans="14:21" x14ac:dyDescent="0.25">
      <c r="N193" s="5" t="s">
        <v>2</v>
      </c>
      <c r="O193" s="5" t="s">
        <v>228</v>
      </c>
      <c r="P193" s="5">
        <f t="shared" si="10"/>
        <v>582</v>
      </c>
      <c r="Q193" s="5" t="s">
        <v>191</v>
      </c>
      <c r="S193" s="6" t="s">
        <v>302</v>
      </c>
      <c r="T193" s="6">
        <f t="shared" si="11"/>
        <v>192</v>
      </c>
      <c r="U193" s="4" t="s">
        <v>194</v>
      </c>
    </row>
    <row r="194" spans="14:21" x14ac:dyDescent="0.25">
      <c r="N194" s="5" t="s">
        <v>3</v>
      </c>
      <c r="O194" s="5" t="s">
        <v>194</v>
      </c>
      <c r="P194" s="5">
        <f t="shared" si="10"/>
        <v>584</v>
      </c>
      <c r="Q194" s="5" t="s">
        <v>195</v>
      </c>
      <c r="S194" s="6" t="s">
        <v>302</v>
      </c>
      <c r="T194" s="6">
        <f t="shared" si="11"/>
        <v>193</v>
      </c>
      <c r="U194" s="4" t="s">
        <v>194</v>
      </c>
    </row>
    <row r="195" spans="14:21" x14ac:dyDescent="0.25">
      <c r="N195" s="5" t="s">
        <v>6</v>
      </c>
      <c r="O195" s="5" t="s">
        <v>3</v>
      </c>
      <c r="P195" s="5">
        <f t="shared" si="10"/>
        <v>586</v>
      </c>
      <c r="Q195" s="5" t="s">
        <v>86</v>
      </c>
      <c r="S195" s="6" t="s">
        <v>302</v>
      </c>
      <c r="T195" s="6">
        <f t="shared" si="11"/>
        <v>194</v>
      </c>
      <c r="U195" s="4" t="s">
        <v>194</v>
      </c>
    </row>
    <row r="196" spans="14:21" x14ac:dyDescent="0.25">
      <c r="N196" s="5" t="s">
        <v>7</v>
      </c>
      <c r="O196" s="5" t="s">
        <v>11</v>
      </c>
      <c r="P196" s="5">
        <f t="shared" ref="P196:P259" si="12">P195+2</f>
        <v>588</v>
      </c>
      <c r="Q196" s="5" t="s">
        <v>88</v>
      </c>
      <c r="S196" s="6" t="s">
        <v>302</v>
      </c>
      <c r="T196" s="6">
        <f t="shared" si="11"/>
        <v>195</v>
      </c>
      <c r="U196" s="4" t="s">
        <v>194</v>
      </c>
    </row>
    <row r="197" spans="14:21" x14ac:dyDescent="0.25">
      <c r="N197" s="5" t="s">
        <v>191</v>
      </c>
      <c r="O197" s="5" t="s">
        <v>0</v>
      </c>
      <c r="P197" s="5">
        <f t="shared" si="12"/>
        <v>590</v>
      </c>
      <c r="Q197" s="5" t="s">
        <v>9</v>
      </c>
      <c r="S197" s="6" t="s">
        <v>302</v>
      </c>
      <c r="T197" s="6">
        <f t="shared" ref="T197:T260" si="13">T196+1</f>
        <v>196</v>
      </c>
      <c r="U197" s="4" t="s">
        <v>194</v>
      </c>
    </row>
    <row r="198" spans="14:21" x14ac:dyDescent="0.25">
      <c r="N198" s="5" t="s">
        <v>9</v>
      </c>
      <c r="O198" s="5" t="s">
        <v>227</v>
      </c>
      <c r="P198" s="5">
        <f t="shared" si="12"/>
        <v>592</v>
      </c>
      <c r="Q198" s="5" t="s">
        <v>10</v>
      </c>
      <c r="S198" s="6" t="s">
        <v>302</v>
      </c>
      <c r="T198" s="6">
        <f t="shared" si="13"/>
        <v>197</v>
      </c>
      <c r="U198" s="4" t="s">
        <v>194</v>
      </c>
    </row>
    <row r="199" spans="14:21" x14ac:dyDescent="0.25">
      <c r="N199" s="5" t="s">
        <v>2</v>
      </c>
      <c r="O199" s="5" t="s">
        <v>227</v>
      </c>
      <c r="P199" s="5">
        <f t="shared" si="12"/>
        <v>594</v>
      </c>
      <c r="Q199" s="5" t="s">
        <v>194</v>
      </c>
      <c r="S199" s="6" t="s">
        <v>302</v>
      </c>
      <c r="T199" s="6">
        <f t="shared" si="13"/>
        <v>198</v>
      </c>
      <c r="U199" s="4" t="s">
        <v>194</v>
      </c>
    </row>
    <row r="200" spans="14:21" x14ac:dyDescent="0.25">
      <c r="N200" s="5" t="s">
        <v>3</v>
      </c>
      <c r="O200" s="5" t="s">
        <v>228</v>
      </c>
      <c r="P200" s="5">
        <f t="shared" si="12"/>
        <v>596</v>
      </c>
      <c r="Q200" s="5" t="s">
        <v>2</v>
      </c>
      <c r="S200" s="6" t="s">
        <v>302</v>
      </c>
      <c r="T200" s="6">
        <f t="shared" si="13"/>
        <v>199</v>
      </c>
      <c r="U200" s="4" t="s">
        <v>194</v>
      </c>
    </row>
    <row r="201" spans="14:21" x14ac:dyDescent="0.25">
      <c r="N201" s="5" t="s">
        <v>6</v>
      </c>
      <c r="O201" s="5" t="s">
        <v>194</v>
      </c>
      <c r="P201" s="5">
        <f t="shared" si="12"/>
        <v>598</v>
      </c>
      <c r="Q201" s="5" t="s">
        <v>194</v>
      </c>
      <c r="S201" s="6" t="s">
        <v>302</v>
      </c>
      <c r="T201" s="6">
        <f t="shared" si="13"/>
        <v>200</v>
      </c>
      <c r="U201" s="4" t="s">
        <v>194</v>
      </c>
    </row>
    <row r="202" spans="14:21" x14ac:dyDescent="0.25">
      <c r="N202" s="5" t="s">
        <v>7</v>
      </c>
      <c r="O202" s="5" t="s">
        <v>3</v>
      </c>
      <c r="P202" s="5">
        <f t="shared" si="12"/>
        <v>600</v>
      </c>
      <c r="Q202" s="5" t="s">
        <v>194</v>
      </c>
      <c r="S202" s="6" t="s">
        <v>302</v>
      </c>
      <c r="T202" s="6">
        <f t="shared" si="13"/>
        <v>201</v>
      </c>
      <c r="U202" s="4" t="s">
        <v>194</v>
      </c>
    </row>
    <row r="203" spans="14:21" x14ac:dyDescent="0.25">
      <c r="N203" s="5" t="s">
        <v>86</v>
      </c>
      <c r="O203" s="5" t="s">
        <v>11</v>
      </c>
      <c r="P203" s="5">
        <f t="shared" si="12"/>
        <v>602</v>
      </c>
      <c r="Q203" s="5" t="s">
        <v>191</v>
      </c>
      <c r="S203" s="6" t="s">
        <v>302</v>
      </c>
      <c r="T203" s="6">
        <f t="shared" si="13"/>
        <v>202</v>
      </c>
      <c r="U203" s="4" t="s">
        <v>194</v>
      </c>
    </row>
    <row r="204" spans="14:21" x14ac:dyDescent="0.25">
      <c r="N204" s="5" t="s">
        <v>195</v>
      </c>
      <c r="O204" s="5" t="s">
        <v>0</v>
      </c>
      <c r="P204" s="5">
        <f t="shared" si="12"/>
        <v>604</v>
      </c>
      <c r="Q204" s="5" t="s">
        <v>195</v>
      </c>
      <c r="S204" s="6" t="s">
        <v>302</v>
      </c>
      <c r="T204" s="6">
        <f t="shared" si="13"/>
        <v>203</v>
      </c>
      <c r="U204" s="4" t="s">
        <v>194</v>
      </c>
    </row>
    <row r="205" spans="14:21" x14ac:dyDescent="0.25">
      <c r="N205" s="5" t="s">
        <v>192</v>
      </c>
      <c r="O205" s="5" t="s">
        <v>227</v>
      </c>
      <c r="P205" s="5">
        <f t="shared" si="12"/>
        <v>606</v>
      </c>
      <c r="Q205" s="5" t="s">
        <v>86</v>
      </c>
      <c r="S205" s="6" t="s">
        <v>302</v>
      </c>
      <c r="T205" s="6">
        <f t="shared" si="13"/>
        <v>204</v>
      </c>
      <c r="U205" s="4" t="s">
        <v>194</v>
      </c>
    </row>
    <row r="206" spans="14:21" x14ac:dyDescent="0.25">
      <c r="N206" s="5" t="s">
        <v>0</v>
      </c>
      <c r="O206" s="5" t="s">
        <v>226</v>
      </c>
      <c r="P206" s="5">
        <f t="shared" si="12"/>
        <v>608</v>
      </c>
      <c r="Q206" s="5" t="s">
        <v>88</v>
      </c>
      <c r="S206" s="6" t="s">
        <v>302</v>
      </c>
      <c r="T206" s="6">
        <f t="shared" si="13"/>
        <v>205</v>
      </c>
      <c r="U206" s="4" t="s">
        <v>194</v>
      </c>
    </row>
    <row r="207" spans="14:21" x14ac:dyDescent="0.25">
      <c r="N207" s="5" t="s">
        <v>3</v>
      </c>
      <c r="O207" s="5" t="s">
        <v>4</v>
      </c>
      <c r="P207" s="5">
        <f t="shared" si="12"/>
        <v>610</v>
      </c>
      <c r="Q207" s="5" t="s">
        <v>0</v>
      </c>
      <c r="S207" s="6" t="s">
        <v>302</v>
      </c>
      <c r="T207" s="6">
        <f t="shared" si="13"/>
        <v>206</v>
      </c>
      <c r="U207" s="4" t="s">
        <v>194</v>
      </c>
    </row>
    <row r="208" spans="14:21" x14ac:dyDescent="0.25">
      <c r="N208" s="5" t="s">
        <v>5</v>
      </c>
      <c r="O208" s="5" t="s">
        <v>12</v>
      </c>
      <c r="P208" s="5">
        <f t="shared" si="12"/>
        <v>612</v>
      </c>
      <c r="Q208" s="5" t="s">
        <v>6</v>
      </c>
      <c r="S208" s="6" t="s">
        <v>302</v>
      </c>
      <c r="T208" s="6">
        <f t="shared" si="13"/>
        <v>207</v>
      </c>
      <c r="U208" s="4" t="s">
        <v>194</v>
      </c>
    </row>
    <row r="209" spans="14:21" x14ac:dyDescent="0.25">
      <c r="N209" s="5" t="s">
        <v>7</v>
      </c>
      <c r="O209" s="5" t="s">
        <v>86</v>
      </c>
      <c r="P209" s="5">
        <f t="shared" si="12"/>
        <v>614</v>
      </c>
      <c r="Q209" s="5" t="s">
        <v>7</v>
      </c>
      <c r="S209" s="6" t="s">
        <v>302</v>
      </c>
      <c r="T209" s="6">
        <f t="shared" si="13"/>
        <v>208</v>
      </c>
      <c r="U209" s="4" t="s">
        <v>194</v>
      </c>
    </row>
    <row r="210" spans="14:21" x14ac:dyDescent="0.25">
      <c r="N210" s="5" t="s">
        <v>2</v>
      </c>
      <c r="O210" s="5" t="s">
        <v>7</v>
      </c>
      <c r="P210" s="5">
        <f t="shared" si="12"/>
        <v>616</v>
      </c>
      <c r="Q210" s="5" t="s">
        <v>195</v>
      </c>
      <c r="S210" s="6" t="s">
        <v>302</v>
      </c>
      <c r="T210" s="6">
        <f t="shared" si="13"/>
        <v>209</v>
      </c>
      <c r="U210" s="4" t="s">
        <v>194</v>
      </c>
    </row>
    <row r="211" spans="14:21" x14ac:dyDescent="0.25">
      <c r="N211" s="5" t="s">
        <v>3</v>
      </c>
      <c r="O211" s="5" t="s">
        <v>191</v>
      </c>
      <c r="P211" s="5">
        <f t="shared" si="12"/>
        <v>618</v>
      </c>
      <c r="Q211" s="5" t="s">
        <v>192</v>
      </c>
      <c r="S211" s="6" t="s">
        <v>302</v>
      </c>
      <c r="T211" s="6">
        <f t="shared" si="13"/>
        <v>210</v>
      </c>
      <c r="U211" s="4" t="s">
        <v>194</v>
      </c>
    </row>
    <row r="212" spans="14:21" x14ac:dyDescent="0.25">
      <c r="N212" s="5" t="s">
        <v>89</v>
      </c>
      <c r="O212" s="5" t="s">
        <v>9</v>
      </c>
      <c r="P212" s="5">
        <f t="shared" si="12"/>
        <v>620</v>
      </c>
      <c r="Q212" s="5" t="s">
        <v>226</v>
      </c>
      <c r="S212" s="6" t="s">
        <v>302</v>
      </c>
      <c r="T212" s="6">
        <f t="shared" si="13"/>
        <v>211</v>
      </c>
      <c r="U212" s="4" t="s">
        <v>194</v>
      </c>
    </row>
    <row r="213" spans="14:21" x14ac:dyDescent="0.25">
      <c r="N213" s="5" t="s">
        <v>195</v>
      </c>
      <c r="O213" s="5" t="s">
        <v>2</v>
      </c>
      <c r="P213" s="5">
        <f t="shared" si="12"/>
        <v>622</v>
      </c>
      <c r="Q213" s="5" t="s">
        <v>0</v>
      </c>
      <c r="S213" s="6" t="s">
        <v>302</v>
      </c>
      <c r="T213" s="6">
        <f t="shared" si="13"/>
        <v>212</v>
      </c>
      <c r="U213" s="4" t="s">
        <v>194</v>
      </c>
    </row>
    <row r="214" spans="14:21" x14ac:dyDescent="0.25">
      <c r="N214" s="5" t="s">
        <v>88</v>
      </c>
      <c r="O214" s="5" t="s">
        <v>0</v>
      </c>
      <c r="P214" s="5">
        <f t="shared" si="12"/>
        <v>624</v>
      </c>
      <c r="Q214" s="5" t="s">
        <v>6</v>
      </c>
      <c r="S214" s="6" t="s">
        <v>302</v>
      </c>
      <c r="T214" s="6">
        <f t="shared" si="13"/>
        <v>213</v>
      </c>
      <c r="U214" s="4" t="s">
        <v>194</v>
      </c>
    </row>
    <row r="215" spans="14:21" x14ac:dyDescent="0.25">
      <c r="N215" s="5" t="s">
        <v>227</v>
      </c>
      <c r="O215" s="5" t="s">
        <v>11</v>
      </c>
      <c r="P215" s="5">
        <f t="shared" si="12"/>
        <v>626</v>
      </c>
      <c r="Q215" s="5" t="s">
        <v>7</v>
      </c>
      <c r="S215" s="6" t="s">
        <v>302</v>
      </c>
      <c r="T215" s="6">
        <f t="shared" si="13"/>
        <v>214</v>
      </c>
      <c r="U215" s="4" t="s">
        <v>194</v>
      </c>
    </row>
    <row r="216" spans="14:21" x14ac:dyDescent="0.25">
      <c r="N216" s="5" t="s">
        <v>227</v>
      </c>
      <c r="O216" s="5" t="s">
        <v>12</v>
      </c>
      <c r="P216" s="5">
        <f t="shared" si="12"/>
        <v>628</v>
      </c>
      <c r="Q216" s="5" t="s">
        <v>195</v>
      </c>
      <c r="S216" s="6" t="s">
        <v>302</v>
      </c>
      <c r="T216" s="6">
        <f t="shared" si="13"/>
        <v>215</v>
      </c>
      <c r="U216" s="4" t="s">
        <v>194</v>
      </c>
    </row>
    <row r="217" spans="14:21" x14ac:dyDescent="0.25">
      <c r="N217" s="5" t="s">
        <v>88</v>
      </c>
      <c r="O217" s="5" t="s">
        <v>86</v>
      </c>
      <c r="P217" s="5">
        <f t="shared" si="12"/>
        <v>630</v>
      </c>
      <c r="Q217" s="5" t="s">
        <v>8</v>
      </c>
      <c r="S217" s="6" t="s">
        <v>302</v>
      </c>
      <c r="T217" s="6">
        <f t="shared" si="13"/>
        <v>216</v>
      </c>
      <c r="U217" s="4" t="s">
        <v>194</v>
      </c>
    </row>
    <row r="218" spans="14:21" x14ac:dyDescent="0.25">
      <c r="N218" s="5" t="s">
        <v>227</v>
      </c>
      <c r="O218" s="5" t="s">
        <v>7</v>
      </c>
      <c r="P218" s="5">
        <f t="shared" si="12"/>
        <v>632</v>
      </c>
      <c r="Q218" s="5" t="s">
        <v>195</v>
      </c>
      <c r="S218" s="6" t="s">
        <v>302</v>
      </c>
      <c r="T218" s="6">
        <f t="shared" si="13"/>
        <v>217</v>
      </c>
      <c r="U218" s="4" t="s">
        <v>194</v>
      </c>
    </row>
    <row r="219" spans="14:21" x14ac:dyDescent="0.25">
      <c r="N219" s="5" t="s">
        <v>227</v>
      </c>
      <c r="O219" s="5" t="s">
        <v>191</v>
      </c>
      <c r="P219" s="5">
        <f t="shared" si="12"/>
        <v>634</v>
      </c>
      <c r="Q219" s="5" t="s">
        <v>86</v>
      </c>
      <c r="S219" s="6" t="s">
        <v>302</v>
      </c>
      <c r="T219" s="6">
        <f t="shared" si="13"/>
        <v>218</v>
      </c>
      <c r="U219" s="4" t="s">
        <v>194</v>
      </c>
    </row>
    <row r="220" spans="14:21" x14ac:dyDescent="0.25">
      <c r="N220" s="5" t="s">
        <v>88</v>
      </c>
      <c r="O220" s="5" t="s">
        <v>9</v>
      </c>
      <c r="P220" s="5">
        <f t="shared" si="12"/>
        <v>636</v>
      </c>
      <c r="Q220" s="5" t="s">
        <v>0</v>
      </c>
      <c r="S220" s="6" t="s">
        <v>302</v>
      </c>
      <c r="T220" s="6">
        <f t="shared" si="13"/>
        <v>219</v>
      </c>
      <c r="U220" s="4" t="s">
        <v>194</v>
      </c>
    </row>
    <row r="221" spans="14:21" x14ac:dyDescent="0.25">
      <c r="N221" s="5" t="s">
        <v>3</v>
      </c>
      <c r="O221" s="5" t="s">
        <v>2</v>
      </c>
      <c r="P221" s="5">
        <f t="shared" si="12"/>
        <v>638</v>
      </c>
      <c r="Q221" s="5" t="s">
        <v>6</v>
      </c>
      <c r="S221" s="6" t="s">
        <v>302</v>
      </c>
      <c r="T221" s="6">
        <f t="shared" si="13"/>
        <v>220</v>
      </c>
      <c r="U221" s="4" t="s">
        <v>194</v>
      </c>
    </row>
    <row r="222" spans="14:21" x14ac:dyDescent="0.25">
      <c r="N222" s="5" t="s">
        <v>5</v>
      </c>
      <c r="O222" s="5" t="s">
        <v>0</v>
      </c>
      <c r="P222" s="5">
        <f t="shared" si="12"/>
        <v>640</v>
      </c>
      <c r="Q222" s="5" t="s">
        <v>7</v>
      </c>
      <c r="S222" s="6" t="s">
        <v>302</v>
      </c>
      <c r="T222" s="6">
        <f t="shared" si="13"/>
        <v>221</v>
      </c>
      <c r="U222" s="4" t="s">
        <v>194</v>
      </c>
    </row>
    <row r="223" spans="14:21" x14ac:dyDescent="0.25">
      <c r="N223" s="5" t="s">
        <v>7</v>
      </c>
      <c r="O223" s="5" t="s">
        <v>11</v>
      </c>
      <c r="P223" s="5">
        <f t="shared" si="12"/>
        <v>642</v>
      </c>
      <c r="Q223" s="5" t="s">
        <v>195</v>
      </c>
      <c r="S223" s="6" t="s">
        <v>302</v>
      </c>
      <c r="T223" s="6">
        <f t="shared" si="13"/>
        <v>222</v>
      </c>
      <c r="U223" s="4" t="s">
        <v>194</v>
      </c>
    </row>
    <row r="224" spans="14:21" x14ac:dyDescent="0.25">
      <c r="N224" s="5" t="s">
        <v>2</v>
      </c>
      <c r="O224" s="5" t="s">
        <v>8</v>
      </c>
      <c r="P224" s="5">
        <f t="shared" si="12"/>
        <v>644</v>
      </c>
      <c r="Q224" s="5" t="s">
        <v>192</v>
      </c>
      <c r="S224" s="6" t="s">
        <v>302</v>
      </c>
      <c r="T224" s="6">
        <f t="shared" si="13"/>
        <v>223</v>
      </c>
      <c r="U224" s="4" t="s">
        <v>194</v>
      </c>
    </row>
    <row r="225" spans="14:21" x14ac:dyDescent="0.25">
      <c r="N225" s="5" t="s">
        <v>3</v>
      </c>
      <c r="O225" s="5" t="s">
        <v>195</v>
      </c>
      <c r="P225" s="5">
        <f t="shared" si="12"/>
        <v>646</v>
      </c>
      <c r="Q225" s="5" t="s">
        <v>226</v>
      </c>
      <c r="S225" s="6" t="s">
        <v>302</v>
      </c>
      <c r="T225" s="6">
        <f t="shared" si="13"/>
        <v>224</v>
      </c>
      <c r="U225" s="4" t="s">
        <v>194</v>
      </c>
    </row>
    <row r="226" spans="14:21" x14ac:dyDescent="0.25">
      <c r="N226" s="5" t="s">
        <v>89</v>
      </c>
      <c r="O226" s="5" t="s">
        <v>4</v>
      </c>
      <c r="P226" s="5">
        <f t="shared" si="12"/>
        <v>648</v>
      </c>
      <c r="Q226" s="5" t="s">
        <v>0</v>
      </c>
      <c r="S226" s="6" t="s">
        <v>302</v>
      </c>
      <c r="T226" s="6">
        <f t="shared" si="13"/>
        <v>225</v>
      </c>
      <c r="U226" s="4" t="s">
        <v>194</v>
      </c>
    </row>
    <row r="227" spans="14:21" x14ac:dyDescent="0.25">
      <c r="N227" s="5" t="s">
        <v>2</v>
      </c>
      <c r="O227" s="5" t="s">
        <v>227</v>
      </c>
      <c r="P227" s="5">
        <f t="shared" si="12"/>
        <v>650</v>
      </c>
      <c r="Q227" s="5" t="s">
        <v>10</v>
      </c>
      <c r="S227" s="6" t="s">
        <v>302</v>
      </c>
      <c r="T227" s="6">
        <f t="shared" si="13"/>
        <v>226</v>
      </c>
      <c r="U227" s="4" t="s">
        <v>194</v>
      </c>
    </row>
    <row r="228" spans="14:21" x14ac:dyDescent="0.25">
      <c r="N228" s="5" t="s">
        <v>3</v>
      </c>
      <c r="O228" s="5" t="s">
        <v>228</v>
      </c>
      <c r="P228" s="5">
        <f t="shared" si="12"/>
        <v>652</v>
      </c>
      <c r="Q228" s="5" t="s">
        <v>9</v>
      </c>
      <c r="S228" s="6" t="s">
        <v>302</v>
      </c>
      <c r="T228" s="6">
        <f t="shared" si="13"/>
        <v>227</v>
      </c>
      <c r="U228" s="4" t="s">
        <v>194</v>
      </c>
    </row>
    <row r="229" spans="14:21" x14ac:dyDescent="0.25">
      <c r="N229" s="5" t="s">
        <v>6</v>
      </c>
      <c r="O229" s="5" t="s">
        <v>194</v>
      </c>
      <c r="P229" s="5">
        <f t="shared" si="12"/>
        <v>654</v>
      </c>
      <c r="Q229" s="5" t="s">
        <v>191</v>
      </c>
      <c r="S229" s="6" t="s">
        <v>302</v>
      </c>
      <c r="T229" s="6">
        <f t="shared" si="13"/>
        <v>228</v>
      </c>
      <c r="U229" s="4" t="s">
        <v>194</v>
      </c>
    </row>
    <row r="230" spans="14:21" x14ac:dyDescent="0.25">
      <c r="N230" s="5" t="s">
        <v>7</v>
      </c>
      <c r="O230" s="5" t="s">
        <v>3</v>
      </c>
      <c r="P230" s="5">
        <f t="shared" si="12"/>
        <v>656</v>
      </c>
      <c r="Q230" s="5" t="s">
        <v>195</v>
      </c>
      <c r="S230" s="6" t="s">
        <v>302</v>
      </c>
      <c r="T230" s="6">
        <f t="shared" si="13"/>
        <v>229</v>
      </c>
      <c r="U230" s="4" t="s">
        <v>194</v>
      </c>
    </row>
    <row r="231" spans="14:21" x14ac:dyDescent="0.25">
      <c r="N231" s="5" t="s">
        <v>86</v>
      </c>
      <c r="O231" s="5" t="s">
        <v>11</v>
      </c>
      <c r="P231" s="5">
        <f t="shared" si="12"/>
        <v>658</v>
      </c>
      <c r="Q231" s="5" t="s">
        <v>86</v>
      </c>
      <c r="S231" s="6" t="s">
        <v>302</v>
      </c>
      <c r="T231" s="6">
        <f t="shared" si="13"/>
        <v>230</v>
      </c>
      <c r="U231" s="4" t="s">
        <v>194</v>
      </c>
    </row>
    <row r="232" spans="14:21" x14ac:dyDescent="0.25">
      <c r="N232" s="5" t="s">
        <v>195</v>
      </c>
      <c r="O232" s="5" t="s">
        <v>0</v>
      </c>
      <c r="P232" s="5">
        <f t="shared" si="12"/>
        <v>660</v>
      </c>
      <c r="Q232" s="5" t="s">
        <v>88</v>
      </c>
      <c r="S232" s="6" t="s">
        <v>302</v>
      </c>
      <c r="T232" s="6">
        <f t="shared" si="13"/>
        <v>231</v>
      </c>
      <c r="U232" s="4" t="s">
        <v>194</v>
      </c>
    </row>
    <row r="233" spans="14:21" x14ac:dyDescent="0.25">
      <c r="N233" s="5" t="s">
        <v>192</v>
      </c>
      <c r="O233" s="5" t="s">
        <v>227</v>
      </c>
      <c r="P233" s="5">
        <f t="shared" si="12"/>
        <v>662</v>
      </c>
      <c r="Q233" s="5" t="s">
        <v>9</v>
      </c>
      <c r="S233" s="6" t="s">
        <v>302</v>
      </c>
      <c r="T233" s="6">
        <f t="shared" si="13"/>
        <v>232</v>
      </c>
      <c r="U233" s="4" t="s">
        <v>194</v>
      </c>
    </row>
    <row r="234" spans="14:21" x14ac:dyDescent="0.25">
      <c r="N234" s="5" t="s">
        <v>2</v>
      </c>
      <c r="O234" s="5" t="s">
        <v>228</v>
      </c>
      <c r="P234" s="5">
        <f t="shared" si="12"/>
        <v>664</v>
      </c>
      <c r="Q234" s="5" t="s">
        <v>10</v>
      </c>
      <c r="S234" s="6" t="s">
        <v>302</v>
      </c>
      <c r="T234" s="6">
        <f t="shared" si="13"/>
        <v>233</v>
      </c>
      <c r="U234" s="4" t="s">
        <v>194</v>
      </c>
    </row>
    <row r="235" spans="14:21" x14ac:dyDescent="0.25">
      <c r="N235" s="5" t="s">
        <v>3</v>
      </c>
      <c r="O235" s="5" t="s">
        <v>194</v>
      </c>
      <c r="P235" s="5">
        <f t="shared" si="12"/>
        <v>666</v>
      </c>
      <c r="Q235" s="5" t="s">
        <v>194</v>
      </c>
      <c r="S235" s="6" t="s">
        <v>302</v>
      </c>
      <c r="T235" s="6">
        <f t="shared" si="13"/>
        <v>234</v>
      </c>
      <c r="U235" s="4" t="s">
        <v>194</v>
      </c>
    </row>
    <row r="236" spans="14:21" x14ac:dyDescent="0.25">
      <c r="N236" s="5" t="s">
        <v>6</v>
      </c>
      <c r="O236" s="5" t="s">
        <v>3</v>
      </c>
      <c r="P236" s="5">
        <f t="shared" si="12"/>
        <v>668</v>
      </c>
      <c r="Q236" s="5" t="s">
        <v>2</v>
      </c>
      <c r="S236" s="6" t="s">
        <v>302</v>
      </c>
      <c r="T236" s="6">
        <f t="shared" si="13"/>
        <v>235</v>
      </c>
      <c r="U236" s="4" t="s">
        <v>194</v>
      </c>
    </row>
    <row r="237" spans="14:21" x14ac:dyDescent="0.25">
      <c r="N237" s="5" t="s">
        <v>7</v>
      </c>
      <c r="O237" s="5" t="s">
        <v>11</v>
      </c>
      <c r="P237" s="5">
        <f t="shared" si="12"/>
        <v>670</v>
      </c>
      <c r="Q237" s="5" t="s">
        <v>194</v>
      </c>
      <c r="S237" s="6" t="s">
        <v>302</v>
      </c>
      <c r="T237" s="6">
        <f t="shared" si="13"/>
        <v>236</v>
      </c>
      <c r="U237" s="4" t="s">
        <v>194</v>
      </c>
    </row>
    <row r="238" spans="14:21" x14ac:dyDescent="0.25">
      <c r="N238" s="5" t="s">
        <v>191</v>
      </c>
      <c r="O238" s="5" t="s">
        <v>0</v>
      </c>
      <c r="P238" s="5">
        <f t="shared" si="12"/>
        <v>672</v>
      </c>
      <c r="Q238" s="5" t="s">
        <v>194</v>
      </c>
      <c r="S238" s="6" t="s">
        <v>302</v>
      </c>
      <c r="T238" s="6">
        <f t="shared" si="13"/>
        <v>237</v>
      </c>
      <c r="U238" s="4" t="s">
        <v>194</v>
      </c>
    </row>
    <row r="239" spans="14:21" x14ac:dyDescent="0.25">
      <c r="N239" s="5" t="s">
        <v>9</v>
      </c>
      <c r="O239" s="5" t="s">
        <v>227</v>
      </c>
      <c r="P239" s="5">
        <f t="shared" si="12"/>
        <v>674</v>
      </c>
      <c r="Q239" s="5" t="s">
        <v>191</v>
      </c>
      <c r="S239" s="6" t="s">
        <v>302</v>
      </c>
      <c r="T239" s="6">
        <f t="shared" si="13"/>
        <v>238</v>
      </c>
      <c r="U239" s="4" t="s">
        <v>194</v>
      </c>
    </row>
    <row r="240" spans="14:21" x14ac:dyDescent="0.25">
      <c r="N240" s="5" t="s">
        <v>2</v>
      </c>
      <c r="O240" s="5" t="s">
        <v>227</v>
      </c>
      <c r="P240" s="5">
        <f t="shared" si="12"/>
        <v>676</v>
      </c>
      <c r="Q240" s="5" t="s">
        <v>195</v>
      </c>
      <c r="S240" s="6" t="s">
        <v>302</v>
      </c>
      <c r="T240" s="6">
        <f t="shared" si="13"/>
        <v>239</v>
      </c>
      <c r="U240" s="4" t="s">
        <v>194</v>
      </c>
    </row>
    <row r="241" spans="14:21" x14ac:dyDescent="0.25">
      <c r="N241" s="5" t="s">
        <v>3</v>
      </c>
      <c r="O241" s="5" t="s">
        <v>228</v>
      </c>
      <c r="P241" s="5">
        <f t="shared" si="12"/>
        <v>678</v>
      </c>
      <c r="Q241" s="5" t="s">
        <v>86</v>
      </c>
      <c r="S241" s="6" t="s">
        <v>302</v>
      </c>
      <c r="T241" s="6">
        <f t="shared" si="13"/>
        <v>240</v>
      </c>
      <c r="U241" s="4" t="s">
        <v>194</v>
      </c>
    </row>
    <row r="242" spans="14:21" x14ac:dyDescent="0.25">
      <c r="N242" s="5" t="s">
        <v>6</v>
      </c>
      <c r="O242" s="5" t="s">
        <v>194</v>
      </c>
      <c r="P242" s="5">
        <f t="shared" si="12"/>
        <v>680</v>
      </c>
      <c r="Q242" s="5" t="s">
        <v>88</v>
      </c>
      <c r="S242" s="6" t="s">
        <v>302</v>
      </c>
      <c r="T242" s="6">
        <f t="shared" si="13"/>
        <v>241</v>
      </c>
      <c r="U242" s="4" t="s">
        <v>194</v>
      </c>
    </row>
    <row r="243" spans="14:21" x14ac:dyDescent="0.25">
      <c r="N243" s="5" t="s">
        <v>7</v>
      </c>
      <c r="O243" s="5" t="s">
        <v>3</v>
      </c>
      <c r="P243" s="5">
        <f t="shared" si="12"/>
        <v>682</v>
      </c>
      <c r="Q243" s="5" t="s">
        <v>0</v>
      </c>
      <c r="S243" s="6" t="s">
        <v>302</v>
      </c>
      <c r="T243" s="6">
        <f t="shared" si="13"/>
        <v>242</v>
      </c>
      <c r="U243" s="4" t="s">
        <v>194</v>
      </c>
    </row>
    <row r="244" spans="14:21" x14ac:dyDescent="0.25">
      <c r="N244" s="5" t="s">
        <v>86</v>
      </c>
      <c r="O244" s="5" t="s">
        <v>11</v>
      </c>
      <c r="P244" s="5">
        <f t="shared" si="12"/>
        <v>684</v>
      </c>
      <c r="Q244" s="5" t="s">
        <v>6</v>
      </c>
      <c r="S244" s="6" t="s">
        <v>302</v>
      </c>
      <c r="T244" s="6">
        <f t="shared" si="13"/>
        <v>243</v>
      </c>
      <c r="U244" s="4" t="s">
        <v>194</v>
      </c>
    </row>
    <row r="245" spans="14:21" x14ac:dyDescent="0.25">
      <c r="N245" s="5" t="s">
        <v>195</v>
      </c>
      <c r="O245" s="5" t="s">
        <v>0</v>
      </c>
      <c r="P245" s="5">
        <f t="shared" si="12"/>
        <v>686</v>
      </c>
      <c r="Q245" s="5" t="s">
        <v>7</v>
      </c>
      <c r="S245" s="6" t="s">
        <v>302</v>
      </c>
      <c r="T245" s="6">
        <f t="shared" si="13"/>
        <v>244</v>
      </c>
      <c r="U245" s="4" t="s">
        <v>194</v>
      </c>
    </row>
    <row r="246" spans="14:21" x14ac:dyDescent="0.25">
      <c r="N246" s="5" t="s">
        <v>192</v>
      </c>
      <c r="O246" s="5" t="s">
        <v>227</v>
      </c>
      <c r="P246" s="5">
        <f t="shared" si="12"/>
        <v>688</v>
      </c>
      <c r="Q246" s="5" t="s">
        <v>195</v>
      </c>
      <c r="S246" s="6" t="s">
        <v>302</v>
      </c>
      <c r="T246" s="6">
        <f t="shared" si="13"/>
        <v>245</v>
      </c>
      <c r="U246" s="4" t="s">
        <v>194</v>
      </c>
    </row>
    <row r="247" spans="14:21" x14ac:dyDescent="0.25">
      <c r="N247" s="5" t="s">
        <v>0</v>
      </c>
      <c r="O247" s="5" t="s">
        <v>226</v>
      </c>
      <c r="P247" s="5">
        <f t="shared" si="12"/>
        <v>690</v>
      </c>
      <c r="Q247" s="5" t="s">
        <v>192</v>
      </c>
      <c r="S247" s="6" t="s">
        <v>302</v>
      </c>
      <c r="T247" s="6">
        <f t="shared" si="13"/>
        <v>246</v>
      </c>
      <c r="U247" s="4" t="s">
        <v>194</v>
      </c>
    </row>
    <row r="248" spans="14:21" x14ac:dyDescent="0.25">
      <c r="N248" s="5" t="s">
        <v>3</v>
      </c>
      <c r="O248" s="5" t="s">
        <v>4</v>
      </c>
      <c r="P248" s="5">
        <f t="shared" si="12"/>
        <v>692</v>
      </c>
      <c r="Q248" s="5" t="s">
        <v>226</v>
      </c>
      <c r="S248" s="6" t="s">
        <v>302</v>
      </c>
      <c r="T248" s="6">
        <f t="shared" si="13"/>
        <v>247</v>
      </c>
      <c r="U248" s="4" t="s">
        <v>194</v>
      </c>
    </row>
    <row r="249" spans="14:21" x14ac:dyDescent="0.25">
      <c r="N249" s="5" t="s">
        <v>5</v>
      </c>
      <c r="O249" s="5" t="s">
        <v>12</v>
      </c>
      <c r="P249" s="5">
        <f t="shared" si="12"/>
        <v>694</v>
      </c>
      <c r="Q249" s="5" t="s">
        <v>0</v>
      </c>
      <c r="S249" s="6" t="s">
        <v>302</v>
      </c>
      <c r="T249" s="6">
        <f t="shared" si="13"/>
        <v>248</v>
      </c>
      <c r="U249" s="4" t="s">
        <v>194</v>
      </c>
    </row>
    <row r="250" spans="14:21" x14ac:dyDescent="0.25">
      <c r="N250" s="5" t="s">
        <v>7</v>
      </c>
      <c r="O250" s="5" t="s">
        <v>86</v>
      </c>
      <c r="P250" s="5">
        <f t="shared" si="12"/>
        <v>696</v>
      </c>
      <c r="Q250" s="5" t="s">
        <v>6</v>
      </c>
      <c r="S250" s="6" t="s">
        <v>302</v>
      </c>
      <c r="T250" s="6">
        <f t="shared" si="13"/>
        <v>249</v>
      </c>
      <c r="U250" s="4" t="s">
        <v>194</v>
      </c>
    </row>
    <row r="251" spans="14:21" x14ac:dyDescent="0.25">
      <c r="N251" s="5" t="s">
        <v>2</v>
      </c>
      <c r="O251" s="5" t="s">
        <v>7</v>
      </c>
      <c r="P251" s="5">
        <f t="shared" si="12"/>
        <v>698</v>
      </c>
      <c r="Q251" s="5" t="s">
        <v>7</v>
      </c>
      <c r="S251" s="6" t="s">
        <v>302</v>
      </c>
      <c r="T251" s="6">
        <f t="shared" si="13"/>
        <v>250</v>
      </c>
      <c r="U251" s="4" t="s">
        <v>194</v>
      </c>
    </row>
    <row r="252" spans="14:21" x14ac:dyDescent="0.25">
      <c r="N252" s="5" t="s">
        <v>3</v>
      </c>
      <c r="O252" s="5" t="s">
        <v>191</v>
      </c>
      <c r="P252" s="5">
        <f t="shared" si="12"/>
        <v>700</v>
      </c>
      <c r="Q252" s="5" t="s">
        <v>195</v>
      </c>
      <c r="S252" s="6" t="s">
        <v>302</v>
      </c>
      <c r="T252" s="6">
        <f t="shared" si="13"/>
        <v>251</v>
      </c>
      <c r="U252" s="4" t="s">
        <v>194</v>
      </c>
    </row>
    <row r="253" spans="14:21" x14ac:dyDescent="0.25">
      <c r="N253" s="5" t="s">
        <v>89</v>
      </c>
      <c r="O253" s="5" t="s">
        <v>9</v>
      </c>
      <c r="P253" s="5">
        <f t="shared" si="12"/>
        <v>702</v>
      </c>
      <c r="Q253" s="5" t="s">
        <v>8</v>
      </c>
      <c r="S253" s="6" t="s">
        <v>302</v>
      </c>
      <c r="T253" s="6">
        <f t="shared" si="13"/>
        <v>252</v>
      </c>
      <c r="U253" s="4" t="s">
        <v>194</v>
      </c>
    </row>
    <row r="254" spans="14:21" x14ac:dyDescent="0.25">
      <c r="N254" s="5" t="s">
        <v>195</v>
      </c>
      <c r="O254" s="5" t="s">
        <v>2</v>
      </c>
      <c r="P254" s="5">
        <f t="shared" si="12"/>
        <v>704</v>
      </c>
      <c r="Q254" s="5" t="s">
        <v>195</v>
      </c>
      <c r="S254" s="6" t="s">
        <v>302</v>
      </c>
      <c r="T254" s="6">
        <f t="shared" si="13"/>
        <v>253</v>
      </c>
      <c r="U254" s="4" t="s">
        <v>194</v>
      </c>
    </row>
    <row r="255" spans="14:21" x14ac:dyDescent="0.25">
      <c r="N255" s="5" t="s">
        <v>88</v>
      </c>
      <c r="O255" s="5" t="s">
        <v>0</v>
      </c>
      <c r="P255" s="5">
        <f t="shared" si="12"/>
        <v>706</v>
      </c>
      <c r="Q255" s="5" t="s">
        <v>86</v>
      </c>
      <c r="S255" s="6" t="s">
        <v>302</v>
      </c>
      <c r="T255" s="6">
        <f t="shared" si="13"/>
        <v>254</v>
      </c>
      <c r="U255" s="4" t="s">
        <v>194</v>
      </c>
    </row>
    <row r="256" spans="14:21" x14ac:dyDescent="0.25">
      <c r="N256" s="5" t="s">
        <v>227</v>
      </c>
      <c r="O256" s="5" t="s">
        <v>11</v>
      </c>
      <c r="P256" s="5">
        <f t="shared" si="12"/>
        <v>708</v>
      </c>
      <c r="Q256" s="5" t="s">
        <v>0</v>
      </c>
      <c r="S256" s="6" t="s">
        <v>302</v>
      </c>
      <c r="T256" s="6">
        <f t="shared" si="13"/>
        <v>255</v>
      </c>
      <c r="U256" s="4" t="s">
        <v>194</v>
      </c>
    </row>
    <row r="257" spans="14:21" x14ac:dyDescent="0.25">
      <c r="N257" s="5" t="s">
        <v>227</v>
      </c>
      <c r="O257" s="5" t="s">
        <v>12</v>
      </c>
      <c r="P257" s="5">
        <f t="shared" si="12"/>
        <v>710</v>
      </c>
      <c r="Q257" s="5" t="s">
        <v>6</v>
      </c>
      <c r="S257" s="6" t="s">
        <v>302</v>
      </c>
      <c r="T257" s="6">
        <f t="shared" si="13"/>
        <v>256</v>
      </c>
      <c r="U257" s="4" t="s">
        <v>194</v>
      </c>
    </row>
    <row r="258" spans="14:21" x14ac:dyDescent="0.25">
      <c r="N258" s="5" t="s">
        <v>88</v>
      </c>
      <c r="O258" s="5" t="s">
        <v>86</v>
      </c>
      <c r="P258" s="5">
        <f t="shared" si="12"/>
        <v>712</v>
      </c>
      <c r="Q258" s="5" t="s">
        <v>7</v>
      </c>
      <c r="S258" s="6" t="s">
        <v>302</v>
      </c>
      <c r="T258" s="6">
        <f t="shared" si="13"/>
        <v>257</v>
      </c>
      <c r="U258" s="4" t="s">
        <v>194</v>
      </c>
    </row>
    <row r="259" spans="14:21" x14ac:dyDescent="0.25">
      <c r="N259" s="5" t="s">
        <v>227</v>
      </c>
      <c r="O259" s="5" t="s">
        <v>7</v>
      </c>
      <c r="P259" s="5">
        <f t="shared" si="12"/>
        <v>714</v>
      </c>
      <c r="Q259" s="5" t="s">
        <v>195</v>
      </c>
      <c r="S259" s="6" t="s">
        <v>302</v>
      </c>
      <c r="T259" s="6">
        <f t="shared" si="13"/>
        <v>258</v>
      </c>
      <c r="U259" s="4" t="s">
        <v>194</v>
      </c>
    </row>
    <row r="260" spans="14:21" x14ac:dyDescent="0.25">
      <c r="N260" s="5" t="s">
        <v>227</v>
      </c>
      <c r="O260" s="5" t="s">
        <v>191</v>
      </c>
      <c r="P260" s="5">
        <f t="shared" ref="P260:P323" si="14">P259+2</f>
        <v>716</v>
      </c>
      <c r="Q260" s="5" t="s">
        <v>192</v>
      </c>
      <c r="S260" s="6" t="s">
        <v>302</v>
      </c>
      <c r="T260" s="6">
        <f t="shared" si="13"/>
        <v>259</v>
      </c>
      <c r="U260" s="4" t="s">
        <v>194</v>
      </c>
    </row>
    <row r="261" spans="14:21" x14ac:dyDescent="0.25">
      <c r="N261" s="5" t="s">
        <v>88</v>
      </c>
      <c r="O261" s="5" t="s">
        <v>9</v>
      </c>
      <c r="P261" s="5">
        <f t="shared" si="14"/>
        <v>718</v>
      </c>
      <c r="Q261" s="5" t="s">
        <v>226</v>
      </c>
      <c r="S261" s="6" t="s">
        <v>302</v>
      </c>
      <c r="T261" s="6">
        <f t="shared" ref="T261:T324" si="15">T260+1</f>
        <v>260</v>
      </c>
      <c r="U261" s="4" t="s">
        <v>194</v>
      </c>
    </row>
    <row r="262" spans="14:21" x14ac:dyDescent="0.25">
      <c r="N262" s="5" t="s">
        <v>3</v>
      </c>
      <c r="O262" s="5" t="s">
        <v>2</v>
      </c>
      <c r="P262" s="5">
        <f t="shared" si="14"/>
        <v>720</v>
      </c>
      <c r="Q262" s="5" t="s">
        <v>0</v>
      </c>
      <c r="S262" s="6" t="s">
        <v>302</v>
      </c>
      <c r="T262" s="6">
        <f t="shared" si="15"/>
        <v>261</v>
      </c>
      <c r="U262" s="4" t="s">
        <v>194</v>
      </c>
    </row>
    <row r="263" spans="14:21" x14ac:dyDescent="0.25">
      <c r="N263" s="5" t="s">
        <v>5</v>
      </c>
      <c r="O263" s="5" t="s">
        <v>0</v>
      </c>
      <c r="P263" s="5">
        <f t="shared" si="14"/>
        <v>722</v>
      </c>
      <c r="Q263" s="5" t="s">
        <v>10</v>
      </c>
      <c r="S263" s="6" t="s">
        <v>302</v>
      </c>
      <c r="T263" s="6">
        <f t="shared" si="15"/>
        <v>262</v>
      </c>
      <c r="U263" s="4" t="s">
        <v>194</v>
      </c>
    </row>
    <row r="264" spans="14:21" x14ac:dyDescent="0.25">
      <c r="N264" s="5" t="s">
        <v>7</v>
      </c>
      <c r="O264" s="5" t="s">
        <v>11</v>
      </c>
      <c r="P264" s="5">
        <f t="shared" si="14"/>
        <v>724</v>
      </c>
      <c r="Q264" s="5" t="s">
        <v>9</v>
      </c>
      <c r="S264" s="6" t="s">
        <v>302</v>
      </c>
      <c r="T264" s="6">
        <f t="shared" si="15"/>
        <v>263</v>
      </c>
      <c r="U264" s="4" t="s">
        <v>194</v>
      </c>
    </row>
    <row r="265" spans="14:21" x14ac:dyDescent="0.25">
      <c r="N265" s="5" t="s">
        <v>2</v>
      </c>
      <c r="O265" s="5" t="s">
        <v>8</v>
      </c>
      <c r="P265" s="5">
        <f t="shared" si="14"/>
        <v>726</v>
      </c>
      <c r="Q265" s="5" t="s">
        <v>191</v>
      </c>
      <c r="S265" s="6" t="s">
        <v>302</v>
      </c>
      <c r="T265" s="6">
        <f t="shared" si="15"/>
        <v>264</v>
      </c>
      <c r="U265" s="4" t="s">
        <v>194</v>
      </c>
    </row>
    <row r="266" spans="14:21" x14ac:dyDescent="0.25">
      <c r="N266" s="5" t="s">
        <v>3</v>
      </c>
      <c r="O266" s="5" t="s">
        <v>195</v>
      </c>
      <c r="P266" s="5">
        <f t="shared" si="14"/>
        <v>728</v>
      </c>
      <c r="Q266" s="5" t="s">
        <v>195</v>
      </c>
      <c r="S266" s="6" t="s">
        <v>302</v>
      </c>
      <c r="T266" s="6">
        <f t="shared" si="15"/>
        <v>265</v>
      </c>
      <c r="U266" s="4" t="s">
        <v>194</v>
      </c>
    </row>
    <row r="267" spans="14:21" x14ac:dyDescent="0.25">
      <c r="N267" s="5" t="s">
        <v>89</v>
      </c>
      <c r="O267" s="5" t="s">
        <v>4</v>
      </c>
      <c r="P267" s="5">
        <f t="shared" si="14"/>
        <v>730</v>
      </c>
      <c r="Q267" s="5" t="s">
        <v>86</v>
      </c>
      <c r="S267" s="6" t="s">
        <v>302</v>
      </c>
      <c r="T267" s="6">
        <f t="shared" si="15"/>
        <v>266</v>
      </c>
      <c r="U267" s="4" t="s">
        <v>194</v>
      </c>
    </row>
    <row r="268" spans="14:21" x14ac:dyDescent="0.25">
      <c r="N268" s="5" t="s">
        <v>2</v>
      </c>
      <c r="O268" s="5" t="s">
        <v>227</v>
      </c>
      <c r="P268" s="5">
        <f t="shared" si="14"/>
        <v>732</v>
      </c>
      <c r="Q268" s="5" t="s">
        <v>88</v>
      </c>
      <c r="S268" s="6" t="s">
        <v>302</v>
      </c>
      <c r="T268" s="6">
        <f t="shared" si="15"/>
        <v>267</v>
      </c>
      <c r="U268" s="4" t="s">
        <v>194</v>
      </c>
    </row>
    <row r="269" spans="14:21" x14ac:dyDescent="0.25">
      <c r="N269" s="5" t="s">
        <v>3</v>
      </c>
      <c r="O269" s="5" t="s">
        <v>228</v>
      </c>
      <c r="P269" s="5">
        <f t="shared" si="14"/>
        <v>734</v>
      </c>
      <c r="Q269" s="5" t="s">
        <v>9</v>
      </c>
      <c r="S269" s="6" t="s">
        <v>302</v>
      </c>
      <c r="T269" s="6">
        <f t="shared" si="15"/>
        <v>268</v>
      </c>
      <c r="U269" s="4" t="s">
        <v>194</v>
      </c>
    </row>
    <row r="270" spans="14:21" x14ac:dyDescent="0.25">
      <c r="N270" s="5" t="s">
        <v>6</v>
      </c>
      <c r="O270" s="5" t="s">
        <v>194</v>
      </c>
      <c r="P270" s="5">
        <f t="shared" si="14"/>
        <v>736</v>
      </c>
      <c r="Q270" s="5" t="s">
        <v>10</v>
      </c>
      <c r="S270" s="6" t="s">
        <v>302</v>
      </c>
      <c r="T270" s="6">
        <f t="shared" si="15"/>
        <v>269</v>
      </c>
      <c r="U270" s="4" t="s">
        <v>194</v>
      </c>
    </row>
    <row r="271" spans="14:21" x14ac:dyDescent="0.25">
      <c r="N271" s="5" t="s">
        <v>7</v>
      </c>
      <c r="O271" s="5" t="s">
        <v>3</v>
      </c>
      <c r="P271" s="5">
        <f t="shared" si="14"/>
        <v>738</v>
      </c>
      <c r="Q271" s="5" t="s">
        <v>194</v>
      </c>
      <c r="S271" s="6" t="s">
        <v>302</v>
      </c>
      <c r="T271" s="6">
        <f t="shared" si="15"/>
        <v>270</v>
      </c>
      <c r="U271" s="4" t="s">
        <v>194</v>
      </c>
    </row>
    <row r="272" spans="14:21" x14ac:dyDescent="0.25">
      <c r="N272" s="5" t="s">
        <v>86</v>
      </c>
      <c r="O272" s="5" t="s">
        <v>11</v>
      </c>
      <c r="P272" s="5">
        <f t="shared" si="14"/>
        <v>740</v>
      </c>
      <c r="Q272" s="5" t="s">
        <v>2</v>
      </c>
      <c r="S272" s="6" t="s">
        <v>302</v>
      </c>
      <c r="T272" s="6">
        <f t="shared" si="15"/>
        <v>271</v>
      </c>
      <c r="U272" s="4" t="s">
        <v>194</v>
      </c>
    </row>
    <row r="273" spans="14:21" x14ac:dyDescent="0.25">
      <c r="N273" s="5" t="s">
        <v>195</v>
      </c>
      <c r="O273" s="5" t="s">
        <v>0</v>
      </c>
      <c r="P273" s="5">
        <f t="shared" si="14"/>
        <v>742</v>
      </c>
      <c r="Q273" s="5" t="s">
        <v>194</v>
      </c>
      <c r="S273" s="6" t="s">
        <v>302</v>
      </c>
      <c r="T273" s="6">
        <f t="shared" si="15"/>
        <v>272</v>
      </c>
      <c r="U273" s="4" t="s">
        <v>194</v>
      </c>
    </row>
    <row r="274" spans="14:21" x14ac:dyDescent="0.25">
      <c r="N274" s="5" t="s">
        <v>192</v>
      </c>
      <c r="O274" s="5" t="s">
        <v>227</v>
      </c>
      <c r="P274" s="5">
        <f t="shared" si="14"/>
        <v>744</v>
      </c>
      <c r="Q274" s="5" t="s">
        <v>194</v>
      </c>
      <c r="S274" s="6" t="s">
        <v>302</v>
      </c>
      <c r="T274" s="6">
        <f t="shared" si="15"/>
        <v>273</v>
      </c>
      <c r="U274" s="4" t="s">
        <v>194</v>
      </c>
    </row>
    <row r="275" spans="14:21" x14ac:dyDescent="0.25">
      <c r="N275" s="5" t="s">
        <v>2</v>
      </c>
      <c r="O275" s="5" t="s">
        <v>228</v>
      </c>
      <c r="P275" s="5">
        <f t="shared" si="14"/>
        <v>746</v>
      </c>
      <c r="Q275" s="5" t="s">
        <v>191</v>
      </c>
      <c r="S275" s="6" t="s">
        <v>302</v>
      </c>
      <c r="T275" s="6">
        <f t="shared" si="15"/>
        <v>274</v>
      </c>
      <c r="U275" s="4" t="s">
        <v>194</v>
      </c>
    </row>
    <row r="276" spans="14:21" x14ac:dyDescent="0.25">
      <c r="N276" s="5" t="s">
        <v>3</v>
      </c>
      <c r="O276" s="5" t="s">
        <v>194</v>
      </c>
      <c r="P276" s="5">
        <f t="shared" si="14"/>
        <v>748</v>
      </c>
      <c r="Q276" s="5" t="s">
        <v>195</v>
      </c>
      <c r="S276" s="6" t="s">
        <v>302</v>
      </c>
      <c r="T276" s="6">
        <f t="shared" si="15"/>
        <v>275</v>
      </c>
      <c r="U276" s="4" t="s">
        <v>194</v>
      </c>
    </row>
    <row r="277" spans="14:21" x14ac:dyDescent="0.25">
      <c r="N277" s="5" t="s">
        <v>6</v>
      </c>
      <c r="O277" s="5" t="s">
        <v>3</v>
      </c>
      <c r="P277" s="5">
        <f t="shared" si="14"/>
        <v>750</v>
      </c>
      <c r="Q277" s="5" t="s">
        <v>86</v>
      </c>
      <c r="S277" s="6" t="s">
        <v>302</v>
      </c>
      <c r="T277" s="6">
        <f t="shared" si="15"/>
        <v>276</v>
      </c>
      <c r="U277" s="4" t="s">
        <v>194</v>
      </c>
    </row>
    <row r="278" spans="14:21" x14ac:dyDescent="0.25">
      <c r="N278" s="5" t="s">
        <v>7</v>
      </c>
      <c r="O278" s="5" t="s">
        <v>11</v>
      </c>
      <c r="P278" s="5">
        <f t="shared" si="14"/>
        <v>752</v>
      </c>
      <c r="Q278" s="5" t="s">
        <v>88</v>
      </c>
      <c r="S278" s="6" t="s">
        <v>302</v>
      </c>
      <c r="T278" s="6">
        <f t="shared" si="15"/>
        <v>277</v>
      </c>
      <c r="U278" s="4" t="s">
        <v>194</v>
      </c>
    </row>
    <row r="279" spans="14:21" x14ac:dyDescent="0.25">
      <c r="N279" s="5" t="s">
        <v>191</v>
      </c>
      <c r="O279" s="5" t="s">
        <v>0</v>
      </c>
      <c r="P279" s="5">
        <f t="shared" si="14"/>
        <v>754</v>
      </c>
      <c r="Q279" s="5" t="s">
        <v>0</v>
      </c>
      <c r="S279" s="6" t="s">
        <v>302</v>
      </c>
      <c r="T279" s="6">
        <f t="shared" si="15"/>
        <v>278</v>
      </c>
      <c r="U279" s="4" t="s">
        <v>194</v>
      </c>
    </row>
    <row r="280" spans="14:21" x14ac:dyDescent="0.25">
      <c r="N280" s="5" t="s">
        <v>9</v>
      </c>
      <c r="O280" s="5" t="s">
        <v>227</v>
      </c>
      <c r="P280" s="5">
        <f t="shared" si="14"/>
        <v>756</v>
      </c>
      <c r="Q280" s="5" t="s">
        <v>6</v>
      </c>
      <c r="S280" s="6" t="s">
        <v>302</v>
      </c>
      <c r="T280" s="6">
        <f t="shared" si="15"/>
        <v>279</v>
      </c>
      <c r="U280" s="4" t="s">
        <v>194</v>
      </c>
    </row>
    <row r="281" spans="14:21" x14ac:dyDescent="0.25">
      <c r="N281" s="5" t="s">
        <v>2</v>
      </c>
      <c r="O281" s="5" t="s">
        <v>227</v>
      </c>
      <c r="P281" s="5">
        <f t="shared" si="14"/>
        <v>758</v>
      </c>
      <c r="Q281" s="5" t="s">
        <v>7</v>
      </c>
      <c r="S281" s="6" t="s">
        <v>302</v>
      </c>
      <c r="T281" s="6">
        <f t="shared" si="15"/>
        <v>280</v>
      </c>
      <c r="U281" s="4" t="s">
        <v>194</v>
      </c>
    </row>
    <row r="282" spans="14:21" x14ac:dyDescent="0.25">
      <c r="N282" s="5" t="s">
        <v>3</v>
      </c>
      <c r="O282" s="5" t="s">
        <v>228</v>
      </c>
      <c r="P282" s="5">
        <f t="shared" si="14"/>
        <v>760</v>
      </c>
      <c r="Q282" s="5" t="s">
        <v>195</v>
      </c>
      <c r="S282" s="6" t="s">
        <v>302</v>
      </c>
      <c r="T282" s="6">
        <f t="shared" si="15"/>
        <v>281</v>
      </c>
      <c r="U282" s="4" t="s">
        <v>194</v>
      </c>
    </row>
    <row r="283" spans="14:21" x14ac:dyDescent="0.25">
      <c r="N283" s="5" t="s">
        <v>6</v>
      </c>
      <c r="O283" s="5" t="s">
        <v>194</v>
      </c>
      <c r="P283" s="5">
        <f t="shared" si="14"/>
        <v>762</v>
      </c>
      <c r="Q283" s="5" t="s">
        <v>192</v>
      </c>
      <c r="S283" s="6" t="s">
        <v>302</v>
      </c>
      <c r="T283" s="6">
        <f t="shared" si="15"/>
        <v>282</v>
      </c>
      <c r="U283" s="4" t="s">
        <v>194</v>
      </c>
    </row>
    <row r="284" spans="14:21" x14ac:dyDescent="0.25">
      <c r="N284" s="5" t="s">
        <v>7</v>
      </c>
      <c r="O284" s="5" t="s">
        <v>3</v>
      </c>
      <c r="P284" s="5">
        <f t="shared" si="14"/>
        <v>764</v>
      </c>
      <c r="Q284" s="5" t="s">
        <v>226</v>
      </c>
      <c r="S284" s="6" t="s">
        <v>302</v>
      </c>
      <c r="T284" s="6">
        <f t="shared" si="15"/>
        <v>283</v>
      </c>
      <c r="U284" s="4" t="s">
        <v>194</v>
      </c>
    </row>
    <row r="285" spans="14:21" x14ac:dyDescent="0.25">
      <c r="N285" s="5" t="s">
        <v>86</v>
      </c>
      <c r="O285" s="5" t="s">
        <v>11</v>
      </c>
      <c r="P285" s="5">
        <f t="shared" si="14"/>
        <v>766</v>
      </c>
      <c r="Q285" s="5" t="s">
        <v>0</v>
      </c>
      <c r="S285" s="6" t="s">
        <v>302</v>
      </c>
      <c r="T285" s="6">
        <f t="shared" si="15"/>
        <v>284</v>
      </c>
      <c r="U285" s="4" t="s">
        <v>194</v>
      </c>
    </row>
    <row r="286" spans="14:21" x14ac:dyDescent="0.25">
      <c r="N286" s="5" t="s">
        <v>195</v>
      </c>
      <c r="O286" s="5" t="s">
        <v>0</v>
      </c>
      <c r="P286" s="5">
        <f t="shared" si="14"/>
        <v>768</v>
      </c>
      <c r="Q286" s="5" t="s">
        <v>6</v>
      </c>
      <c r="S286" s="6" t="s">
        <v>302</v>
      </c>
      <c r="T286" s="6">
        <f t="shared" si="15"/>
        <v>285</v>
      </c>
      <c r="U286" s="4" t="s">
        <v>194</v>
      </c>
    </row>
    <row r="287" spans="14:21" x14ac:dyDescent="0.25">
      <c r="N287" s="5" t="s">
        <v>192</v>
      </c>
      <c r="O287" s="5" t="s">
        <v>227</v>
      </c>
      <c r="P287" s="5">
        <f t="shared" si="14"/>
        <v>770</v>
      </c>
      <c r="Q287" s="5" t="s">
        <v>7</v>
      </c>
      <c r="S287" s="6" t="s">
        <v>302</v>
      </c>
      <c r="T287" s="6">
        <f t="shared" si="15"/>
        <v>286</v>
      </c>
      <c r="U287" s="4" t="s">
        <v>194</v>
      </c>
    </row>
    <row r="288" spans="14:21" x14ac:dyDescent="0.25">
      <c r="N288" s="5" t="s">
        <v>0</v>
      </c>
      <c r="O288" s="5" t="s">
        <v>226</v>
      </c>
      <c r="P288" s="5">
        <f t="shared" si="14"/>
        <v>772</v>
      </c>
      <c r="Q288" s="5" t="s">
        <v>195</v>
      </c>
      <c r="S288" s="6" t="s">
        <v>302</v>
      </c>
      <c r="T288" s="6">
        <f t="shared" si="15"/>
        <v>287</v>
      </c>
      <c r="U288" s="4" t="s">
        <v>194</v>
      </c>
    </row>
    <row r="289" spans="14:21" x14ac:dyDescent="0.25">
      <c r="N289" s="5" t="s">
        <v>3</v>
      </c>
      <c r="O289" s="5" t="s">
        <v>4</v>
      </c>
      <c r="P289" s="5">
        <f t="shared" si="14"/>
        <v>774</v>
      </c>
      <c r="Q289" s="5" t="s">
        <v>8</v>
      </c>
      <c r="S289" s="6" t="s">
        <v>302</v>
      </c>
      <c r="T289" s="6">
        <f t="shared" si="15"/>
        <v>288</v>
      </c>
      <c r="U289" s="4" t="s">
        <v>194</v>
      </c>
    </row>
    <row r="290" spans="14:21" x14ac:dyDescent="0.25">
      <c r="N290" s="5" t="s">
        <v>5</v>
      </c>
      <c r="O290" s="5" t="s">
        <v>12</v>
      </c>
      <c r="P290" s="5">
        <f t="shared" si="14"/>
        <v>776</v>
      </c>
      <c r="Q290" s="5" t="s">
        <v>195</v>
      </c>
      <c r="S290" s="6" t="s">
        <v>302</v>
      </c>
      <c r="T290" s="6">
        <f t="shared" si="15"/>
        <v>289</v>
      </c>
      <c r="U290" s="4" t="s">
        <v>194</v>
      </c>
    </row>
    <row r="291" spans="14:21" x14ac:dyDescent="0.25">
      <c r="N291" s="5" t="s">
        <v>7</v>
      </c>
      <c r="O291" s="5" t="s">
        <v>86</v>
      </c>
      <c r="P291" s="5">
        <f t="shared" si="14"/>
        <v>778</v>
      </c>
      <c r="Q291" s="5" t="s">
        <v>86</v>
      </c>
      <c r="S291" s="6" t="s">
        <v>302</v>
      </c>
      <c r="T291" s="6">
        <f t="shared" si="15"/>
        <v>290</v>
      </c>
      <c r="U291" s="4" t="s">
        <v>194</v>
      </c>
    </row>
    <row r="292" spans="14:21" x14ac:dyDescent="0.25">
      <c r="N292" s="5" t="s">
        <v>2</v>
      </c>
      <c r="O292" s="5" t="s">
        <v>7</v>
      </c>
      <c r="P292" s="5">
        <f t="shared" si="14"/>
        <v>780</v>
      </c>
      <c r="Q292" s="5" t="s">
        <v>0</v>
      </c>
      <c r="S292" s="6" t="s">
        <v>302</v>
      </c>
      <c r="T292" s="6">
        <f t="shared" si="15"/>
        <v>291</v>
      </c>
      <c r="U292" s="4" t="s">
        <v>194</v>
      </c>
    </row>
    <row r="293" spans="14:21" x14ac:dyDescent="0.25">
      <c r="N293" s="5" t="s">
        <v>3</v>
      </c>
      <c r="O293" s="5" t="s">
        <v>191</v>
      </c>
      <c r="P293" s="5">
        <f t="shared" si="14"/>
        <v>782</v>
      </c>
      <c r="Q293" s="5" t="s">
        <v>6</v>
      </c>
      <c r="S293" s="6" t="s">
        <v>302</v>
      </c>
      <c r="T293" s="6">
        <f t="shared" si="15"/>
        <v>292</v>
      </c>
      <c r="U293" s="4" t="s">
        <v>194</v>
      </c>
    </row>
    <row r="294" spans="14:21" x14ac:dyDescent="0.25">
      <c r="N294" s="5" t="s">
        <v>89</v>
      </c>
      <c r="O294" s="5" t="s">
        <v>9</v>
      </c>
      <c r="P294" s="5">
        <f t="shared" si="14"/>
        <v>784</v>
      </c>
      <c r="Q294" s="5" t="s">
        <v>7</v>
      </c>
      <c r="S294" s="6" t="s">
        <v>302</v>
      </c>
      <c r="T294" s="6">
        <f t="shared" si="15"/>
        <v>293</v>
      </c>
      <c r="U294" s="4" t="s">
        <v>194</v>
      </c>
    </row>
    <row r="295" spans="14:21" x14ac:dyDescent="0.25">
      <c r="N295" s="5" t="s">
        <v>195</v>
      </c>
      <c r="O295" s="5" t="s">
        <v>2</v>
      </c>
      <c r="P295" s="5">
        <f t="shared" si="14"/>
        <v>786</v>
      </c>
      <c r="Q295" s="5" t="s">
        <v>195</v>
      </c>
      <c r="S295" s="6" t="s">
        <v>302</v>
      </c>
      <c r="T295" s="6">
        <f t="shared" si="15"/>
        <v>294</v>
      </c>
      <c r="U295" s="4" t="s">
        <v>194</v>
      </c>
    </row>
    <row r="296" spans="14:21" x14ac:dyDescent="0.25">
      <c r="N296" s="5" t="s">
        <v>88</v>
      </c>
      <c r="O296" s="5" t="s">
        <v>0</v>
      </c>
      <c r="P296" s="5">
        <f t="shared" si="14"/>
        <v>788</v>
      </c>
      <c r="Q296" s="5" t="s">
        <v>192</v>
      </c>
      <c r="S296" s="6" t="s">
        <v>302</v>
      </c>
      <c r="T296" s="6">
        <f t="shared" si="15"/>
        <v>295</v>
      </c>
      <c r="U296" s="4" t="s">
        <v>194</v>
      </c>
    </row>
    <row r="297" spans="14:21" x14ac:dyDescent="0.25">
      <c r="N297" s="5" t="s">
        <v>227</v>
      </c>
      <c r="O297" s="5" t="s">
        <v>11</v>
      </c>
      <c r="P297" s="5">
        <f t="shared" si="14"/>
        <v>790</v>
      </c>
      <c r="Q297" s="5" t="s">
        <v>226</v>
      </c>
      <c r="S297" s="6" t="s">
        <v>302</v>
      </c>
      <c r="T297" s="6">
        <f t="shared" si="15"/>
        <v>296</v>
      </c>
      <c r="U297" s="4" t="s">
        <v>194</v>
      </c>
    </row>
    <row r="298" spans="14:21" x14ac:dyDescent="0.25">
      <c r="N298" s="5" t="s">
        <v>227</v>
      </c>
      <c r="O298" s="5" t="s">
        <v>12</v>
      </c>
      <c r="P298" s="5">
        <f t="shared" si="14"/>
        <v>792</v>
      </c>
      <c r="Q298" s="5" t="s">
        <v>0</v>
      </c>
      <c r="S298" s="6" t="s">
        <v>302</v>
      </c>
      <c r="T298" s="6">
        <f t="shared" si="15"/>
        <v>297</v>
      </c>
      <c r="U298" s="4" t="s">
        <v>194</v>
      </c>
    </row>
    <row r="299" spans="14:21" x14ac:dyDescent="0.25">
      <c r="N299" s="5" t="s">
        <v>88</v>
      </c>
      <c r="O299" s="5" t="s">
        <v>86</v>
      </c>
      <c r="P299" s="5">
        <f t="shared" si="14"/>
        <v>794</v>
      </c>
      <c r="Q299" s="5" t="s">
        <v>10</v>
      </c>
      <c r="S299" s="6" t="s">
        <v>302</v>
      </c>
      <c r="T299" s="6">
        <f t="shared" si="15"/>
        <v>298</v>
      </c>
      <c r="U299" s="4" t="s">
        <v>194</v>
      </c>
    </row>
    <row r="300" spans="14:21" x14ac:dyDescent="0.25">
      <c r="N300" s="5" t="s">
        <v>227</v>
      </c>
      <c r="O300" s="5" t="s">
        <v>7</v>
      </c>
      <c r="P300" s="5">
        <f t="shared" si="14"/>
        <v>796</v>
      </c>
      <c r="Q300" s="5" t="s">
        <v>9</v>
      </c>
      <c r="S300" s="6" t="s">
        <v>302</v>
      </c>
      <c r="T300" s="6">
        <f t="shared" si="15"/>
        <v>299</v>
      </c>
      <c r="U300" s="4" t="s">
        <v>194</v>
      </c>
    </row>
    <row r="301" spans="14:21" x14ac:dyDescent="0.25">
      <c r="N301" s="5" t="s">
        <v>227</v>
      </c>
      <c r="O301" s="5" t="s">
        <v>191</v>
      </c>
      <c r="P301" s="5">
        <f t="shared" si="14"/>
        <v>798</v>
      </c>
      <c r="Q301" s="5" t="s">
        <v>191</v>
      </c>
      <c r="S301" s="6" t="s">
        <v>302</v>
      </c>
      <c r="T301" s="6">
        <f t="shared" si="15"/>
        <v>300</v>
      </c>
      <c r="U301" s="4" t="s">
        <v>194</v>
      </c>
    </row>
    <row r="302" spans="14:21" x14ac:dyDescent="0.25">
      <c r="N302" s="5" t="s">
        <v>88</v>
      </c>
      <c r="O302" s="5" t="s">
        <v>9</v>
      </c>
      <c r="P302" s="5">
        <f t="shared" si="14"/>
        <v>800</v>
      </c>
      <c r="Q302" s="5" t="s">
        <v>195</v>
      </c>
      <c r="S302" s="6" t="s">
        <v>302</v>
      </c>
      <c r="T302" s="6">
        <f t="shared" si="15"/>
        <v>301</v>
      </c>
      <c r="U302" s="4" t="s">
        <v>194</v>
      </c>
    </row>
    <row r="303" spans="14:21" x14ac:dyDescent="0.25">
      <c r="N303" s="5" t="s">
        <v>3</v>
      </c>
      <c r="O303" s="5" t="s">
        <v>2</v>
      </c>
      <c r="P303" s="5">
        <f t="shared" si="14"/>
        <v>802</v>
      </c>
      <c r="Q303" s="5" t="s">
        <v>86</v>
      </c>
      <c r="S303" s="6" t="s">
        <v>302</v>
      </c>
      <c r="T303" s="6">
        <f t="shared" si="15"/>
        <v>302</v>
      </c>
      <c r="U303" s="4" t="s">
        <v>194</v>
      </c>
    </row>
    <row r="304" spans="14:21" x14ac:dyDescent="0.25">
      <c r="N304" s="5" t="s">
        <v>5</v>
      </c>
      <c r="O304" s="5" t="s">
        <v>0</v>
      </c>
      <c r="P304" s="5">
        <f t="shared" si="14"/>
        <v>804</v>
      </c>
      <c r="Q304" s="5" t="s">
        <v>88</v>
      </c>
      <c r="S304" s="6" t="s">
        <v>302</v>
      </c>
      <c r="T304" s="6">
        <f t="shared" si="15"/>
        <v>303</v>
      </c>
      <c r="U304" s="4" t="s">
        <v>194</v>
      </c>
    </row>
    <row r="305" spans="14:21" x14ac:dyDescent="0.25">
      <c r="N305" s="5" t="s">
        <v>7</v>
      </c>
      <c r="O305" s="5" t="s">
        <v>11</v>
      </c>
      <c r="P305" s="5">
        <f t="shared" si="14"/>
        <v>806</v>
      </c>
      <c r="Q305" s="5" t="s">
        <v>9</v>
      </c>
      <c r="S305" s="6" t="s">
        <v>302</v>
      </c>
      <c r="T305" s="6">
        <f t="shared" si="15"/>
        <v>304</v>
      </c>
      <c r="U305" s="4" t="s">
        <v>194</v>
      </c>
    </row>
    <row r="306" spans="14:21" x14ac:dyDescent="0.25">
      <c r="N306" s="5" t="s">
        <v>2</v>
      </c>
      <c r="O306" s="5" t="s">
        <v>8</v>
      </c>
      <c r="P306" s="5">
        <f t="shared" si="14"/>
        <v>808</v>
      </c>
      <c r="Q306" s="5" t="s">
        <v>10</v>
      </c>
      <c r="S306" s="6" t="s">
        <v>302</v>
      </c>
      <c r="T306" s="6">
        <f t="shared" si="15"/>
        <v>305</v>
      </c>
      <c r="U306" s="4" t="s">
        <v>194</v>
      </c>
    </row>
    <row r="307" spans="14:21" x14ac:dyDescent="0.25">
      <c r="N307" s="5" t="s">
        <v>3</v>
      </c>
      <c r="O307" s="5" t="s">
        <v>195</v>
      </c>
      <c r="P307" s="5">
        <f t="shared" si="14"/>
        <v>810</v>
      </c>
      <c r="Q307" s="5" t="s">
        <v>194</v>
      </c>
      <c r="S307" s="6" t="s">
        <v>302</v>
      </c>
      <c r="T307" s="6">
        <f t="shared" si="15"/>
        <v>306</v>
      </c>
      <c r="U307" s="4" t="s">
        <v>194</v>
      </c>
    </row>
    <row r="308" spans="14:21" x14ac:dyDescent="0.25">
      <c r="N308" s="5" t="s">
        <v>89</v>
      </c>
      <c r="O308" s="5" t="s">
        <v>4</v>
      </c>
      <c r="P308" s="5">
        <f t="shared" si="14"/>
        <v>812</v>
      </c>
      <c r="Q308" s="5" t="s">
        <v>2</v>
      </c>
      <c r="S308" s="6" t="s">
        <v>302</v>
      </c>
      <c r="T308" s="6">
        <f t="shared" si="15"/>
        <v>307</v>
      </c>
      <c r="U308" s="4" t="s">
        <v>194</v>
      </c>
    </row>
    <row r="309" spans="14:21" x14ac:dyDescent="0.25">
      <c r="N309" s="5" t="s">
        <v>2</v>
      </c>
      <c r="O309" s="5" t="s">
        <v>227</v>
      </c>
      <c r="P309" s="5">
        <f t="shared" si="14"/>
        <v>814</v>
      </c>
      <c r="Q309" s="5" t="s">
        <v>194</v>
      </c>
      <c r="S309" s="6" t="s">
        <v>302</v>
      </c>
      <c r="T309" s="6">
        <f t="shared" si="15"/>
        <v>308</v>
      </c>
      <c r="U309" s="4" t="s">
        <v>194</v>
      </c>
    </row>
    <row r="310" spans="14:21" x14ac:dyDescent="0.25">
      <c r="N310" s="5" t="s">
        <v>3</v>
      </c>
      <c r="O310" s="5" t="s">
        <v>228</v>
      </c>
      <c r="P310" s="5">
        <f t="shared" si="14"/>
        <v>816</v>
      </c>
      <c r="Q310" s="5" t="s">
        <v>194</v>
      </c>
      <c r="S310" s="6" t="s">
        <v>302</v>
      </c>
      <c r="T310" s="6">
        <f t="shared" si="15"/>
        <v>309</v>
      </c>
      <c r="U310" s="4" t="s">
        <v>194</v>
      </c>
    </row>
    <row r="311" spans="14:21" x14ac:dyDescent="0.25">
      <c r="N311" s="5" t="s">
        <v>6</v>
      </c>
      <c r="O311" s="5" t="s">
        <v>194</v>
      </c>
      <c r="P311" s="5">
        <f t="shared" si="14"/>
        <v>818</v>
      </c>
      <c r="Q311" s="5" t="s">
        <v>191</v>
      </c>
      <c r="S311" s="6" t="s">
        <v>302</v>
      </c>
      <c r="T311" s="6">
        <f t="shared" si="15"/>
        <v>310</v>
      </c>
      <c r="U311" s="4" t="s">
        <v>194</v>
      </c>
    </row>
    <row r="312" spans="14:21" x14ac:dyDescent="0.25">
      <c r="N312" s="5" t="s">
        <v>7</v>
      </c>
      <c r="O312" s="5" t="s">
        <v>3</v>
      </c>
      <c r="P312" s="5">
        <f t="shared" si="14"/>
        <v>820</v>
      </c>
      <c r="Q312" s="5" t="s">
        <v>195</v>
      </c>
      <c r="S312" s="6" t="s">
        <v>302</v>
      </c>
      <c r="T312" s="6">
        <f t="shared" si="15"/>
        <v>311</v>
      </c>
      <c r="U312" s="4" t="s">
        <v>194</v>
      </c>
    </row>
    <row r="313" spans="14:21" x14ac:dyDescent="0.25">
      <c r="N313" s="5" t="s">
        <v>86</v>
      </c>
      <c r="O313" s="5" t="s">
        <v>11</v>
      </c>
      <c r="P313" s="5">
        <f t="shared" si="14"/>
        <v>822</v>
      </c>
      <c r="Q313" s="5" t="s">
        <v>86</v>
      </c>
      <c r="S313" s="6" t="s">
        <v>302</v>
      </c>
      <c r="T313" s="6">
        <f t="shared" si="15"/>
        <v>312</v>
      </c>
      <c r="U313" s="4" t="s">
        <v>194</v>
      </c>
    </row>
    <row r="314" spans="14:21" x14ac:dyDescent="0.25">
      <c r="N314" s="5" t="s">
        <v>195</v>
      </c>
      <c r="O314" s="5" t="s">
        <v>0</v>
      </c>
      <c r="P314" s="5">
        <f t="shared" si="14"/>
        <v>824</v>
      </c>
      <c r="Q314" s="5" t="s">
        <v>88</v>
      </c>
      <c r="S314" s="6" t="s">
        <v>302</v>
      </c>
      <c r="T314" s="6">
        <f t="shared" si="15"/>
        <v>313</v>
      </c>
      <c r="U314" s="4" t="s">
        <v>194</v>
      </c>
    </row>
    <row r="315" spans="14:21" x14ac:dyDescent="0.25">
      <c r="N315" s="5" t="s">
        <v>192</v>
      </c>
      <c r="O315" s="5" t="s">
        <v>227</v>
      </c>
      <c r="P315" s="5">
        <f t="shared" si="14"/>
        <v>826</v>
      </c>
      <c r="Q315" s="5" t="s">
        <v>0</v>
      </c>
      <c r="S315" s="6" t="s">
        <v>302</v>
      </c>
      <c r="T315" s="6">
        <f t="shared" si="15"/>
        <v>314</v>
      </c>
      <c r="U315" s="4" t="s">
        <v>194</v>
      </c>
    </row>
    <row r="316" spans="14:21" x14ac:dyDescent="0.25">
      <c r="N316" s="5" t="s">
        <v>2</v>
      </c>
      <c r="O316" s="5" t="s">
        <v>228</v>
      </c>
      <c r="P316" s="5">
        <f t="shared" si="14"/>
        <v>828</v>
      </c>
      <c r="Q316" s="5" t="s">
        <v>6</v>
      </c>
      <c r="S316" s="6" t="s">
        <v>302</v>
      </c>
      <c r="T316" s="6">
        <f t="shared" si="15"/>
        <v>315</v>
      </c>
      <c r="U316" s="4" t="s">
        <v>194</v>
      </c>
    </row>
    <row r="317" spans="14:21" x14ac:dyDescent="0.25">
      <c r="N317" s="5" t="s">
        <v>3</v>
      </c>
      <c r="O317" s="5" t="s">
        <v>194</v>
      </c>
      <c r="P317" s="5">
        <f t="shared" si="14"/>
        <v>830</v>
      </c>
      <c r="Q317" s="5" t="s">
        <v>7</v>
      </c>
      <c r="S317" s="6" t="s">
        <v>302</v>
      </c>
      <c r="T317" s="6">
        <f t="shared" si="15"/>
        <v>316</v>
      </c>
      <c r="U317" s="4" t="s">
        <v>194</v>
      </c>
    </row>
    <row r="318" spans="14:21" x14ac:dyDescent="0.25">
      <c r="N318" s="5" t="s">
        <v>6</v>
      </c>
      <c r="O318" s="5" t="s">
        <v>3</v>
      </c>
      <c r="P318" s="5">
        <f t="shared" si="14"/>
        <v>832</v>
      </c>
      <c r="Q318" s="5" t="s">
        <v>195</v>
      </c>
      <c r="S318" s="6" t="s">
        <v>302</v>
      </c>
      <c r="T318" s="6">
        <f t="shared" si="15"/>
        <v>317</v>
      </c>
      <c r="U318" s="4" t="s">
        <v>194</v>
      </c>
    </row>
    <row r="319" spans="14:21" x14ac:dyDescent="0.25">
      <c r="N319" s="5" t="s">
        <v>7</v>
      </c>
      <c r="O319" s="5" t="s">
        <v>11</v>
      </c>
      <c r="P319" s="5">
        <f t="shared" si="14"/>
        <v>834</v>
      </c>
      <c r="Q319" s="5" t="s">
        <v>192</v>
      </c>
      <c r="S319" s="6" t="s">
        <v>302</v>
      </c>
      <c r="T319" s="6">
        <f t="shared" si="15"/>
        <v>318</v>
      </c>
      <c r="U319" s="4" t="s">
        <v>194</v>
      </c>
    </row>
    <row r="320" spans="14:21" x14ac:dyDescent="0.25">
      <c r="N320" s="5" t="s">
        <v>191</v>
      </c>
      <c r="O320" s="5" t="s">
        <v>0</v>
      </c>
      <c r="P320" s="5">
        <f t="shared" si="14"/>
        <v>836</v>
      </c>
      <c r="Q320" s="5" t="s">
        <v>226</v>
      </c>
      <c r="S320" s="6" t="s">
        <v>302</v>
      </c>
      <c r="T320" s="6">
        <f t="shared" si="15"/>
        <v>319</v>
      </c>
      <c r="U320" s="4" t="s">
        <v>194</v>
      </c>
    </row>
    <row r="321" spans="14:21" x14ac:dyDescent="0.25">
      <c r="N321" s="5" t="s">
        <v>9</v>
      </c>
      <c r="O321" s="5" t="s">
        <v>227</v>
      </c>
      <c r="P321" s="5">
        <f t="shared" si="14"/>
        <v>838</v>
      </c>
      <c r="Q321" s="5" t="s">
        <v>0</v>
      </c>
      <c r="S321" s="6" t="s">
        <v>302</v>
      </c>
      <c r="T321" s="6">
        <f t="shared" si="15"/>
        <v>320</v>
      </c>
      <c r="U321" s="4" t="s">
        <v>194</v>
      </c>
    </row>
    <row r="322" spans="14:21" x14ac:dyDescent="0.25">
      <c r="N322" s="5" t="s">
        <v>2</v>
      </c>
      <c r="O322" s="5" t="s">
        <v>227</v>
      </c>
      <c r="P322" s="5">
        <f t="shared" si="14"/>
        <v>840</v>
      </c>
      <c r="Q322" s="5" t="s">
        <v>6</v>
      </c>
      <c r="S322" s="6" t="s">
        <v>302</v>
      </c>
      <c r="T322" s="6">
        <f t="shared" si="15"/>
        <v>321</v>
      </c>
      <c r="U322" s="4" t="s">
        <v>194</v>
      </c>
    </row>
    <row r="323" spans="14:21" x14ac:dyDescent="0.25">
      <c r="N323" s="5" t="s">
        <v>3</v>
      </c>
      <c r="O323" s="5" t="s">
        <v>228</v>
      </c>
      <c r="P323" s="5">
        <f t="shared" si="14"/>
        <v>842</v>
      </c>
      <c r="Q323" s="5" t="s">
        <v>7</v>
      </c>
      <c r="S323" s="6" t="s">
        <v>302</v>
      </c>
      <c r="T323" s="6">
        <f t="shared" si="15"/>
        <v>322</v>
      </c>
      <c r="U323" s="4" t="s">
        <v>194</v>
      </c>
    </row>
    <row r="324" spans="14:21" x14ac:dyDescent="0.25">
      <c r="N324" s="5" t="s">
        <v>6</v>
      </c>
      <c r="O324" s="5" t="s">
        <v>194</v>
      </c>
      <c r="P324" s="5">
        <f t="shared" ref="P324:P387" si="16">P323+2</f>
        <v>844</v>
      </c>
      <c r="Q324" s="5" t="s">
        <v>195</v>
      </c>
      <c r="S324" s="6" t="s">
        <v>302</v>
      </c>
      <c r="T324" s="6">
        <f t="shared" si="15"/>
        <v>323</v>
      </c>
      <c r="U324" s="4" t="s">
        <v>194</v>
      </c>
    </row>
    <row r="325" spans="14:21" x14ac:dyDescent="0.25">
      <c r="N325" s="5" t="s">
        <v>7</v>
      </c>
      <c r="O325" s="5" t="s">
        <v>3</v>
      </c>
      <c r="P325" s="5">
        <f t="shared" si="16"/>
        <v>846</v>
      </c>
      <c r="Q325" s="5" t="s">
        <v>8</v>
      </c>
      <c r="S325" s="6" t="s">
        <v>302</v>
      </c>
      <c r="T325" s="6">
        <f t="shared" ref="T325:T388" si="17">T324+1</f>
        <v>324</v>
      </c>
      <c r="U325" s="4" t="s">
        <v>194</v>
      </c>
    </row>
    <row r="326" spans="14:21" x14ac:dyDescent="0.25">
      <c r="N326" s="5" t="s">
        <v>86</v>
      </c>
      <c r="O326" s="5" t="s">
        <v>11</v>
      </c>
      <c r="P326" s="5">
        <f t="shared" si="16"/>
        <v>848</v>
      </c>
      <c r="Q326" s="5" t="s">
        <v>195</v>
      </c>
      <c r="S326" s="6" t="s">
        <v>302</v>
      </c>
      <c r="T326" s="6">
        <f t="shared" si="17"/>
        <v>325</v>
      </c>
      <c r="U326" s="4" t="s">
        <v>194</v>
      </c>
    </row>
    <row r="327" spans="14:21" x14ac:dyDescent="0.25">
      <c r="N327" s="5" t="s">
        <v>195</v>
      </c>
      <c r="O327" s="5" t="s">
        <v>0</v>
      </c>
      <c r="P327" s="5">
        <f t="shared" si="16"/>
        <v>850</v>
      </c>
      <c r="Q327" s="5" t="s">
        <v>86</v>
      </c>
      <c r="S327" s="6" t="s">
        <v>302</v>
      </c>
      <c r="T327" s="6">
        <f t="shared" si="17"/>
        <v>326</v>
      </c>
      <c r="U327" s="4" t="s">
        <v>194</v>
      </c>
    </row>
    <row r="328" spans="14:21" x14ac:dyDescent="0.25">
      <c r="N328" s="5" t="s">
        <v>192</v>
      </c>
      <c r="O328" s="5" t="s">
        <v>227</v>
      </c>
      <c r="P328" s="5">
        <f t="shared" si="16"/>
        <v>852</v>
      </c>
      <c r="Q328" s="5" t="s">
        <v>0</v>
      </c>
      <c r="S328" s="6" t="s">
        <v>302</v>
      </c>
      <c r="T328" s="6">
        <f t="shared" si="17"/>
        <v>327</v>
      </c>
      <c r="U328" s="4" t="s">
        <v>194</v>
      </c>
    </row>
    <row r="329" spans="14:21" x14ac:dyDescent="0.25">
      <c r="N329" s="5" t="s">
        <v>0</v>
      </c>
      <c r="O329" s="5" t="s">
        <v>226</v>
      </c>
      <c r="P329" s="5">
        <f t="shared" si="16"/>
        <v>854</v>
      </c>
      <c r="Q329" s="5" t="s">
        <v>6</v>
      </c>
      <c r="S329" s="6" t="s">
        <v>302</v>
      </c>
      <c r="T329" s="6">
        <f t="shared" si="17"/>
        <v>328</v>
      </c>
      <c r="U329" s="4" t="s">
        <v>194</v>
      </c>
    </row>
    <row r="330" spans="14:21" x14ac:dyDescent="0.25">
      <c r="N330" s="5" t="s">
        <v>3</v>
      </c>
      <c r="O330" s="5" t="s">
        <v>4</v>
      </c>
      <c r="P330" s="5">
        <f t="shared" si="16"/>
        <v>856</v>
      </c>
      <c r="Q330" s="5" t="s">
        <v>7</v>
      </c>
      <c r="S330" s="6" t="s">
        <v>302</v>
      </c>
      <c r="T330" s="6">
        <f t="shared" si="17"/>
        <v>329</v>
      </c>
      <c r="U330" s="4" t="s">
        <v>194</v>
      </c>
    </row>
    <row r="331" spans="14:21" x14ac:dyDescent="0.25">
      <c r="N331" s="5" t="s">
        <v>5</v>
      </c>
      <c r="O331" s="5" t="s">
        <v>12</v>
      </c>
      <c r="P331" s="5">
        <f t="shared" si="16"/>
        <v>858</v>
      </c>
      <c r="Q331" s="5" t="s">
        <v>195</v>
      </c>
      <c r="S331" s="6" t="s">
        <v>302</v>
      </c>
      <c r="T331" s="6">
        <f t="shared" si="17"/>
        <v>330</v>
      </c>
      <c r="U331" s="4" t="s">
        <v>194</v>
      </c>
    </row>
    <row r="332" spans="14:21" x14ac:dyDescent="0.25">
      <c r="N332" s="5" t="s">
        <v>7</v>
      </c>
      <c r="O332" s="5" t="s">
        <v>86</v>
      </c>
      <c r="P332" s="5">
        <f t="shared" si="16"/>
        <v>860</v>
      </c>
      <c r="Q332" s="5" t="s">
        <v>192</v>
      </c>
      <c r="S332" s="6" t="s">
        <v>302</v>
      </c>
      <c r="T332" s="6">
        <f t="shared" si="17"/>
        <v>331</v>
      </c>
      <c r="U332" s="4" t="s">
        <v>194</v>
      </c>
    </row>
    <row r="333" spans="14:21" x14ac:dyDescent="0.25">
      <c r="N333" s="5" t="s">
        <v>2</v>
      </c>
      <c r="O333" s="5" t="s">
        <v>7</v>
      </c>
      <c r="P333" s="5">
        <f t="shared" si="16"/>
        <v>862</v>
      </c>
      <c r="Q333" s="5" t="s">
        <v>226</v>
      </c>
      <c r="S333" s="6" t="s">
        <v>302</v>
      </c>
      <c r="T333" s="6">
        <f t="shared" si="17"/>
        <v>332</v>
      </c>
      <c r="U333" s="4" t="s">
        <v>194</v>
      </c>
    </row>
    <row r="334" spans="14:21" x14ac:dyDescent="0.25">
      <c r="N334" s="5" t="s">
        <v>3</v>
      </c>
      <c r="O334" s="5" t="s">
        <v>191</v>
      </c>
      <c r="P334" s="5">
        <f t="shared" si="16"/>
        <v>864</v>
      </c>
      <c r="Q334" s="5" t="s">
        <v>0</v>
      </c>
      <c r="S334" s="6" t="s">
        <v>302</v>
      </c>
      <c r="T334" s="6">
        <f t="shared" si="17"/>
        <v>333</v>
      </c>
      <c r="U334" s="4" t="s">
        <v>194</v>
      </c>
    </row>
    <row r="335" spans="14:21" x14ac:dyDescent="0.25">
      <c r="N335" s="5" t="s">
        <v>89</v>
      </c>
      <c r="O335" s="5" t="s">
        <v>9</v>
      </c>
      <c r="P335" s="5">
        <f t="shared" si="16"/>
        <v>866</v>
      </c>
      <c r="Q335" s="5" t="s">
        <v>10</v>
      </c>
      <c r="S335" s="6" t="s">
        <v>302</v>
      </c>
      <c r="T335" s="6">
        <f t="shared" si="17"/>
        <v>334</v>
      </c>
      <c r="U335" s="4" t="s">
        <v>194</v>
      </c>
    </row>
    <row r="336" spans="14:21" x14ac:dyDescent="0.25">
      <c r="N336" s="5" t="s">
        <v>195</v>
      </c>
      <c r="O336" s="5" t="s">
        <v>2</v>
      </c>
      <c r="P336" s="5">
        <f t="shared" si="16"/>
        <v>868</v>
      </c>
      <c r="Q336" s="5" t="s">
        <v>9</v>
      </c>
      <c r="S336" s="6" t="s">
        <v>302</v>
      </c>
      <c r="T336" s="6">
        <f t="shared" si="17"/>
        <v>335</v>
      </c>
      <c r="U336" s="4" t="s">
        <v>194</v>
      </c>
    </row>
    <row r="337" spans="14:21" x14ac:dyDescent="0.25">
      <c r="N337" s="5" t="s">
        <v>88</v>
      </c>
      <c r="O337" s="5" t="s">
        <v>0</v>
      </c>
      <c r="P337" s="5">
        <f t="shared" si="16"/>
        <v>870</v>
      </c>
      <c r="Q337" s="5" t="s">
        <v>191</v>
      </c>
      <c r="S337" s="6" t="s">
        <v>302</v>
      </c>
      <c r="T337" s="6">
        <f t="shared" si="17"/>
        <v>336</v>
      </c>
      <c r="U337" s="4" t="s">
        <v>194</v>
      </c>
    </row>
    <row r="338" spans="14:21" x14ac:dyDescent="0.25">
      <c r="N338" s="5" t="s">
        <v>227</v>
      </c>
      <c r="O338" s="5" t="s">
        <v>11</v>
      </c>
      <c r="P338" s="5">
        <f t="shared" si="16"/>
        <v>872</v>
      </c>
      <c r="Q338" s="5" t="s">
        <v>195</v>
      </c>
      <c r="S338" s="6" t="s">
        <v>302</v>
      </c>
      <c r="T338" s="6">
        <f t="shared" si="17"/>
        <v>337</v>
      </c>
      <c r="U338" s="4" t="s">
        <v>194</v>
      </c>
    </row>
    <row r="339" spans="14:21" x14ac:dyDescent="0.25">
      <c r="N339" s="5" t="s">
        <v>227</v>
      </c>
      <c r="O339" s="5" t="s">
        <v>12</v>
      </c>
      <c r="P339" s="5">
        <f t="shared" si="16"/>
        <v>874</v>
      </c>
      <c r="Q339" s="5" t="s">
        <v>86</v>
      </c>
      <c r="S339" s="6" t="s">
        <v>302</v>
      </c>
      <c r="T339" s="6">
        <f t="shared" si="17"/>
        <v>338</v>
      </c>
      <c r="U339" s="4" t="s">
        <v>194</v>
      </c>
    </row>
    <row r="340" spans="14:21" x14ac:dyDescent="0.25">
      <c r="N340" s="5" t="s">
        <v>88</v>
      </c>
      <c r="O340" s="5" t="s">
        <v>86</v>
      </c>
      <c r="P340" s="5">
        <f t="shared" si="16"/>
        <v>876</v>
      </c>
      <c r="Q340" s="5" t="s">
        <v>88</v>
      </c>
      <c r="S340" s="6" t="s">
        <v>302</v>
      </c>
      <c r="T340" s="6">
        <f t="shared" si="17"/>
        <v>339</v>
      </c>
      <c r="U340" s="4" t="s">
        <v>194</v>
      </c>
    </row>
    <row r="341" spans="14:21" x14ac:dyDescent="0.25">
      <c r="N341" s="5" t="s">
        <v>227</v>
      </c>
      <c r="O341" s="5" t="s">
        <v>7</v>
      </c>
      <c r="P341" s="5">
        <f t="shared" si="16"/>
        <v>878</v>
      </c>
      <c r="Q341" s="5" t="s">
        <v>9</v>
      </c>
      <c r="S341" s="6" t="s">
        <v>302</v>
      </c>
      <c r="T341" s="6">
        <f t="shared" si="17"/>
        <v>340</v>
      </c>
      <c r="U341" s="4" t="s">
        <v>194</v>
      </c>
    </row>
    <row r="342" spans="14:21" x14ac:dyDescent="0.25">
      <c r="N342" s="5" t="s">
        <v>227</v>
      </c>
      <c r="O342" s="5" t="s">
        <v>191</v>
      </c>
      <c r="P342" s="5">
        <f t="shared" si="16"/>
        <v>880</v>
      </c>
      <c r="Q342" s="5" t="s">
        <v>10</v>
      </c>
      <c r="S342" s="6" t="s">
        <v>302</v>
      </c>
      <c r="T342" s="6">
        <f t="shared" si="17"/>
        <v>341</v>
      </c>
      <c r="U342" s="4" t="s">
        <v>194</v>
      </c>
    </row>
    <row r="343" spans="14:21" x14ac:dyDescent="0.25">
      <c r="N343" s="5" t="s">
        <v>88</v>
      </c>
      <c r="O343" s="5" t="s">
        <v>9</v>
      </c>
      <c r="P343" s="5">
        <f t="shared" si="16"/>
        <v>882</v>
      </c>
      <c r="Q343" s="5" t="s">
        <v>194</v>
      </c>
      <c r="S343" s="6" t="s">
        <v>302</v>
      </c>
      <c r="T343" s="6">
        <f t="shared" si="17"/>
        <v>342</v>
      </c>
      <c r="U343" s="4" t="s">
        <v>194</v>
      </c>
    </row>
    <row r="344" spans="14:21" x14ac:dyDescent="0.25">
      <c r="N344" s="5" t="s">
        <v>3</v>
      </c>
      <c r="O344" s="5" t="s">
        <v>2</v>
      </c>
      <c r="P344" s="5">
        <f t="shared" si="16"/>
        <v>884</v>
      </c>
      <c r="Q344" s="5" t="s">
        <v>2</v>
      </c>
      <c r="S344" s="6" t="s">
        <v>302</v>
      </c>
      <c r="T344" s="6">
        <f t="shared" si="17"/>
        <v>343</v>
      </c>
      <c r="U344" s="4" t="s">
        <v>194</v>
      </c>
    </row>
    <row r="345" spans="14:21" x14ac:dyDescent="0.25">
      <c r="N345" s="5" t="s">
        <v>5</v>
      </c>
      <c r="O345" s="5" t="s">
        <v>0</v>
      </c>
      <c r="P345" s="5">
        <f t="shared" si="16"/>
        <v>886</v>
      </c>
      <c r="Q345" s="5" t="s">
        <v>194</v>
      </c>
      <c r="S345" s="6" t="s">
        <v>302</v>
      </c>
      <c r="T345" s="6">
        <f t="shared" si="17"/>
        <v>344</v>
      </c>
      <c r="U345" s="4" t="s">
        <v>194</v>
      </c>
    </row>
    <row r="346" spans="14:21" x14ac:dyDescent="0.25">
      <c r="N346" s="5" t="s">
        <v>7</v>
      </c>
      <c r="O346" s="5" t="s">
        <v>11</v>
      </c>
      <c r="P346" s="5">
        <f t="shared" si="16"/>
        <v>888</v>
      </c>
      <c r="Q346" s="5" t="s">
        <v>194</v>
      </c>
      <c r="S346" s="6" t="s">
        <v>302</v>
      </c>
      <c r="T346" s="6">
        <f t="shared" si="17"/>
        <v>345</v>
      </c>
      <c r="U346" s="4" t="s">
        <v>194</v>
      </c>
    </row>
    <row r="347" spans="14:21" x14ac:dyDescent="0.25">
      <c r="N347" s="5" t="s">
        <v>2</v>
      </c>
      <c r="O347" s="5" t="s">
        <v>8</v>
      </c>
      <c r="P347" s="5">
        <f t="shared" si="16"/>
        <v>890</v>
      </c>
      <c r="Q347" s="5" t="s">
        <v>191</v>
      </c>
      <c r="S347" s="6" t="s">
        <v>302</v>
      </c>
      <c r="T347" s="6">
        <f t="shared" si="17"/>
        <v>346</v>
      </c>
      <c r="U347" s="4" t="s">
        <v>194</v>
      </c>
    </row>
    <row r="348" spans="14:21" x14ac:dyDescent="0.25">
      <c r="N348" s="5" t="s">
        <v>3</v>
      </c>
      <c r="O348" s="5" t="s">
        <v>195</v>
      </c>
      <c r="P348" s="5">
        <f t="shared" si="16"/>
        <v>892</v>
      </c>
      <c r="Q348" s="5" t="s">
        <v>195</v>
      </c>
      <c r="S348" s="6" t="s">
        <v>302</v>
      </c>
      <c r="T348" s="6">
        <f t="shared" si="17"/>
        <v>347</v>
      </c>
      <c r="U348" s="4" t="s">
        <v>194</v>
      </c>
    </row>
    <row r="349" spans="14:21" x14ac:dyDescent="0.25">
      <c r="N349" s="5" t="s">
        <v>89</v>
      </c>
      <c r="O349" s="5" t="s">
        <v>4</v>
      </c>
      <c r="P349" s="5">
        <f t="shared" si="16"/>
        <v>894</v>
      </c>
      <c r="Q349" s="5" t="s">
        <v>86</v>
      </c>
      <c r="S349" s="6" t="s">
        <v>302</v>
      </c>
      <c r="T349" s="6">
        <f t="shared" si="17"/>
        <v>348</v>
      </c>
      <c r="U349" s="4" t="s">
        <v>194</v>
      </c>
    </row>
    <row r="350" spans="14:21" x14ac:dyDescent="0.25">
      <c r="N350" s="5" t="s">
        <v>2</v>
      </c>
      <c r="O350" s="5" t="s">
        <v>227</v>
      </c>
      <c r="P350" s="5">
        <f t="shared" si="16"/>
        <v>896</v>
      </c>
      <c r="Q350" s="5" t="s">
        <v>88</v>
      </c>
      <c r="S350" s="6" t="s">
        <v>302</v>
      </c>
      <c r="T350" s="6">
        <f t="shared" si="17"/>
        <v>349</v>
      </c>
      <c r="U350" s="4" t="s">
        <v>194</v>
      </c>
    </row>
    <row r="351" spans="14:21" x14ac:dyDescent="0.25">
      <c r="N351" s="5" t="s">
        <v>3</v>
      </c>
      <c r="O351" s="5" t="s">
        <v>228</v>
      </c>
      <c r="P351" s="5">
        <f t="shared" si="16"/>
        <v>898</v>
      </c>
      <c r="Q351" s="5" t="s">
        <v>0</v>
      </c>
      <c r="S351" s="6" t="s">
        <v>302</v>
      </c>
      <c r="T351" s="6">
        <f t="shared" si="17"/>
        <v>350</v>
      </c>
      <c r="U351" s="4" t="s">
        <v>194</v>
      </c>
    </row>
    <row r="352" spans="14:21" x14ac:dyDescent="0.25">
      <c r="N352" s="5" t="s">
        <v>6</v>
      </c>
      <c r="O352" s="5" t="s">
        <v>194</v>
      </c>
      <c r="P352" s="5">
        <f t="shared" si="16"/>
        <v>900</v>
      </c>
      <c r="Q352" s="5" t="s">
        <v>6</v>
      </c>
      <c r="S352" s="6" t="s">
        <v>302</v>
      </c>
      <c r="T352" s="6">
        <f t="shared" si="17"/>
        <v>351</v>
      </c>
      <c r="U352" s="4" t="s">
        <v>194</v>
      </c>
    </row>
    <row r="353" spans="14:21" x14ac:dyDescent="0.25">
      <c r="N353" s="5" t="s">
        <v>7</v>
      </c>
      <c r="O353" s="5" t="s">
        <v>3</v>
      </c>
      <c r="P353" s="5">
        <f t="shared" si="16"/>
        <v>902</v>
      </c>
      <c r="Q353" s="5" t="s">
        <v>7</v>
      </c>
      <c r="S353" s="6" t="s">
        <v>302</v>
      </c>
      <c r="T353" s="6">
        <f t="shared" si="17"/>
        <v>352</v>
      </c>
      <c r="U353" s="4" t="s">
        <v>194</v>
      </c>
    </row>
    <row r="354" spans="14:21" x14ac:dyDescent="0.25">
      <c r="N354" s="5" t="s">
        <v>86</v>
      </c>
      <c r="O354" s="5" t="s">
        <v>11</v>
      </c>
      <c r="P354" s="5">
        <f t="shared" si="16"/>
        <v>904</v>
      </c>
      <c r="Q354" s="5" t="s">
        <v>195</v>
      </c>
      <c r="S354" s="6" t="s">
        <v>302</v>
      </c>
      <c r="T354" s="6">
        <f t="shared" si="17"/>
        <v>353</v>
      </c>
      <c r="U354" s="4" t="s">
        <v>194</v>
      </c>
    </row>
    <row r="355" spans="14:21" x14ac:dyDescent="0.25">
      <c r="N355" s="5" t="s">
        <v>195</v>
      </c>
      <c r="O355" s="5" t="s">
        <v>0</v>
      </c>
      <c r="P355" s="5">
        <f t="shared" si="16"/>
        <v>906</v>
      </c>
      <c r="Q355" s="5" t="s">
        <v>192</v>
      </c>
      <c r="S355" s="6" t="s">
        <v>302</v>
      </c>
      <c r="T355" s="6">
        <f t="shared" si="17"/>
        <v>354</v>
      </c>
      <c r="U355" s="4" t="s">
        <v>194</v>
      </c>
    </row>
    <row r="356" spans="14:21" x14ac:dyDescent="0.25">
      <c r="N356" s="5" t="s">
        <v>192</v>
      </c>
      <c r="O356" s="5" t="s">
        <v>227</v>
      </c>
      <c r="P356" s="5">
        <f t="shared" si="16"/>
        <v>908</v>
      </c>
      <c r="Q356" s="5" t="s">
        <v>226</v>
      </c>
      <c r="S356" s="6" t="s">
        <v>302</v>
      </c>
      <c r="T356" s="6">
        <f t="shared" si="17"/>
        <v>355</v>
      </c>
      <c r="U356" s="4" t="s">
        <v>194</v>
      </c>
    </row>
    <row r="357" spans="14:21" x14ac:dyDescent="0.25">
      <c r="N357" s="5" t="s">
        <v>2</v>
      </c>
      <c r="O357" s="5" t="s">
        <v>228</v>
      </c>
      <c r="P357" s="5">
        <f t="shared" si="16"/>
        <v>910</v>
      </c>
      <c r="Q357" s="5" t="s">
        <v>0</v>
      </c>
      <c r="S357" s="6" t="s">
        <v>302</v>
      </c>
      <c r="T357" s="6">
        <f t="shared" si="17"/>
        <v>356</v>
      </c>
      <c r="U357" s="4" t="s">
        <v>194</v>
      </c>
    </row>
    <row r="358" spans="14:21" x14ac:dyDescent="0.25">
      <c r="N358" s="5" t="s">
        <v>3</v>
      </c>
      <c r="O358" s="5" t="s">
        <v>194</v>
      </c>
      <c r="P358" s="5">
        <f t="shared" si="16"/>
        <v>912</v>
      </c>
      <c r="Q358" s="5" t="s">
        <v>6</v>
      </c>
      <c r="S358" s="6" t="s">
        <v>302</v>
      </c>
      <c r="T358" s="6">
        <f t="shared" si="17"/>
        <v>357</v>
      </c>
      <c r="U358" s="4" t="s">
        <v>194</v>
      </c>
    </row>
    <row r="359" spans="14:21" x14ac:dyDescent="0.25">
      <c r="N359" s="5" t="s">
        <v>6</v>
      </c>
      <c r="O359" s="5" t="s">
        <v>3</v>
      </c>
      <c r="P359" s="5">
        <f t="shared" si="16"/>
        <v>914</v>
      </c>
      <c r="Q359" s="5" t="s">
        <v>7</v>
      </c>
      <c r="S359" s="6" t="s">
        <v>302</v>
      </c>
      <c r="T359" s="6">
        <f t="shared" si="17"/>
        <v>358</v>
      </c>
      <c r="U359" s="4" t="s">
        <v>194</v>
      </c>
    </row>
    <row r="360" spans="14:21" x14ac:dyDescent="0.25">
      <c r="N360" s="5" t="s">
        <v>7</v>
      </c>
      <c r="O360" s="5" t="s">
        <v>11</v>
      </c>
      <c r="P360" s="5">
        <f t="shared" si="16"/>
        <v>916</v>
      </c>
      <c r="Q360" s="5" t="s">
        <v>195</v>
      </c>
      <c r="S360" s="6" t="s">
        <v>302</v>
      </c>
      <c r="T360" s="6">
        <f t="shared" si="17"/>
        <v>359</v>
      </c>
      <c r="U360" s="4" t="s">
        <v>194</v>
      </c>
    </row>
    <row r="361" spans="14:21" x14ac:dyDescent="0.25">
      <c r="N361" s="5" t="s">
        <v>191</v>
      </c>
      <c r="O361" s="5" t="s">
        <v>0</v>
      </c>
      <c r="P361" s="5">
        <f t="shared" si="16"/>
        <v>918</v>
      </c>
      <c r="Q361" s="5" t="s">
        <v>8</v>
      </c>
      <c r="S361" s="6" t="s">
        <v>302</v>
      </c>
      <c r="T361" s="6">
        <f t="shared" si="17"/>
        <v>360</v>
      </c>
      <c r="U361" s="4" t="s">
        <v>194</v>
      </c>
    </row>
    <row r="362" spans="14:21" x14ac:dyDescent="0.25">
      <c r="N362" s="5" t="s">
        <v>9</v>
      </c>
      <c r="O362" s="5" t="s">
        <v>227</v>
      </c>
      <c r="P362" s="5">
        <f t="shared" si="16"/>
        <v>920</v>
      </c>
      <c r="Q362" s="5" t="s">
        <v>195</v>
      </c>
      <c r="S362" s="6" t="s">
        <v>302</v>
      </c>
      <c r="T362" s="6">
        <f t="shared" si="17"/>
        <v>361</v>
      </c>
      <c r="U362" s="4" t="s">
        <v>194</v>
      </c>
    </row>
    <row r="363" spans="14:21" x14ac:dyDescent="0.25">
      <c r="N363" s="5" t="s">
        <v>2</v>
      </c>
      <c r="O363" s="5" t="s">
        <v>227</v>
      </c>
      <c r="P363" s="5">
        <f t="shared" si="16"/>
        <v>922</v>
      </c>
      <c r="Q363" s="5" t="s">
        <v>86</v>
      </c>
      <c r="S363" s="6" t="s">
        <v>302</v>
      </c>
      <c r="T363" s="6">
        <f t="shared" si="17"/>
        <v>362</v>
      </c>
      <c r="U363" s="4" t="s">
        <v>194</v>
      </c>
    </row>
    <row r="364" spans="14:21" x14ac:dyDescent="0.25">
      <c r="N364" s="5" t="s">
        <v>3</v>
      </c>
      <c r="O364" s="5" t="s">
        <v>228</v>
      </c>
      <c r="P364" s="5">
        <f t="shared" si="16"/>
        <v>924</v>
      </c>
      <c r="Q364" s="5" t="s">
        <v>0</v>
      </c>
      <c r="S364" s="6" t="s">
        <v>302</v>
      </c>
      <c r="T364" s="6">
        <f t="shared" si="17"/>
        <v>363</v>
      </c>
      <c r="U364" s="4" t="s">
        <v>194</v>
      </c>
    </row>
    <row r="365" spans="14:21" x14ac:dyDescent="0.25">
      <c r="N365" s="5" t="s">
        <v>6</v>
      </c>
      <c r="O365" s="5" t="s">
        <v>194</v>
      </c>
      <c r="P365" s="5">
        <f t="shared" si="16"/>
        <v>926</v>
      </c>
      <c r="Q365" s="5" t="s">
        <v>6</v>
      </c>
      <c r="S365" s="6" t="s">
        <v>302</v>
      </c>
      <c r="T365" s="6">
        <f t="shared" si="17"/>
        <v>364</v>
      </c>
      <c r="U365" s="4" t="s">
        <v>194</v>
      </c>
    </row>
    <row r="366" spans="14:21" x14ac:dyDescent="0.25">
      <c r="N366" s="5" t="s">
        <v>7</v>
      </c>
      <c r="O366" s="5" t="s">
        <v>3</v>
      </c>
      <c r="P366" s="5">
        <f t="shared" si="16"/>
        <v>928</v>
      </c>
      <c r="Q366" s="5" t="s">
        <v>7</v>
      </c>
      <c r="S366" s="6" t="s">
        <v>302</v>
      </c>
      <c r="T366" s="6">
        <f t="shared" si="17"/>
        <v>365</v>
      </c>
      <c r="U366" s="4" t="s">
        <v>194</v>
      </c>
    </row>
    <row r="367" spans="14:21" x14ac:dyDescent="0.25">
      <c r="N367" s="5" t="s">
        <v>86</v>
      </c>
      <c r="O367" s="5" t="s">
        <v>11</v>
      </c>
      <c r="P367" s="5">
        <f t="shared" si="16"/>
        <v>930</v>
      </c>
      <c r="Q367" s="5" t="s">
        <v>195</v>
      </c>
      <c r="S367" s="6" t="s">
        <v>302</v>
      </c>
      <c r="T367" s="6">
        <f t="shared" si="17"/>
        <v>366</v>
      </c>
      <c r="U367" s="4" t="s">
        <v>194</v>
      </c>
    </row>
    <row r="368" spans="14:21" x14ac:dyDescent="0.25">
      <c r="N368" s="5" t="s">
        <v>195</v>
      </c>
      <c r="O368" s="5" t="s">
        <v>0</v>
      </c>
      <c r="P368" s="5">
        <f t="shared" si="16"/>
        <v>932</v>
      </c>
      <c r="Q368" s="5" t="s">
        <v>192</v>
      </c>
      <c r="S368" s="6" t="s">
        <v>302</v>
      </c>
      <c r="T368" s="6">
        <f t="shared" si="17"/>
        <v>367</v>
      </c>
      <c r="U368" s="4" t="s">
        <v>194</v>
      </c>
    </row>
    <row r="369" spans="14:21" x14ac:dyDescent="0.25">
      <c r="N369" s="5" t="s">
        <v>192</v>
      </c>
      <c r="O369" s="5" t="s">
        <v>227</v>
      </c>
      <c r="P369" s="5">
        <f t="shared" si="16"/>
        <v>934</v>
      </c>
      <c r="Q369" s="5" t="s">
        <v>226</v>
      </c>
      <c r="S369" s="6" t="s">
        <v>302</v>
      </c>
      <c r="T369" s="6">
        <f t="shared" si="17"/>
        <v>368</v>
      </c>
      <c r="U369" s="4" t="s">
        <v>194</v>
      </c>
    </row>
    <row r="370" spans="14:21" x14ac:dyDescent="0.25">
      <c r="N370" s="5" t="s">
        <v>0</v>
      </c>
      <c r="O370" s="5" t="s">
        <v>226</v>
      </c>
      <c r="P370" s="5">
        <f t="shared" si="16"/>
        <v>936</v>
      </c>
      <c r="Q370" s="5" t="s">
        <v>0</v>
      </c>
      <c r="S370" s="6" t="s">
        <v>302</v>
      </c>
      <c r="T370" s="6">
        <f t="shared" si="17"/>
        <v>369</v>
      </c>
      <c r="U370" s="4" t="s">
        <v>194</v>
      </c>
    </row>
    <row r="371" spans="14:21" x14ac:dyDescent="0.25">
      <c r="N371" s="5" t="s">
        <v>3</v>
      </c>
      <c r="O371" s="5" t="s">
        <v>4</v>
      </c>
      <c r="P371" s="5">
        <f t="shared" si="16"/>
        <v>938</v>
      </c>
      <c r="Q371" s="5" t="s">
        <v>10</v>
      </c>
      <c r="S371" s="6" t="s">
        <v>302</v>
      </c>
      <c r="T371" s="6">
        <f t="shared" si="17"/>
        <v>370</v>
      </c>
      <c r="U371" s="4" t="s">
        <v>194</v>
      </c>
    </row>
    <row r="372" spans="14:21" x14ac:dyDescent="0.25">
      <c r="N372" s="5" t="s">
        <v>5</v>
      </c>
      <c r="O372" s="5" t="s">
        <v>12</v>
      </c>
      <c r="P372" s="5">
        <f t="shared" si="16"/>
        <v>940</v>
      </c>
      <c r="Q372" s="5" t="s">
        <v>9</v>
      </c>
      <c r="S372" s="6" t="s">
        <v>302</v>
      </c>
      <c r="T372" s="6">
        <f t="shared" si="17"/>
        <v>371</v>
      </c>
      <c r="U372" s="4" t="s">
        <v>194</v>
      </c>
    </row>
    <row r="373" spans="14:21" x14ac:dyDescent="0.25">
      <c r="N373" s="5" t="s">
        <v>7</v>
      </c>
      <c r="O373" s="5" t="s">
        <v>86</v>
      </c>
      <c r="P373" s="5">
        <f t="shared" si="16"/>
        <v>942</v>
      </c>
      <c r="Q373" s="5" t="s">
        <v>191</v>
      </c>
      <c r="S373" s="6" t="s">
        <v>302</v>
      </c>
      <c r="T373" s="6">
        <f t="shared" si="17"/>
        <v>372</v>
      </c>
      <c r="U373" s="4" t="s">
        <v>194</v>
      </c>
    </row>
    <row r="374" spans="14:21" x14ac:dyDescent="0.25">
      <c r="N374" s="5" t="s">
        <v>2</v>
      </c>
      <c r="O374" s="5" t="s">
        <v>7</v>
      </c>
      <c r="P374" s="5">
        <f t="shared" si="16"/>
        <v>944</v>
      </c>
      <c r="Q374" s="5" t="s">
        <v>195</v>
      </c>
      <c r="S374" s="6" t="s">
        <v>302</v>
      </c>
      <c r="T374" s="6">
        <f t="shared" si="17"/>
        <v>373</v>
      </c>
      <c r="U374" s="4" t="s">
        <v>194</v>
      </c>
    </row>
    <row r="375" spans="14:21" x14ac:dyDescent="0.25">
      <c r="N375" s="5" t="s">
        <v>3</v>
      </c>
      <c r="O375" s="5" t="s">
        <v>191</v>
      </c>
      <c r="P375" s="5">
        <f t="shared" si="16"/>
        <v>946</v>
      </c>
      <c r="Q375" s="5" t="s">
        <v>86</v>
      </c>
      <c r="S375" s="6" t="s">
        <v>302</v>
      </c>
      <c r="T375" s="6">
        <f t="shared" si="17"/>
        <v>374</v>
      </c>
      <c r="U375" s="4" t="s">
        <v>194</v>
      </c>
    </row>
    <row r="376" spans="14:21" x14ac:dyDescent="0.25">
      <c r="N376" s="5" t="s">
        <v>89</v>
      </c>
      <c r="O376" s="5" t="s">
        <v>9</v>
      </c>
      <c r="P376" s="5">
        <f t="shared" si="16"/>
        <v>948</v>
      </c>
      <c r="Q376" s="5" t="s">
        <v>88</v>
      </c>
      <c r="S376" s="6" t="s">
        <v>302</v>
      </c>
      <c r="T376" s="6">
        <f t="shared" si="17"/>
        <v>375</v>
      </c>
      <c r="U376" s="4" t="s">
        <v>194</v>
      </c>
    </row>
    <row r="377" spans="14:21" x14ac:dyDescent="0.25">
      <c r="N377" s="5" t="s">
        <v>195</v>
      </c>
      <c r="O377" s="5" t="s">
        <v>2</v>
      </c>
      <c r="P377" s="5">
        <f t="shared" si="16"/>
        <v>950</v>
      </c>
      <c r="Q377" s="5" t="s">
        <v>9</v>
      </c>
      <c r="S377" s="6" t="s">
        <v>302</v>
      </c>
      <c r="T377" s="6">
        <f t="shared" si="17"/>
        <v>376</v>
      </c>
      <c r="U377" s="4" t="s">
        <v>194</v>
      </c>
    </row>
    <row r="378" spans="14:21" x14ac:dyDescent="0.25">
      <c r="N378" s="5" t="s">
        <v>88</v>
      </c>
      <c r="O378" s="5" t="s">
        <v>0</v>
      </c>
      <c r="P378" s="5">
        <f t="shared" si="16"/>
        <v>952</v>
      </c>
      <c r="Q378" s="5" t="s">
        <v>10</v>
      </c>
      <c r="S378" s="6" t="s">
        <v>302</v>
      </c>
      <c r="T378" s="6">
        <f t="shared" si="17"/>
        <v>377</v>
      </c>
      <c r="U378" s="4" t="s">
        <v>194</v>
      </c>
    </row>
    <row r="379" spans="14:21" x14ac:dyDescent="0.25">
      <c r="N379" s="5" t="s">
        <v>227</v>
      </c>
      <c r="O379" s="5" t="s">
        <v>11</v>
      </c>
      <c r="P379" s="5">
        <f t="shared" si="16"/>
        <v>954</v>
      </c>
      <c r="Q379" s="5" t="s">
        <v>194</v>
      </c>
      <c r="S379" s="6" t="s">
        <v>302</v>
      </c>
      <c r="T379" s="6">
        <f t="shared" si="17"/>
        <v>378</v>
      </c>
      <c r="U379" s="4" t="s">
        <v>194</v>
      </c>
    </row>
    <row r="380" spans="14:21" x14ac:dyDescent="0.25">
      <c r="N380" s="5" t="s">
        <v>227</v>
      </c>
      <c r="O380" s="5" t="s">
        <v>12</v>
      </c>
      <c r="P380" s="5">
        <f t="shared" si="16"/>
        <v>956</v>
      </c>
      <c r="Q380" s="5" t="s">
        <v>2</v>
      </c>
      <c r="S380" s="6" t="s">
        <v>302</v>
      </c>
      <c r="T380" s="6">
        <f t="shared" si="17"/>
        <v>379</v>
      </c>
      <c r="U380" s="4" t="s">
        <v>194</v>
      </c>
    </row>
    <row r="381" spans="14:21" x14ac:dyDescent="0.25">
      <c r="N381" s="5" t="s">
        <v>88</v>
      </c>
      <c r="O381" s="5" t="s">
        <v>86</v>
      </c>
      <c r="P381" s="5">
        <f t="shared" si="16"/>
        <v>958</v>
      </c>
      <c r="Q381" s="5" t="s">
        <v>194</v>
      </c>
      <c r="S381" s="6" t="s">
        <v>302</v>
      </c>
      <c r="T381" s="6">
        <f t="shared" si="17"/>
        <v>380</v>
      </c>
      <c r="U381" s="4" t="s">
        <v>194</v>
      </c>
    </row>
    <row r="382" spans="14:21" x14ac:dyDescent="0.25">
      <c r="N382" s="5" t="s">
        <v>227</v>
      </c>
      <c r="O382" s="5" t="s">
        <v>7</v>
      </c>
      <c r="P382" s="5">
        <f t="shared" si="16"/>
        <v>960</v>
      </c>
      <c r="Q382" s="5" t="s">
        <v>194</v>
      </c>
      <c r="S382" s="6" t="s">
        <v>302</v>
      </c>
      <c r="T382" s="6">
        <f t="shared" si="17"/>
        <v>381</v>
      </c>
      <c r="U382" s="4" t="s">
        <v>194</v>
      </c>
    </row>
    <row r="383" spans="14:21" x14ac:dyDescent="0.25">
      <c r="N383" s="5" t="s">
        <v>227</v>
      </c>
      <c r="O383" s="5" t="s">
        <v>191</v>
      </c>
      <c r="P383" s="5">
        <f t="shared" si="16"/>
        <v>962</v>
      </c>
      <c r="Q383" s="5" t="s">
        <v>191</v>
      </c>
      <c r="S383" s="6" t="s">
        <v>302</v>
      </c>
      <c r="T383" s="6">
        <f t="shared" si="17"/>
        <v>382</v>
      </c>
      <c r="U383" s="4" t="s">
        <v>194</v>
      </c>
    </row>
    <row r="384" spans="14:21" x14ac:dyDescent="0.25">
      <c r="N384" s="5" t="s">
        <v>88</v>
      </c>
      <c r="O384" s="5" t="s">
        <v>9</v>
      </c>
      <c r="P384" s="5">
        <f t="shared" si="16"/>
        <v>964</v>
      </c>
      <c r="Q384" s="5" t="s">
        <v>195</v>
      </c>
      <c r="S384" s="6" t="s">
        <v>302</v>
      </c>
      <c r="T384" s="6">
        <f t="shared" si="17"/>
        <v>383</v>
      </c>
      <c r="U384" s="4" t="s">
        <v>194</v>
      </c>
    </row>
    <row r="385" spans="14:21" x14ac:dyDescent="0.25">
      <c r="N385" s="5" t="s">
        <v>3</v>
      </c>
      <c r="O385" s="5" t="s">
        <v>2</v>
      </c>
      <c r="P385" s="5">
        <f t="shared" si="16"/>
        <v>966</v>
      </c>
      <c r="Q385" s="5" t="s">
        <v>86</v>
      </c>
      <c r="S385" s="6" t="s">
        <v>302</v>
      </c>
      <c r="T385" s="6">
        <f t="shared" si="17"/>
        <v>384</v>
      </c>
      <c r="U385" s="4" t="s">
        <v>194</v>
      </c>
    </row>
    <row r="386" spans="14:21" x14ac:dyDescent="0.25">
      <c r="N386" s="5" t="s">
        <v>5</v>
      </c>
      <c r="O386" s="5" t="s">
        <v>0</v>
      </c>
      <c r="P386" s="5">
        <f t="shared" si="16"/>
        <v>968</v>
      </c>
      <c r="Q386" s="5" t="s">
        <v>88</v>
      </c>
      <c r="S386" s="6" t="s">
        <v>302</v>
      </c>
      <c r="T386" s="6">
        <f t="shared" si="17"/>
        <v>385</v>
      </c>
      <c r="U386" s="4" t="s">
        <v>194</v>
      </c>
    </row>
    <row r="387" spans="14:21" x14ac:dyDescent="0.25">
      <c r="N387" s="5" t="s">
        <v>7</v>
      </c>
      <c r="O387" s="5" t="s">
        <v>11</v>
      </c>
      <c r="P387" s="5">
        <f t="shared" si="16"/>
        <v>970</v>
      </c>
      <c r="Q387" s="5" t="s">
        <v>0</v>
      </c>
      <c r="S387" s="6" t="s">
        <v>302</v>
      </c>
      <c r="T387" s="6">
        <f t="shared" si="17"/>
        <v>386</v>
      </c>
      <c r="U387" s="4" t="s">
        <v>194</v>
      </c>
    </row>
    <row r="388" spans="14:21" x14ac:dyDescent="0.25">
      <c r="N388" s="5" t="s">
        <v>2</v>
      </c>
      <c r="O388" s="5" t="s">
        <v>8</v>
      </c>
      <c r="P388" s="5">
        <f t="shared" ref="P388:P451" si="18">P387+2</f>
        <v>972</v>
      </c>
      <c r="Q388" s="5" t="s">
        <v>6</v>
      </c>
      <c r="S388" s="6" t="s">
        <v>302</v>
      </c>
      <c r="T388" s="6">
        <f t="shared" si="17"/>
        <v>387</v>
      </c>
      <c r="U388" s="4" t="s">
        <v>194</v>
      </c>
    </row>
    <row r="389" spans="14:21" x14ac:dyDescent="0.25">
      <c r="N389" s="5" t="s">
        <v>3</v>
      </c>
      <c r="O389" s="5" t="s">
        <v>195</v>
      </c>
      <c r="P389" s="5">
        <f t="shared" si="18"/>
        <v>974</v>
      </c>
      <c r="Q389" s="5" t="s">
        <v>7</v>
      </c>
      <c r="S389" s="6" t="s">
        <v>302</v>
      </c>
      <c r="T389" s="6">
        <f t="shared" ref="T389:T452" si="19">T388+1</f>
        <v>388</v>
      </c>
      <c r="U389" s="4" t="s">
        <v>194</v>
      </c>
    </row>
    <row r="390" spans="14:21" x14ac:dyDescent="0.25">
      <c r="N390" s="5" t="s">
        <v>89</v>
      </c>
      <c r="O390" s="5" t="s">
        <v>4</v>
      </c>
      <c r="P390" s="5">
        <f t="shared" si="18"/>
        <v>976</v>
      </c>
      <c r="Q390" s="5" t="s">
        <v>195</v>
      </c>
      <c r="S390" s="6" t="s">
        <v>302</v>
      </c>
      <c r="T390" s="6">
        <f t="shared" si="19"/>
        <v>389</v>
      </c>
      <c r="U390" s="4" t="s">
        <v>194</v>
      </c>
    </row>
    <row r="391" spans="14:21" x14ac:dyDescent="0.25">
      <c r="N391" s="5" t="s">
        <v>2</v>
      </c>
      <c r="O391" s="5" t="s">
        <v>227</v>
      </c>
      <c r="P391" s="5">
        <f t="shared" si="18"/>
        <v>978</v>
      </c>
      <c r="Q391" s="5" t="s">
        <v>192</v>
      </c>
      <c r="S391" s="6" t="s">
        <v>302</v>
      </c>
      <c r="T391" s="6">
        <f t="shared" si="19"/>
        <v>390</v>
      </c>
      <c r="U391" s="4" t="s">
        <v>194</v>
      </c>
    </row>
    <row r="392" spans="14:21" x14ac:dyDescent="0.25">
      <c r="N392" s="5" t="s">
        <v>3</v>
      </c>
      <c r="O392" s="5" t="s">
        <v>228</v>
      </c>
      <c r="P392" s="5">
        <f t="shared" si="18"/>
        <v>980</v>
      </c>
      <c r="Q392" s="5" t="s">
        <v>226</v>
      </c>
      <c r="S392" s="6" t="s">
        <v>302</v>
      </c>
      <c r="T392" s="6">
        <f t="shared" si="19"/>
        <v>391</v>
      </c>
      <c r="U392" s="4" t="s">
        <v>194</v>
      </c>
    </row>
    <row r="393" spans="14:21" x14ac:dyDescent="0.25">
      <c r="N393" s="5" t="s">
        <v>6</v>
      </c>
      <c r="O393" s="5" t="s">
        <v>194</v>
      </c>
      <c r="P393" s="5">
        <f t="shared" si="18"/>
        <v>982</v>
      </c>
      <c r="Q393" s="5" t="s">
        <v>0</v>
      </c>
      <c r="S393" s="6" t="s">
        <v>302</v>
      </c>
      <c r="T393" s="6">
        <f t="shared" si="19"/>
        <v>392</v>
      </c>
      <c r="U393" s="4" t="s">
        <v>194</v>
      </c>
    </row>
    <row r="394" spans="14:21" x14ac:dyDescent="0.25">
      <c r="N394" s="5" t="s">
        <v>7</v>
      </c>
      <c r="O394" s="5" t="s">
        <v>3</v>
      </c>
      <c r="P394" s="5">
        <f t="shared" si="18"/>
        <v>984</v>
      </c>
      <c r="Q394" s="5" t="s">
        <v>6</v>
      </c>
      <c r="S394" s="6" t="s">
        <v>302</v>
      </c>
      <c r="T394" s="6">
        <f t="shared" si="19"/>
        <v>393</v>
      </c>
      <c r="U394" s="4" t="s">
        <v>194</v>
      </c>
    </row>
    <row r="395" spans="14:21" x14ac:dyDescent="0.25">
      <c r="N395" s="5" t="s">
        <v>86</v>
      </c>
      <c r="O395" s="5" t="s">
        <v>11</v>
      </c>
      <c r="P395" s="5">
        <f t="shared" si="18"/>
        <v>986</v>
      </c>
      <c r="Q395" s="5" t="s">
        <v>7</v>
      </c>
      <c r="S395" s="6" t="s">
        <v>302</v>
      </c>
      <c r="T395" s="6">
        <f t="shared" si="19"/>
        <v>394</v>
      </c>
      <c r="U395" s="4" t="s">
        <v>194</v>
      </c>
    </row>
    <row r="396" spans="14:21" x14ac:dyDescent="0.25">
      <c r="N396" s="5" t="s">
        <v>195</v>
      </c>
      <c r="O396" s="5" t="s">
        <v>0</v>
      </c>
      <c r="P396" s="5">
        <f t="shared" si="18"/>
        <v>988</v>
      </c>
      <c r="Q396" s="5" t="s">
        <v>195</v>
      </c>
      <c r="S396" s="6" t="s">
        <v>302</v>
      </c>
      <c r="T396" s="6">
        <f t="shared" si="19"/>
        <v>395</v>
      </c>
      <c r="U396" s="4" t="s">
        <v>194</v>
      </c>
    </row>
    <row r="397" spans="14:21" x14ac:dyDescent="0.25">
      <c r="N397" s="5" t="s">
        <v>192</v>
      </c>
      <c r="O397" s="5" t="s">
        <v>227</v>
      </c>
      <c r="P397" s="5">
        <f t="shared" si="18"/>
        <v>990</v>
      </c>
      <c r="Q397" s="5" t="s">
        <v>8</v>
      </c>
      <c r="S397" s="6" t="s">
        <v>302</v>
      </c>
      <c r="T397" s="6">
        <f t="shared" si="19"/>
        <v>396</v>
      </c>
      <c r="U397" s="4" t="s">
        <v>194</v>
      </c>
    </row>
    <row r="398" spans="14:21" x14ac:dyDescent="0.25">
      <c r="N398" s="5" t="s">
        <v>2</v>
      </c>
      <c r="O398" s="5" t="s">
        <v>228</v>
      </c>
      <c r="P398" s="5">
        <f t="shared" si="18"/>
        <v>992</v>
      </c>
      <c r="Q398" s="5" t="s">
        <v>195</v>
      </c>
      <c r="S398" s="6" t="s">
        <v>302</v>
      </c>
      <c r="T398" s="6">
        <f t="shared" si="19"/>
        <v>397</v>
      </c>
      <c r="U398" s="4" t="s">
        <v>194</v>
      </c>
    </row>
    <row r="399" spans="14:21" x14ac:dyDescent="0.25">
      <c r="N399" s="5" t="s">
        <v>3</v>
      </c>
      <c r="O399" s="5" t="s">
        <v>194</v>
      </c>
      <c r="P399" s="5">
        <f t="shared" si="18"/>
        <v>994</v>
      </c>
      <c r="Q399" s="5" t="s">
        <v>86</v>
      </c>
      <c r="S399" s="6" t="s">
        <v>302</v>
      </c>
      <c r="T399" s="6">
        <f t="shared" si="19"/>
        <v>398</v>
      </c>
      <c r="U399" s="4" t="s">
        <v>194</v>
      </c>
    </row>
    <row r="400" spans="14:21" x14ac:dyDescent="0.25">
      <c r="N400" s="5" t="s">
        <v>6</v>
      </c>
      <c r="O400" s="5" t="s">
        <v>3</v>
      </c>
      <c r="P400" s="5">
        <f t="shared" si="18"/>
        <v>996</v>
      </c>
      <c r="Q400" s="5" t="s">
        <v>0</v>
      </c>
      <c r="S400" s="6" t="s">
        <v>302</v>
      </c>
      <c r="T400" s="6">
        <f t="shared" si="19"/>
        <v>399</v>
      </c>
      <c r="U400" s="4" t="s">
        <v>194</v>
      </c>
    </row>
    <row r="401" spans="14:21" x14ac:dyDescent="0.25">
      <c r="N401" s="5" t="s">
        <v>7</v>
      </c>
      <c r="O401" s="5" t="s">
        <v>11</v>
      </c>
      <c r="P401" s="5">
        <f t="shared" si="18"/>
        <v>998</v>
      </c>
      <c r="Q401" s="5" t="s">
        <v>6</v>
      </c>
      <c r="S401" s="6" t="s">
        <v>302</v>
      </c>
      <c r="T401" s="6">
        <f t="shared" si="19"/>
        <v>400</v>
      </c>
      <c r="U401" s="4" t="s">
        <v>194</v>
      </c>
    </row>
    <row r="402" spans="14:21" x14ac:dyDescent="0.25">
      <c r="N402" s="5" t="s">
        <v>191</v>
      </c>
      <c r="O402" s="5" t="s">
        <v>0</v>
      </c>
      <c r="P402" s="5">
        <f t="shared" si="18"/>
        <v>1000</v>
      </c>
      <c r="Q402" s="5" t="s">
        <v>7</v>
      </c>
      <c r="S402" s="6" t="s">
        <v>302</v>
      </c>
      <c r="T402" s="6">
        <f t="shared" si="19"/>
        <v>401</v>
      </c>
      <c r="U402" s="4" t="s">
        <v>194</v>
      </c>
    </row>
    <row r="403" spans="14:21" x14ac:dyDescent="0.25">
      <c r="N403" s="5" t="s">
        <v>9</v>
      </c>
      <c r="O403" s="5" t="s">
        <v>227</v>
      </c>
      <c r="P403" s="5">
        <f t="shared" si="18"/>
        <v>1002</v>
      </c>
      <c r="Q403" s="5" t="s">
        <v>195</v>
      </c>
      <c r="S403" s="6" t="s">
        <v>302</v>
      </c>
      <c r="T403" s="6">
        <f t="shared" si="19"/>
        <v>402</v>
      </c>
      <c r="U403" s="4" t="s">
        <v>194</v>
      </c>
    </row>
    <row r="404" spans="14:21" x14ac:dyDescent="0.25">
      <c r="N404" s="5" t="s">
        <v>2</v>
      </c>
      <c r="O404" s="5" t="s">
        <v>227</v>
      </c>
      <c r="P404" s="5">
        <f t="shared" si="18"/>
        <v>1004</v>
      </c>
      <c r="Q404" s="5" t="s">
        <v>192</v>
      </c>
      <c r="S404" s="6" t="s">
        <v>302</v>
      </c>
      <c r="T404" s="6">
        <f t="shared" si="19"/>
        <v>403</v>
      </c>
      <c r="U404" s="4" t="s">
        <v>194</v>
      </c>
    </row>
    <row r="405" spans="14:21" x14ac:dyDescent="0.25">
      <c r="N405" s="5" t="s">
        <v>3</v>
      </c>
      <c r="O405" s="5" t="s">
        <v>228</v>
      </c>
      <c r="P405" s="5">
        <f t="shared" si="18"/>
        <v>1006</v>
      </c>
      <c r="Q405" s="5" t="s">
        <v>226</v>
      </c>
      <c r="S405" s="6" t="s">
        <v>302</v>
      </c>
      <c r="T405" s="6">
        <f t="shared" si="19"/>
        <v>404</v>
      </c>
      <c r="U405" s="4" t="s">
        <v>194</v>
      </c>
    </row>
    <row r="406" spans="14:21" x14ac:dyDescent="0.25">
      <c r="N406" s="5" t="s">
        <v>6</v>
      </c>
      <c r="O406" s="5" t="s">
        <v>194</v>
      </c>
      <c r="P406" s="5">
        <f t="shared" si="18"/>
        <v>1008</v>
      </c>
      <c r="Q406" s="5" t="s">
        <v>0</v>
      </c>
      <c r="S406" s="6" t="s">
        <v>302</v>
      </c>
      <c r="T406" s="6">
        <f t="shared" si="19"/>
        <v>405</v>
      </c>
      <c r="U406" s="4" t="s">
        <v>194</v>
      </c>
    </row>
    <row r="407" spans="14:21" x14ac:dyDescent="0.25">
      <c r="N407" s="5" t="s">
        <v>7</v>
      </c>
      <c r="O407" s="5" t="s">
        <v>3</v>
      </c>
      <c r="P407" s="5">
        <f t="shared" si="18"/>
        <v>1010</v>
      </c>
      <c r="Q407" s="5" t="s">
        <v>10</v>
      </c>
      <c r="S407" s="6" t="s">
        <v>302</v>
      </c>
      <c r="T407" s="6">
        <f t="shared" si="19"/>
        <v>406</v>
      </c>
      <c r="U407" s="4" t="s">
        <v>194</v>
      </c>
    </row>
    <row r="408" spans="14:21" x14ac:dyDescent="0.25">
      <c r="N408" s="5" t="s">
        <v>86</v>
      </c>
      <c r="O408" s="5" t="s">
        <v>11</v>
      </c>
      <c r="P408" s="5">
        <f t="shared" si="18"/>
        <v>1012</v>
      </c>
      <c r="Q408" s="5" t="s">
        <v>9</v>
      </c>
      <c r="S408" s="6" t="s">
        <v>302</v>
      </c>
      <c r="T408" s="6">
        <f t="shared" si="19"/>
        <v>407</v>
      </c>
      <c r="U408" s="4" t="s">
        <v>194</v>
      </c>
    </row>
    <row r="409" spans="14:21" x14ac:dyDescent="0.25">
      <c r="N409" s="5" t="s">
        <v>195</v>
      </c>
      <c r="O409" s="5" t="s">
        <v>0</v>
      </c>
      <c r="P409" s="5">
        <f t="shared" si="18"/>
        <v>1014</v>
      </c>
      <c r="Q409" s="5" t="s">
        <v>191</v>
      </c>
      <c r="S409" s="6" t="s">
        <v>302</v>
      </c>
      <c r="T409" s="6">
        <f t="shared" si="19"/>
        <v>408</v>
      </c>
      <c r="U409" s="4" t="s">
        <v>194</v>
      </c>
    </row>
    <row r="410" spans="14:21" x14ac:dyDescent="0.25">
      <c r="N410" s="5" t="s">
        <v>192</v>
      </c>
      <c r="O410" s="5" t="s">
        <v>227</v>
      </c>
      <c r="P410" s="5">
        <f t="shared" si="18"/>
        <v>1016</v>
      </c>
      <c r="Q410" s="5" t="s">
        <v>195</v>
      </c>
      <c r="S410" s="6" t="s">
        <v>302</v>
      </c>
      <c r="T410" s="6">
        <f t="shared" si="19"/>
        <v>409</v>
      </c>
      <c r="U410" s="4" t="s">
        <v>194</v>
      </c>
    </row>
    <row r="411" spans="14:21" x14ac:dyDescent="0.25">
      <c r="N411" s="5" t="s">
        <v>0</v>
      </c>
      <c r="O411" s="5" t="s">
        <v>226</v>
      </c>
      <c r="P411" s="5">
        <f t="shared" si="18"/>
        <v>1018</v>
      </c>
      <c r="Q411" s="5" t="s">
        <v>86</v>
      </c>
      <c r="S411" s="6" t="s">
        <v>302</v>
      </c>
      <c r="T411" s="6">
        <f t="shared" si="19"/>
        <v>410</v>
      </c>
      <c r="U411" s="4" t="s">
        <v>194</v>
      </c>
    </row>
    <row r="412" spans="14:21" x14ac:dyDescent="0.25">
      <c r="N412" s="5" t="s">
        <v>3</v>
      </c>
      <c r="O412" s="5" t="s">
        <v>4</v>
      </c>
      <c r="P412" s="5">
        <f t="shared" si="18"/>
        <v>1020</v>
      </c>
      <c r="Q412" s="5" t="s">
        <v>88</v>
      </c>
      <c r="S412" s="6" t="s">
        <v>302</v>
      </c>
      <c r="T412" s="6">
        <f t="shared" si="19"/>
        <v>411</v>
      </c>
      <c r="U412" s="4" t="s">
        <v>194</v>
      </c>
    </row>
    <row r="413" spans="14:21" x14ac:dyDescent="0.25">
      <c r="N413" s="5" t="s">
        <v>5</v>
      </c>
      <c r="O413" s="5" t="s">
        <v>12</v>
      </c>
      <c r="P413" s="5">
        <f t="shared" si="18"/>
        <v>1022</v>
      </c>
      <c r="Q413" s="5" t="s">
        <v>9</v>
      </c>
      <c r="S413" s="6" t="s">
        <v>302</v>
      </c>
      <c r="T413" s="6">
        <f t="shared" si="19"/>
        <v>412</v>
      </c>
      <c r="U413" s="4" t="s">
        <v>194</v>
      </c>
    </row>
    <row r="414" spans="14:21" x14ac:dyDescent="0.25">
      <c r="N414" s="5" t="s">
        <v>7</v>
      </c>
      <c r="O414" s="5" t="s">
        <v>86</v>
      </c>
      <c r="P414" s="5">
        <f t="shared" si="18"/>
        <v>1024</v>
      </c>
      <c r="Q414" s="5" t="s">
        <v>10</v>
      </c>
      <c r="S414" s="6" t="s">
        <v>302</v>
      </c>
      <c r="T414" s="6">
        <f t="shared" si="19"/>
        <v>413</v>
      </c>
      <c r="U414" s="4" t="s">
        <v>194</v>
      </c>
    </row>
    <row r="415" spans="14:21" x14ac:dyDescent="0.25">
      <c r="N415" s="5" t="s">
        <v>2</v>
      </c>
      <c r="O415" s="5" t="s">
        <v>7</v>
      </c>
      <c r="P415" s="5">
        <f t="shared" si="18"/>
        <v>1026</v>
      </c>
      <c r="Q415" s="5" t="s">
        <v>194</v>
      </c>
      <c r="S415" s="6" t="s">
        <v>302</v>
      </c>
      <c r="T415" s="6">
        <f t="shared" si="19"/>
        <v>414</v>
      </c>
      <c r="U415" s="4" t="s">
        <v>194</v>
      </c>
    </row>
    <row r="416" spans="14:21" x14ac:dyDescent="0.25">
      <c r="N416" s="5" t="s">
        <v>3</v>
      </c>
      <c r="O416" s="5" t="s">
        <v>191</v>
      </c>
      <c r="P416" s="5">
        <f t="shared" si="18"/>
        <v>1028</v>
      </c>
      <c r="Q416" s="5" t="s">
        <v>2</v>
      </c>
      <c r="S416" s="6" t="s">
        <v>302</v>
      </c>
      <c r="T416" s="6">
        <f t="shared" si="19"/>
        <v>415</v>
      </c>
      <c r="U416" s="4" t="s">
        <v>194</v>
      </c>
    </row>
    <row r="417" spans="14:21" x14ac:dyDescent="0.25">
      <c r="N417" s="5" t="s">
        <v>89</v>
      </c>
      <c r="O417" s="5" t="s">
        <v>9</v>
      </c>
      <c r="P417" s="5">
        <f t="shared" si="18"/>
        <v>1030</v>
      </c>
      <c r="Q417" s="5" t="s">
        <v>194</v>
      </c>
      <c r="S417" s="6" t="s">
        <v>302</v>
      </c>
      <c r="T417" s="6">
        <f t="shared" si="19"/>
        <v>416</v>
      </c>
      <c r="U417" s="4" t="s">
        <v>194</v>
      </c>
    </row>
    <row r="418" spans="14:21" x14ac:dyDescent="0.25">
      <c r="N418" s="5" t="s">
        <v>195</v>
      </c>
      <c r="O418" s="5" t="s">
        <v>2</v>
      </c>
      <c r="P418" s="5">
        <f t="shared" si="18"/>
        <v>1032</v>
      </c>
      <c r="Q418" s="5" t="s">
        <v>194</v>
      </c>
      <c r="S418" s="6" t="s">
        <v>302</v>
      </c>
      <c r="T418" s="6">
        <f t="shared" si="19"/>
        <v>417</v>
      </c>
      <c r="U418" s="4" t="s">
        <v>194</v>
      </c>
    </row>
    <row r="419" spans="14:21" x14ac:dyDescent="0.25">
      <c r="N419" s="5" t="s">
        <v>88</v>
      </c>
      <c r="O419" s="5" t="s">
        <v>0</v>
      </c>
      <c r="P419" s="5">
        <f t="shared" si="18"/>
        <v>1034</v>
      </c>
      <c r="Q419" s="5" t="s">
        <v>191</v>
      </c>
      <c r="S419" s="6" t="s">
        <v>302</v>
      </c>
      <c r="T419" s="6">
        <f t="shared" si="19"/>
        <v>418</v>
      </c>
      <c r="U419" s="4" t="s">
        <v>194</v>
      </c>
    </row>
    <row r="420" spans="14:21" x14ac:dyDescent="0.25">
      <c r="N420" s="5" t="s">
        <v>227</v>
      </c>
      <c r="O420" s="5" t="s">
        <v>11</v>
      </c>
      <c r="P420" s="5">
        <f t="shared" si="18"/>
        <v>1036</v>
      </c>
      <c r="Q420" s="5" t="s">
        <v>195</v>
      </c>
      <c r="S420" s="6" t="s">
        <v>302</v>
      </c>
      <c r="T420" s="6">
        <f t="shared" si="19"/>
        <v>419</v>
      </c>
      <c r="U420" s="4" t="s">
        <v>194</v>
      </c>
    </row>
    <row r="421" spans="14:21" x14ac:dyDescent="0.25">
      <c r="N421" s="5" t="s">
        <v>227</v>
      </c>
      <c r="O421" s="5" t="s">
        <v>12</v>
      </c>
      <c r="P421" s="5">
        <f t="shared" si="18"/>
        <v>1038</v>
      </c>
      <c r="Q421" s="5" t="s">
        <v>86</v>
      </c>
      <c r="S421" s="6" t="s">
        <v>302</v>
      </c>
      <c r="T421" s="6">
        <f t="shared" si="19"/>
        <v>420</v>
      </c>
      <c r="U421" s="4" t="s">
        <v>194</v>
      </c>
    </row>
    <row r="422" spans="14:21" x14ac:dyDescent="0.25">
      <c r="N422" s="5" t="s">
        <v>88</v>
      </c>
      <c r="O422" s="5" t="s">
        <v>86</v>
      </c>
      <c r="P422" s="5">
        <f t="shared" si="18"/>
        <v>1040</v>
      </c>
      <c r="Q422" s="5" t="s">
        <v>88</v>
      </c>
      <c r="S422" s="6" t="s">
        <v>302</v>
      </c>
      <c r="T422" s="6">
        <f t="shared" si="19"/>
        <v>421</v>
      </c>
      <c r="U422" s="4" t="s">
        <v>194</v>
      </c>
    </row>
    <row r="423" spans="14:21" x14ac:dyDescent="0.25">
      <c r="N423" s="5" t="s">
        <v>227</v>
      </c>
      <c r="O423" s="5" t="s">
        <v>7</v>
      </c>
      <c r="P423" s="5">
        <f t="shared" si="18"/>
        <v>1042</v>
      </c>
      <c r="Q423" s="5" t="s">
        <v>0</v>
      </c>
      <c r="S423" s="6" t="s">
        <v>302</v>
      </c>
      <c r="T423" s="6">
        <f t="shared" si="19"/>
        <v>422</v>
      </c>
      <c r="U423" s="4" t="s">
        <v>194</v>
      </c>
    </row>
    <row r="424" spans="14:21" x14ac:dyDescent="0.25">
      <c r="N424" s="5" t="s">
        <v>227</v>
      </c>
      <c r="O424" s="5" t="s">
        <v>191</v>
      </c>
      <c r="P424" s="5">
        <f t="shared" si="18"/>
        <v>1044</v>
      </c>
      <c r="Q424" s="5" t="s">
        <v>6</v>
      </c>
      <c r="S424" s="6" t="s">
        <v>302</v>
      </c>
      <c r="T424" s="6">
        <f t="shared" si="19"/>
        <v>423</v>
      </c>
      <c r="U424" s="4" t="s">
        <v>194</v>
      </c>
    </row>
    <row r="425" spans="14:21" x14ac:dyDescent="0.25">
      <c r="N425" s="5" t="s">
        <v>88</v>
      </c>
      <c r="O425" s="5" t="s">
        <v>9</v>
      </c>
      <c r="P425" s="5">
        <f t="shared" si="18"/>
        <v>1046</v>
      </c>
      <c r="Q425" s="5" t="s">
        <v>7</v>
      </c>
      <c r="S425" s="6" t="s">
        <v>302</v>
      </c>
      <c r="T425" s="6">
        <f t="shared" si="19"/>
        <v>424</v>
      </c>
      <c r="U425" s="4" t="s">
        <v>194</v>
      </c>
    </row>
    <row r="426" spans="14:21" x14ac:dyDescent="0.25">
      <c r="N426" s="5" t="s">
        <v>3</v>
      </c>
      <c r="O426" s="5" t="s">
        <v>2</v>
      </c>
      <c r="P426" s="5">
        <f t="shared" si="18"/>
        <v>1048</v>
      </c>
      <c r="Q426" s="5" t="s">
        <v>195</v>
      </c>
      <c r="S426" s="6" t="s">
        <v>302</v>
      </c>
      <c r="T426" s="6">
        <f t="shared" si="19"/>
        <v>425</v>
      </c>
      <c r="U426" s="4" t="s">
        <v>194</v>
      </c>
    </row>
    <row r="427" spans="14:21" x14ac:dyDescent="0.25">
      <c r="N427" s="5" t="s">
        <v>5</v>
      </c>
      <c r="O427" s="5" t="s">
        <v>0</v>
      </c>
      <c r="P427" s="5">
        <f t="shared" si="18"/>
        <v>1050</v>
      </c>
      <c r="Q427" s="5" t="s">
        <v>192</v>
      </c>
      <c r="S427" s="6" t="s">
        <v>302</v>
      </c>
      <c r="T427" s="6">
        <f t="shared" si="19"/>
        <v>426</v>
      </c>
      <c r="U427" s="4" t="s">
        <v>194</v>
      </c>
    </row>
    <row r="428" spans="14:21" x14ac:dyDescent="0.25">
      <c r="N428" s="5" t="s">
        <v>7</v>
      </c>
      <c r="O428" s="5" t="s">
        <v>11</v>
      </c>
      <c r="P428" s="5">
        <f t="shared" si="18"/>
        <v>1052</v>
      </c>
      <c r="Q428" s="5" t="s">
        <v>226</v>
      </c>
      <c r="S428" s="6" t="s">
        <v>302</v>
      </c>
      <c r="T428" s="6">
        <f t="shared" si="19"/>
        <v>427</v>
      </c>
      <c r="U428" s="4" t="s">
        <v>194</v>
      </c>
    </row>
    <row r="429" spans="14:21" x14ac:dyDescent="0.25">
      <c r="N429" s="5" t="s">
        <v>2</v>
      </c>
      <c r="O429" s="5" t="s">
        <v>8</v>
      </c>
      <c r="P429" s="5">
        <f t="shared" si="18"/>
        <v>1054</v>
      </c>
      <c r="Q429" s="5" t="s">
        <v>0</v>
      </c>
      <c r="S429" s="6" t="s">
        <v>302</v>
      </c>
      <c r="T429" s="6">
        <f t="shared" si="19"/>
        <v>428</v>
      </c>
      <c r="U429" s="4" t="s">
        <v>194</v>
      </c>
    </row>
    <row r="430" spans="14:21" x14ac:dyDescent="0.25">
      <c r="N430" s="5" t="s">
        <v>3</v>
      </c>
      <c r="O430" s="5" t="s">
        <v>195</v>
      </c>
      <c r="P430" s="5">
        <f t="shared" si="18"/>
        <v>1056</v>
      </c>
      <c r="Q430" s="5" t="s">
        <v>6</v>
      </c>
      <c r="S430" s="6" t="s">
        <v>302</v>
      </c>
      <c r="T430" s="6">
        <f t="shared" si="19"/>
        <v>429</v>
      </c>
      <c r="U430" s="4" t="s">
        <v>194</v>
      </c>
    </row>
    <row r="431" spans="14:21" x14ac:dyDescent="0.25">
      <c r="N431" s="5" t="s">
        <v>89</v>
      </c>
      <c r="O431" s="5" t="s">
        <v>4</v>
      </c>
      <c r="P431" s="5">
        <f t="shared" si="18"/>
        <v>1058</v>
      </c>
      <c r="Q431" s="5" t="s">
        <v>7</v>
      </c>
      <c r="S431" s="6" t="s">
        <v>302</v>
      </c>
      <c r="T431" s="6">
        <f t="shared" si="19"/>
        <v>430</v>
      </c>
      <c r="U431" s="4" t="s">
        <v>194</v>
      </c>
    </row>
    <row r="432" spans="14:21" x14ac:dyDescent="0.25">
      <c r="N432" s="5" t="s">
        <v>2</v>
      </c>
      <c r="O432" s="5" t="s">
        <v>227</v>
      </c>
      <c r="P432" s="5">
        <f t="shared" si="18"/>
        <v>1060</v>
      </c>
      <c r="Q432" s="5" t="s">
        <v>195</v>
      </c>
      <c r="S432" s="6" t="s">
        <v>302</v>
      </c>
      <c r="T432" s="6">
        <f t="shared" si="19"/>
        <v>431</v>
      </c>
      <c r="U432" s="4" t="s">
        <v>194</v>
      </c>
    </row>
    <row r="433" spans="14:21" x14ac:dyDescent="0.25">
      <c r="N433" s="5" t="s">
        <v>3</v>
      </c>
      <c r="O433" s="5" t="s">
        <v>228</v>
      </c>
      <c r="P433" s="5">
        <f t="shared" si="18"/>
        <v>1062</v>
      </c>
      <c r="Q433" s="5" t="s">
        <v>8</v>
      </c>
      <c r="S433" s="6" t="s">
        <v>302</v>
      </c>
      <c r="T433" s="6">
        <f t="shared" si="19"/>
        <v>432</v>
      </c>
      <c r="U433" s="4" t="s">
        <v>194</v>
      </c>
    </row>
    <row r="434" spans="14:21" x14ac:dyDescent="0.25">
      <c r="N434" s="5" t="s">
        <v>6</v>
      </c>
      <c r="O434" s="5" t="s">
        <v>194</v>
      </c>
      <c r="P434" s="5">
        <f t="shared" si="18"/>
        <v>1064</v>
      </c>
      <c r="Q434" s="5" t="s">
        <v>195</v>
      </c>
      <c r="S434" s="6" t="s">
        <v>302</v>
      </c>
      <c r="T434" s="6">
        <f t="shared" si="19"/>
        <v>433</v>
      </c>
      <c r="U434" s="4" t="s">
        <v>194</v>
      </c>
    </row>
    <row r="435" spans="14:21" x14ac:dyDescent="0.25">
      <c r="N435" s="5" t="s">
        <v>7</v>
      </c>
      <c r="O435" s="5" t="s">
        <v>3</v>
      </c>
      <c r="P435" s="5">
        <f t="shared" si="18"/>
        <v>1066</v>
      </c>
      <c r="Q435" s="5" t="s">
        <v>86</v>
      </c>
      <c r="S435" s="6" t="s">
        <v>302</v>
      </c>
      <c r="T435" s="6">
        <f t="shared" si="19"/>
        <v>434</v>
      </c>
      <c r="U435" s="4" t="s">
        <v>194</v>
      </c>
    </row>
    <row r="436" spans="14:21" x14ac:dyDescent="0.25">
      <c r="N436" s="5" t="s">
        <v>86</v>
      </c>
      <c r="O436" s="5" t="s">
        <v>11</v>
      </c>
      <c r="P436" s="5">
        <f t="shared" si="18"/>
        <v>1068</v>
      </c>
      <c r="Q436" s="5" t="s">
        <v>0</v>
      </c>
      <c r="S436" s="6" t="s">
        <v>302</v>
      </c>
      <c r="T436" s="6">
        <f t="shared" si="19"/>
        <v>435</v>
      </c>
      <c r="U436" s="4" t="s">
        <v>194</v>
      </c>
    </row>
    <row r="437" spans="14:21" x14ac:dyDescent="0.25">
      <c r="N437" s="5" t="s">
        <v>195</v>
      </c>
      <c r="O437" s="5" t="s">
        <v>0</v>
      </c>
      <c r="P437" s="5">
        <f t="shared" si="18"/>
        <v>1070</v>
      </c>
      <c r="Q437" s="5" t="s">
        <v>6</v>
      </c>
      <c r="S437" s="6" t="s">
        <v>302</v>
      </c>
      <c r="T437" s="6">
        <f t="shared" si="19"/>
        <v>436</v>
      </c>
      <c r="U437" s="4" t="s">
        <v>194</v>
      </c>
    </row>
    <row r="438" spans="14:21" x14ac:dyDescent="0.25">
      <c r="N438" s="5" t="s">
        <v>192</v>
      </c>
      <c r="O438" s="5" t="s">
        <v>227</v>
      </c>
      <c r="P438" s="5">
        <f t="shared" si="18"/>
        <v>1072</v>
      </c>
      <c r="Q438" s="5" t="s">
        <v>7</v>
      </c>
      <c r="S438" s="6" t="s">
        <v>302</v>
      </c>
      <c r="T438" s="6">
        <f t="shared" si="19"/>
        <v>437</v>
      </c>
      <c r="U438" s="4" t="s">
        <v>194</v>
      </c>
    </row>
    <row r="439" spans="14:21" x14ac:dyDescent="0.25">
      <c r="N439" s="5" t="s">
        <v>2</v>
      </c>
      <c r="O439" s="5" t="s">
        <v>228</v>
      </c>
      <c r="P439" s="5">
        <f t="shared" si="18"/>
        <v>1074</v>
      </c>
      <c r="Q439" s="5" t="s">
        <v>195</v>
      </c>
      <c r="S439" s="6" t="s">
        <v>302</v>
      </c>
      <c r="T439" s="6">
        <f t="shared" si="19"/>
        <v>438</v>
      </c>
      <c r="U439" s="4" t="s">
        <v>194</v>
      </c>
    </row>
    <row r="440" spans="14:21" x14ac:dyDescent="0.25">
      <c r="N440" s="5" t="s">
        <v>3</v>
      </c>
      <c r="O440" s="5" t="s">
        <v>194</v>
      </c>
      <c r="P440" s="5">
        <f t="shared" si="18"/>
        <v>1076</v>
      </c>
      <c r="Q440" s="5" t="s">
        <v>192</v>
      </c>
      <c r="S440" s="6" t="s">
        <v>302</v>
      </c>
      <c r="T440" s="6">
        <f t="shared" si="19"/>
        <v>439</v>
      </c>
      <c r="U440" s="4" t="s">
        <v>194</v>
      </c>
    </row>
    <row r="441" spans="14:21" x14ac:dyDescent="0.25">
      <c r="N441" s="5" t="s">
        <v>6</v>
      </c>
      <c r="O441" s="5" t="s">
        <v>3</v>
      </c>
      <c r="P441" s="5">
        <f t="shared" si="18"/>
        <v>1078</v>
      </c>
      <c r="Q441" s="5" t="s">
        <v>226</v>
      </c>
      <c r="S441" s="6" t="s">
        <v>302</v>
      </c>
      <c r="T441" s="6">
        <f t="shared" si="19"/>
        <v>440</v>
      </c>
      <c r="U441" s="4" t="s">
        <v>194</v>
      </c>
    </row>
    <row r="442" spans="14:21" x14ac:dyDescent="0.25">
      <c r="N442" s="5" t="s">
        <v>7</v>
      </c>
      <c r="O442" s="5" t="s">
        <v>11</v>
      </c>
      <c r="P442" s="5">
        <f t="shared" si="18"/>
        <v>1080</v>
      </c>
      <c r="Q442" s="5" t="s">
        <v>0</v>
      </c>
      <c r="S442" s="6" t="s">
        <v>302</v>
      </c>
      <c r="T442" s="6">
        <f t="shared" si="19"/>
        <v>441</v>
      </c>
      <c r="U442" s="4" t="s">
        <v>194</v>
      </c>
    </row>
    <row r="443" spans="14:21" x14ac:dyDescent="0.25">
      <c r="N443" s="5" t="s">
        <v>191</v>
      </c>
      <c r="O443" s="5" t="s">
        <v>0</v>
      </c>
      <c r="P443" s="5">
        <f t="shared" si="18"/>
        <v>1082</v>
      </c>
      <c r="Q443" s="5" t="s">
        <v>10</v>
      </c>
      <c r="S443" s="6" t="s">
        <v>302</v>
      </c>
      <c r="T443" s="6">
        <f t="shared" si="19"/>
        <v>442</v>
      </c>
      <c r="U443" s="4" t="s">
        <v>194</v>
      </c>
    </row>
    <row r="444" spans="14:21" x14ac:dyDescent="0.25">
      <c r="N444" s="5" t="s">
        <v>9</v>
      </c>
      <c r="O444" s="5" t="s">
        <v>227</v>
      </c>
      <c r="P444" s="5">
        <f t="shared" si="18"/>
        <v>1084</v>
      </c>
      <c r="Q444" s="5" t="s">
        <v>9</v>
      </c>
      <c r="S444" s="6" t="s">
        <v>302</v>
      </c>
      <c r="T444" s="6">
        <f t="shared" si="19"/>
        <v>443</v>
      </c>
      <c r="U444" s="4" t="s">
        <v>194</v>
      </c>
    </row>
    <row r="445" spans="14:21" x14ac:dyDescent="0.25">
      <c r="N445" s="5" t="s">
        <v>2</v>
      </c>
      <c r="O445" s="5" t="s">
        <v>227</v>
      </c>
      <c r="P445" s="5">
        <f t="shared" si="18"/>
        <v>1086</v>
      </c>
      <c r="Q445" s="5" t="s">
        <v>191</v>
      </c>
      <c r="S445" s="6" t="s">
        <v>302</v>
      </c>
      <c r="T445" s="6">
        <f t="shared" si="19"/>
        <v>444</v>
      </c>
      <c r="U445" s="4" t="s">
        <v>194</v>
      </c>
    </row>
    <row r="446" spans="14:21" x14ac:dyDescent="0.25">
      <c r="N446" s="5" t="s">
        <v>3</v>
      </c>
      <c r="O446" s="5" t="s">
        <v>228</v>
      </c>
      <c r="P446" s="5">
        <f t="shared" si="18"/>
        <v>1088</v>
      </c>
      <c r="Q446" s="5" t="s">
        <v>195</v>
      </c>
      <c r="S446" s="6" t="s">
        <v>302</v>
      </c>
      <c r="T446" s="6">
        <f t="shared" si="19"/>
        <v>445</v>
      </c>
      <c r="U446" s="4" t="s">
        <v>194</v>
      </c>
    </row>
    <row r="447" spans="14:21" x14ac:dyDescent="0.25">
      <c r="N447" s="5" t="s">
        <v>6</v>
      </c>
      <c r="O447" s="5" t="s">
        <v>194</v>
      </c>
      <c r="P447" s="5">
        <f t="shared" si="18"/>
        <v>1090</v>
      </c>
      <c r="Q447" s="5" t="s">
        <v>86</v>
      </c>
      <c r="S447" s="6" t="s">
        <v>302</v>
      </c>
      <c r="T447" s="6">
        <f t="shared" si="19"/>
        <v>446</v>
      </c>
      <c r="U447" s="4" t="s">
        <v>194</v>
      </c>
    </row>
    <row r="448" spans="14:21" x14ac:dyDescent="0.25">
      <c r="N448" s="5" t="s">
        <v>7</v>
      </c>
      <c r="O448" s="5" t="s">
        <v>3</v>
      </c>
      <c r="P448" s="5">
        <f t="shared" si="18"/>
        <v>1092</v>
      </c>
      <c r="Q448" s="5" t="s">
        <v>88</v>
      </c>
      <c r="S448" s="6" t="s">
        <v>302</v>
      </c>
      <c r="T448" s="6">
        <f t="shared" si="19"/>
        <v>447</v>
      </c>
      <c r="U448" s="4" t="s">
        <v>194</v>
      </c>
    </row>
    <row r="449" spans="14:21" x14ac:dyDescent="0.25">
      <c r="N449" s="5" t="s">
        <v>86</v>
      </c>
      <c r="O449" s="5" t="s">
        <v>11</v>
      </c>
      <c r="P449" s="5">
        <f t="shared" si="18"/>
        <v>1094</v>
      </c>
      <c r="Q449" s="5" t="s">
        <v>9</v>
      </c>
      <c r="S449" s="6" t="s">
        <v>302</v>
      </c>
      <c r="T449" s="6">
        <f t="shared" si="19"/>
        <v>448</v>
      </c>
      <c r="U449" s="4" t="s">
        <v>194</v>
      </c>
    </row>
    <row r="450" spans="14:21" x14ac:dyDescent="0.25">
      <c r="N450" s="5" t="s">
        <v>195</v>
      </c>
      <c r="O450" s="5" t="s">
        <v>0</v>
      </c>
      <c r="P450" s="5">
        <f t="shared" si="18"/>
        <v>1096</v>
      </c>
      <c r="Q450" s="5" t="s">
        <v>10</v>
      </c>
      <c r="S450" s="6" t="s">
        <v>302</v>
      </c>
      <c r="T450" s="6">
        <f t="shared" si="19"/>
        <v>449</v>
      </c>
      <c r="U450" s="4" t="s">
        <v>194</v>
      </c>
    </row>
    <row r="451" spans="14:21" x14ac:dyDescent="0.25">
      <c r="N451" s="5" t="s">
        <v>192</v>
      </c>
      <c r="O451" s="5" t="s">
        <v>227</v>
      </c>
      <c r="P451" s="5">
        <f t="shared" si="18"/>
        <v>1098</v>
      </c>
      <c r="Q451" s="5" t="s">
        <v>194</v>
      </c>
      <c r="S451" s="6" t="s">
        <v>302</v>
      </c>
      <c r="T451" s="6">
        <f t="shared" si="19"/>
        <v>450</v>
      </c>
      <c r="U451" s="4" t="s">
        <v>194</v>
      </c>
    </row>
    <row r="452" spans="14:21" x14ac:dyDescent="0.25">
      <c r="N452" s="5" t="s">
        <v>0</v>
      </c>
      <c r="O452" s="5" t="s">
        <v>226</v>
      </c>
      <c r="P452" s="5">
        <f t="shared" ref="P452:P515" si="20">P451+2</f>
        <v>1100</v>
      </c>
      <c r="Q452" s="5" t="s">
        <v>2</v>
      </c>
      <c r="S452" s="6" t="s">
        <v>302</v>
      </c>
      <c r="T452" s="6">
        <f t="shared" si="19"/>
        <v>451</v>
      </c>
      <c r="U452" s="4" t="s">
        <v>194</v>
      </c>
    </row>
    <row r="453" spans="14:21" x14ac:dyDescent="0.25">
      <c r="N453" s="5" t="s">
        <v>3</v>
      </c>
      <c r="O453" s="5" t="s">
        <v>4</v>
      </c>
      <c r="P453" s="5">
        <f t="shared" si="20"/>
        <v>1102</v>
      </c>
      <c r="Q453" s="5" t="s">
        <v>194</v>
      </c>
      <c r="S453" s="6" t="s">
        <v>302</v>
      </c>
      <c r="T453" s="6">
        <f t="shared" ref="T453:T516" si="21">T452+1</f>
        <v>452</v>
      </c>
      <c r="U453" s="4" t="s">
        <v>194</v>
      </c>
    </row>
    <row r="454" spans="14:21" x14ac:dyDescent="0.25">
      <c r="N454" s="5" t="s">
        <v>5</v>
      </c>
      <c r="O454" s="5" t="s">
        <v>12</v>
      </c>
      <c r="P454" s="5">
        <f t="shared" si="20"/>
        <v>1104</v>
      </c>
      <c r="Q454" s="5" t="s">
        <v>194</v>
      </c>
      <c r="S454" s="6" t="s">
        <v>302</v>
      </c>
      <c r="T454" s="6">
        <f t="shared" si="21"/>
        <v>453</v>
      </c>
      <c r="U454" s="4" t="s">
        <v>194</v>
      </c>
    </row>
    <row r="455" spans="14:21" x14ac:dyDescent="0.25">
      <c r="N455" s="5" t="s">
        <v>7</v>
      </c>
      <c r="O455" s="5" t="s">
        <v>86</v>
      </c>
      <c r="P455" s="5">
        <f t="shared" si="20"/>
        <v>1106</v>
      </c>
      <c r="Q455" s="5" t="s">
        <v>191</v>
      </c>
      <c r="S455" s="6" t="s">
        <v>302</v>
      </c>
      <c r="T455" s="6">
        <f t="shared" si="21"/>
        <v>454</v>
      </c>
      <c r="U455" s="4" t="s">
        <v>194</v>
      </c>
    </row>
    <row r="456" spans="14:21" x14ac:dyDescent="0.25">
      <c r="N456" s="5" t="s">
        <v>2</v>
      </c>
      <c r="O456" s="5" t="s">
        <v>7</v>
      </c>
      <c r="P456" s="5">
        <f t="shared" si="20"/>
        <v>1108</v>
      </c>
      <c r="Q456" s="5" t="s">
        <v>195</v>
      </c>
      <c r="S456" s="6" t="s">
        <v>302</v>
      </c>
      <c r="T456" s="6">
        <f t="shared" si="21"/>
        <v>455</v>
      </c>
      <c r="U456" s="4" t="s">
        <v>194</v>
      </c>
    </row>
    <row r="457" spans="14:21" x14ac:dyDescent="0.25">
      <c r="N457" s="5" t="s">
        <v>3</v>
      </c>
      <c r="O457" s="5" t="s">
        <v>191</v>
      </c>
      <c r="P457" s="5">
        <f t="shared" si="20"/>
        <v>1110</v>
      </c>
      <c r="Q457" s="5" t="s">
        <v>86</v>
      </c>
      <c r="S457" s="6" t="s">
        <v>302</v>
      </c>
      <c r="T457" s="6">
        <f t="shared" si="21"/>
        <v>456</v>
      </c>
      <c r="U457" s="4" t="s">
        <v>194</v>
      </c>
    </row>
    <row r="458" spans="14:21" x14ac:dyDescent="0.25">
      <c r="N458" s="5" t="s">
        <v>89</v>
      </c>
      <c r="O458" s="5" t="s">
        <v>9</v>
      </c>
      <c r="P458" s="5">
        <f t="shared" si="20"/>
        <v>1112</v>
      </c>
      <c r="Q458" s="5" t="s">
        <v>88</v>
      </c>
      <c r="S458" s="6" t="s">
        <v>302</v>
      </c>
      <c r="T458" s="6">
        <f t="shared" si="21"/>
        <v>457</v>
      </c>
      <c r="U458" s="4" t="s">
        <v>194</v>
      </c>
    </row>
    <row r="459" spans="14:21" x14ac:dyDescent="0.25">
      <c r="N459" s="5" t="s">
        <v>195</v>
      </c>
      <c r="O459" s="5" t="s">
        <v>2</v>
      </c>
      <c r="P459" s="5">
        <f t="shared" si="20"/>
        <v>1114</v>
      </c>
      <c r="Q459" s="5" t="s">
        <v>0</v>
      </c>
      <c r="S459" s="6" t="s">
        <v>302</v>
      </c>
      <c r="T459" s="6">
        <f t="shared" si="21"/>
        <v>458</v>
      </c>
      <c r="U459" s="4" t="s">
        <v>194</v>
      </c>
    </row>
    <row r="460" spans="14:21" x14ac:dyDescent="0.25">
      <c r="N460" s="5" t="s">
        <v>88</v>
      </c>
      <c r="O460" s="5" t="s">
        <v>0</v>
      </c>
      <c r="P460" s="5">
        <f t="shared" si="20"/>
        <v>1116</v>
      </c>
      <c r="Q460" s="5" t="s">
        <v>6</v>
      </c>
      <c r="S460" s="6" t="s">
        <v>302</v>
      </c>
      <c r="T460" s="6">
        <f t="shared" si="21"/>
        <v>459</v>
      </c>
      <c r="U460" s="4" t="s">
        <v>194</v>
      </c>
    </row>
    <row r="461" spans="14:21" x14ac:dyDescent="0.25">
      <c r="N461" s="5" t="s">
        <v>227</v>
      </c>
      <c r="O461" s="5" t="s">
        <v>11</v>
      </c>
      <c r="P461" s="5">
        <f t="shared" si="20"/>
        <v>1118</v>
      </c>
      <c r="Q461" s="5" t="s">
        <v>7</v>
      </c>
      <c r="S461" s="6" t="s">
        <v>302</v>
      </c>
      <c r="T461" s="6">
        <f t="shared" si="21"/>
        <v>460</v>
      </c>
      <c r="U461" s="4" t="s">
        <v>194</v>
      </c>
    </row>
    <row r="462" spans="14:21" x14ac:dyDescent="0.25">
      <c r="N462" s="5" t="s">
        <v>227</v>
      </c>
      <c r="O462" s="5" t="s">
        <v>12</v>
      </c>
      <c r="P462" s="5">
        <f t="shared" si="20"/>
        <v>1120</v>
      </c>
      <c r="Q462" s="5" t="s">
        <v>195</v>
      </c>
      <c r="S462" s="6" t="s">
        <v>302</v>
      </c>
      <c r="T462" s="6">
        <f t="shared" si="21"/>
        <v>461</v>
      </c>
      <c r="U462" s="4" t="s">
        <v>194</v>
      </c>
    </row>
    <row r="463" spans="14:21" x14ac:dyDescent="0.25">
      <c r="N463" s="5" t="s">
        <v>88</v>
      </c>
      <c r="O463" s="5" t="s">
        <v>86</v>
      </c>
      <c r="P463" s="5">
        <f t="shared" si="20"/>
        <v>1122</v>
      </c>
      <c r="Q463" s="5" t="s">
        <v>192</v>
      </c>
      <c r="S463" s="6" t="s">
        <v>302</v>
      </c>
      <c r="T463" s="6">
        <f t="shared" si="21"/>
        <v>462</v>
      </c>
      <c r="U463" s="4" t="s">
        <v>194</v>
      </c>
    </row>
    <row r="464" spans="14:21" x14ac:dyDescent="0.25">
      <c r="N464" s="5" t="s">
        <v>227</v>
      </c>
      <c r="O464" s="5" t="s">
        <v>7</v>
      </c>
      <c r="P464" s="5">
        <f t="shared" si="20"/>
        <v>1124</v>
      </c>
      <c r="Q464" s="5" t="s">
        <v>226</v>
      </c>
      <c r="S464" s="6" t="s">
        <v>302</v>
      </c>
      <c r="T464" s="6">
        <f t="shared" si="21"/>
        <v>463</v>
      </c>
      <c r="U464" s="4" t="s">
        <v>194</v>
      </c>
    </row>
    <row r="465" spans="14:21" x14ac:dyDescent="0.25">
      <c r="N465" s="5" t="s">
        <v>227</v>
      </c>
      <c r="O465" s="5" t="s">
        <v>191</v>
      </c>
      <c r="P465" s="5">
        <f t="shared" si="20"/>
        <v>1126</v>
      </c>
      <c r="Q465" s="5" t="s">
        <v>0</v>
      </c>
      <c r="S465" s="6" t="s">
        <v>302</v>
      </c>
      <c r="T465" s="6">
        <f t="shared" si="21"/>
        <v>464</v>
      </c>
      <c r="U465" s="4" t="s">
        <v>194</v>
      </c>
    </row>
    <row r="466" spans="14:21" x14ac:dyDescent="0.25">
      <c r="N466" s="5" t="s">
        <v>88</v>
      </c>
      <c r="O466" s="5" t="s">
        <v>9</v>
      </c>
      <c r="P466" s="5">
        <f t="shared" si="20"/>
        <v>1128</v>
      </c>
      <c r="Q466" s="5" t="s">
        <v>6</v>
      </c>
      <c r="S466" s="6" t="s">
        <v>302</v>
      </c>
      <c r="T466" s="6">
        <f t="shared" si="21"/>
        <v>465</v>
      </c>
      <c r="U466" s="4" t="s">
        <v>194</v>
      </c>
    </row>
    <row r="467" spans="14:21" x14ac:dyDescent="0.25">
      <c r="N467" s="5" t="s">
        <v>3</v>
      </c>
      <c r="O467" s="5" t="s">
        <v>2</v>
      </c>
      <c r="P467" s="5">
        <f t="shared" si="20"/>
        <v>1130</v>
      </c>
      <c r="Q467" s="5" t="s">
        <v>7</v>
      </c>
      <c r="S467" s="6" t="s">
        <v>302</v>
      </c>
      <c r="T467" s="6">
        <f t="shared" si="21"/>
        <v>466</v>
      </c>
      <c r="U467" s="4" t="s">
        <v>194</v>
      </c>
    </row>
    <row r="468" spans="14:21" x14ac:dyDescent="0.25">
      <c r="N468" s="5" t="s">
        <v>5</v>
      </c>
      <c r="O468" s="5" t="s">
        <v>0</v>
      </c>
      <c r="P468" s="5">
        <f t="shared" si="20"/>
        <v>1132</v>
      </c>
      <c r="Q468" s="5" t="s">
        <v>195</v>
      </c>
      <c r="S468" s="6" t="s">
        <v>302</v>
      </c>
      <c r="T468" s="6">
        <f t="shared" si="21"/>
        <v>467</v>
      </c>
      <c r="U468" s="4" t="s">
        <v>194</v>
      </c>
    </row>
    <row r="469" spans="14:21" x14ac:dyDescent="0.25">
      <c r="N469" s="5" t="s">
        <v>7</v>
      </c>
      <c r="O469" s="5" t="s">
        <v>11</v>
      </c>
      <c r="P469" s="5">
        <f t="shared" si="20"/>
        <v>1134</v>
      </c>
      <c r="Q469" s="5" t="s">
        <v>8</v>
      </c>
      <c r="S469" s="6" t="s">
        <v>302</v>
      </c>
      <c r="T469" s="6">
        <f t="shared" si="21"/>
        <v>468</v>
      </c>
      <c r="U469" s="4" t="s">
        <v>194</v>
      </c>
    </row>
    <row r="470" spans="14:21" x14ac:dyDescent="0.25">
      <c r="N470" s="5" t="s">
        <v>2</v>
      </c>
      <c r="O470" s="5" t="s">
        <v>8</v>
      </c>
      <c r="P470" s="5">
        <f t="shared" si="20"/>
        <v>1136</v>
      </c>
      <c r="Q470" s="5" t="s">
        <v>195</v>
      </c>
      <c r="S470" s="6" t="s">
        <v>302</v>
      </c>
      <c r="T470" s="6">
        <f t="shared" si="21"/>
        <v>469</v>
      </c>
      <c r="U470" s="4" t="s">
        <v>194</v>
      </c>
    </row>
    <row r="471" spans="14:21" x14ac:dyDescent="0.25">
      <c r="N471" s="5" t="s">
        <v>3</v>
      </c>
      <c r="O471" s="5" t="s">
        <v>195</v>
      </c>
      <c r="P471" s="5">
        <f t="shared" si="20"/>
        <v>1138</v>
      </c>
      <c r="Q471" s="5" t="s">
        <v>86</v>
      </c>
      <c r="S471" s="6" t="s">
        <v>302</v>
      </c>
      <c r="T471" s="6">
        <f t="shared" si="21"/>
        <v>470</v>
      </c>
      <c r="U471" s="4" t="s">
        <v>194</v>
      </c>
    </row>
    <row r="472" spans="14:21" x14ac:dyDescent="0.25">
      <c r="N472" s="5" t="s">
        <v>89</v>
      </c>
      <c r="O472" s="5" t="s">
        <v>4</v>
      </c>
      <c r="P472" s="5">
        <f t="shared" si="20"/>
        <v>1140</v>
      </c>
      <c r="Q472" s="5" t="s">
        <v>0</v>
      </c>
      <c r="S472" s="6" t="s">
        <v>302</v>
      </c>
      <c r="T472" s="6">
        <f t="shared" si="21"/>
        <v>471</v>
      </c>
      <c r="U472" s="4" t="s">
        <v>194</v>
      </c>
    </row>
    <row r="473" spans="14:21" x14ac:dyDescent="0.25">
      <c r="N473" s="5" t="s">
        <v>2</v>
      </c>
      <c r="O473" s="5" t="s">
        <v>227</v>
      </c>
      <c r="P473" s="5">
        <f t="shared" si="20"/>
        <v>1142</v>
      </c>
      <c r="Q473" s="5" t="s">
        <v>6</v>
      </c>
      <c r="S473" s="6" t="s">
        <v>302</v>
      </c>
      <c r="T473" s="6">
        <f t="shared" si="21"/>
        <v>472</v>
      </c>
      <c r="U473" s="4" t="s">
        <v>194</v>
      </c>
    </row>
    <row r="474" spans="14:21" x14ac:dyDescent="0.25">
      <c r="N474" s="5" t="s">
        <v>3</v>
      </c>
      <c r="O474" s="5" t="s">
        <v>228</v>
      </c>
      <c r="P474" s="5">
        <f t="shared" si="20"/>
        <v>1144</v>
      </c>
      <c r="Q474" s="5" t="s">
        <v>7</v>
      </c>
      <c r="S474" s="6" t="s">
        <v>302</v>
      </c>
      <c r="T474" s="6">
        <f t="shared" si="21"/>
        <v>473</v>
      </c>
      <c r="U474" s="4" t="s">
        <v>194</v>
      </c>
    </row>
    <row r="475" spans="14:21" x14ac:dyDescent="0.25">
      <c r="N475" s="5" t="s">
        <v>6</v>
      </c>
      <c r="O475" s="5" t="s">
        <v>194</v>
      </c>
      <c r="P475" s="5">
        <f t="shared" si="20"/>
        <v>1146</v>
      </c>
      <c r="Q475" s="5" t="s">
        <v>195</v>
      </c>
      <c r="S475" s="6" t="s">
        <v>302</v>
      </c>
      <c r="T475" s="6">
        <f t="shared" si="21"/>
        <v>474</v>
      </c>
      <c r="U475" s="4" t="s">
        <v>194</v>
      </c>
    </row>
    <row r="476" spans="14:21" x14ac:dyDescent="0.25">
      <c r="N476" s="5" t="s">
        <v>7</v>
      </c>
      <c r="O476" s="5" t="s">
        <v>3</v>
      </c>
      <c r="P476" s="5">
        <f t="shared" si="20"/>
        <v>1148</v>
      </c>
      <c r="Q476" s="5" t="s">
        <v>192</v>
      </c>
      <c r="S476" s="6" t="s">
        <v>302</v>
      </c>
      <c r="T476" s="6">
        <f t="shared" si="21"/>
        <v>475</v>
      </c>
      <c r="U476" s="4" t="s">
        <v>194</v>
      </c>
    </row>
    <row r="477" spans="14:21" x14ac:dyDescent="0.25">
      <c r="N477" s="5" t="s">
        <v>86</v>
      </c>
      <c r="O477" s="5" t="s">
        <v>11</v>
      </c>
      <c r="P477" s="5">
        <f t="shared" si="20"/>
        <v>1150</v>
      </c>
      <c r="Q477" s="5" t="s">
        <v>226</v>
      </c>
      <c r="S477" s="6" t="s">
        <v>302</v>
      </c>
      <c r="T477" s="6">
        <f t="shared" si="21"/>
        <v>476</v>
      </c>
      <c r="U477" s="4" t="s">
        <v>194</v>
      </c>
    </row>
    <row r="478" spans="14:21" x14ac:dyDescent="0.25">
      <c r="N478" s="5" t="s">
        <v>195</v>
      </c>
      <c r="O478" s="5" t="s">
        <v>0</v>
      </c>
      <c r="P478" s="5">
        <f t="shared" si="20"/>
        <v>1152</v>
      </c>
      <c r="Q478" s="5" t="s">
        <v>0</v>
      </c>
      <c r="S478" s="6" t="s">
        <v>302</v>
      </c>
      <c r="T478" s="6">
        <f t="shared" si="21"/>
        <v>477</v>
      </c>
      <c r="U478" s="4" t="s">
        <v>194</v>
      </c>
    </row>
    <row r="479" spans="14:21" x14ac:dyDescent="0.25">
      <c r="N479" s="5" t="s">
        <v>192</v>
      </c>
      <c r="O479" s="5" t="s">
        <v>227</v>
      </c>
      <c r="P479" s="5">
        <f t="shared" si="20"/>
        <v>1154</v>
      </c>
      <c r="Q479" s="5" t="s">
        <v>10</v>
      </c>
      <c r="S479" s="6" t="s">
        <v>302</v>
      </c>
      <c r="T479" s="6">
        <f t="shared" si="21"/>
        <v>478</v>
      </c>
      <c r="U479" s="4" t="s">
        <v>194</v>
      </c>
    </row>
    <row r="480" spans="14:21" x14ac:dyDescent="0.25">
      <c r="N480" s="5" t="s">
        <v>2</v>
      </c>
      <c r="O480" s="5" t="s">
        <v>228</v>
      </c>
      <c r="P480" s="5">
        <f t="shared" si="20"/>
        <v>1156</v>
      </c>
      <c r="Q480" s="5" t="s">
        <v>9</v>
      </c>
      <c r="S480" s="6" t="s">
        <v>302</v>
      </c>
      <c r="T480" s="6">
        <f t="shared" si="21"/>
        <v>479</v>
      </c>
      <c r="U480" s="4" t="s">
        <v>194</v>
      </c>
    </row>
    <row r="481" spans="14:21" x14ac:dyDescent="0.25">
      <c r="N481" s="5" t="s">
        <v>3</v>
      </c>
      <c r="O481" s="5" t="s">
        <v>194</v>
      </c>
      <c r="P481" s="5">
        <f t="shared" si="20"/>
        <v>1158</v>
      </c>
      <c r="Q481" s="5" t="s">
        <v>191</v>
      </c>
      <c r="S481" s="6" t="s">
        <v>302</v>
      </c>
      <c r="T481" s="6">
        <f t="shared" si="21"/>
        <v>480</v>
      </c>
      <c r="U481" s="4" t="s">
        <v>194</v>
      </c>
    </row>
    <row r="482" spans="14:21" x14ac:dyDescent="0.25">
      <c r="N482" s="5" t="s">
        <v>6</v>
      </c>
      <c r="O482" s="5" t="s">
        <v>3</v>
      </c>
      <c r="P482" s="5">
        <f t="shared" si="20"/>
        <v>1160</v>
      </c>
      <c r="Q482" s="5" t="s">
        <v>195</v>
      </c>
      <c r="S482" s="6" t="s">
        <v>302</v>
      </c>
      <c r="T482" s="6">
        <f t="shared" si="21"/>
        <v>481</v>
      </c>
      <c r="U482" s="4" t="s">
        <v>194</v>
      </c>
    </row>
    <row r="483" spans="14:21" x14ac:dyDescent="0.25">
      <c r="N483" s="5" t="s">
        <v>7</v>
      </c>
      <c r="O483" s="5" t="s">
        <v>11</v>
      </c>
      <c r="P483" s="5">
        <f t="shared" si="20"/>
        <v>1162</v>
      </c>
      <c r="Q483" s="5" t="s">
        <v>86</v>
      </c>
      <c r="S483" s="6" t="s">
        <v>302</v>
      </c>
      <c r="T483" s="6">
        <f t="shared" si="21"/>
        <v>482</v>
      </c>
      <c r="U483" s="4" t="s">
        <v>194</v>
      </c>
    </row>
    <row r="484" spans="14:21" x14ac:dyDescent="0.25">
      <c r="N484" s="5" t="s">
        <v>191</v>
      </c>
      <c r="O484" s="5" t="s">
        <v>0</v>
      </c>
      <c r="P484" s="5">
        <f t="shared" si="20"/>
        <v>1164</v>
      </c>
      <c r="Q484" s="5" t="s">
        <v>88</v>
      </c>
      <c r="S484" s="6" t="s">
        <v>302</v>
      </c>
      <c r="T484" s="6">
        <f t="shared" si="21"/>
        <v>483</v>
      </c>
      <c r="U484" s="4" t="s">
        <v>194</v>
      </c>
    </row>
    <row r="485" spans="14:21" x14ac:dyDescent="0.25">
      <c r="N485" s="5" t="s">
        <v>9</v>
      </c>
      <c r="O485" s="5" t="s">
        <v>227</v>
      </c>
      <c r="P485" s="5">
        <f t="shared" si="20"/>
        <v>1166</v>
      </c>
      <c r="Q485" s="5" t="s">
        <v>9</v>
      </c>
      <c r="S485" s="6" t="s">
        <v>302</v>
      </c>
      <c r="T485" s="6">
        <f t="shared" si="21"/>
        <v>484</v>
      </c>
      <c r="U485" s="4" t="s">
        <v>194</v>
      </c>
    </row>
    <row r="486" spans="14:21" x14ac:dyDescent="0.25">
      <c r="N486" s="5" t="s">
        <v>2</v>
      </c>
      <c r="O486" s="5" t="s">
        <v>227</v>
      </c>
      <c r="P486" s="5">
        <f t="shared" si="20"/>
        <v>1168</v>
      </c>
      <c r="Q486" s="5" t="s">
        <v>10</v>
      </c>
      <c r="S486" s="6" t="s">
        <v>302</v>
      </c>
      <c r="T486" s="6">
        <f t="shared" si="21"/>
        <v>485</v>
      </c>
      <c r="U486" s="4" t="s">
        <v>194</v>
      </c>
    </row>
    <row r="487" spans="14:21" x14ac:dyDescent="0.25">
      <c r="N487" s="5" t="s">
        <v>3</v>
      </c>
      <c r="O487" s="5" t="s">
        <v>228</v>
      </c>
      <c r="P487" s="5">
        <f t="shared" si="20"/>
        <v>1170</v>
      </c>
      <c r="Q487" s="5" t="s">
        <v>194</v>
      </c>
      <c r="S487" s="6" t="s">
        <v>302</v>
      </c>
      <c r="T487" s="6">
        <f t="shared" si="21"/>
        <v>486</v>
      </c>
      <c r="U487" s="4" t="s">
        <v>194</v>
      </c>
    </row>
    <row r="488" spans="14:21" x14ac:dyDescent="0.25">
      <c r="N488" s="5" t="s">
        <v>6</v>
      </c>
      <c r="O488" s="5" t="s">
        <v>194</v>
      </c>
      <c r="P488" s="5">
        <f t="shared" si="20"/>
        <v>1172</v>
      </c>
      <c r="Q488" s="5" t="s">
        <v>2</v>
      </c>
      <c r="S488" s="6" t="s">
        <v>302</v>
      </c>
      <c r="T488" s="6">
        <f t="shared" si="21"/>
        <v>487</v>
      </c>
      <c r="U488" s="4" t="s">
        <v>194</v>
      </c>
    </row>
    <row r="489" spans="14:21" x14ac:dyDescent="0.25">
      <c r="N489" s="5" t="s">
        <v>7</v>
      </c>
      <c r="O489" s="5" t="s">
        <v>3</v>
      </c>
      <c r="P489" s="5">
        <f t="shared" si="20"/>
        <v>1174</v>
      </c>
      <c r="Q489" s="5" t="s">
        <v>194</v>
      </c>
      <c r="S489" s="6" t="s">
        <v>302</v>
      </c>
      <c r="T489" s="6">
        <f t="shared" si="21"/>
        <v>488</v>
      </c>
      <c r="U489" s="4" t="s">
        <v>194</v>
      </c>
    </row>
    <row r="490" spans="14:21" x14ac:dyDescent="0.25">
      <c r="N490" s="5" t="s">
        <v>86</v>
      </c>
      <c r="O490" s="5" t="s">
        <v>11</v>
      </c>
      <c r="P490" s="5">
        <f t="shared" si="20"/>
        <v>1176</v>
      </c>
      <c r="Q490" s="5" t="s">
        <v>194</v>
      </c>
      <c r="S490" s="6" t="s">
        <v>302</v>
      </c>
      <c r="T490" s="6">
        <f t="shared" si="21"/>
        <v>489</v>
      </c>
      <c r="U490" s="4" t="s">
        <v>194</v>
      </c>
    </row>
    <row r="491" spans="14:21" x14ac:dyDescent="0.25">
      <c r="N491" s="5" t="s">
        <v>195</v>
      </c>
      <c r="O491" s="5" t="s">
        <v>0</v>
      </c>
      <c r="P491" s="5">
        <f t="shared" si="20"/>
        <v>1178</v>
      </c>
      <c r="Q491" s="5" t="s">
        <v>191</v>
      </c>
      <c r="S491" s="6" t="s">
        <v>302</v>
      </c>
      <c r="T491" s="6">
        <f t="shared" si="21"/>
        <v>490</v>
      </c>
      <c r="U491" s="4" t="s">
        <v>194</v>
      </c>
    </row>
    <row r="492" spans="14:21" x14ac:dyDescent="0.25">
      <c r="N492" s="5" t="s">
        <v>192</v>
      </c>
      <c r="O492" s="5" t="s">
        <v>227</v>
      </c>
      <c r="P492" s="5">
        <f t="shared" si="20"/>
        <v>1180</v>
      </c>
      <c r="Q492" s="5" t="s">
        <v>195</v>
      </c>
      <c r="S492" s="6" t="s">
        <v>302</v>
      </c>
      <c r="T492" s="6">
        <f t="shared" si="21"/>
        <v>491</v>
      </c>
      <c r="U492" s="4" t="s">
        <v>194</v>
      </c>
    </row>
    <row r="493" spans="14:21" x14ac:dyDescent="0.25">
      <c r="N493" s="5" t="s">
        <v>0</v>
      </c>
      <c r="O493" s="5" t="s">
        <v>226</v>
      </c>
      <c r="P493" s="5">
        <f t="shared" si="20"/>
        <v>1182</v>
      </c>
      <c r="Q493" s="5" t="s">
        <v>86</v>
      </c>
      <c r="S493" s="6" t="s">
        <v>302</v>
      </c>
      <c r="T493" s="6">
        <f t="shared" si="21"/>
        <v>492</v>
      </c>
      <c r="U493" s="4" t="s">
        <v>194</v>
      </c>
    </row>
    <row r="494" spans="14:21" x14ac:dyDescent="0.25">
      <c r="N494" s="5" t="s">
        <v>3</v>
      </c>
      <c r="O494" s="5" t="s">
        <v>4</v>
      </c>
      <c r="P494" s="5">
        <f t="shared" si="20"/>
        <v>1184</v>
      </c>
      <c r="Q494" s="5" t="s">
        <v>88</v>
      </c>
      <c r="S494" s="6" t="s">
        <v>302</v>
      </c>
      <c r="T494" s="6">
        <f t="shared" si="21"/>
        <v>493</v>
      </c>
      <c r="U494" s="4" t="s">
        <v>194</v>
      </c>
    </row>
    <row r="495" spans="14:21" x14ac:dyDescent="0.25">
      <c r="N495" s="5" t="s">
        <v>5</v>
      </c>
      <c r="O495" s="5" t="s">
        <v>12</v>
      </c>
      <c r="P495" s="5">
        <f t="shared" si="20"/>
        <v>1186</v>
      </c>
      <c r="Q495" s="5" t="s">
        <v>0</v>
      </c>
      <c r="S495" s="6" t="s">
        <v>302</v>
      </c>
      <c r="T495" s="6">
        <f t="shared" si="21"/>
        <v>494</v>
      </c>
      <c r="U495" s="4" t="s">
        <v>194</v>
      </c>
    </row>
    <row r="496" spans="14:21" x14ac:dyDescent="0.25">
      <c r="N496" s="5" t="s">
        <v>7</v>
      </c>
      <c r="O496" s="5" t="s">
        <v>86</v>
      </c>
      <c r="P496" s="5">
        <f t="shared" si="20"/>
        <v>1188</v>
      </c>
      <c r="Q496" s="5" t="s">
        <v>6</v>
      </c>
      <c r="S496" s="6" t="s">
        <v>302</v>
      </c>
      <c r="T496" s="6">
        <f t="shared" si="21"/>
        <v>495</v>
      </c>
      <c r="U496" s="4" t="s">
        <v>194</v>
      </c>
    </row>
    <row r="497" spans="14:21" x14ac:dyDescent="0.25">
      <c r="N497" s="5" t="s">
        <v>2</v>
      </c>
      <c r="O497" s="5" t="s">
        <v>7</v>
      </c>
      <c r="P497" s="5">
        <f t="shared" si="20"/>
        <v>1190</v>
      </c>
      <c r="Q497" s="5" t="s">
        <v>7</v>
      </c>
      <c r="S497" s="6" t="s">
        <v>302</v>
      </c>
      <c r="T497" s="6">
        <f t="shared" si="21"/>
        <v>496</v>
      </c>
      <c r="U497" s="4" t="s">
        <v>194</v>
      </c>
    </row>
    <row r="498" spans="14:21" x14ac:dyDescent="0.25">
      <c r="N498" s="5" t="s">
        <v>3</v>
      </c>
      <c r="O498" s="5" t="s">
        <v>191</v>
      </c>
      <c r="P498" s="5">
        <f t="shared" si="20"/>
        <v>1192</v>
      </c>
      <c r="Q498" s="5" t="s">
        <v>195</v>
      </c>
      <c r="S498" s="6" t="s">
        <v>302</v>
      </c>
      <c r="T498" s="6">
        <f t="shared" si="21"/>
        <v>497</v>
      </c>
      <c r="U498" s="4" t="s">
        <v>194</v>
      </c>
    </row>
    <row r="499" spans="14:21" x14ac:dyDescent="0.25">
      <c r="N499" s="5" t="s">
        <v>89</v>
      </c>
      <c r="O499" s="5" t="s">
        <v>9</v>
      </c>
      <c r="P499" s="5">
        <f t="shared" si="20"/>
        <v>1194</v>
      </c>
      <c r="Q499" s="5" t="s">
        <v>192</v>
      </c>
      <c r="S499" s="6" t="s">
        <v>302</v>
      </c>
      <c r="T499" s="6">
        <f t="shared" si="21"/>
        <v>498</v>
      </c>
      <c r="U499" s="4" t="s">
        <v>194</v>
      </c>
    </row>
    <row r="500" spans="14:21" x14ac:dyDescent="0.25">
      <c r="N500" s="5" t="s">
        <v>195</v>
      </c>
      <c r="O500" s="5" t="s">
        <v>2</v>
      </c>
      <c r="P500" s="5">
        <f t="shared" si="20"/>
        <v>1196</v>
      </c>
      <c r="Q500" s="5" t="s">
        <v>226</v>
      </c>
      <c r="S500" s="6" t="s">
        <v>302</v>
      </c>
      <c r="T500" s="6">
        <f t="shared" si="21"/>
        <v>499</v>
      </c>
      <c r="U500" s="4" t="s">
        <v>194</v>
      </c>
    </row>
    <row r="501" spans="14:21" x14ac:dyDescent="0.25">
      <c r="N501" s="5" t="s">
        <v>88</v>
      </c>
      <c r="O501" s="5" t="s">
        <v>0</v>
      </c>
      <c r="P501" s="5">
        <f t="shared" si="20"/>
        <v>1198</v>
      </c>
      <c r="Q501" s="5" t="s">
        <v>0</v>
      </c>
      <c r="S501" s="6" t="s">
        <v>302</v>
      </c>
      <c r="T501" s="6">
        <f t="shared" si="21"/>
        <v>500</v>
      </c>
      <c r="U501" s="4" t="s">
        <v>194</v>
      </c>
    </row>
    <row r="502" spans="14:21" x14ac:dyDescent="0.25">
      <c r="N502" s="5" t="s">
        <v>227</v>
      </c>
      <c r="O502" s="5" t="s">
        <v>11</v>
      </c>
      <c r="P502" s="5">
        <f t="shared" si="20"/>
        <v>1200</v>
      </c>
      <c r="Q502" s="5" t="s">
        <v>6</v>
      </c>
      <c r="S502" s="6" t="s">
        <v>302</v>
      </c>
      <c r="T502" s="6">
        <f t="shared" si="21"/>
        <v>501</v>
      </c>
      <c r="U502" s="4" t="s">
        <v>194</v>
      </c>
    </row>
    <row r="503" spans="14:21" x14ac:dyDescent="0.25">
      <c r="N503" s="5" t="s">
        <v>227</v>
      </c>
      <c r="O503" s="5" t="s">
        <v>12</v>
      </c>
      <c r="P503" s="5">
        <f t="shared" si="20"/>
        <v>1202</v>
      </c>
      <c r="Q503" s="5" t="s">
        <v>7</v>
      </c>
      <c r="S503" s="6" t="s">
        <v>302</v>
      </c>
      <c r="T503" s="6">
        <f t="shared" si="21"/>
        <v>502</v>
      </c>
      <c r="U503" s="4" t="s">
        <v>194</v>
      </c>
    </row>
    <row r="504" spans="14:21" x14ac:dyDescent="0.25">
      <c r="N504" s="5" t="s">
        <v>88</v>
      </c>
      <c r="O504" s="5" t="s">
        <v>86</v>
      </c>
      <c r="P504" s="5">
        <f t="shared" si="20"/>
        <v>1204</v>
      </c>
      <c r="Q504" s="5" t="s">
        <v>195</v>
      </c>
      <c r="S504" s="6" t="s">
        <v>302</v>
      </c>
      <c r="T504" s="6">
        <f t="shared" si="21"/>
        <v>503</v>
      </c>
      <c r="U504" s="4" t="s">
        <v>194</v>
      </c>
    </row>
    <row r="505" spans="14:21" x14ac:dyDescent="0.25">
      <c r="N505" s="5" t="s">
        <v>227</v>
      </c>
      <c r="O505" s="5" t="s">
        <v>7</v>
      </c>
      <c r="P505" s="5">
        <f t="shared" si="20"/>
        <v>1206</v>
      </c>
      <c r="Q505" s="5" t="s">
        <v>8</v>
      </c>
      <c r="S505" s="6" t="s">
        <v>302</v>
      </c>
      <c r="T505" s="6">
        <f t="shared" si="21"/>
        <v>504</v>
      </c>
      <c r="U505" s="4" t="s">
        <v>194</v>
      </c>
    </row>
    <row r="506" spans="14:21" x14ac:dyDescent="0.25">
      <c r="N506" s="5" t="s">
        <v>227</v>
      </c>
      <c r="O506" s="5" t="s">
        <v>191</v>
      </c>
      <c r="P506" s="5">
        <f t="shared" si="20"/>
        <v>1208</v>
      </c>
      <c r="Q506" s="5" t="s">
        <v>195</v>
      </c>
      <c r="S506" s="6" t="s">
        <v>302</v>
      </c>
      <c r="T506" s="6">
        <f t="shared" si="21"/>
        <v>505</v>
      </c>
      <c r="U506" s="4" t="s">
        <v>194</v>
      </c>
    </row>
    <row r="507" spans="14:21" x14ac:dyDescent="0.25">
      <c r="N507" s="5" t="s">
        <v>88</v>
      </c>
      <c r="O507" s="5" t="s">
        <v>9</v>
      </c>
      <c r="P507" s="5">
        <f t="shared" si="20"/>
        <v>1210</v>
      </c>
      <c r="Q507" s="5" t="s">
        <v>86</v>
      </c>
      <c r="S507" s="6" t="s">
        <v>302</v>
      </c>
      <c r="T507" s="6">
        <f t="shared" si="21"/>
        <v>506</v>
      </c>
      <c r="U507" s="4" t="s">
        <v>194</v>
      </c>
    </row>
    <row r="508" spans="14:21" x14ac:dyDescent="0.25">
      <c r="N508" s="5" t="s">
        <v>3</v>
      </c>
      <c r="O508" s="5" t="s">
        <v>2</v>
      </c>
      <c r="P508" s="5">
        <f t="shared" si="20"/>
        <v>1212</v>
      </c>
      <c r="Q508" s="5" t="s">
        <v>0</v>
      </c>
      <c r="S508" s="6" t="s">
        <v>302</v>
      </c>
      <c r="T508" s="6">
        <f t="shared" si="21"/>
        <v>507</v>
      </c>
      <c r="U508" s="4" t="s">
        <v>194</v>
      </c>
    </row>
    <row r="509" spans="14:21" x14ac:dyDescent="0.25">
      <c r="N509" s="5" t="s">
        <v>5</v>
      </c>
      <c r="O509" s="5" t="s">
        <v>0</v>
      </c>
      <c r="P509" s="5">
        <f t="shared" si="20"/>
        <v>1214</v>
      </c>
      <c r="Q509" s="5" t="s">
        <v>6</v>
      </c>
      <c r="S509" s="6" t="s">
        <v>302</v>
      </c>
      <c r="T509" s="6">
        <f t="shared" si="21"/>
        <v>508</v>
      </c>
      <c r="U509" s="4" t="s">
        <v>194</v>
      </c>
    </row>
    <row r="510" spans="14:21" x14ac:dyDescent="0.25">
      <c r="N510" s="5" t="s">
        <v>7</v>
      </c>
      <c r="O510" s="5" t="s">
        <v>11</v>
      </c>
      <c r="P510" s="5">
        <f t="shared" si="20"/>
        <v>1216</v>
      </c>
      <c r="Q510" s="5" t="s">
        <v>7</v>
      </c>
      <c r="S510" s="6" t="s">
        <v>302</v>
      </c>
      <c r="T510" s="6">
        <f t="shared" si="21"/>
        <v>509</v>
      </c>
      <c r="U510" s="4" t="s">
        <v>194</v>
      </c>
    </row>
    <row r="511" spans="14:21" x14ac:dyDescent="0.25">
      <c r="N511" s="5" t="s">
        <v>2</v>
      </c>
      <c r="O511" s="5" t="s">
        <v>8</v>
      </c>
      <c r="P511" s="5">
        <f t="shared" si="20"/>
        <v>1218</v>
      </c>
      <c r="Q511" s="5" t="s">
        <v>195</v>
      </c>
      <c r="S511" s="6" t="s">
        <v>302</v>
      </c>
      <c r="T511" s="6">
        <f t="shared" si="21"/>
        <v>510</v>
      </c>
      <c r="U511" s="4" t="s">
        <v>194</v>
      </c>
    </row>
    <row r="512" spans="14:21" x14ac:dyDescent="0.25">
      <c r="N512" s="5" t="s">
        <v>3</v>
      </c>
      <c r="O512" s="5" t="s">
        <v>195</v>
      </c>
      <c r="P512" s="5">
        <f t="shared" si="20"/>
        <v>1220</v>
      </c>
      <c r="Q512" s="5" t="s">
        <v>192</v>
      </c>
      <c r="S512" s="6" t="s">
        <v>302</v>
      </c>
      <c r="T512" s="6">
        <f t="shared" si="21"/>
        <v>511</v>
      </c>
      <c r="U512" s="4" t="s">
        <v>194</v>
      </c>
    </row>
    <row r="513" spans="14:21" x14ac:dyDescent="0.25">
      <c r="N513" s="5" t="s">
        <v>89</v>
      </c>
      <c r="O513" s="5" t="s">
        <v>4</v>
      </c>
      <c r="P513" s="5">
        <f t="shared" si="20"/>
        <v>1222</v>
      </c>
      <c r="Q513" s="5" t="s">
        <v>226</v>
      </c>
      <c r="S513" s="6" t="s">
        <v>302</v>
      </c>
      <c r="T513" s="6">
        <f t="shared" si="21"/>
        <v>512</v>
      </c>
      <c r="U513" s="4" t="s">
        <v>194</v>
      </c>
    </row>
    <row r="514" spans="14:21" x14ac:dyDescent="0.25">
      <c r="N514" s="5" t="s">
        <v>2</v>
      </c>
      <c r="O514" s="5" t="s">
        <v>227</v>
      </c>
      <c r="P514" s="5">
        <f t="shared" si="20"/>
        <v>1224</v>
      </c>
      <c r="Q514" s="5" t="s">
        <v>0</v>
      </c>
      <c r="S514" s="6" t="s">
        <v>302</v>
      </c>
      <c r="T514" s="6">
        <f t="shared" si="21"/>
        <v>513</v>
      </c>
      <c r="U514" s="4" t="s">
        <v>194</v>
      </c>
    </row>
    <row r="515" spans="14:21" x14ac:dyDescent="0.25">
      <c r="N515" s="5" t="s">
        <v>3</v>
      </c>
      <c r="O515" s="5" t="s">
        <v>228</v>
      </c>
      <c r="P515" s="5">
        <f t="shared" si="20"/>
        <v>1226</v>
      </c>
      <c r="Q515" s="5" t="s">
        <v>10</v>
      </c>
      <c r="S515" s="6" t="s">
        <v>302</v>
      </c>
      <c r="T515" s="6">
        <f t="shared" si="21"/>
        <v>514</v>
      </c>
      <c r="U515" s="4" t="s">
        <v>194</v>
      </c>
    </row>
    <row r="516" spans="14:21" x14ac:dyDescent="0.25">
      <c r="N516" s="5" t="s">
        <v>6</v>
      </c>
      <c r="O516" s="5" t="s">
        <v>194</v>
      </c>
      <c r="P516" s="5">
        <f t="shared" ref="P516:P541" si="22">P515+2</f>
        <v>1228</v>
      </c>
      <c r="Q516" s="5" t="s">
        <v>9</v>
      </c>
      <c r="S516" s="6" t="s">
        <v>302</v>
      </c>
      <c r="T516" s="6">
        <f t="shared" si="21"/>
        <v>515</v>
      </c>
      <c r="U516" s="4" t="s">
        <v>194</v>
      </c>
    </row>
    <row r="517" spans="14:21" x14ac:dyDescent="0.25">
      <c r="N517" s="5" t="s">
        <v>7</v>
      </c>
      <c r="O517" s="5" t="s">
        <v>3</v>
      </c>
      <c r="P517" s="5">
        <f t="shared" si="22"/>
        <v>1230</v>
      </c>
      <c r="Q517" s="5" t="s">
        <v>191</v>
      </c>
      <c r="S517" s="6" t="s">
        <v>302</v>
      </c>
      <c r="T517" s="6">
        <f t="shared" ref="T517:T580" si="23">T516+1</f>
        <v>516</v>
      </c>
      <c r="U517" s="4" t="s">
        <v>194</v>
      </c>
    </row>
    <row r="518" spans="14:21" x14ac:dyDescent="0.25">
      <c r="N518" s="5" t="s">
        <v>86</v>
      </c>
      <c r="O518" s="5" t="s">
        <v>11</v>
      </c>
      <c r="P518" s="5">
        <f t="shared" si="22"/>
        <v>1232</v>
      </c>
      <c r="Q518" s="5" t="s">
        <v>195</v>
      </c>
      <c r="S518" s="6" t="s">
        <v>302</v>
      </c>
      <c r="T518" s="6">
        <f t="shared" si="23"/>
        <v>517</v>
      </c>
      <c r="U518" s="4" t="s">
        <v>194</v>
      </c>
    </row>
    <row r="519" spans="14:21" x14ac:dyDescent="0.25">
      <c r="N519" s="5" t="s">
        <v>195</v>
      </c>
      <c r="O519" s="5" t="s">
        <v>0</v>
      </c>
      <c r="P519" s="5">
        <f t="shared" si="22"/>
        <v>1234</v>
      </c>
      <c r="Q519" s="5" t="s">
        <v>86</v>
      </c>
      <c r="S519" s="6" t="s">
        <v>302</v>
      </c>
      <c r="T519" s="6">
        <f t="shared" si="23"/>
        <v>518</v>
      </c>
      <c r="U519" s="4" t="s">
        <v>194</v>
      </c>
    </row>
    <row r="520" spans="14:21" x14ac:dyDescent="0.25">
      <c r="N520" s="5" t="s">
        <v>192</v>
      </c>
      <c r="O520" s="5" t="s">
        <v>227</v>
      </c>
      <c r="P520" s="5">
        <f t="shared" si="22"/>
        <v>1236</v>
      </c>
      <c r="Q520" s="5" t="s">
        <v>88</v>
      </c>
      <c r="S520" s="6" t="s">
        <v>302</v>
      </c>
      <c r="T520" s="6">
        <f t="shared" si="23"/>
        <v>519</v>
      </c>
      <c r="U520" s="4" t="s">
        <v>194</v>
      </c>
    </row>
    <row r="521" spans="14:21" x14ac:dyDescent="0.25">
      <c r="N521" s="5" t="s">
        <v>2</v>
      </c>
      <c r="O521" s="5" t="s">
        <v>228</v>
      </c>
      <c r="P521" s="5">
        <f t="shared" si="22"/>
        <v>1238</v>
      </c>
      <c r="Q521" s="5" t="s">
        <v>9</v>
      </c>
      <c r="S521" s="6" t="s">
        <v>302</v>
      </c>
      <c r="T521" s="6">
        <f t="shared" si="23"/>
        <v>520</v>
      </c>
      <c r="U521" s="4" t="s">
        <v>194</v>
      </c>
    </row>
    <row r="522" spans="14:21" x14ac:dyDescent="0.25">
      <c r="N522" s="5" t="s">
        <v>3</v>
      </c>
      <c r="O522" s="5" t="s">
        <v>194</v>
      </c>
      <c r="P522" s="5">
        <f t="shared" si="22"/>
        <v>1240</v>
      </c>
      <c r="Q522" s="5" t="s">
        <v>10</v>
      </c>
      <c r="S522" s="6" t="s">
        <v>302</v>
      </c>
      <c r="T522" s="6">
        <f t="shared" si="23"/>
        <v>521</v>
      </c>
      <c r="U522" s="4" t="s">
        <v>194</v>
      </c>
    </row>
    <row r="523" spans="14:21" x14ac:dyDescent="0.25">
      <c r="N523" s="5" t="s">
        <v>6</v>
      </c>
      <c r="O523" s="5" t="s">
        <v>3</v>
      </c>
      <c r="P523" s="5">
        <f t="shared" si="22"/>
        <v>1242</v>
      </c>
      <c r="Q523" s="5" t="s">
        <v>194</v>
      </c>
      <c r="S523" s="6" t="s">
        <v>302</v>
      </c>
      <c r="T523" s="6">
        <f t="shared" si="23"/>
        <v>522</v>
      </c>
      <c r="U523" s="4" t="s">
        <v>194</v>
      </c>
    </row>
    <row r="524" spans="14:21" x14ac:dyDescent="0.25">
      <c r="N524" s="5" t="s">
        <v>7</v>
      </c>
      <c r="O524" s="5" t="s">
        <v>11</v>
      </c>
      <c r="P524" s="5">
        <f t="shared" si="22"/>
        <v>1244</v>
      </c>
      <c r="Q524" s="5" t="s">
        <v>2</v>
      </c>
      <c r="S524" s="6" t="s">
        <v>302</v>
      </c>
      <c r="T524" s="6">
        <f t="shared" si="23"/>
        <v>523</v>
      </c>
      <c r="U524" s="4" t="s">
        <v>194</v>
      </c>
    </row>
    <row r="525" spans="14:21" x14ac:dyDescent="0.25">
      <c r="N525" s="5" t="s">
        <v>191</v>
      </c>
      <c r="O525" s="5" t="s">
        <v>0</v>
      </c>
      <c r="P525" s="5">
        <f t="shared" si="22"/>
        <v>1246</v>
      </c>
      <c r="Q525" s="5" t="s">
        <v>194</v>
      </c>
      <c r="S525" s="6" t="s">
        <v>302</v>
      </c>
      <c r="T525" s="6">
        <f t="shared" si="23"/>
        <v>524</v>
      </c>
      <c r="U525" s="4" t="s">
        <v>194</v>
      </c>
    </row>
    <row r="526" spans="14:21" x14ac:dyDescent="0.25">
      <c r="N526" s="5" t="s">
        <v>9</v>
      </c>
      <c r="O526" s="5" t="s">
        <v>227</v>
      </c>
      <c r="P526" s="5">
        <f t="shared" si="22"/>
        <v>1248</v>
      </c>
      <c r="Q526" s="5" t="s">
        <v>194</v>
      </c>
      <c r="S526" s="6" t="s">
        <v>302</v>
      </c>
      <c r="T526" s="6">
        <f t="shared" si="23"/>
        <v>525</v>
      </c>
      <c r="U526" s="4" t="s">
        <v>194</v>
      </c>
    </row>
    <row r="527" spans="14:21" x14ac:dyDescent="0.25">
      <c r="N527" s="5" t="s">
        <v>2</v>
      </c>
      <c r="O527" s="5" t="s">
        <v>227</v>
      </c>
      <c r="P527" s="5">
        <f t="shared" si="22"/>
        <v>1250</v>
      </c>
      <c r="Q527" s="5" t="s">
        <v>191</v>
      </c>
      <c r="S527" s="6" t="s">
        <v>302</v>
      </c>
      <c r="T527" s="6">
        <f t="shared" si="23"/>
        <v>526</v>
      </c>
      <c r="U527" s="4" t="s">
        <v>194</v>
      </c>
    </row>
    <row r="528" spans="14:21" x14ac:dyDescent="0.25">
      <c r="N528" s="5" t="s">
        <v>3</v>
      </c>
      <c r="O528" s="5" t="s">
        <v>228</v>
      </c>
      <c r="P528" s="5">
        <f t="shared" si="22"/>
        <v>1252</v>
      </c>
      <c r="Q528" s="5" t="s">
        <v>195</v>
      </c>
      <c r="S528" s="6" t="s">
        <v>302</v>
      </c>
      <c r="T528" s="6">
        <f t="shared" si="23"/>
        <v>527</v>
      </c>
      <c r="U528" s="4" t="s">
        <v>194</v>
      </c>
    </row>
    <row r="529" spans="14:21" x14ac:dyDescent="0.25">
      <c r="N529" s="5" t="s">
        <v>6</v>
      </c>
      <c r="O529" s="5" t="s">
        <v>194</v>
      </c>
      <c r="P529" s="5">
        <f t="shared" si="22"/>
        <v>1254</v>
      </c>
      <c r="Q529" s="5" t="s">
        <v>86</v>
      </c>
      <c r="S529" s="6" t="s">
        <v>302</v>
      </c>
      <c r="T529" s="6">
        <f t="shared" si="23"/>
        <v>528</v>
      </c>
      <c r="U529" s="4" t="s">
        <v>194</v>
      </c>
    </row>
    <row r="530" spans="14:21" x14ac:dyDescent="0.25">
      <c r="N530" s="5" t="s">
        <v>7</v>
      </c>
      <c r="O530" s="5" t="s">
        <v>3</v>
      </c>
      <c r="P530" s="5">
        <f t="shared" si="22"/>
        <v>1256</v>
      </c>
      <c r="Q530" s="5" t="s">
        <v>88</v>
      </c>
      <c r="S530" s="6" t="s">
        <v>302</v>
      </c>
      <c r="T530" s="6">
        <f t="shared" si="23"/>
        <v>529</v>
      </c>
      <c r="U530" s="4" t="s">
        <v>194</v>
      </c>
    </row>
    <row r="531" spans="14:21" x14ac:dyDescent="0.25">
      <c r="N531" s="5" t="s">
        <v>86</v>
      </c>
      <c r="O531" s="5" t="s">
        <v>11</v>
      </c>
      <c r="P531" s="5">
        <f t="shared" si="22"/>
        <v>1258</v>
      </c>
      <c r="Q531" s="5" t="s">
        <v>0</v>
      </c>
      <c r="S531" s="6" t="s">
        <v>302</v>
      </c>
      <c r="T531" s="6">
        <f t="shared" si="23"/>
        <v>530</v>
      </c>
      <c r="U531" s="4" t="s">
        <v>194</v>
      </c>
    </row>
    <row r="532" spans="14:21" x14ac:dyDescent="0.25">
      <c r="N532" s="5" t="s">
        <v>195</v>
      </c>
      <c r="O532" s="5" t="s">
        <v>0</v>
      </c>
      <c r="P532" s="5">
        <f t="shared" si="22"/>
        <v>1260</v>
      </c>
      <c r="Q532" s="5" t="s">
        <v>6</v>
      </c>
      <c r="S532" s="6" t="s">
        <v>302</v>
      </c>
      <c r="T532" s="6">
        <f t="shared" si="23"/>
        <v>531</v>
      </c>
      <c r="U532" s="4" t="s">
        <v>194</v>
      </c>
    </row>
    <row r="533" spans="14:21" x14ac:dyDescent="0.25">
      <c r="N533" s="5" t="s">
        <v>192</v>
      </c>
      <c r="O533" s="5" t="s">
        <v>227</v>
      </c>
      <c r="P533" s="5">
        <f t="shared" si="22"/>
        <v>1262</v>
      </c>
      <c r="Q533" s="5" t="s">
        <v>7</v>
      </c>
      <c r="S533" s="6" t="s">
        <v>302</v>
      </c>
      <c r="T533" s="6">
        <f t="shared" si="23"/>
        <v>532</v>
      </c>
      <c r="U533" s="4" t="s">
        <v>194</v>
      </c>
    </row>
    <row r="534" spans="14:21" x14ac:dyDescent="0.25">
      <c r="N534" s="5" t="s">
        <v>0</v>
      </c>
      <c r="O534" s="5" t="s">
        <v>226</v>
      </c>
      <c r="P534" s="5">
        <f t="shared" si="22"/>
        <v>1264</v>
      </c>
      <c r="Q534" s="5" t="s">
        <v>195</v>
      </c>
      <c r="S534" s="6" t="s">
        <v>302</v>
      </c>
      <c r="T534" s="6">
        <f t="shared" si="23"/>
        <v>533</v>
      </c>
      <c r="U534" s="4" t="s">
        <v>194</v>
      </c>
    </row>
    <row r="535" spans="14:21" x14ac:dyDescent="0.25">
      <c r="N535" s="5" t="s">
        <v>3</v>
      </c>
      <c r="O535" s="5" t="s">
        <v>4</v>
      </c>
      <c r="P535" s="5">
        <f t="shared" si="22"/>
        <v>1266</v>
      </c>
      <c r="Q535" s="5" t="s">
        <v>192</v>
      </c>
      <c r="S535" s="6" t="s">
        <v>302</v>
      </c>
      <c r="T535" s="6">
        <f t="shared" si="23"/>
        <v>534</v>
      </c>
      <c r="U535" s="4" t="s">
        <v>194</v>
      </c>
    </row>
    <row r="536" spans="14:21" x14ac:dyDescent="0.25">
      <c r="N536" s="5" t="s">
        <v>5</v>
      </c>
      <c r="O536" s="5" t="s">
        <v>12</v>
      </c>
      <c r="P536" s="5">
        <f t="shared" si="22"/>
        <v>1268</v>
      </c>
      <c r="Q536" s="5" t="s">
        <v>226</v>
      </c>
      <c r="S536" s="6" t="s">
        <v>302</v>
      </c>
      <c r="T536" s="6">
        <f t="shared" si="23"/>
        <v>535</v>
      </c>
      <c r="U536" s="4" t="s">
        <v>194</v>
      </c>
    </row>
    <row r="537" spans="14:21" x14ac:dyDescent="0.25">
      <c r="N537" s="5" t="s">
        <v>7</v>
      </c>
      <c r="O537" s="5" t="s">
        <v>86</v>
      </c>
      <c r="P537" s="5">
        <f t="shared" si="22"/>
        <v>1270</v>
      </c>
      <c r="Q537" s="5" t="s">
        <v>0</v>
      </c>
      <c r="S537" s="6" t="s">
        <v>302</v>
      </c>
      <c r="T537" s="6">
        <f t="shared" si="23"/>
        <v>536</v>
      </c>
      <c r="U537" s="4" t="s">
        <v>194</v>
      </c>
    </row>
    <row r="538" spans="14:21" x14ac:dyDescent="0.25">
      <c r="N538" s="5" t="s">
        <v>2</v>
      </c>
      <c r="O538" s="5" t="s">
        <v>7</v>
      </c>
      <c r="P538" s="5">
        <f t="shared" si="22"/>
        <v>1272</v>
      </c>
      <c r="Q538" s="5" t="s">
        <v>6</v>
      </c>
      <c r="S538" s="6" t="s">
        <v>302</v>
      </c>
      <c r="T538" s="6">
        <f t="shared" si="23"/>
        <v>537</v>
      </c>
      <c r="U538" s="4" t="s">
        <v>194</v>
      </c>
    </row>
    <row r="539" spans="14:21" x14ac:dyDescent="0.25">
      <c r="N539" s="5" t="s">
        <v>3</v>
      </c>
      <c r="O539" s="5" t="s">
        <v>191</v>
      </c>
      <c r="P539" s="5">
        <f t="shared" si="22"/>
        <v>1274</v>
      </c>
      <c r="Q539" s="5" t="s">
        <v>7</v>
      </c>
      <c r="S539" s="6" t="s">
        <v>302</v>
      </c>
      <c r="T539" s="6">
        <f t="shared" si="23"/>
        <v>538</v>
      </c>
      <c r="U539" s="4" t="s">
        <v>194</v>
      </c>
    </row>
    <row r="540" spans="14:21" x14ac:dyDescent="0.25">
      <c r="N540" s="5" t="s">
        <v>89</v>
      </c>
      <c r="O540" s="5" t="s">
        <v>9</v>
      </c>
      <c r="P540" s="5">
        <f t="shared" si="22"/>
        <v>1276</v>
      </c>
      <c r="Q540" s="5" t="s">
        <v>195</v>
      </c>
      <c r="S540" s="6" t="s">
        <v>302</v>
      </c>
      <c r="T540" s="6">
        <f t="shared" si="23"/>
        <v>539</v>
      </c>
      <c r="U540" s="4" t="s">
        <v>194</v>
      </c>
    </row>
    <row r="541" spans="14:21" x14ac:dyDescent="0.25">
      <c r="N541" s="5" t="s">
        <v>195</v>
      </c>
      <c r="O541" s="5" t="s">
        <v>2</v>
      </c>
      <c r="P541" s="5">
        <f t="shared" si="22"/>
        <v>1278</v>
      </c>
      <c r="Q541" s="5" t="s">
        <v>8</v>
      </c>
      <c r="S541" s="6" t="s">
        <v>302</v>
      </c>
      <c r="T541" s="6">
        <f t="shared" si="23"/>
        <v>540</v>
      </c>
      <c r="U541" s="4" t="s">
        <v>194</v>
      </c>
    </row>
    <row r="542" spans="14:21" x14ac:dyDescent="0.25">
      <c r="S542" s="6" t="s">
        <v>302</v>
      </c>
      <c r="T542" s="6">
        <f t="shared" si="23"/>
        <v>541</v>
      </c>
      <c r="U542" s="4" t="s">
        <v>194</v>
      </c>
    </row>
    <row r="543" spans="14:21" x14ac:dyDescent="0.25">
      <c r="S543" s="6" t="s">
        <v>302</v>
      </c>
      <c r="T543" s="6">
        <f t="shared" si="23"/>
        <v>542</v>
      </c>
      <c r="U543" s="4" t="s">
        <v>194</v>
      </c>
    </row>
    <row r="544" spans="14:21" x14ac:dyDescent="0.25">
      <c r="S544" s="6" t="s">
        <v>302</v>
      </c>
      <c r="T544" s="6">
        <f t="shared" si="23"/>
        <v>543</v>
      </c>
      <c r="U544" s="4" t="s">
        <v>194</v>
      </c>
    </row>
    <row r="545" spans="19:21" x14ac:dyDescent="0.25">
      <c r="S545" s="6" t="s">
        <v>302</v>
      </c>
      <c r="T545" s="6">
        <f t="shared" si="23"/>
        <v>544</v>
      </c>
      <c r="U545" s="4" t="s">
        <v>194</v>
      </c>
    </row>
    <row r="546" spans="19:21" x14ac:dyDescent="0.25">
      <c r="S546" s="6" t="s">
        <v>302</v>
      </c>
      <c r="T546" s="6">
        <f t="shared" si="23"/>
        <v>545</v>
      </c>
      <c r="U546" s="4" t="s">
        <v>194</v>
      </c>
    </row>
    <row r="547" spans="19:21" x14ac:dyDescent="0.25">
      <c r="S547" s="6" t="s">
        <v>302</v>
      </c>
      <c r="T547" s="6">
        <f t="shared" si="23"/>
        <v>546</v>
      </c>
      <c r="U547" s="4" t="s">
        <v>194</v>
      </c>
    </row>
    <row r="548" spans="19:21" x14ac:dyDescent="0.25">
      <c r="S548" s="6" t="s">
        <v>302</v>
      </c>
      <c r="T548" s="6">
        <f t="shared" si="23"/>
        <v>547</v>
      </c>
      <c r="U548" s="4" t="s">
        <v>194</v>
      </c>
    </row>
    <row r="549" spans="19:21" x14ac:dyDescent="0.25">
      <c r="S549" s="6" t="s">
        <v>302</v>
      </c>
      <c r="T549" s="6">
        <f t="shared" si="23"/>
        <v>548</v>
      </c>
      <c r="U549" s="4" t="s">
        <v>194</v>
      </c>
    </row>
    <row r="550" spans="19:21" x14ac:dyDescent="0.25">
      <c r="S550" s="6" t="s">
        <v>302</v>
      </c>
      <c r="T550" s="6">
        <f t="shared" si="23"/>
        <v>549</v>
      </c>
      <c r="U550" s="4" t="s">
        <v>194</v>
      </c>
    </row>
    <row r="551" spans="19:21" x14ac:dyDescent="0.25">
      <c r="S551" s="6" t="s">
        <v>302</v>
      </c>
      <c r="T551" s="6">
        <f t="shared" si="23"/>
        <v>550</v>
      </c>
      <c r="U551" s="4" t="s">
        <v>194</v>
      </c>
    </row>
    <row r="552" spans="19:21" x14ac:dyDescent="0.25">
      <c r="S552" s="6" t="s">
        <v>302</v>
      </c>
      <c r="T552" s="6">
        <f t="shared" si="23"/>
        <v>551</v>
      </c>
      <c r="U552" s="4" t="s">
        <v>194</v>
      </c>
    </row>
    <row r="553" spans="19:21" x14ac:dyDescent="0.25">
      <c r="S553" s="6" t="s">
        <v>302</v>
      </c>
      <c r="T553" s="6">
        <f t="shared" si="23"/>
        <v>552</v>
      </c>
      <c r="U553" s="4" t="s">
        <v>194</v>
      </c>
    </row>
    <row r="554" spans="19:21" x14ac:dyDescent="0.25">
      <c r="S554" s="6" t="s">
        <v>302</v>
      </c>
      <c r="T554" s="6">
        <f t="shared" si="23"/>
        <v>553</v>
      </c>
      <c r="U554" s="4" t="s">
        <v>194</v>
      </c>
    </row>
    <row r="555" spans="19:21" x14ac:dyDescent="0.25">
      <c r="S555" s="6" t="s">
        <v>302</v>
      </c>
      <c r="T555" s="6">
        <f t="shared" si="23"/>
        <v>554</v>
      </c>
      <c r="U555" s="4" t="s">
        <v>194</v>
      </c>
    </row>
    <row r="556" spans="19:21" x14ac:dyDescent="0.25">
      <c r="S556" s="6" t="s">
        <v>302</v>
      </c>
      <c r="T556" s="6">
        <f t="shared" si="23"/>
        <v>555</v>
      </c>
      <c r="U556" s="4" t="s">
        <v>194</v>
      </c>
    </row>
    <row r="557" spans="19:21" x14ac:dyDescent="0.25">
      <c r="S557" s="6" t="s">
        <v>302</v>
      </c>
      <c r="T557" s="6">
        <f t="shared" si="23"/>
        <v>556</v>
      </c>
      <c r="U557" s="4" t="s">
        <v>194</v>
      </c>
    </row>
    <row r="558" spans="19:21" x14ac:dyDescent="0.25">
      <c r="S558" s="6" t="s">
        <v>302</v>
      </c>
      <c r="T558" s="6">
        <f t="shared" si="23"/>
        <v>557</v>
      </c>
      <c r="U558" s="4" t="s">
        <v>194</v>
      </c>
    </row>
    <row r="559" spans="19:21" x14ac:dyDescent="0.25">
      <c r="S559" s="6" t="s">
        <v>302</v>
      </c>
      <c r="T559" s="6">
        <f t="shared" si="23"/>
        <v>558</v>
      </c>
      <c r="U559" s="4" t="s">
        <v>194</v>
      </c>
    </row>
    <row r="560" spans="19:21" x14ac:dyDescent="0.25">
      <c r="S560" s="6" t="s">
        <v>302</v>
      </c>
      <c r="T560" s="6">
        <f t="shared" si="23"/>
        <v>559</v>
      </c>
      <c r="U560" s="4" t="s">
        <v>194</v>
      </c>
    </row>
    <row r="561" spans="19:21" x14ac:dyDescent="0.25">
      <c r="S561" s="6" t="s">
        <v>302</v>
      </c>
      <c r="T561" s="6">
        <f t="shared" si="23"/>
        <v>560</v>
      </c>
      <c r="U561" s="4" t="s">
        <v>194</v>
      </c>
    </row>
    <row r="562" spans="19:21" x14ac:dyDescent="0.25">
      <c r="S562" s="6" t="s">
        <v>302</v>
      </c>
      <c r="T562" s="6">
        <f t="shared" si="23"/>
        <v>561</v>
      </c>
      <c r="U562" s="4" t="s">
        <v>194</v>
      </c>
    </row>
    <row r="563" spans="19:21" x14ac:dyDescent="0.25">
      <c r="S563" s="6" t="s">
        <v>302</v>
      </c>
      <c r="T563" s="6">
        <f t="shared" si="23"/>
        <v>562</v>
      </c>
      <c r="U563" s="4" t="s">
        <v>194</v>
      </c>
    </row>
    <row r="564" spans="19:21" x14ac:dyDescent="0.25">
      <c r="S564" s="6" t="s">
        <v>302</v>
      </c>
      <c r="T564" s="6">
        <f t="shared" si="23"/>
        <v>563</v>
      </c>
      <c r="U564" s="4" t="s">
        <v>194</v>
      </c>
    </row>
    <row r="565" spans="19:21" x14ac:dyDescent="0.25">
      <c r="S565" s="6" t="s">
        <v>302</v>
      </c>
      <c r="T565" s="6">
        <f t="shared" si="23"/>
        <v>564</v>
      </c>
      <c r="U565" s="4" t="s">
        <v>194</v>
      </c>
    </row>
    <row r="566" spans="19:21" x14ac:dyDescent="0.25">
      <c r="S566" s="6" t="s">
        <v>302</v>
      </c>
      <c r="T566" s="6">
        <f t="shared" si="23"/>
        <v>565</v>
      </c>
      <c r="U566" s="4" t="s">
        <v>194</v>
      </c>
    </row>
    <row r="567" spans="19:21" x14ac:dyDescent="0.25">
      <c r="S567" s="6" t="s">
        <v>302</v>
      </c>
      <c r="T567" s="6">
        <f t="shared" si="23"/>
        <v>566</v>
      </c>
      <c r="U567" s="4" t="s">
        <v>194</v>
      </c>
    </row>
    <row r="568" spans="19:21" x14ac:dyDescent="0.25">
      <c r="S568" s="6" t="s">
        <v>302</v>
      </c>
      <c r="T568" s="6">
        <f t="shared" si="23"/>
        <v>567</v>
      </c>
      <c r="U568" s="4" t="s">
        <v>194</v>
      </c>
    </row>
    <row r="569" spans="19:21" x14ac:dyDescent="0.25">
      <c r="S569" s="6" t="s">
        <v>302</v>
      </c>
      <c r="T569" s="6">
        <f t="shared" si="23"/>
        <v>568</v>
      </c>
      <c r="U569" s="4" t="s">
        <v>194</v>
      </c>
    </row>
    <row r="570" spans="19:21" x14ac:dyDescent="0.25">
      <c r="S570" s="6" t="s">
        <v>302</v>
      </c>
      <c r="T570" s="6">
        <f t="shared" si="23"/>
        <v>569</v>
      </c>
      <c r="U570" s="4" t="s">
        <v>194</v>
      </c>
    </row>
    <row r="571" spans="19:21" x14ac:dyDescent="0.25">
      <c r="S571" s="6" t="s">
        <v>302</v>
      </c>
      <c r="T571" s="6">
        <f t="shared" si="23"/>
        <v>570</v>
      </c>
      <c r="U571" s="4" t="s">
        <v>194</v>
      </c>
    </row>
    <row r="572" spans="19:21" x14ac:dyDescent="0.25">
      <c r="S572" s="6" t="s">
        <v>302</v>
      </c>
      <c r="T572" s="6">
        <f t="shared" si="23"/>
        <v>571</v>
      </c>
      <c r="U572" s="4" t="s">
        <v>194</v>
      </c>
    </row>
    <row r="573" spans="19:21" x14ac:dyDescent="0.25">
      <c r="S573" s="6" t="s">
        <v>302</v>
      </c>
      <c r="T573" s="6">
        <f t="shared" si="23"/>
        <v>572</v>
      </c>
      <c r="U573" s="4" t="s">
        <v>194</v>
      </c>
    </row>
    <row r="574" spans="19:21" x14ac:dyDescent="0.25">
      <c r="S574" s="6" t="s">
        <v>302</v>
      </c>
      <c r="T574" s="6">
        <f t="shared" si="23"/>
        <v>573</v>
      </c>
      <c r="U574" s="4" t="s">
        <v>194</v>
      </c>
    </row>
    <row r="575" spans="19:21" x14ac:dyDescent="0.25">
      <c r="S575" s="6" t="s">
        <v>302</v>
      </c>
      <c r="T575" s="6">
        <f t="shared" si="23"/>
        <v>574</v>
      </c>
      <c r="U575" s="4" t="s">
        <v>194</v>
      </c>
    </row>
    <row r="576" spans="19:21" x14ac:dyDescent="0.25">
      <c r="S576" s="6" t="s">
        <v>302</v>
      </c>
      <c r="T576" s="6">
        <f t="shared" si="23"/>
        <v>575</v>
      </c>
      <c r="U576" s="4" t="s">
        <v>194</v>
      </c>
    </row>
    <row r="577" spans="19:21" x14ac:dyDescent="0.25">
      <c r="S577" s="6" t="s">
        <v>302</v>
      </c>
      <c r="T577" s="6">
        <f t="shared" si="23"/>
        <v>576</v>
      </c>
      <c r="U577" s="4" t="s">
        <v>194</v>
      </c>
    </row>
    <row r="578" spans="19:21" x14ac:dyDescent="0.25">
      <c r="S578" s="6" t="s">
        <v>302</v>
      </c>
      <c r="T578" s="6">
        <f t="shared" si="23"/>
        <v>577</v>
      </c>
      <c r="U578" s="4" t="s">
        <v>194</v>
      </c>
    </row>
    <row r="579" spans="19:21" x14ac:dyDescent="0.25">
      <c r="S579" s="6" t="s">
        <v>302</v>
      </c>
      <c r="T579" s="6">
        <f t="shared" si="23"/>
        <v>578</v>
      </c>
      <c r="U579" s="4" t="s">
        <v>194</v>
      </c>
    </row>
    <row r="580" spans="19:21" x14ac:dyDescent="0.25">
      <c r="S580" s="6" t="s">
        <v>302</v>
      </c>
      <c r="T580" s="6">
        <f t="shared" si="23"/>
        <v>579</v>
      </c>
      <c r="U580" s="4" t="s">
        <v>194</v>
      </c>
    </row>
    <row r="581" spans="19:21" x14ac:dyDescent="0.25">
      <c r="S581" s="6" t="s">
        <v>302</v>
      </c>
      <c r="T581" s="6">
        <f t="shared" ref="T581:T644" si="24">T580+1</f>
        <v>580</v>
      </c>
      <c r="U581" s="4" t="s">
        <v>194</v>
      </c>
    </row>
    <row r="582" spans="19:21" x14ac:dyDescent="0.25">
      <c r="S582" s="6" t="s">
        <v>302</v>
      </c>
      <c r="T582" s="6">
        <f t="shared" si="24"/>
        <v>581</v>
      </c>
      <c r="U582" s="4" t="s">
        <v>194</v>
      </c>
    </row>
    <row r="583" spans="19:21" x14ac:dyDescent="0.25">
      <c r="S583" s="6" t="s">
        <v>302</v>
      </c>
      <c r="T583" s="6">
        <f t="shared" si="24"/>
        <v>582</v>
      </c>
      <c r="U583" s="4" t="s">
        <v>194</v>
      </c>
    </row>
    <row r="584" spans="19:21" x14ac:dyDescent="0.25">
      <c r="S584" s="6" t="s">
        <v>302</v>
      </c>
      <c r="T584" s="6">
        <f t="shared" si="24"/>
        <v>583</v>
      </c>
      <c r="U584" s="4" t="s">
        <v>194</v>
      </c>
    </row>
    <row r="585" spans="19:21" x14ac:dyDescent="0.25">
      <c r="S585" s="6" t="s">
        <v>302</v>
      </c>
      <c r="T585" s="6">
        <f t="shared" si="24"/>
        <v>584</v>
      </c>
      <c r="U585" s="4" t="s">
        <v>194</v>
      </c>
    </row>
    <row r="586" spans="19:21" x14ac:dyDescent="0.25">
      <c r="S586" s="6" t="s">
        <v>302</v>
      </c>
      <c r="T586" s="6">
        <f t="shared" si="24"/>
        <v>585</v>
      </c>
      <c r="U586" s="4" t="s">
        <v>194</v>
      </c>
    </row>
    <row r="587" spans="19:21" x14ac:dyDescent="0.25">
      <c r="S587" s="6" t="s">
        <v>302</v>
      </c>
      <c r="T587" s="6">
        <f t="shared" si="24"/>
        <v>586</v>
      </c>
      <c r="U587" s="4" t="s">
        <v>194</v>
      </c>
    </row>
    <row r="588" spans="19:21" x14ac:dyDescent="0.25">
      <c r="S588" s="6" t="s">
        <v>302</v>
      </c>
      <c r="T588" s="6">
        <f t="shared" si="24"/>
        <v>587</v>
      </c>
      <c r="U588" s="4" t="s">
        <v>194</v>
      </c>
    </row>
    <row r="589" spans="19:21" x14ac:dyDescent="0.25">
      <c r="S589" s="6" t="s">
        <v>302</v>
      </c>
      <c r="T589" s="6">
        <f t="shared" si="24"/>
        <v>588</v>
      </c>
      <c r="U589" s="4" t="s">
        <v>194</v>
      </c>
    </row>
    <row r="590" spans="19:21" x14ac:dyDescent="0.25">
      <c r="S590" s="6" t="s">
        <v>302</v>
      </c>
      <c r="T590" s="6">
        <f t="shared" si="24"/>
        <v>589</v>
      </c>
      <c r="U590" s="4" t="s">
        <v>194</v>
      </c>
    </row>
    <row r="591" spans="19:21" x14ac:dyDescent="0.25">
      <c r="S591" s="6" t="s">
        <v>302</v>
      </c>
      <c r="T591" s="6">
        <f t="shared" si="24"/>
        <v>590</v>
      </c>
      <c r="U591" s="4" t="s">
        <v>194</v>
      </c>
    </row>
    <row r="592" spans="19:21" x14ac:dyDescent="0.25">
      <c r="S592" s="6" t="s">
        <v>302</v>
      </c>
      <c r="T592" s="6">
        <f t="shared" si="24"/>
        <v>591</v>
      </c>
      <c r="U592" s="4" t="s">
        <v>194</v>
      </c>
    </row>
    <row r="593" spans="19:21" x14ac:dyDescent="0.25">
      <c r="S593" s="6" t="s">
        <v>302</v>
      </c>
      <c r="T593" s="6">
        <f t="shared" si="24"/>
        <v>592</v>
      </c>
      <c r="U593" s="4" t="s">
        <v>194</v>
      </c>
    </row>
    <row r="594" spans="19:21" x14ac:dyDescent="0.25">
      <c r="S594" s="6" t="s">
        <v>302</v>
      </c>
      <c r="T594" s="6">
        <f t="shared" si="24"/>
        <v>593</v>
      </c>
      <c r="U594" s="4" t="s">
        <v>194</v>
      </c>
    </row>
    <row r="595" spans="19:21" x14ac:dyDescent="0.25">
      <c r="S595" s="6" t="s">
        <v>302</v>
      </c>
      <c r="T595" s="6">
        <f t="shared" si="24"/>
        <v>594</v>
      </c>
      <c r="U595" s="4" t="s">
        <v>194</v>
      </c>
    </row>
    <row r="596" spans="19:21" x14ac:dyDescent="0.25">
      <c r="S596" s="6" t="s">
        <v>302</v>
      </c>
      <c r="T596" s="6">
        <f t="shared" si="24"/>
        <v>595</v>
      </c>
      <c r="U596" s="4" t="s">
        <v>194</v>
      </c>
    </row>
    <row r="597" spans="19:21" x14ac:dyDescent="0.25">
      <c r="S597" s="6" t="s">
        <v>302</v>
      </c>
      <c r="T597" s="6">
        <f t="shared" si="24"/>
        <v>596</v>
      </c>
      <c r="U597" s="4" t="s">
        <v>194</v>
      </c>
    </row>
    <row r="598" spans="19:21" x14ac:dyDescent="0.25">
      <c r="S598" s="6" t="s">
        <v>302</v>
      </c>
      <c r="T598" s="6">
        <f t="shared" si="24"/>
        <v>597</v>
      </c>
      <c r="U598" s="4" t="s">
        <v>194</v>
      </c>
    </row>
    <row r="599" spans="19:21" x14ac:dyDescent="0.25">
      <c r="S599" s="6" t="s">
        <v>302</v>
      </c>
      <c r="T599" s="6">
        <f t="shared" si="24"/>
        <v>598</v>
      </c>
      <c r="U599" s="4" t="s">
        <v>194</v>
      </c>
    </row>
    <row r="600" spans="19:21" x14ac:dyDescent="0.25">
      <c r="S600" s="6" t="s">
        <v>302</v>
      </c>
      <c r="T600" s="6">
        <f t="shared" si="24"/>
        <v>599</v>
      </c>
      <c r="U600" s="4" t="s">
        <v>194</v>
      </c>
    </row>
    <row r="601" spans="19:21" x14ac:dyDescent="0.25">
      <c r="S601" s="6" t="s">
        <v>302</v>
      </c>
      <c r="T601" s="6">
        <f t="shared" si="24"/>
        <v>600</v>
      </c>
      <c r="U601" s="4" t="s">
        <v>194</v>
      </c>
    </row>
    <row r="602" spans="19:21" x14ac:dyDescent="0.25">
      <c r="S602" s="6" t="s">
        <v>302</v>
      </c>
      <c r="T602" s="6">
        <f t="shared" si="24"/>
        <v>601</v>
      </c>
      <c r="U602" s="4" t="s">
        <v>194</v>
      </c>
    </row>
    <row r="603" spans="19:21" x14ac:dyDescent="0.25">
      <c r="S603" s="6" t="s">
        <v>302</v>
      </c>
      <c r="T603" s="6">
        <f t="shared" si="24"/>
        <v>602</v>
      </c>
      <c r="U603" s="4" t="s">
        <v>194</v>
      </c>
    </row>
    <row r="604" spans="19:21" x14ac:dyDescent="0.25">
      <c r="S604" s="6" t="s">
        <v>302</v>
      </c>
      <c r="T604" s="6">
        <f t="shared" si="24"/>
        <v>603</v>
      </c>
      <c r="U604" s="4" t="s">
        <v>194</v>
      </c>
    </row>
    <row r="605" spans="19:21" x14ac:dyDescent="0.25">
      <c r="S605" s="6" t="s">
        <v>302</v>
      </c>
      <c r="T605" s="6">
        <f t="shared" si="24"/>
        <v>604</v>
      </c>
      <c r="U605" s="4" t="s">
        <v>194</v>
      </c>
    </row>
    <row r="606" spans="19:21" x14ac:dyDescent="0.25">
      <c r="S606" s="6" t="s">
        <v>302</v>
      </c>
      <c r="T606" s="6">
        <f t="shared" si="24"/>
        <v>605</v>
      </c>
      <c r="U606" s="4" t="s">
        <v>194</v>
      </c>
    </row>
    <row r="607" spans="19:21" x14ac:dyDescent="0.25">
      <c r="S607" s="6" t="s">
        <v>302</v>
      </c>
      <c r="T607" s="6">
        <f t="shared" si="24"/>
        <v>606</v>
      </c>
      <c r="U607" s="4" t="s">
        <v>194</v>
      </c>
    </row>
    <row r="608" spans="19:21" x14ac:dyDescent="0.25">
      <c r="S608" s="6" t="s">
        <v>302</v>
      </c>
      <c r="T608" s="6">
        <f t="shared" si="24"/>
        <v>607</v>
      </c>
      <c r="U608" s="4" t="s">
        <v>194</v>
      </c>
    </row>
    <row r="609" spans="19:21" x14ac:dyDescent="0.25">
      <c r="S609" s="6" t="s">
        <v>302</v>
      </c>
      <c r="T609" s="6">
        <f t="shared" si="24"/>
        <v>608</v>
      </c>
      <c r="U609" s="4" t="s">
        <v>194</v>
      </c>
    </row>
    <row r="610" spans="19:21" x14ac:dyDescent="0.25">
      <c r="S610" s="6" t="s">
        <v>302</v>
      </c>
      <c r="T610" s="6">
        <f t="shared" si="24"/>
        <v>609</v>
      </c>
      <c r="U610" s="4" t="s">
        <v>194</v>
      </c>
    </row>
    <row r="611" spans="19:21" x14ac:dyDescent="0.25">
      <c r="S611" s="6" t="s">
        <v>302</v>
      </c>
      <c r="T611" s="6">
        <f t="shared" si="24"/>
        <v>610</v>
      </c>
      <c r="U611" s="4" t="s">
        <v>194</v>
      </c>
    </row>
    <row r="612" spans="19:21" x14ac:dyDescent="0.25">
      <c r="S612" s="6" t="s">
        <v>302</v>
      </c>
      <c r="T612" s="6">
        <f t="shared" si="24"/>
        <v>611</v>
      </c>
      <c r="U612" s="4" t="s">
        <v>194</v>
      </c>
    </row>
    <row r="613" spans="19:21" x14ac:dyDescent="0.25">
      <c r="S613" s="6" t="s">
        <v>302</v>
      </c>
      <c r="T613" s="6">
        <f t="shared" si="24"/>
        <v>612</v>
      </c>
      <c r="U613" s="4" t="s">
        <v>194</v>
      </c>
    </row>
    <row r="614" spans="19:21" x14ac:dyDescent="0.25">
      <c r="S614" s="6" t="s">
        <v>302</v>
      </c>
      <c r="T614" s="6">
        <f t="shared" si="24"/>
        <v>613</v>
      </c>
      <c r="U614" s="4" t="s">
        <v>194</v>
      </c>
    </row>
    <row r="615" spans="19:21" x14ac:dyDescent="0.25">
      <c r="S615" s="6" t="s">
        <v>302</v>
      </c>
      <c r="T615" s="6">
        <f t="shared" si="24"/>
        <v>614</v>
      </c>
      <c r="U615" s="4" t="s">
        <v>194</v>
      </c>
    </row>
    <row r="616" spans="19:21" x14ac:dyDescent="0.25">
      <c r="S616" s="6" t="s">
        <v>302</v>
      </c>
      <c r="T616" s="6">
        <f t="shared" si="24"/>
        <v>615</v>
      </c>
      <c r="U616" s="4" t="s">
        <v>194</v>
      </c>
    </row>
    <row r="617" spans="19:21" x14ac:dyDescent="0.25">
      <c r="S617" s="6" t="s">
        <v>302</v>
      </c>
      <c r="T617" s="6">
        <f t="shared" si="24"/>
        <v>616</v>
      </c>
      <c r="U617" s="4" t="s">
        <v>194</v>
      </c>
    </row>
    <row r="618" spans="19:21" x14ac:dyDescent="0.25">
      <c r="S618" s="6" t="s">
        <v>302</v>
      </c>
      <c r="T618" s="6">
        <f t="shared" si="24"/>
        <v>617</v>
      </c>
      <c r="U618" s="4" t="s">
        <v>194</v>
      </c>
    </row>
    <row r="619" spans="19:21" x14ac:dyDescent="0.25">
      <c r="S619" s="6" t="s">
        <v>302</v>
      </c>
      <c r="T619" s="6">
        <f t="shared" si="24"/>
        <v>618</v>
      </c>
      <c r="U619" s="4" t="s">
        <v>194</v>
      </c>
    </row>
    <row r="620" spans="19:21" x14ac:dyDescent="0.25">
      <c r="S620" s="6" t="s">
        <v>302</v>
      </c>
      <c r="T620" s="6">
        <f t="shared" si="24"/>
        <v>619</v>
      </c>
      <c r="U620" s="4" t="s">
        <v>194</v>
      </c>
    </row>
    <row r="621" spans="19:21" x14ac:dyDescent="0.25">
      <c r="S621" s="6" t="s">
        <v>302</v>
      </c>
      <c r="T621" s="6">
        <f t="shared" si="24"/>
        <v>620</v>
      </c>
      <c r="U621" s="4" t="s">
        <v>194</v>
      </c>
    </row>
    <row r="622" spans="19:21" x14ac:dyDescent="0.25">
      <c r="S622" s="6" t="s">
        <v>302</v>
      </c>
      <c r="T622" s="6">
        <f t="shared" si="24"/>
        <v>621</v>
      </c>
      <c r="U622" s="4" t="s">
        <v>194</v>
      </c>
    </row>
    <row r="623" spans="19:21" x14ac:dyDescent="0.25">
      <c r="S623" s="6" t="s">
        <v>302</v>
      </c>
      <c r="T623" s="6">
        <f t="shared" si="24"/>
        <v>622</v>
      </c>
      <c r="U623" s="4" t="s">
        <v>194</v>
      </c>
    </row>
    <row r="624" spans="19:21" x14ac:dyDescent="0.25">
      <c r="S624" s="6" t="s">
        <v>302</v>
      </c>
      <c r="T624" s="6">
        <f t="shared" si="24"/>
        <v>623</v>
      </c>
      <c r="U624" s="4" t="s">
        <v>194</v>
      </c>
    </row>
    <row r="625" spans="19:21" x14ac:dyDescent="0.25">
      <c r="S625" s="6" t="s">
        <v>302</v>
      </c>
      <c r="T625" s="6">
        <f t="shared" si="24"/>
        <v>624</v>
      </c>
      <c r="U625" s="4" t="s">
        <v>194</v>
      </c>
    </row>
    <row r="626" spans="19:21" x14ac:dyDescent="0.25">
      <c r="S626" s="6" t="s">
        <v>302</v>
      </c>
      <c r="T626" s="6">
        <f t="shared" si="24"/>
        <v>625</v>
      </c>
      <c r="U626" s="4" t="s">
        <v>194</v>
      </c>
    </row>
    <row r="627" spans="19:21" x14ac:dyDescent="0.25">
      <c r="S627" s="6" t="s">
        <v>302</v>
      </c>
      <c r="T627" s="6">
        <f t="shared" si="24"/>
        <v>626</v>
      </c>
      <c r="U627" s="4" t="s">
        <v>194</v>
      </c>
    </row>
    <row r="628" spans="19:21" x14ac:dyDescent="0.25">
      <c r="S628" s="6" t="s">
        <v>302</v>
      </c>
      <c r="T628" s="6">
        <f t="shared" si="24"/>
        <v>627</v>
      </c>
      <c r="U628" s="4" t="s">
        <v>194</v>
      </c>
    </row>
    <row r="629" spans="19:21" x14ac:dyDescent="0.25">
      <c r="S629" s="6" t="s">
        <v>302</v>
      </c>
      <c r="T629" s="6">
        <f t="shared" si="24"/>
        <v>628</v>
      </c>
      <c r="U629" s="4" t="s">
        <v>194</v>
      </c>
    </row>
    <row r="630" spans="19:21" x14ac:dyDescent="0.25">
      <c r="S630" s="6" t="s">
        <v>302</v>
      </c>
      <c r="T630" s="6">
        <f t="shared" si="24"/>
        <v>629</v>
      </c>
      <c r="U630" s="4" t="s">
        <v>194</v>
      </c>
    </row>
    <row r="631" spans="19:21" x14ac:dyDescent="0.25">
      <c r="S631" s="6" t="s">
        <v>302</v>
      </c>
      <c r="T631" s="6">
        <f t="shared" si="24"/>
        <v>630</v>
      </c>
      <c r="U631" s="4" t="s">
        <v>194</v>
      </c>
    </row>
    <row r="632" spans="19:21" x14ac:dyDescent="0.25">
      <c r="S632" s="6" t="s">
        <v>302</v>
      </c>
      <c r="T632" s="6">
        <f t="shared" si="24"/>
        <v>631</v>
      </c>
      <c r="U632" s="4" t="s">
        <v>194</v>
      </c>
    </row>
    <row r="633" spans="19:21" x14ac:dyDescent="0.25">
      <c r="S633" s="6" t="s">
        <v>302</v>
      </c>
      <c r="T633" s="6">
        <f t="shared" si="24"/>
        <v>632</v>
      </c>
      <c r="U633" s="4" t="s">
        <v>194</v>
      </c>
    </row>
    <row r="634" spans="19:21" x14ac:dyDescent="0.25">
      <c r="S634" s="6" t="s">
        <v>302</v>
      </c>
      <c r="T634" s="6">
        <f t="shared" si="24"/>
        <v>633</v>
      </c>
      <c r="U634" s="4" t="s">
        <v>194</v>
      </c>
    </row>
    <row r="635" spans="19:21" x14ac:dyDescent="0.25">
      <c r="S635" s="6" t="s">
        <v>302</v>
      </c>
      <c r="T635" s="6">
        <f t="shared" si="24"/>
        <v>634</v>
      </c>
      <c r="U635" s="4" t="s">
        <v>194</v>
      </c>
    </row>
    <row r="636" spans="19:21" x14ac:dyDescent="0.25">
      <c r="S636" s="6" t="s">
        <v>302</v>
      </c>
      <c r="T636" s="6">
        <f t="shared" si="24"/>
        <v>635</v>
      </c>
      <c r="U636" s="4" t="s">
        <v>194</v>
      </c>
    </row>
    <row r="637" spans="19:21" x14ac:dyDescent="0.25">
      <c r="S637" s="6" t="s">
        <v>302</v>
      </c>
      <c r="T637" s="6">
        <f t="shared" si="24"/>
        <v>636</v>
      </c>
      <c r="U637" s="4" t="s">
        <v>194</v>
      </c>
    </row>
    <row r="638" spans="19:21" x14ac:dyDescent="0.25">
      <c r="S638" s="6" t="s">
        <v>302</v>
      </c>
      <c r="T638" s="6">
        <f t="shared" si="24"/>
        <v>637</v>
      </c>
      <c r="U638" s="4" t="s">
        <v>194</v>
      </c>
    </row>
    <row r="639" spans="19:21" x14ac:dyDescent="0.25">
      <c r="S639" s="6" t="s">
        <v>302</v>
      </c>
      <c r="T639" s="6">
        <f t="shared" si="24"/>
        <v>638</v>
      </c>
      <c r="U639" s="4" t="s">
        <v>194</v>
      </c>
    </row>
    <row r="640" spans="19:21" x14ac:dyDescent="0.25">
      <c r="S640" s="6" t="s">
        <v>302</v>
      </c>
      <c r="T640" s="6">
        <f t="shared" si="24"/>
        <v>639</v>
      </c>
      <c r="U640" s="4" t="s">
        <v>194</v>
      </c>
    </row>
    <row r="641" spans="19:21" x14ac:dyDescent="0.25">
      <c r="S641" s="6" t="s">
        <v>302</v>
      </c>
      <c r="T641" s="6">
        <f t="shared" si="24"/>
        <v>640</v>
      </c>
      <c r="U641" s="4" t="s">
        <v>194</v>
      </c>
    </row>
    <row r="642" spans="19:21" x14ac:dyDescent="0.25">
      <c r="S642" s="6" t="s">
        <v>302</v>
      </c>
      <c r="T642" s="6">
        <f t="shared" si="24"/>
        <v>641</v>
      </c>
      <c r="U642" s="4" t="s">
        <v>194</v>
      </c>
    </row>
    <row r="643" spans="19:21" x14ac:dyDescent="0.25">
      <c r="S643" s="6" t="s">
        <v>302</v>
      </c>
      <c r="T643" s="6">
        <f t="shared" si="24"/>
        <v>642</v>
      </c>
      <c r="U643" s="4" t="s">
        <v>194</v>
      </c>
    </row>
    <row r="644" spans="19:21" x14ac:dyDescent="0.25">
      <c r="S644" s="6" t="s">
        <v>302</v>
      </c>
      <c r="T644" s="6">
        <f t="shared" si="24"/>
        <v>643</v>
      </c>
      <c r="U644" s="4" t="s">
        <v>194</v>
      </c>
    </row>
    <row r="645" spans="19:21" x14ac:dyDescent="0.25">
      <c r="S645" s="6" t="s">
        <v>302</v>
      </c>
      <c r="T645" s="6">
        <f t="shared" ref="T645:T708" si="25">T644+1</f>
        <v>644</v>
      </c>
      <c r="U645" s="4" t="s">
        <v>194</v>
      </c>
    </row>
    <row r="646" spans="19:21" x14ac:dyDescent="0.25">
      <c r="S646" s="6" t="s">
        <v>302</v>
      </c>
      <c r="T646" s="6">
        <f t="shared" si="25"/>
        <v>645</v>
      </c>
      <c r="U646" s="4" t="s">
        <v>194</v>
      </c>
    </row>
    <row r="647" spans="19:21" x14ac:dyDescent="0.25">
      <c r="S647" s="6" t="s">
        <v>302</v>
      </c>
      <c r="T647" s="6">
        <f t="shared" si="25"/>
        <v>646</v>
      </c>
      <c r="U647" s="4" t="s">
        <v>194</v>
      </c>
    </row>
    <row r="648" spans="19:21" x14ac:dyDescent="0.25">
      <c r="S648" s="6" t="s">
        <v>302</v>
      </c>
      <c r="T648" s="6">
        <f t="shared" si="25"/>
        <v>647</v>
      </c>
      <c r="U648" s="4" t="s">
        <v>194</v>
      </c>
    </row>
    <row r="649" spans="19:21" x14ac:dyDescent="0.25">
      <c r="S649" s="6" t="s">
        <v>302</v>
      </c>
      <c r="T649" s="6">
        <f t="shared" si="25"/>
        <v>648</v>
      </c>
      <c r="U649" s="4" t="s">
        <v>194</v>
      </c>
    </row>
    <row r="650" spans="19:21" x14ac:dyDescent="0.25">
      <c r="S650" s="6" t="s">
        <v>302</v>
      </c>
      <c r="T650" s="6">
        <f t="shared" si="25"/>
        <v>649</v>
      </c>
      <c r="U650" s="4" t="s">
        <v>194</v>
      </c>
    </row>
    <row r="651" spans="19:21" x14ac:dyDescent="0.25">
      <c r="S651" s="6" t="s">
        <v>302</v>
      </c>
      <c r="T651" s="6">
        <f t="shared" si="25"/>
        <v>650</v>
      </c>
      <c r="U651" s="4" t="s">
        <v>194</v>
      </c>
    </row>
    <row r="652" spans="19:21" x14ac:dyDescent="0.25">
      <c r="S652" s="6" t="s">
        <v>302</v>
      </c>
      <c r="T652" s="6">
        <f t="shared" si="25"/>
        <v>651</v>
      </c>
      <c r="U652" s="4" t="s">
        <v>194</v>
      </c>
    </row>
    <row r="653" spans="19:21" x14ac:dyDescent="0.25">
      <c r="S653" s="6" t="s">
        <v>302</v>
      </c>
      <c r="T653" s="6">
        <f t="shared" si="25"/>
        <v>652</v>
      </c>
      <c r="U653" s="4" t="s">
        <v>194</v>
      </c>
    </row>
    <row r="654" spans="19:21" x14ac:dyDescent="0.25">
      <c r="S654" s="6" t="s">
        <v>302</v>
      </c>
      <c r="T654" s="6">
        <f t="shared" si="25"/>
        <v>653</v>
      </c>
      <c r="U654" s="4" t="s">
        <v>194</v>
      </c>
    </row>
    <row r="655" spans="19:21" x14ac:dyDescent="0.25">
      <c r="S655" s="6" t="s">
        <v>302</v>
      </c>
      <c r="T655" s="6">
        <f t="shared" si="25"/>
        <v>654</v>
      </c>
      <c r="U655" s="4" t="s">
        <v>194</v>
      </c>
    </row>
    <row r="656" spans="19:21" x14ac:dyDescent="0.25">
      <c r="S656" s="6" t="s">
        <v>302</v>
      </c>
      <c r="T656" s="6">
        <f t="shared" si="25"/>
        <v>655</v>
      </c>
      <c r="U656" s="4" t="s">
        <v>194</v>
      </c>
    </row>
    <row r="657" spans="19:21" x14ac:dyDescent="0.25">
      <c r="S657" s="6" t="s">
        <v>302</v>
      </c>
      <c r="T657" s="6">
        <f t="shared" si="25"/>
        <v>656</v>
      </c>
      <c r="U657" s="4" t="s">
        <v>194</v>
      </c>
    </row>
    <row r="658" spans="19:21" x14ac:dyDescent="0.25">
      <c r="S658" s="6" t="s">
        <v>302</v>
      </c>
      <c r="T658" s="6">
        <f t="shared" si="25"/>
        <v>657</v>
      </c>
      <c r="U658" s="4" t="s">
        <v>194</v>
      </c>
    </row>
    <row r="659" spans="19:21" x14ac:dyDescent="0.25">
      <c r="S659" s="6" t="s">
        <v>302</v>
      </c>
      <c r="T659" s="6">
        <f t="shared" si="25"/>
        <v>658</v>
      </c>
      <c r="U659" s="4" t="s">
        <v>194</v>
      </c>
    </row>
    <row r="660" spans="19:21" x14ac:dyDescent="0.25">
      <c r="S660" s="6" t="s">
        <v>302</v>
      </c>
      <c r="T660" s="6">
        <f t="shared" si="25"/>
        <v>659</v>
      </c>
      <c r="U660" s="4" t="s">
        <v>194</v>
      </c>
    </row>
    <row r="661" spans="19:21" x14ac:dyDescent="0.25">
      <c r="S661" s="6" t="s">
        <v>302</v>
      </c>
      <c r="T661" s="6">
        <f t="shared" si="25"/>
        <v>660</v>
      </c>
      <c r="U661" s="4" t="s">
        <v>194</v>
      </c>
    </row>
    <row r="662" spans="19:21" x14ac:dyDescent="0.25">
      <c r="S662" s="6" t="s">
        <v>302</v>
      </c>
      <c r="T662" s="6">
        <f t="shared" si="25"/>
        <v>661</v>
      </c>
      <c r="U662" s="4" t="s">
        <v>194</v>
      </c>
    </row>
    <row r="663" spans="19:21" x14ac:dyDescent="0.25">
      <c r="S663" s="6" t="s">
        <v>302</v>
      </c>
      <c r="T663" s="6">
        <f t="shared" si="25"/>
        <v>662</v>
      </c>
      <c r="U663" s="4" t="s">
        <v>194</v>
      </c>
    </row>
    <row r="664" spans="19:21" x14ac:dyDescent="0.25">
      <c r="S664" s="6" t="s">
        <v>302</v>
      </c>
      <c r="T664" s="6">
        <f t="shared" si="25"/>
        <v>663</v>
      </c>
      <c r="U664" s="4" t="s">
        <v>194</v>
      </c>
    </row>
    <row r="665" spans="19:21" x14ac:dyDescent="0.25">
      <c r="S665" s="6" t="s">
        <v>302</v>
      </c>
      <c r="T665" s="6">
        <f t="shared" si="25"/>
        <v>664</v>
      </c>
      <c r="U665" s="4" t="s">
        <v>194</v>
      </c>
    </row>
    <row r="666" spans="19:21" x14ac:dyDescent="0.25">
      <c r="S666" s="6" t="s">
        <v>302</v>
      </c>
      <c r="T666" s="6">
        <f t="shared" si="25"/>
        <v>665</v>
      </c>
      <c r="U666" s="4" t="s">
        <v>194</v>
      </c>
    </row>
    <row r="667" spans="19:21" x14ac:dyDescent="0.25">
      <c r="S667" s="6" t="s">
        <v>302</v>
      </c>
      <c r="T667" s="6">
        <f t="shared" si="25"/>
        <v>666</v>
      </c>
      <c r="U667" s="4" t="s">
        <v>194</v>
      </c>
    </row>
    <row r="668" spans="19:21" x14ac:dyDescent="0.25">
      <c r="S668" s="6" t="s">
        <v>302</v>
      </c>
      <c r="T668" s="6">
        <f t="shared" si="25"/>
        <v>667</v>
      </c>
      <c r="U668" s="4" t="s">
        <v>194</v>
      </c>
    </row>
    <row r="669" spans="19:21" x14ac:dyDescent="0.25">
      <c r="S669" s="6" t="s">
        <v>302</v>
      </c>
      <c r="T669" s="6">
        <f t="shared" si="25"/>
        <v>668</v>
      </c>
      <c r="U669" s="4" t="s">
        <v>194</v>
      </c>
    </row>
    <row r="670" spans="19:21" x14ac:dyDescent="0.25">
      <c r="S670" s="6" t="s">
        <v>302</v>
      </c>
      <c r="T670" s="6">
        <f t="shared" si="25"/>
        <v>669</v>
      </c>
      <c r="U670" s="4" t="s">
        <v>194</v>
      </c>
    </row>
    <row r="671" spans="19:21" x14ac:dyDescent="0.25">
      <c r="S671" s="6" t="s">
        <v>302</v>
      </c>
      <c r="T671" s="6">
        <f t="shared" si="25"/>
        <v>670</v>
      </c>
      <c r="U671" s="4" t="s">
        <v>194</v>
      </c>
    </row>
    <row r="672" spans="19:21" x14ac:dyDescent="0.25">
      <c r="S672" s="6" t="s">
        <v>302</v>
      </c>
      <c r="T672" s="6">
        <f t="shared" si="25"/>
        <v>671</v>
      </c>
      <c r="U672" s="4" t="s">
        <v>194</v>
      </c>
    </row>
    <row r="673" spans="19:21" x14ac:dyDescent="0.25">
      <c r="S673" s="6" t="s">
        <v>302</v>
      </c>
      <c r="T673" s="6">
        <f t="shared" si="25"/>
        <v>672</v>
      </c>
      <c r="U673" s="4" t="s">
        <v>194</v>
      </c>
    </row>
    <row r="674" spans="19:21" x14ac:dyDescent="0.25">
      <c r="S674" s="6" t="s">
        <v>302</v>
      </c>
      <c r="T674" s="6">
        <f t="shared" si="25"/>
        <v>673</v>
      </c>
      <c r="U674" s="4" t="s">
        <v>194</v>
      </c>
    </row>
    <row r="675" spans="19:21" x14ac:dyDescent="0.25">
      <c r="S675" s="6" t="s">
        <v>302</v>
      </c>
      <c r="T675" s="6">
        <f t="shared" si="25"/>
        <v>674</v>
      </c>
      <c r="U675" s="4" t="s">
        <v>194</v>
      </c>
    </row>
    <row r="676" spans="19:21" x14ac:dyDescent="0.25">
      <c r="S676" s="6" t="s">
        <v>302</v>
      </c>
      <c r="T676" s="6">
        <f t="shared" si="25"/>
        <v>675</v>
      </c>
      <c r="U676" s="4" t="s">
        <v>194</v>
      </c>
    </row>
    <row r="677" spans="19:21" x14ac:dyDescent="0.25">
      <c r="S677" s="6" t="s">
        <v>302</v>
      </c>
      <c r="T677" s="6">
        <f t="shared" si="25"/>
        <v>676</v>
      </c>
      <c r="U677" s="4" t="s">
        <v>194</v>
      </c>
    </row>
    <row r="678" spans="19:21" x14ac:dyDescent="0.25">
      <c r="S678" s="6" t="s">
        <v>302</v>
      </c>
      <c r="T678" s="6">
        <f t="shared" si="25"/>
        <v>677</v>
      </c>
      <c r="U678" s="4" t="s">
        <v>194</v>
      </c>
    </row>
    <row r="679" spans="19:21" x14ac:dyDescent="0.25">
      <c r="S679" s="6" t="s">
        <v>302</v>
      </c>
      <c r="T679" s="6">
        <f t="shared" si="25"/>
        <v>678</v>
      </c>
      <c r="U679" s="4" t="s">
        <v>194</v>
      </c>
    </row>
    <row r="680" spans="19:21" x14ac:dyDescent="0.25">
      <c r="S680" s="6" t="s">
        <v>302</v>
      </c>
      <c r="T680" s="6">
        <f t="shared" si="25"/>
        <v>679</v>
      </c>
      <c r="U680" s="4" t="s">
        <v>194</v>
      </c>
    </row>
    <row r="681" spans="19:21" x14ac:dyDescent="0.25">
      <c r="S681" s="6" t="s">
        <v>302</v>
      </c>
      <c r="T681" s="6">
        <f t="shared" si="25"/>
        <v>680</v>
      </c>
      <c r="U681" s="4" t="s">
        <v>194</v>
      </c>
    </row>
    <row r="682" spans="19:21" x14ac:dyDescent="0.25">
      <c r="S682" s="6" t="s">
        <v>302</v>
      </c>
      <c r="T682" s="6">
        <f t="shared" si="25"/>
        <v>681</v>
      </c>
      <c r="U682" s="4" t="s">
        <v>194</v>
      </c>
    </row>
    <row r="683" spans="19:21" x14ac:dyDescent="0.25">
      <c r="S683" s="6" t="s">
        <v>302</v>
      </c>
      <c r="T683" s="6">
        <f t="shared" si="25"/>
        <v>682</v>
      </c>
      <c r="U683" s="4" t="s">
        <v>194</v>
      </c>
    </row>
    <row r="684" spans="19:21" x14ac:dyDescent="0.25">
      <c r="S684" s="6" t="s">
        <v>302</v>
      </c>
      <c r="T684" s="6">
        <f t="shared" si="25"/>
        <v>683</v>
      </c>
      <c r="U684" s="4" t="s">
        <v>194</v>
      </c>
    </row>
    <row r="685" spans="19:21" x14ac:dyDescent="0.25">
      <c r="S685" s="6" t="s">
        <v>302</v>
      </c>
      <c r="T685" s="6">
        <f t="shared" si="25"/>
        <v>684</v>
      </c>
      <c r="U685" s="4" t="s">
        <v>194</v>
      </c>
    </row>
    <row r="686" spans="19:21" x14ac:dyDescent="0.25">
      <c r="S686" s="6" t="s">
        <v>302</v>
      </c>
      <c r="T686" s="6">
        <f t="shared" si="25"/>
        <v>685</v>
      </c>
      <c r="U686" s="4" t="s">
        <v>194</v>
      </c>
    </row>
    <row r="687" spans="19:21" x14ac:dyDescent="0.25">
      <c r="S687" s="6" t="s">
        <v>302</v>
      </c>
      <c r="T687" s="6">
        <f t="shared" si="25"/>
        <v>686</v>
      </c>
      <c r="U687" s="4" t="s">
        <v>194</v>
      </c>
    </row>
    <row r="688" spans="19:21" x14ac:dyDescent="0.25">
      <c r="S688" s="6" t="s">
        <v>302</v>
      </c>
      <c r="T688" s="6">
        <f t="shared" si="25"/>
        <v>687</v>
      </c>
      <c r="U688" s="4" t="s">
        <v>194</v>
      </c>
    </row>
    <row r="689" spans="19:21" x14ac:dyDescent="0.25">
      <c r="S689" s="6" t="s">
        <v>302</v>
      </c>
      <c r="T689" s="6">
        <f t="shared" si="25"/>
        <v>688</v>
      </c>
      <c r="U689" s="4" t="s">
        <v>194</v>
      </c>
    </row>
    <row r="690" spans="19:21" x14ac:dyDescent="0.25">
      <c r="S690" s="6" t="s">
        <v>302</v>
      </c>
      <c r="T690" s="6">
        <f t="shared" si="25"/>
        <v>689</v>
      </c>
      <c r="U690" s="4" t="s">
        <v>194</v>
      </c>
    </row>
    <row r="691" spans="19:21" x14ac:dyDescent="0.25">
      <c r="S691" s="6" t="s">
        <v>302</v>
      </c>
      <c r="T691" s="6">
        <f t="shared" si="25"/>
        <v>690</v>
      </c>
      <c r="U691" s="4" t="s">
        <v>194</v>
      </c>
    </row>
    <row r="692" spans="19:21" x14ac:dyDescent="0.25">
      <c r="S692" s="6" t="s">
        <v>302</v>
      </c>
      <c r="T692" s="6">
        <f t="shared" si="25"/>
        <v>691</v>
      </c>
      <c r="U692" s="4" t="s">
        <v>194</v>
      </c>
    </row>
    <row r="693" spans="19:21" x14ac:dyDescent="0.25">
      <c r="S693" s="6" t="s">
        <v>302</v>
      </c>
      <c r="T693" s="6">
        <f t="shared" si="25"/>
        <v>692</v>
      </c>
      <c r="U693" s="4" t="s">
        <v>194</v>
      </c>
    </row>
    <row r="694" spans="19:21" x14ac:dyDescent="0.25">
      <c r="S694" s="6" t="s">
        <v>302</v>
      </c>
      <c r="T694" s="6">
        <f t="shared" si="25"/>
        <v>693</v>
      </c>
      <c r="U694" s="4" t="s">
        <v>194</v>
      </c>
    </row>
    <row r="695" spans="19:21" x14ac:dyDescent="0.25">
      <c r="S695" s="6" t="s">
        <v>302</v>
      </c>
      <c r="T695" s="6">
        <f t="shared" si="25"/>
        <v>694</v>
      </c>
      <c r="U695" s="4" t="s">
        <v>194</v>
      </c>
    </row>
    <row r="696" spans="19:21" x14ac:dyDescent="0.25">
      <c r="S696" s="6" t="s">
        <v>302</v>
      </c>
      <c r="T696" s="6">
        <f t="shared" si="25"/>
        <v>695</v>
      </c>
      <c r="U696" s="4" t="s">
        <v>194</v>
      </c>
    </row>
    <row r="697" spans="19:21" x14ac:dyDescent="0.25">
      <c r="S697" s="6" t="s">
        <v>302</v>
      </c>
      <c r="T697" s="6">
        <f t="shared" si="25"/>
        <v>696</v>
      </c>
      <c r="U697" s="4" t="s">
        <v>194</v>
      </c>
    </row>
    <row r="698" spans="19:21" x14ac:dyDescent="0.25">
      <c r="S698" s="6" t="s">
        <v>302</v>
      </c>
      <c r="T698" s="6">
        <f t="shared" si="25"/>
        <v>697</v>
      </c>
      <c r="U698" s="4" t="s">
        <v>194</v>
      </c>
    </row>
    <row r="699" spans="19:21" x14ac:dyDescent="0.25">
      <c r="S699" s="6" t="s">
        <v>302</v>
      </c>
      <c r="T699" s="6">
        <f t="shared" si="25"/>
        <v>698</v>
      </c>
      <c r="U699" s="4" t="s">
        <v>194</v>
      </c>
    </row>
    <row r="700" spans="19:21" x14ac:dyDescent="0.25">
      <c r="S700" s="6" t="s">
        <v>302</v>
      </c>
      <c r="T700" s="6">
        <f t="shared" si="25"/>
        <v>699</v>
      </c>
      <c r="U700" s="4" t="s">
        <v>194</v>
      </c>
    </row>
    <row r="701" spans="19:21" x14ac:dyDescent="0.25">
      <c r="S701" s="6" t="s">
        <v>302</v>
      </c>
      <c r="T701" s="6">
        <f t="shared" si="25"/>
        <v>700</v>
      </c>
      <c r="U701" s="4" t="s">
        <v>194</v>
      </c>
    </row>
    <row r="702" spans="19:21" x14ac:dyDescent="0.25">
      <c r="S702" s="6" t="s">
        <v>302</v>
      </c>
      <c r="T702" s="6">
        <f t="shared" si="25"/>
        <v>701</v>
      </c>
      <c r="U702" s="4" t="s">
        <v>194</v>
      </c>
    </row>
    <row r="703" spans="19:21" x14ac:dyDescent="0.25">
      <c r="S703" s="6" t="s">
        <v>302</v>
      </c>
      <c r="T703" s="6">
        <f t="shared" si="25"/>
        <v>702</v>
      </c>
      <c r="U703" s="4" t="s">
        <v>194</v>
      </c>
    </row>
    <row r="704" spans="19:21" x14ac:dyDescent="0.25">
      <c r="S704" s="6" t="s">
        <v>302</v>
      </c>
      <c r="T704" s="6">
        <f t="shared" si="25"/>
        <v>703</v>
      </c>
      <c r="U704" s="4" t="s">
        <v>194</v>
      </c>
    </row>
    <row r="705" spans="19:21" x14ac:dyDescent="0.25">
      <c r="S705" s="6" t="s">
        <v>302</v>
      </c>
      <c r="T705" s="6">
        <f t="shared" si="25"/>
        <v>704</v>
      </c>
      <c r="U705" s="4" t="s">
        <v>194</v>
      </c>
    </row>
    <row r="706" spans="19:21" x14ac:dyDescent="0.25">
      <c r="S706" s="6" t="s">
        <v>302</v>
      </c>
      <c r="T706" s="6">
        <f t="shared" si="25"/>
        <v>705</v>
      </c>
      <c r="U706" s="4" t="s">
        <v>194</v>
      </c>
    </row>
    <row r="707" spans="19:21" x14ac:dyDescent="0.25">
      <c r="S707" s="6" t="s">
        <v>302</v>
      </c>
      <c r="T707" s="6">
        <f t="shared" si="25"/>
        <v>706</v>
      </c>
      <c r="U707" s="4" t="s">
        <v>194</v>
      </c>
    </row>
    <row r="708" spans="19:21" x14ac:dyDescent="0.25">
      <c r="S708" s="6" t="s">
        <v>302</v>
      </c>
      <c r="T708" s="6">
        <f t="shared" si="25"/>
        <v>707</v>
      </c>
      <c r="U708" s="4" t="s">
        <v>194</v>
      </c>
    </row>
    <row r="709" spans="19:21" x14ac:dyDescent="0.25">
      <c r="S709" s="6" t="s">
        <v>302</v>
      </c>
      <c r="T709" s="6">
        <f t="shared" ref="T709:T772" si="26">T708+1</f>
        <v>708</v>
      </c>
      <c r="U709" s="4" t="s">
        <v>194</v>
      </c>
    </row>
    <row r="710" spans="19:21" x14ac:dyDescent="0.25">
      <c r="S710" s="6" t="s">
        <v>302</v>
      </c>
      <c r="T710" s="6">
        <f t="shared" si="26"/>
        <v>709</v>
      </c>
      <c r="U710" s="4" t="s">
        <v>194</v>
      </c>
    </row>
    <row r="711" spans="19:21" x14ac:dyDescent="0.25">
      <c r="S711" s="6" t="s">
        <v>302</v>
      </c>
      <c r="T711" s="6">
        <f t="shared" si="26"/>
        <v>710</v>
      </c>
      <c r="U711" s="4" t="s">
        <v>194</v>
      </c>
    </row>
    <row r="712" spans="19:21" x14ac:dyDescent="0.25">
      <c r="S712" s="6" t="s">
        <v>302</v>
      </c>
      <c r="T712" s="6">
        <f t="shared" si="26"/>
        <v>711</v>
      </c>
      <c r="U712" s="4" t="s">
        <v>194</v>
      </c>
    </row>
    <row r="713" spans="19:21" x14ac:dyDescent="0.25">
      <c r="S713" s="6" t="s">
        <v>302</v>
      </c>
      <c r="T713" s="6">
        <f t="shared" si="26"/>
        <v>712</v>
      </c>
      <c r="U713" s="4" t="s">
        <v>194</v>
      </c>
    </row>
    <row r="714" spans="19:21" x14ac:dyDescent="0.25">
      <c r="S714" s="6" t="s">
        <v>302</v>
      </c>
      <c r="T714" s="6">
        <f t="shared" si="26"/>
        <v>713</v>
      </c>
      <c r="U714" s="4" t="s">
        <v>194</v>
      </c>
    </row>
    <row r="715" spans="19:21" x14ac:dyDescent="0.25">
      <c r="S715" s="6" t="s">
        <v>302</v>
      </c>
      <c r="T715" s="6">
        <f t="shared" si="26"/>
        <v>714</v>
      </c>
      <c r="U715" s="4" t="s">
        <v>194</v>
      </c>
    </row>
    <row r="716" spans="19:21" x14ac:dyDescent="0.25">
      <c r="S716" s="6" t="s">
        <v>302</v>
      </c>
      <c r="T716" s="6">
        <f t="shared" si="26"/>
        <v>715</v>
      </c>
      <c r="U716" s="4" t="s">
        <v>194</v>
      </c>
    </row>
    <row r="717" spans="19:21" x14ac:dyDescent="0.25">
      <c r="S717" s="6" t="s">
        <v>302</v>
      </c>
      <c r="T717" s="6">
        <f t="shared" si="26"/>
        <v>716</v>
      </c>
      <c r="U717" s="4" t="s">
        <v>194</v>
      </c>
    </row>
    <row r="718" spans="19:21" x14ac:dyDescent="0.25">
      <c r="S718" s="6" t="s">
        <v>302</v>
      </c>
      <c r="T718" s="6">
        <f t="shared" si="26"/>
        <v>717</v>
      </c>
      <c r="U718" s="4" t="s">
        <v>194</v>
      </c>
    </row>
    <row r="719" spans="19:21" x14ac:dyDescent="0.25">
      <c r="S719" s="6" t="s">
        <v>302</v>
      </c>
      <c r="T719" s="6">
        <f t="shared" si="26"/>
        <v>718</v>
      </c>
      <c r="U719" s="4" t="s">
        <v>194</v>
      </c>
    </row>
    <row r="720" spans="19:21" x14ac:dyDescent="0.25">
      <c r="S720" s="6" t="s">
        <v>302</v>
      </c>
      <c r="T720" s="6">
        <f t="shared" si="26"/>
        <v>719</v>
      </c>
      <c r="U720" s="4" t="s">
        <v>194</v>
      </c>
    </row>
    <row r="721" spans="19:21" x14ac:dyDescent="0.25">
      <c r="S721" s="6" t="s">
        <v>302</v>
      </c>
      <c r="T721" s="6">
        <f t="shared" si="26"/>
        <v>720</v>
      </c>
      <c r="U721" s="4" t="s">
        <v>194</v>
      </c>
    </row>
    <row r="722" spans="19:21" x14ac:dyDescent="0.25">
      <c r="S722" s="6" t="s">
        <v>302</v>
      </c>
      <c r="T722" s="6">
        <f t="shared" si="26"/>
        <v>721</v>
      </c>
      <c r="U722" s="4" t="s">
        <v>194</v>
      </c>
    </row>
    <row r="723" spans="19:21" x14ac:dyDescent="0.25">
      <c r="S723" s="6" t="s">
        <v>302</v>
      </c>
      <c r="T723" s="6">
        <f t="shared" si="26"/>
        <v>722</v>
      </c>
      <c r="U723" s="4" t="s">
        <v>194</v>
      </c>
    </row>
    <row r="724" spans="19:21" x14ac:dyDescent="0.25">
      <c r="S724" s="6" t="s">
        <v>302</v>
      </c>
      <c r="T724" s="6">
        <f t="shared" si="26"/>
        <v>723</v>
      </c>
      <c r="U724" s="4" t="s">
        <v>194</v>
      </c>
    </row>
    <row r="725" spans="19:21" x14ac:dyDescent="0.25">
      <c r="S725" s="6" t="s">
        <v>302</v>
      </c>
      <c r="T725" s="6">
        <f t="shared" si="26"/>
        <v>724</v>
      </c>
      <c r="U725" s="4" t="s">
        <v>194</v>
      </c>
    </row>
    <row r="726" spans="19:21" x14ac:dyDescent="0.25">
      <c r="S726" s="6" t="s">
        <v>302</v>
      </c>
      <c r="T726" s="6">
        <f t="shared" si="26"/>
        <v>725</v>
      </c>
      <c r="U726" s="4" t="s">
        <v>194</v>
      </c>
    </row>
    <row r="727" spans="19:21" x14ac:dyDescent="0.25">
      <c r="S727" s="6" t="s">
        <v>302</v>
      </c>
      <c r="T727" s="6">
        <f t="shared" si="26"/>
        <v>726</v>
      </c>
      <c r="U727" s="4" t="s">
        <v>194</v>
      </c>
    </row>
    <row r="728" spans="19:21" x14ac:dyDescent="0.25">
      <c r="S728" s="6" t="s">
        <v>302</v>
      </c>
      <c r="T728" s="6">
        <f t="shared" si="26"/>
        <v>727</v>
      </c>
      <c r="U728" s="4" t="s">
        <v>194</v>
      </c>
    </row>
    <row r="729" spans="19:21" x14ac:dyDescent="0.25">
      <c r="S729" s="6" t="s">
        <v>302</v>
      </c>
      <c r="T729" s="6">
        <f t="shared" si="26"/>
        <v>728</v>
      </c>
      <c r="U729" s="4" t="s">
        <v>194</v>
      </c>
    </row>
    <row r="730" spans="19:21" x14ac:dyDescent="0.25">
      <c r="S730" s="6" t="s">
        <v>302</v>
      </c>
      <c r="T730" s="6">
        <f t="shared" si="26"/>
        <v>729</v>
      </c>
      <c r="U730" s="4" t="s">
        <v>194</v>
      </c>
    </row>
    <row r="731" spans="19:21" x14ac:dyDescent="0.25">
      <c r="S731" s="6" t="s">
        <v>302</v>
      </c>
      <c r="T731" s="6">
        <f t="shared" si="26"/>
        <v>730</v>
      </c>
      <c r="U731" s="4" t="s">
        <v>194</v>
      </c>
    </row>
    <row r="732" spans="19:21" x14ac:dyDescent="0.25">
      <c r="S732" s="6" t="s">
        <v>302</v>
      </c>
      <c r="T732" s="6">
        <f t="shared" si="26"/>
        <v>731</v>
      </c>
      <c r="U732" s="4" t="s">
        <v>194</v>
      </c>
    </row>
    <row r="733" spans="19:21" x14ac:dyDescent="0.25">
      <c r="S733" s="6" t="s">
        <v>302</v>
      </c>
      <c r="T733" s="6">
        <f t="shared" si="26"/>
        <v>732</v>
      </c>
      <c r="U733" s="4" t="s">
        <v>194</v>
      </c>
    </row>
    <row r="734" spans="19:21" x14ac:dyDescent="0.25">
      <c r="S734" s="6" t="s">
        <v>302</v>
      </c>
      <c r="T734" s="6">
        <f t="shared" si="26"/>
        <v>733</v>
      </c>
      <c r="U734" s="4" t="s">
        <v>194</v>
      </c>
    </row>
    <row r="735" spans="19:21" x14ac:dyDescent="0.25">
      <c r="S735" s="6" t="s">
        <v>302</v>
      </c>
      <c r="T735" s="6">
        <f t="shared" si="26"/>
        <v>734</v>
      </c>
      <c r="U735" s="4" t="s">
        <v>194</v>
      </c>
    </row>
    <row r="736" spans="19:21" x14ac:dyDescent="0.25">
      <c r="S736" s="6" t="s">
        <v>302</v>
      </c>
      <c r="T736" s="6">
        <f t="shared" si="26"/>
        <v>735</v>
      </c>
      <c r="U736" s="4" t="s">
        <v>194</v>
      </c>
    </row>
    <row r="737" spans="19:21" x14ac:dyDescent="0.25">
      <c r="S737" s="6" t="s">
        <v>302</v>
      </c>
      <c r="T737" s="6">
        <f t="shared" si="26"/>
        <v>736</v>
      </c>
      <c r="U737" s="4" t="s">
        <v>194</v>
      </c>
    </row>
    <row r="738" spans="19:21" x14ac:dyDescent="0.25">
      <c r="S738" s="6" t="s">
        <v>302</v>
      </c>
      <c r="T738" s="6">
        <f t="shared" si="26"/>
        <v>737</v>
      </c>
      <c r="U738" s="4" t="s">
        <v>194</v>
      </c>
    </row>
    <row r="739" spans="19:21" x14ac:dyDescent="0.25">
      <c r="S739" s="6" t="s">
        <v>302</v>
      </c>
      <c r="T739" s="6">
        <f t="shared" si="26"/>
        <v>738</v>
      </c>
      <c r="U739" s="4" t="s">
        <v>194</v>
      </c>
    </row>
    <row r="740" spans="19:21" x14ac:dyDescent="0.25">
      <c r="S740" s="6" t="s">
        <v>302</v>
      </c>
      <c r="T740" s="6">
        <f t="shared" si="26"/>
        <v>739</v>
      </c>
      <c r="U740" s="4" t="s">
        <v>194</v>
      </c>
    </row>
    <row r="741" spans="19:21" x14ac:dyDescent="0.25">
      <c r="S741" s="6" t="s">
        <v>302</v>
      </c>
      <c r="T741" s="6">
        <f t="shared" si="26"/>
        <v>740</v>
      </c>
      <c r="U741" s="4" t="s">
        <v>194</v>
      </c>
    </row>
    <row r="742" spans="19:21" x14ac:dyDescent="0.25">
      <c r="S742" s="6" t="s">
        <v>302</v>
      </c>
      <c r="T742" s="6">
        <f t="shared" si="26"/>
        <v>741</v>
      </c>
      <c r="U742" s="4" t="s">
        <v>194</v>
      </c>
    </row>
    <row r="743" spans="19:21" x14ac:dyDescent="0.25">
      <c r="S743" s="6" t="s">
        <v>302</v>
      </c>
      <c r="T743" s="6">
        <f t="shared" si="26"/>
        <v>742</v>
      </c>
      <c r="U743" s="4" t="s">
        <v>194</v>
      </c>
    </row>
    <row r="744" spans="19:21" x14ac:dyDescent="0.25">
      <c r="S744" s="6" t="s">
        <v>302</v>
      </c>
      <c r="T744" s="6">
        <f t="shared" si="26"/>
        <v>743</v>
      </c>
      <c r="U744" s="4" t="s">
        <v>194</v>
      </c>
    </row>
    <row r="745" spans="19:21" x14ac:dyDescent="0.25">
      <c r="S745" s="6" t="s">
        <v>302</v>
      </c>
      <c r="T745" s="6">
        <f t="shared" si="26"/>
        <v>744</v>
      </c>
      <c r="U745" s="4" t="s">
        <v>194</v>
      </c>
    </row>
    <row r="746" spans="19:21" x14ac:dyDescent="0.25">
      <c r="S746" s="6" t="s">
        <v>302</v>
      </c>
      <c r="T746" s="6">
        <f t="shared" si="26"/>
        <v>745</v>
      </c>
      <c r="U746" s="4" t="s">
        <v>194</v>
      </c>
    </row>
    <row r="747" spans="19:21" x14ac:dyDescent="0.25">
      <c r="S747" s="6" t="s">
        <v>302</v>
      </c>
      <c r="T747" s="6">
        <f t="shared" si="26"/>
        <v>746</v>
      </c>
      <c r="U747" s="4" t="s">
        <v>194</v>
      </c>
    </row>
    <row r="748" spans="19:21" x14ac:dyDescent="0.25">
      <c r="S748" s="6" t="s">
        <v>302</v>
      </c>
      <c r="T748" s="6">
        <f t="shared" si="26"/>
        <v>747</v>
      </c>
      <c r="U748" s="4" t="s">
        <v>194</v>
      </c>
    </row>
    <row r="749" spans="19:21" x14ac:dyDescent="0.25">
      <c r="S749" s="6" t="s">
        <v>302</v>
      </c>
      <c r="T749" s="6">
        <f t="shared" si="26"/>
        <v>748</v>
      </c>
      <c r="U749" s="4" t="s">
        <v>194</v>
      </c>
    </row>
    <row r="750" spans="19:21" x14ac:dyDescent="0.25">
      <c r="S750" s="6" t="s">
        <v>302</v>
      </c>
      <c r="T750" s="6">
        <f t="shared" si="26"/>
        <v>749</v>
      </c>
      <c r="U750" s="4" t="s">
        <v>194</v>
      </c>
    </row>
    <row r="751" spans="19:21" x14ac:dyDescent="0.25">
      <c r="S751" s="6" t="s">
        <v>302</v>
      </c>
      <c r="T751" s="6">
        <f t="shared" si="26"/>
        <v>750</v>
      </c>
      <c r="U751" s="4" t="s">
        <v>194</v>
      </c>
    </row>
    <row r="752" spans="19:21" x14ac:dyDescent="0.25">
      <c r="S752" s="6" t="s">
        <v>302</v>
      </c>
      <c r="T752" s="6">
        <f t="shared" si="26"/>
        <v>751</v>
      </c>
      <c r="U752" s="4" t="s">
        <v>194</v>
      </c>
    </row>
    <row r="753" spans="19:21" x14ac:dyDescent="0.25">
      <c r="S753" s="6" t="s">
        <v>302</v>
      </c>
      <c r="T753" s="6">
        <f t="shared" si="26"/>
        <v>752</v>
      </c>
      <c r="U753" s="4" t="s">
        <v>194</v>
      </c>
    </row>
    <row r="754" spans="19:21" x14ac:dyDescent="0.25">
      <c r="S754" s="6" t="s">
        <v>302</v>
      </c>
      <c r="T754" s="6">
        <f t="shared" si="26"/>
        <v>753</v>
      </c>
      <c r="U754" s="4" t="s">
        <v>194</v>
      </c>
    </row>
    <row r="755" spans="19:21" x14ac:dyDescent="0.25">
      <c r="S755" s="6" t="s">
        <v>302</v>
      </c>
      <c r="T755" s="6">
        <f t="shared" si="26"/>
        <v>754</v>
      </c>
      <c r="U755" s="4" t="s">
        <v>194</v>
      </c>
    </row>
    <row r="756" spans="19:21" x14ac:dyDescent="0.25">
      <c r="S756" s="6" t="s">
        <v>302</v>
      </c>
      <c r="T756" s="6">
        <f t="shared" si="26"/>
        <v>755</v>
      </c>
      <c r="U756" s="4" t="s">
        <v>194</v>
      </c>
    </row>
    <row r="757" spans="19:21" x14ac:dyDescent="0.25">
      <c r="S757" s="6" t="s">
        <v>302</v>
      </c>
      <c r="T757" s="6">
        <f t="shared" si="26"/>
        <v>756</v>
      </c>
      <c r="U757" s="4" t="s">
        <v>194</v>
      </c>
    </row>
    <row r="758" spans="19:21" x14ac:dyDescent="0.25">
      <c r="S758" s="6" t="s">
        <v>302</v>
      </c>
      <c r="T758" s="6">
        <f t="shared" si="26"/>
        <v>757</v>
      </c>
      <c r="U758" s="4" t="s">
        <v>194</v>
      </c>
    </row>
    <row r="759" spans="19:21" x14ac:dyDescent="0.25">
      <c r="S759" s="6" t="s">
        <v>302</v>
      </c>
      <c r="T759" s="6">
        <f t="shared" si="26"/>
        <v>758</v>
      </c>
      <c r="U759" s="4" t="s">
        <v>194</v>
      </c>
    </row>
    <row r="760" spans="19:21" x14ac:dyDescent="0.25">
      <c r="S760" s="6" t="s">
        <v>302</v>
      </c>
      <c r="T760" s="6">
        <f t="shared" si="26"/>
        <v>759</v>
      </c>
      <c r="U760" s="4" t="s">
        <v>194</v>
      </c>
    </row>
    <row r="761" spans="19:21" x14ac:dyDescent="0.25">
      <c r="S761" s="6" t="s">
        <v>302</v>
      </c>
      <c r="T761" s="6">
        <f t="shared" si="26"/>
        <v>760</v>
      </c>
      <c r="U761" s="4" t="s">
        <v>194</v>
      </c>
    </row>
    <row r="762" spans="19:21" x14ac:dyDescent="0.25">
      <c r="S762" s="6" t="s">
        <v>302</v>
      </c>
      <c r="T762" s="6">
        <f t="shared" si="26"/>
        <v>761</v>
      </c>
      <c r="U762" s="4" t="s">
        <v>194</v>
      </c>
    </row>
    <row r="763" spans="19:21" x14ac:dyDescent="0.25">
      <c r="S763" s="6" t="s">
        <v>302</v>
      </c>
      <c r="T763" s="6">
        <f t="shared" si="26"/>
        <v>762</v>
      </c>
      <c r="U763" s="4" t="s">
        <v>194</v>
      </c>
    </row>
    <row r="764" spans="19:21" x14ac:dyDescent="0.25">
      <c r="S764" s="6" t="s">
        <v>302</v>
      </c>
      <c r="T764" s="6">
        <f t="shared" si="26"/>
        <v>763</v>
      </c>
      <c r="U764" s="4" t="s">
        <v>194</v>
      </c>
    </row>
    <row r="765" spans="19:21" x14ac:dyDescent="0.25">
      <c r="S765" s="6" t="s">
        <v>302</v>
      </c>
      <c r="T765" s="6">
        <f t="shared" si="26"/>
        <v>764</v>
      </c>
      <c r="U765" s="4" t="s">
        <v>194</v>
      </c>
    </row>
    <row r="766" spans="19:21" x14ac:dyDescent="0.25">
      <c r="S766" s="6" t="s">
        <v>302</v>
      </c>
      <c r="T766" s="6">
        <f t="shared" si="26"/>
        <v>765</v>
      </c>
      <c r="U766" s="4" t="s">
        <v>194</v>
      </c>
    </row>
    <row r="767" spans="19:21" x14ac:dyDescent="0.25">
      <c r="S767" s="6" t="s">
        <v>302</v>
      </c>
      <c r="T767" s="6">
        <f t="shared" si="26"/>
        <v>766</v>
      </c>
      <c r="U767" s="4" t="s">
        <v>194</v>
      </c>
    </row>
    <row r="768" spans="19:21" x14ac:dyDescent="0.25">
      <c r="S768" s="6" t="s">
        <v>302</v>
      </c>
      <c r="T768" s="6">
        <f t="shared" si="26"/>
        <v>767</v>
      </c>
      <c r="U768" s="4" t="s">
        <v>194</v>
      </c>
    </row>
    <row r="769" spans="19:21" x14ac:dyDescent="0.25">
      <c r="S769" s="6" t="s">
        <v>302</v>
      </c>
      <c r="T769" s="6">
        <f t="shared" si="26"/>
        <v>768</v>
      </c>
      <c r="U769" s="4" t="s">
        <v>194</v>
      </c>
    </row>
    <row r="770" spans="19:21" x14ac:dyDescent="0.25">
      <c r="S770" s="6" t="s">
        <v>302</v>
      </c>
      <c r="T770" s="6">
        <f t="shared" si="26"/>
        <v>769</v>
      </c>
      <c r="U770" s="4" t="s">
        <v>194</v>
      </c>
    </row>
    <row r="771" spans="19:21" x14ac:dyDescent="0.25">
      <c r="S771" s="6" t="s">
        <v>302</v>
      </c>
      <c r="T771" s="6">
        <f t="shared" si="26"/>
        <v>770</v>
      </c>
      <c r="U771" s="4" t="s">
        <v>194</v>
      </c>
    </row>
    <row r="772" spans="19:21" x14ac:dyDescent="0.25">
      <c r="S772" s="6" t="s">
        <v>302</v>
      </c>
      <c r="T772" s="6">
        <f t="shared" si="26"/>
        <v>771</v>
      </c>
      <c r="U772" s="4" t="s">
        <v>194</v>
      </c>
    </row>
    <row r="773" spans="19:21" x14ac:dyDescent="0.25">
      <c r="S773" s="6" t="s">
        <v>302</v>
      </c>
      <c r="T773" s="6">
        <f t="shared" ref="T773:T836" si="27">T772+1</f>
        <v>772</v>
      </c>
      <c r="U773" s="4" t="s">
        <v>194</v>
      </c>
    </row>
    <row r="774" spans="19:21" x14ac:dyDescent="0.25">
      <c r="S774" s="6" t="s">
        <v>302</v>
      </c>
      <c r="T774" s="6">
        <f t="shared" si="27"/>
        <v>773</v>
      </c>
      <c r="U774" s="4" t="s">
        <v>194</v>
      </c>
    </row>
    <row r="775" spans="19:21" x14ac:dyDescent="0.25">
      <c r="S775" s="6" t="s">
        <v>302</v>
      </c>
      <c r="T775" s="6">
        <f t="shared" si="27"/>
        <v>774</v>
      </c>
      <c r="U775" s="4" t="s">
        <v>194</v>
      </c>
    </row>
    <row r="776" spans="19:21" x14ac:dyDescent="0.25">
      <c r="S776" s="6" t="s">
        <v>302</v>
      </c>
      <c r="T776" s="6">
        <f t="shared" si="27"/>
        <v>775</v>
      </c>
      <c r="U776" s="4" t="s">
        <v>194</v>
      </c>
    </row>
    <row r="777" spans="19:21" x14ac:dyDescent="0.25">
      <c r="S777" s="6" t="s">
        <v>302</v>
      </c>
      <c r="T777" s="6">
        <f t="shared" si="27"/>
        <v>776</v>
      </c>
      <c r="U777" s="4" t="s">
        <v>194</v>
      </c>
    </row>
    <row r="778" spans="19:21" x14ac:dyDescent="0.25">
      <c r="S778" s="6" t="s">
        <v>302</v>
      </c>
      <c r="T778" s="6">
        <f t="shared" si="27"/>
        <v>777</v>
      </c>
      <c r="U778" s="4" t="s">
        <v>194</v>
      </c>
    </row>
    <row r="779" spans="19:21" x14ac:dyDescent="0.25">
      <c r="S779" s="6" t="s">
        <v>302</v>
      </c>
      <c r="T779" s="6">
        <f t="shared" si="27"/>
        <v>778</v>
      </c>
      <c r="U779" s="4" t="s">
        <v>194</v>
      </c>
    </row>
    <row r="780" spans="19:21" x14ac:dyDescent="0.25">
      <c r="S780" s="6" t="s">
        <v>302</v>
      </c>
      <c r="T780" s="6">
        <f t="shared" si="27"/>
        <v>779</v>
      </c>
      <c r="U780" s="4" t="s">
        <v>194</v>
      </c>
    </row>
    <row r="781" spans="19:21" x14ac:dyDescent="0.25">
      <c r="S781" s="6" t="s">
        <v>302</v>
      </c>
      <c r="T781" s="6">
        <f t="shared" si="27"/>
        <v>780</v>
      </c>
      <c r="U781" s="4" t="s">
        <v>194</v>
      </c>
    </row>
    <row r="782" spans="19:21" x14ac:dyDescent="0.25">
      <c r="S782" s="6" t="s">
        <v>302</v>
      </c>
      <c r="T782" s="6">
        <f t="shared" si="27"/>
        <v>781</v>
      </c>
      <c r="U782" s="4" t="s">
        <v>194</v>
      </c>
    </row>
    <row r="783" spans="19:21" x14ac:dyDescent="0.25">
      <c r="S783" s="6" t="s">
        <v>302</v>
      </c>
      <c r="T783" s="6">
        <f t="shared" si="27"/>
        <v>782</v>
      </c>
      <c r="U783" s="4" t="s">
        <v>194</v>
      </c>
    </row>
    <row r="784" spans="19:21" x14ac:dyDescent="0.25">
      <c r="S784" s="6" t="s">
        <v>302</v>
      </c>
      <c r="T784" s="6">
        <f t="shared" si="27"/>
        <v>783</v>
      </c>
      <c r="U784" s="4" t="s">
        <v>194</v>
      </c>
    </row>
    <row r="785" spans="19:21" x14ac:dyDescent="0.25">
      <c r="S785" s="6" t="s">
        <v>302</v>
      </c>
      <c r="T785" s="6">
        <f t="shared" si="27"/>
        <v>784</v>
      </c>
      <c r="U785" s="4" t="s">
        <v>194</v>
      </c>
    </row>
    <row r="786" spans="19:21" x14ac:dyDescent="0.25">
      <c r="S786" s="6" t="s">
        <v>302</v>
      </c>
      <c r="T786" s="6">
        <f t="shared" si="27"/>
        <v>785</v>
      </c>
      <c r="U786" s="4" t="s">
        <v>194</v>
      </c>
    </row>
    <row r="787" spans="19:21" x14ac:dyDescent="0.25">
      <c r="S787" s="6" t="s">
        <v>302</v>
      </c>
      <c r="T787" s="6">
        <f t="shared" si="27"/>
        <v>786</v>
      </c>
      <c r="U787" s="4" t="s">
        <v>194</v>
      </c>
    </row>
    <row r="788" spans="19:21" x14ac:dyDescent="0.25">
      <c r="S788" s="6" t="s">
        <v>302</v>
      </c>
      <c r="T788" s="6">
        <f t="shared" si="27"/>
        <v>787</v>
      </c>
      <c r="U788" s="4" t="s">
        <v>194</v>
      </c>
    </row>
    <row r="789" spans="19:21" x14ac:dyDescent="0.25">
      <c r="S789" s="6" t="s">
        <v>302</v>
      </c>
      <c r="T789" s="6">
        <f t="shared" si="27"/>
        <v>788</v>
      </c>
      <c r="U789" s="4" t="s">
        <v>194</v>
      </c>
    </row>
    <row r="790" spans="19:21" x14ac:dyDescent="0.25">
      <c r="S790" s="6" t="s">
        <v>302</v>
      </c>
      <c r="T790" s="6">
        <f t="shared" si="27"/>
        <v>789</v>
      </c>
      <c r="U790" s="4" t="s">
        <v>194</v>
      </c>
    </row>
    <row r="791" spans="19:21" x14ac:dyDescent="0.25">
      <c r="S791" s="6" t="s">
        <v>302</v>
      </c>
      <c r="T791" s="6">
        <f t="shared" si="27"/>
        <v>790</v>
      </c>
      <c r="U791" s="4" t="s">
        <v>194</v>
      </c>
    </row>
    <row r="792" spans="19:21" x14ac:dyDescent="0.25">
      <c r="S792" s="6" t="s">
        <v>302</v>
      </c>
      <c r="T792" s="6">
        <f t="shared" si="27"/>
        <v>791</v>
      </c>
      <c r="U792" s="4" t="s">
        <v>194</v>
      </c>
    </row>
    <row r="793" spans="19:21" x14ac:dyDescent="0.25">
      <c r="S793" s="6" t="s">
        <v>302</v>
      </c>
      <c r="T793" s="6">
        <f t="shared" si="27"/>
        <v>792</v>
      </c>
      <c r="U793" s="4" t="s">
        <v>194</v>
      </c>
    </row>
    <row r="794" spans="19:21" x14ac:dyDescent="0.25">
      <c r="S794" s="6" t="s">
        <v>302</v>
      </c>
      <c r="T794" s="6">
        <f t="shared" si="27"/>
        <v>793</v>
      </c>
      <c r="U794" s="4" t="s">
        <v>194</v>
      </c>
    </row>
    <row r="795" spans="19:21" x14ac:dyDescent="0.25">
      <c r="S795" s="6" t="s">
        <v>302</v>
      </c>
      <c r="T795" s="6">
        <f t="shared" si="27"/>
        <v>794</v>
      </c>
      <c r="U795" s="4" t="s">
        <v>194</v>
      </c>
    </row>
    <row r="796" spans="19:21" x14ac:dyDescent="0.25">
      <c r="S796" s="6" t="s">
        <v>302</v>
      </c>
      <c r="T796" s="6">
        <f t="shared" si="27"/>
        <v>795</v>
      </c>
      <c r="U796" s="4" t="s">
        <v>194</v>
      </c>
    </row>
    <row r="797" spans="19:21" x14ac:dyDescent="0.25">
      <c r="S797" s="6" t="s">
        <v>302</v>
      </c>
      <c r="T797" s="6">
        <f t="shared" si="27"/>
        <v>796</v>
      </c>
      <c r="U797" s="4" t="s">
        <v>194</v>
      </c>
    </row>
    <row r="798" spans="19:21" x14ac:dyDescent="0.25">
      <c r="S798" s="6" t="s">
        <v>302</v>
      </c>
      <c r="T798" s="6">
        <f t="shared" si="27"/>
        <v>797</v>
      </c>
      <c r="U798" s="4" t="s">
        <v>194</v>
      </c>
    </row>
    <row r="799" spans="19:21" x14ac:dyDescent="0.25">
      <c r="S799" s="6" t="s">
        <v>302</v>
      </c>
      <c r="T799" s="6">
        <f t="shared" si="27"/>
        <v>798</v>
      </c>
      <c r="U799" s="4" t="s">
        <v>194</v>
      </c>
    </row>
    <row r="800" spans="19:21" x14ac:dyDescent="0.25">
      <c r="S800" s="6" t="s">
        <v>302</v>
      </c>
      <c r="T800" s="6">
        <f t="shared" si="27"/>
        <v>799</v>
      </c>
      <c r="U800" s="4" t="s">
        <v>194</v>
      </c>
    </row>
    <row r="801" spans="19:21" x14ac:dyDescent="0.25">
      <c r="S801" s="6" t="s">
        <v>302</v>
      </c>
      <c r="T801" s="6">
        <f t="shared" si="27"/>
        <v>800</v>
      </c>
      <c r="U801" s="4" t="s">
        <v>194</v>
      </c>
    </row>
    <row r="802" spans="19:21" x14ac:dyDescent="0.25">
      <c r="S802" s="6" t="s">
        <v>302</v>
      </c>
      <c r="T802" s="6">
        <f t="shared" si="27"/>
        <v>801</v>
      </c>
      <c r="U802" s="4" t="s">
        <v>194</v>
      </c>
    </row>
    <row r="803" spans="19:21" x14ac:dyDescent="0.25">
      <c r="S803" s="6" t="s">
        <v>302</v>
      </c>
      <c r="T803" s="6">
        <f t="shared" si="27"/>
        <v>802</v>
      </c>
      <c r="U803" s="4" t="s">
        <v>194</v>
      </c>
    </row>
    <row r="804" spans="19:21" x14ac:dyDescent="0.25">
      <c r="S804" s="6" t="s">
        <v>302</v>
      </c>
      <c r="T804" s="6">
        <f t="shared" si="27"/>
        <v>803</v>
      </c>
      <c r="U804" s="4" t="s">
        <v>194</v>
      </c>
    </row>
    <row r="805" spans="19:21" x14ac:dyDescent="0.25">
      <c r="S805" s="6" t="s">
        <v>302</v>
      </c>
      <c r="T805" s="6">
        <f t="shared" si="27"/>
        <v>804</v>
      </c>
      <c r="U805" s="4" t="s">
        <v>194</v>
      </c>
    </row>
    <row r="806" spans="19:21" x14ac:dyDescent="0.25">
      <c r="S806" s="6" t="s">
        <v>302</v>
      </c>
      <c r="T806" s="6">
        <f t="shared" si="27"/>
        <v>805</v>
      </c>
      <c r="U806" s="4" t="s">
        <v>194</v>
      </c>
    </row>
    <row r="807" spans="19:21" x14ac:dyDescent="0.25">
      <c r="S807" s="6" t="s">
        <v>302</v>
      </c>
      <c r="T807" s="6">
        <f t="shared" si="27"/>
        <v>806</v>
      </c>
      <c r="U807" s="4" t="s">
        <v>194</v>
      </c>
    </row>
    <row r="808" spans="19:21" x14ac:dyDescent="0.25">
      <c r="S808" s="6" t="s">
        <v>302</v>
      </c>
      <c r="T808" s="6">
        <f t="shared" si="27"/>
        <v>807</v>
      </c>
      <c r="U808" s="4" t="s">
        <v>194</v>
      </c>
    </row>
    <row r="809" spans="19:21" x14ac:dyDescent="0.25">
      <c r="S809" s="6" t="s">
        <v>302</v>
      </c>
      <c r="T809" s="6">
        <f t="shared" si="27"/>
        <v>808</v>
      </c>
      <c r="U809" s="4" t="s">
        <v>194</v>
      </c>
    </row>
    <row r="810" spans="19:21" x14ac:dyDescent="0.25">
      <c r="S810" s="6" t="s">
        <v>302</v>
      </c>
      <c r="T810" s="6">
        <f t="shared" si="27"/>
        <v>809</v>
      </c>
      <c r="U810" s="4" t="s">
        <v>194</v>
      </c>
    </row>
    <row r="811" spans="19:21" x14ac:dyDescent="0.25">
      <c r="S811" s="6" t="s">
        <v>302</v>
      </c>
      <c r="T811" s="6">
        <f t="shared" si="27"/>
        <v>810</v>
      </c>
      <c r="U811" s="4" t="s">
        <v>194</v>
      </c>
    </row>
    <row r="812" spans="19:21" x14ac:dyDescent="0.25">
      <c r="S812" s="6" t="s">
        <v>302</v>
      </c>
      <c r="T812" s="6">
        <f t="shared" si="27"/>
        <v>811</v>
      </c>
      <c r="U812" s="4" t="s">
        <v>194</v>
      </c>
    </row>
    <row r="813" spans="19:21" x14ac:dyDescent="0.25">
      <c r="S813" s="6" t="s">
        <v>302</v>
      </c>
      <c r="T813" s="6">
        <f t="shared" si="27"/>
        <v>812</v>
      </c>
      <c r="U813" s="4" t="s">
        <v>194</v>
      </c>
    </row>
    <row r="814" spans="19:21" x14ac:dyDescent="0.25">
      <c r="S814" s="6" t="s">
        <v>302</v>
      </c>
      <c r="T814" s="6">
        <f t="shared" si="27"/>
        <v>813</v>
      </c>
      <c r="U814" s="4" t="s">
        <v>194</v>
      </c>
    </row>
    <row r="815" spans="19:21" x14ac:dyDescent="0.25">
      <c r="S815" s="6" t="s">
        <v>302</v>
      </c>
      <c r="T815" s="6">
        <f t="shared" si="27"/>
        <v>814</v>
      </c>
      <c r="U815" s="4" t="s">
        <v>194</v>
      </c>
    </row>
    <row r="816" spans="19:21" x14ac:dyDescent="0.25">
      <c r="S816" s="6" t="s">
        <v>302</v>
      </c>
      <c r="T816" s="6">
        <f t="shared" si="27"/>
        <v>815</v>
      </c>
      <c r="U816" s="4" t="s">
        <v>194</v>
      </c>
    </row>
    <row r="817" spans="19:21" x14ac:dyDescent="0.25">
      <c r="S817" s="6" t="s">
        <v>302</v>
      </c>
      <c r="T817" s="6">
        <f t="shared" si="27"/>
        <v>816</v>
      </c>
      <c r="U817" s="4" t="s">
        <v>194</v>
      </c>
    </row>
    <row r="818" spans="19:21" x14ac:dyDescent="0.25">
      <c r="S818" s="6" t="s">
        <v>302</v>
      </c>
      <c r="T818" s="6">
        <f t="shared" si="27"/>
        <v>817</v>
      </c>
      <c r="U818" s="4" t="s">
        <v>194</v>
      </c>
    </row>
    <row r="819" spans="19:21" x14ac:dyDescent="0.25">
      <c r="S819" s="6" t="s">
        <v>302</v>
      </c>
      <c r="T819" s="6">
        <f t="shared" si="27"/>
        <v>818</v>
      </c>
      <c r="U819" s="4" t="s">
        <v>194</v>
      </c>
    </row>
    <row r="820" spans="19:21" x14ac:dyDescent="0.25">
      <c r="S820" s="6" t="s">
        <v>302</v>
      </c>
      <c r="T820" s="6">
        <f t="shared" si="27"/>
        <v>819</v>
      </c>
      <c r="U820" s="4" t="s">
        <v>194</v>
      </c>
    </row>
    <row r="821" spans="19:21" x14ac:dyDescent="0.25">
      <c r="S821" s="6" t="s">
        <v>302</v>
      </c>
      <c r="T821" s="6">
        <f t="shared" si="27"/>
        <v>820</v>
      </c>
      <c r="U821" s="4" t="s">
        <v>194</v>
      </c>
    </row>
    <row r="822" spans="19:21" x14ac:dyDescent="0.25">
      <c r="S822" s="6" t="s">
        <v>302</v>
      </c>
      <c r="T822" s="6">
        <f t="shared" si="27"/>
        <v>821</v>
      </c>
      <c r="U822" s="4" t="s">
        <v>194</v>
      </c>
    </row>
    <row r="823" spans="19:21" x14ac:dyDescent="0.25">
      <c r="S823" s="6" t="s">
        <v>302</v>
      </c>
      <c r="T823" s="6">
        <f t="shared" si="27"/>
        <v>822</v>
      </c>
      <c r="U823" s="4" t="s">
        <v>194</v>
      </c>
    </row>
    <row r="824" spans="19:21" x14ac:dyDescent="0.25">
      <c r="S824" s="6" t="s">
        <v>302</v>
      </c>
      <c r="T824" s="6">
        <f t="shared" si="27"/>
        <v>823</v>
      </c>
      <c r="U824" s="4" t="s">
        <v>194</v>
      </c>
    </row>
    <row r="825" spans="19:21" x14ac:dyDescent="0.25">
      <c r="S825" s="6" t="s">
        <v>302</v>
      </c>
      <c r="T825" s="6">
        <f t="shared" si="27"/>
        <v>824</v>
      </c>
      <c r="U825" s="4" t="s">
        <v>194</v>
      </c>
    </row>
    <row r="826" spans="19:21" x14ac:dyDescent="0.25">
      <c r="S826" s="6" t="s">
        <v>302</v>
      </c>
      <c r="T826" s="6">
        <f t="shared" si="27"/>
        <v>825</v>
      </c>
      <c r="U826" s="4" t="s">
        <v>194</v>
      </c>
    </row>
    <row r="827" spans="19:21" x14ac:dyDescent="0.25">
      <c r="S827" s="6" t="s">
        <v>302</v>
      </c>
      <c r="T827" s="6">
        <f t="shared" si="27"/>
        <v>826</v>
      </c>
      <c r="U827" s="4" t="s">
        <v>194</v>
      </c>
    </row>
    <row r="828" spans="19:21" x14ac:dyDescent="0.25">
      <c r="S828" s="6" t="s">
        <v>302</v>
      </c>
      <c r="T828" s="6">
        <f t="shared" si="27"/>
        <v>827</v>
      </c>
      <c r="U828" s="4" t="s">
        <v>194</v>
      </c>
    </row>
    <row r="829" spans="19:21" x14ac:dyDescent="0.25">
      <c r="S829" s="6" t="s">
        <v>302</v>
      </c>
      <c r="T829" s="6">
        <f t="shared" si="27"/>
        <v>828</v>
      </c>
      <c r="U829" s="4" t="s">
        <v>194</v>
      </c>
    </row>
    <row r="830" spans="19:21" x14ac:dyDescent="0.25">
      <c r="S830" s="6" t="s">
        <v>302</v>
      </c>
      <c r="T830" s="6">
        <f t="shared" si="27"/>
        <v>829</v>
      </c>
      <c r="U830" s="4" t="s">
        <v>194</v>
      </c>
    </row>
    <row r="831" spans="19:21" x14ac:dyDescent="0.25">
      <c r="S831" s="6" t="s">
        <v>302</v>
      </c>
      <c r="T831" s="6">
        <f t="shared" si="27"/>
        <v>830</v>
      </c>
      <c r="U831" s="4" t="s">
        <v>194</v>
      </c>
    </row>
    <row r="832" spans="19:21" x14ac:dyDescent="0.25">
      <c r="S832" s="6" t="s">
        <v>302</v>
      </c>
      <c r="T832" s="6">
        <f t="shared" si="27"/>
        <v>831</v>
      </c>
      <c r="U832" s="4" t="s">
        <v>194</v>
      </c>
    </row>
    <row r="833" spans="19:21" x14ac:dyDescent="0.25">
      <c r="S833" s="6" t="s">
        <v>302</v>
      </c>
      <c r="T833" s="6">
        <f t="shared" si="27"/>
        <v>832</v>
      </c>
      <c r="U833" s="4" t="s">
        <v>194</v>
      </c>
    </row>
    <row r="834" spans="19:21" x14ac:dyDescent="0.25">
      <c r="S834" s="6" t="s">
        <v>302</v>
      </c>
      <c r="T834" s="6">
        <f t="shared" si="27"/>
        <v>833</v>
      </c>
      <c r="U834" s="4" t="s">
        <v>194</v>
      </c>
    </row>
    <row r="835" spans="19:21" x14ac:dyDescent="0.25">
      <c r="S835" s="6" t="s">
        <v>302</v>
      </c>
      <c r="T835" s="6">
        <f t="shared" si="27"/>
        <v>834</v>
      </c>
      <c r="U835" s="4" t="s">
        <v>194</v>
      </c>
    </row>
    <row r="836" spans="19:21" x14ac:dyDescent="0.25">
      <c r="S836" s="6" t="s">
        <v>302</v>
      </c>
      <c r="T836" s="6">
        <f t="shared" si="27"/>
        <v>835</v>
      </c>
      <c r="U836" s="4" t="s">
        <v>194</v>
      </c>
    </row>
    <row r="837" spans="19:21" x14ac:dyDescent="0.25">
      <c r="S837" s="6" t="s">
        <v>302</v>
      </c>
      <c r="T837" s="6">
        <f t="shared" ref="T837:T900" si="28">T836+1</f>
        <v>836</v>
      </c>
      <c r="U837" s="4" t="s">
        <v>194</v>
      </c>
    </row>
    <row r="838" spans="19:21" x14ac:dyDescent="0.25">
      <c r="S838" s="6" t="s">
        <v>302</v>
      </c>
      <c r="T838" s="6">
        <f t="shared" si="28"/>
        <v>837</v>
      </c>
      <c r="U838" s="4" t="s">
        <v>194</v>
      </c>
    </row>
    <row r="839" spans="19:21" x14ac:dyDescent="0.25">
      <c r="S839" s="6" t="s">
        <v>302</v>
      </c>
      <c r="T839" s="6">
        <f t="shared" si="28"/>
        <v>838</v>
      </c>
      <c r="U839" s="4" t="s">
        <v>194</v>
      </c>
    </row>
    <row r="840" spans="19:21" x14ac:dyDescent="0.25">
      <c r="S840" s="6" t="s">
        <v>302</v>
      </c>
      <c r="T840" s="6">
        <f t="shared" si="28"/>
        <v>839</v>
      </c>
      <c r="U840" s="4" t="s">
        <v>194</v>
      </c>
    </row>
    <row r="841" spans="19:21" x14ac:dyDescent="0.25">
      <c r="S841" s="6" t="s">
        <v>302</v>
      </c>
      <c r="T841" s="6">
        <f t="shared" si="28"/>
        <v>840</v>
      </c>
      <c r="U841" s="4" t="s">
        <v>194</v>
      </c>
    </row>
    <row r="842" spans="19:21" x14ac:dyDescent="0.25">
      <c r="S842" s="6" t="s">
        <v>302</v>
      </c>
      <c r="T842" s="6">
        <f t="shared" si="28"/>
        <v>841</v>
      </c>
      <c r="U842" s="4" t="s">
        <v>194</v>
      </c>
    </row>
    <row r="843" spans="19:21" x14ac:dyDescent="0.25">
      <c r="S843" s="6" t="s">
        <v>302</v>
      </c>
      <c r="T843" s="6">
        <f t="shared" si="28"/>
        <v>842</v>
      </c>
      <c r="U843" s="4" t="s">
        <v>194</v>
      </c>
    </row>
    <row r="844" spans="19:21" x14ac:dyDescent="0.25">
      <c r="S844" s="6" t="s">
        <v>302</v>
      </c>
      <c r="T844" s="6">
        <f t="shared" si="28"/>
        <v>843</v>
      </c>
      <c r="U844" s="4" t="s">
        <v>194</v>
      </c>
    </row>
    <row r="845" spans="19:21" x14ac:dyDescent="0.25">
      <c r="S845" s="6" t="s">
        <v>302</v>
      </c>
      <c r="T845" s="6">
        <f t="shared" si="28"/>
        <v>844</v>
      </c>
      <c r="U845" s="4" t="s">
        <v>194</v>
      </c>
    </row>
    <row r="846" spans="19:21" x14ac:dyDescent="0.25">
      <c r="S846" s="6" t="s">
        <v>302</v>
      </c>
      <c r="T846" s="6">
        <f t="shared" si="28"/>
        <v>845</v>
      </c>
      <c r="U846" s="4" t="s">
        <v>194</v>
      </c>
    </row>
    <row r="847" spans="19:21" x14ac:dyDescent="0.25">
      <c r="S847" s="6" t="s">
        <v>302</v>
      </c>
      <c r="T847" s="6">
        <f t="shared" si="28"/>
        <v>846</v>
      </c>
      <c r="U847" s="4" t="s">
        <v>194</v>
      </c>
    </row>
    <row r="848" spans="19:21" x14ac:dyDescent="0.25">
      <c r="S848" s="6" t="s">
        <v>302</v>
      </c>
      <c r="T848" s="6">
        <f t="shared" si="28"/>
        <v>847</v>
      </c>
      <c r="U848" s="4" t="s">
        <v>194</v>
      </c>
    </row>
    <row r="849" spans="19:21" x14ac:dyDescent="0.25">
      <c r="S849" s="6" t="s">
        <v>302</v>
      </c>
      <c r="T849" s="6">
        <f t="shared" si="28"/>
        <v>848</v>
      </c>
      <c r="U849" s="4" t="s">
        <v>194</v>
      </c>
    </row>
    <row r="850" spans="19:21" x14ac:dyDescent="0.25">
      <c r="S850" s="6" t="s">
        <v>302</v>
      </c>
      <c r="T850" s="6">
        <f t="shared" si="28"/>
        <v>849</v>
      </c>
      <c r="U850" s="4" t="s">
        <v>194</v>
      </c>
    </row>
    <row r="851" spans="19:21" x14ac:dyDescent="0.25">
      <c r="S851" s="6" t="s">
        <v>302</v>
      </c>
      <c r="T851" s="6">
        <f t="shared" si="28"/>
        <v>850</v>
      </c>
      <c r="U851" s="4" t="s">
        <v>194</v>
      </c>
    </row>
    <row r="852" spans="19:21" x14ac:dyDescent="0.25">
      <c r="S852" s="6" t="s">
        <v>302</v>
      </c>
      <c r="T852" s="6">
        <f t="shared" si="28"/>
        <v>851</v>
      </c>
      <c r="U852" s="4" t="s">
        <v>194</v>
      </c>
    </row>
    <row r="853" spans="19:21" x14ac:dyDescent="0.25">
      <c r="S853" s="6" t="s">
        <v>302</v>
      </c>
      <c r="T853" s="6">
        <f t="shared" si="28"/>
        <v>852</v>
      </c>
      <c r="U853" s="4" t="s">
        <v>194</v>
      </c>
    </row>
    <row r="854" spans="19:21" x14ac:dyDescent="0.25">
      <c r="S854" s="6" t="s">
        <v>302</v>
      </c>
      <c r="T854" s="6">
        <f t="shared" si="28"/>
        <v>853</v>
      </c>
      <c r="U854" s="4" t="s">
        <v>194</v>
      </c>
    </row>
    <row r="855" spans="19:21" x14ac:dyDescent="0.25">
      <c r="S855" s="6" t="s">
        <v>302</v>
      </c>
      <c r="T855" s="6">
        <f t="shared" si="28"/>
        <v>854</v>
      </c>
      <c r="U855" s="4" t="s">
        <v>194</v>
      </c>
    </row>
    <row r="856" spans="19:21" x14ac:dyDescent="0.25">
      <c r="S856" s="6" t="s">
        <v>302</v>
      </c>
      <c r="T856" s="6">
        <f t="shared" si="28"/>
        <v>855</v>
      </c>
      <c r="U856" s="4" t="s">
        <v>194</v>
      </c>
    </row>
    <row r="857" spans="19:21" x14ac:dyDescent="0.25">
      <c r="S857" s="6" t="s">
        <v>302</v>
      </c>
      <c r="T857" s="6">
        <f t="shared" si="28"/>
        <v>856</v>
      </c>
      <c r="U857" s="4" t="s">
        <v>194</v>
      </c>
    </row>
    <row r="858" spans="19:21" x14ac:dyDescent="0.25">
      <c r="S858" s="6" t="s">
        <v>302</v>
      </c>
      <c r="T858" s="6">
        <f t="shared" si="28"/>
        <v>857</v>
      </c>
      <c r="U858" s="4" t="s">
        <v>194</v>
      </c>
    </row>
    <row r="859" spans="19:21" x14ac:dyDescent="0.25">
      <c r="S859" s="6" t="s">
        <v>302</v>
      </c>
      <c r="T859" s="6">
        <f t="shared" si="28"/>
        <v>858</v>
      </c>
      <c r="U859" s="4" t="s">
        <v>194</v>
      </c>
    </row>
    <row r="860" spans="19:21" x14ac:dyDescent="0.25">
      <c r="S860" s="6" t="s">
        <v>302</v>
      </c>
      <c r="T860" s="6">
        <f t="shared" si="28"/>
        <v>859</v>
      </c>
      <c r="U860" s="4" t="s">
        <v>194</v>
      </c>
    </row>
    <row r="861" spans="19:21" x14ac:dyDescent="0.25">
      <c r="S861" s="6" t="s">
        <v>302</v>
      </c>
      <c r="T861" s="6">
        <f t="shared" si="28"/>
        <v>860</v>
      </c>
      <c r="U861" s="4" t="s">
        <v>194</v>
      </c>
    </row>
    <row r="862" spans="19:21" x14ac:dyDescent="0.25">
      <c r="S862" s="6" t="s">
        <v>302</v>
      </c>
      <c r="T862" s="6">
        <f t="shared" si="28"/>
        <v>861</v>
      </c>
      <c r="U862" s="4" t="s">
        <v>194</v>
      </c>
    </row>
    <row r="863" spans="19:21" x14ac:dyDescent="0.25">
      <c r="S863" s="6" t="s">
        <v>302</v>
      </c>
      <c r="T863" s="6">
        <f t="shared" si="28"/>
        <v>862</v>
      </c>
      <c r="U863" s="4" t="s">
        <v>194</v>
      </c>
    </row>
    <row r="864" spans="19:21" x14ac:dyDescent="0.25">
      <c r="S864" s="6" t="s">
        <v>302</v>
      </c>
      <c r="T864" s="6">
        <f t="shared" si="28"/>
        <v>863</v>
      </c>
      <c r="U864" s="4" t="s">
        <v>194</v>
      </c>
    </row>
    <row r="865" spans="19:21" x14ac:dyDescent="0.25">
      <c r="S865" s="6" t="s">
        <v>302</v>
      </c>
      <c r="T865" s="6">
        <f t="shared" si="28"/>
        <v>864</v>
      </c>
      <c r="U865" s="4" t="s">
        <v>194</v>
      </c>
    </row>
    <row r="866" spans="19:21" x14ac:dyDescent="0.25">
      <c r="S866" s="6" t="s">
        <v>302</v>
      </c>
      <c r="T866" s="6">
        <f t="shared" si="28"/>
        <v>865</v>
      </c>
      <c r="U866" s="4" t="s">
        <v>194</v>
      </c>
    </row>
    <row r="867" spans="19:21" x14ac:dyDescent="0.25">
      <c r="S867" s="6" t="s">
        <v>302</v>
      </c>
      <c r="T867" s="6">
        <f t="shared" si="28"/>
        <v>866</v>
      </c>
      <c r="U867" s="4" t="s">
        <v>194</v>
      </c>
    </row>
    <row r="868" spans="19:21" x14ac:dyDescent="0.25">
      <c r="S868" s="6" t="s">
        <v>302</v>
      </c>
      <c r="T868" s="6">
        <f t="shared" si="28"/>
        <v>867</v>
      </c>
      <c r="U868" s="4" t="s">
        <v>194</v>
      </c>
    </row>
    <row r="869" spans="19:21" x14ac:dyDescent="0.25">
      <c r="S869" s="6" t="s">
        <v>302</v>
      </c>
      <c r="T869" s="6">
        <f t="shared" si="28"/>
        <v>868</v>
      </c>
      <c r="U869" s="4" t="s">
        <v>194</v>
      </c>
    </row>
    <row r="870" spans="19:21" x14ac:dyDescent="0.25">
      <c r="S870" s="6" t="s">
        <v>302</v>
      </c>
      <c r="T870" s="6">
        <f t="shared" si="28"/>
        <v>869</v>
      </c>
      <c r="U870" s="4" t="s">
        <v>194</v>
      </c>
    </row>
    <row r="871" spans="19:21" x14ac:dyDescent="0.25">
      <c r="S871" s="6" t="s">
        <v>302</v>
      </c>
      <c r="T871" s="6">
        <f t="shared" si="28"/>
        <v>870</v>
      </c>
      <c r="U871" s="4" t="s">
        <v>194</v>
      </c>
    </row>
    <row r="872" spans="19:21" x14ac:dyDescent="0.25">
      <c r="S872" s="6" t="s">
        <v>302</v>
      </c>
      <c r="T872" s="6">
        <f t="shared" si="28"/>
        <v>871</v>
      </c>
      <c r="U872" s="4" t="s">
        <v>194</v>
      </c>
    </row>
    <row r="873" spans="19:21" x14ac:dyDescent="0.25">
      <c r="S873" s="6" t="s">
        <v>302</v>
      </c>
      <c r="T873" s="6">
        <f t="shared" si="28"/>
        <v>872</v>
      </c>
      <c r="U873" s="4" t="s">
        <v>194</v>
      </c>
    </row>
    <row r="874" spans="19:21" x14ac:dyDescent="0.25">
      <c r="S874" s="6" t="s">
        <v>302</v>
      </c>
      <c r="T874" s="6">
        <f t="shared" si="28"/>
        <v>873</v>
      </c>
      <c r="U874" s="4" t="s">
        <v>194</v>
      </c>
    </row>
    <row r="875" spans="19:21" x14ac:dyDescent="0.25">
      <c r="S875" s="6" t="s">
        <v>302</v>
      </c>
      <c r="T875" s="6">
        <f t="shared" si="28"/>
        <v>874</v>
      </c>
      <c r="U875" s="4" t="s">
        <v>194</v>
      </c>
    </row>
    <row r="876" spans="19:21" x14ac:dyDescent="0.25">
      <c r="S876" s="6" t="s">
        <v>302</v>
      </c>
      <c r="T876" s="6">
        <f t="shared" si="28"/>
        <v>875</v>
      </c>
      <c r="U876" s="4" t="s">
        <v>194</v>
      </c>
    </row>
    <row r="877" spans="19:21" x14ac:dyDescent="0.25">
      <c r="S877" s="6" t="s">
        <v>302</v>
      </c>
      <c r="T877" s="6">
        <f t="shared" si="28"/>
        <v>876</v>
      </c>
      <c r="U877" s="4" t="s">
        <v>194</v>
      </c>
    </row>
    <row r="878" spans="19:21" x14ac:dyDescent="0.25">
      <c r="S878" s="6" t="s">
        <v>302</v>
      </c>
      <c r="T878" s="6">
        <f t="shared" si="28"/>
        <v>877</v>
      </c>
      <c r="U878" s="4" t="s">
        <v>194</v>
      </c>
    </row>
    <row r="879" spans="19:21" x14ac:dyDescent="0.25">
      <c r="S879" s="6" t="s">
        <v>302</v>
      </c>
      <c r="T879" s="6">
        <f t="shared" si="28"/>
        <v>878</v>
      </c>
      <c r="U879" s="4" t="s">
        <v>194</v>
      </c>
    </row>
    <row r="880" spans="19:21" x14ac:dyDescent="0.25">
      <c r="S880" s="6" t="s">
        <v>302</v>
      </c>
      <c r="T880" s="6">
        <f t="shared" si="28"/>
        <v>879</v>
      </c>
      <c r="U880" s="4" t="s">
        <v>194</v>
      </c>
    </row>
    <row r="881" spans="19:21" x14ac:dyDescent="0.25">
      <c r="S881" s="6" t="s">
        <v>302</v>
      </c>
      <c r="T881" s="6">
        <f t="shared" si="28"/>
        <v>880</v>
      </c>
      <c r="U881" s="4" t="s">
        <v>194</v>
      </c>
    </row>
    <row r="882" spans="19:21" x14ac:dyDescent="0.25">
      <c r="S882" s="6" t="s">
        <v>302</v>
      </c>
      <c r="T882" s="6">
        <f t="shared" si="28"/>
        <v>881</v>
      </c>
      <c r="U882" s="4" t="s">
        <v>194</v>
      </c>
    </row>
    <row r="883" spans="19:21" x14ac:dyDescent="0.25">
      <c r="S883" s="6" t="s">
        <v>302</v>
      </c>
      <c r="T883" s="6">
        <f t="shared" si="28"/>
        <v>882</v>
      </c>
      <c r="U883" s="4" t="s">
        <v>194</v>
      </c>
    </row>
    <row r="884" spans="19:21" x14ac:dyDescent="0.25">
      <c r="S884" s="6" t="s">
        <v>302</v>
      </c>
      <c r="T884" s="6">
        <f t="shared" si="28"/>
        <v>883</v>
      </c>
      <c r="U884" s="4" t="s">
        <v>194</v>
      </c>
    </row>
    <row r="885" spans="19:21" x14ac:dyDescent="0.25">
      <c r="S885" s="6" t="s">
        <v>302</v>
      </c>
      <c r="T885" s="6">
        <f t="shared" si="28"/>
        <v>884</v>
      </c>
      <c r="U885" s="4" t="s">
        <v>194</v>
      </c>
    </row>
    <row r="886" spans="19:21" x14ac:dyDescent="0.25">
      <c r="S886" s="6" t="s">
        <v>302</v>
      </c>
      <c r="T886" s="6">
        <f t="shared" si="28"/>
        <v>885</v>
      </c>
      <c r="U886" s="4" t="s">
        <v>194</v>
      </c>
    </row>
    <row r="887" spans="19:21" x14ac:dyDescent="0.25">
      <c r="S887" s="6" t="s">
        <v>302</v>
      </c>
      <c r="T887" s="6">
        <f t="shared" si="28"/>
        <v>886</v>
      </c>
      <c r="U887" s="4" t="s">
        <v>194</v>
      </c>
    </row>
    <row r="888" spans="19:21" x14ac:dyDescent="0.25">
      <c r="S888" s="6" t="s">
        <v>302</v>
      </c>
      <c r="T888" s="6">
        <f t="shared" si="28"/>
        <v>887</v>
      </c>
      <c r="U888" s="4" t="s">
        <v>194</v>
      </c>
    </row>
    <row r="889" spans="19:21" x14ac:dyDescent="0.25">
      <c r="S889" s="6" t="s">
        <v>302</v>
      </c>
      <c r="T889" s="6">
        <f t="shared" si="28"/>
        <v>888</v>
      </c>
      <c r="U889" s="4" t="s">
        <v>194</v>
      </c>
    </row>
    <row r="890" spans="19:21" x14ac:dyDescent="0.25">
      <c r="S890" s="6" t="s">
        <v>302</v>
      </c>
      <c r="T890" s="6">
        <f t="shared" si="28"/>
        <v>889</v>
      </c>
      <c r="U890" s="4" t="s">
        <v>194</v>
      </c>
    </row>
    <row r="891" spans="19:21" x14ac:dyDescent="0.25">
      <c r="S891" s="6" t="s">
        <v>302</v>
      </c>
      <c r="T891" s="6">
        <f t="shared" si="28"/>
        <v>890</v>
      </c>
      <c r="U891" s="4" t="s">
        <v>194</v>
      </c>
    </row>
    <row r="892" spans="19:21" x14ac:dyDescent="0.25">
      <c r="S892" s="6" t="s">
        <v>302</v>
      </c>
      <c r="T892" s="6">
        <f t="shared" si="28"/>
        <v>891</v>
      </c>
      <c r="U892" s="4" t="s">
        <v>194</v>
      </c>
    </row>
    <row r="893" spans="19:21" x14ac:dyDescent="0.25">
      <c r="S893" s="6" t="s">
        <v>302</v>
      </c>
      <c r="T893" s="6">
        <f t="shared" si="28"/>
        <v>892</v>
      </c>
      <c r="U893" s="4" t="s">
        <v>194</v>
      </c>
    </row>
    <row r="894" spans="19:21" x14ac:dyDescent="0.25">
      <c r="S894" s="6" t="s">
        <v>302</v>
      </c>
      <c r="T894" s="6">
        <f t="shared" si="28"/>
        <v>893</v>
      </c>
      <c r="U894" s="4" t="s">
        <v>194</v>
      </c>
    </row>
    <row r="895" spans="19:21" x14ac:dyDescent="0.25">
      <c r="S895" s="6" t="s">
        <v>302</v>
      </c>
      <c r="T895" s="6">
        <f t="shared" si="28"/>
        <v>894</v>
      </c>
      <c r="U895" s="4" t="s">
        <v>194</v>
      </c>
    </row>
    <row r="896" spans="19:21" x14ac:dyDescent="0.25">
      <c r="S896" s="6" t="s">
        <v>302</v>
      </c>
      <c r="T896" s="6">
        <f t="shared" si="28"/>
        <v>895</v>
      </c>
      <c r="U896" s="4" t="s">
        <v>194</v>
      </c>
    </row>
    <row r="897" spans="19:21" x14ac:dyDescent="0.25">
      <c r="S897" s="6" t="s">
        <v>302</v>
      </c>
      <c r="T897" s="6">
        <f t="shared" si="28"/>
        <v>896</v>
      </c>
      <c r="U897" s="4" t="s">
        <v>194</v>
      </c>
    </row>
    <row r="898" spans="19:21" x14ac:dyDescent="0.25">
      <c r="S898" s="6" t="s">
        <v>302</v>
      </c>
      <c r="T898" s="6">
        <f t="shared" si="28"/>
        <v>897</v>
      </c>
      <c r="U898" s="4" t="s">
        <v>194</v>
      </c>
    </row>
    <row r="899" spans="19:21" x14ac:dyDescent="0.25">
      <c r="S899" s="6" t="s">
        <v>302</v>
      </c>
      <c r="T899" s="6">
        <f t="shared" si="28"/>
        <v>898</v>
      </c>
      <c r="U899" s="4" t="s">
        <v>194</v>
      </c>
    </row>
    <row r="900" spans="19:21" x14ac:dyDescent="0.25">
      <c r="S900" s="6" t="s">
        <v>302</v>
      </c>
      <c r="T900" s="6">
        <f t="shared" si="28"/>
        <v>899</v>
      </c>
      <c r="U900" s="4" t="s">
        <v>194</v>
      </c>
    </row>
    <row r="901" spans="19:21" x14ac:dyDescent="0.25">
      <c r="S901" s="6" t="s">
        <v>302</v>
      </c>
      <c r="T901" s="6">
        <f t="shared" ref="T901:T964" si="29">T900+1</f>
        <v>900</v>
      </c>
      <c r="U901" s="4" t="s">
        <v>194</v>
      </c>
    </row>
    <row r="902" spans="19:21" x14ac:dyDescent="0.25">
      <c r="S902" s="6" t="s">
        <v>302</v>
      </c>
      <c r="T902" s="6">
        <f t="shared" si="29"/>
        <v>901</v>
      </c>
      <c r="U902" s="4" t="s">
        <v>194</v>
      </c>
    </row>
    <row r="903" spans="19:21" x14ac:dyDescent="0.25">
      <c r="S903" s="6" t="s">
        <v>302</v>
      </c>
      <c r="T903" s="6">
        <f t="shared" si="29"/>
        <v>902</v>
      </c>
      <c r="U903" s="4" t="s">
        <v>194</v>
      </c>
    </row>
    <row r="904" spans="19:21" x14ac:dyDescent="0.25">
      <c r="S904" s="6" t="s">
        <v>302</v>
      </c>
      <c r="T904" s="6">
        <f t="shared" si="29"/>
        <v>903</v>
      </c>
      <c r="U904" s="4" t="s">
        <v>194</v>
      </c>
    </row>
    <row r="905" spans="19:21" x14ac:dyDescent="0.25">
      <c r="S905" s="6" t="s">
        <v>302</v>
      </c>
      <c r="T905" s="6">
        <f t="shared" si="29"/>
        <v>904</v>
      </c>
      <c r="U905" s="4" t="s">
        <v>194</v>
      </c>
    </row>
    <row r="906" spans="19:21" x14ac:dyDescent="0.25">
      <c r="S906" s="6" t="s">
        <v>302</v>
      </c>
      <c r="T906" s="6">
        <f t="shared" si="29"/>
        <v>905</v>
      </c>
      <c r="U906" s="4" t="s">
        <v>194</v>
      </c>
    </row>
    <row r="907" spans="19:21" x14ac:dyDescent="0.25">
      <c r="S907" s="6" t="s">
        <v>302</v>
      </c>
      <c r="T907" s="6">
        <f t="shared" si="29"/>
        <v>906</v>
      </c>
      <c r="U907" s="4" t="s">
        <v>194</v>
      </c>
    </row>
    <row r="908" spans="19:21" x14ac:dyDescent="0.25">
      <c r="S908" s="6" t="s">
        <v>302</v>
      </c>
      <c r="T908" s="6">
        <f t="shared" si="29"/>
        <v>907</v>
      </c>
      <c r="U908" s="4" t="s">
        <v>194</v>
      </c>
    </row>
    <row r="909" spans="19:21" x14ac:dyDescent="0.25">
      <c r="S909" s="6" t="s">
        <v>302</v>
      </c>
      <c r="T909" s="6">
        <f t="shared" si="29"/>
        <v>908</v>
      </c>
      <c r="U909" s="4" t="s">
        <v>194</v>
      </c>
    </row>
    <row r="910" spans="19:21" x14ac:dyDescent="0.25">
      <c r="S910" s="6" t="s">
        <v>302</v>
      </c>
      <c r="T910" s="6">
        <f t="shared" si="29"/>
        <v>909</v>
      </c>
      <c r="U910" s="4" t="s">
        <v>194</v>
      </c>
    </row>
    <row r="911" spans="19:21" x14ac:dyDescent="0.25">
      <c r="S911" s="6" t="s">
        <v>302</v>
      </c>
      <c r="T911" s="6">
        <f t="shared" si="29"/>
        <v>910</v>
      </c>
      <c r="U911" s="4" t="s">
        <v>194</v>
      </c>
    </row>
    <row r="912" spans="19:21" x14ac:dyDescent="0.25">
      <c r="S912" s="6" t="s">
        <v>302</v>
      </c>
      <c r="T912" s="6">
        <f t="shared" si="29"/>
        <v>911</v>
      </c>
      <c r="U912" s="4" t="s">
        <v>194</v>
      </c>
    </row>
    <row r="913" spans="19:21" x14ac:dyDescent="0.25">
      <c r="S913" s="6" t="s">
        <v>302</v>
      </c>
      <c r="T913" s="6">
        <f t="shared" si="29"/>
        <v>912</v>
      </c>
      <c r="U913" s="4" t="s">
        <v>194</v>
      </c>
    </row>
    <row r="914" spans="19:21" x14ac:dyDescent="0.25">
      <c r="S914" s="6" t="s">
        <v>302</v>
      </c>
      <c r="T914" s="6">
        <f t="shared" si="29"/>
        <v>913</v>
      </c>
      <c r="U914" s="4" t="s">
        <v>194</v>
      </c>
    </row>
    <row r="915" spans="19:21" x14ac:dyDescent="0.25">
      <c r="S915" s="6" t="s">
        <v>302</v>
      </c>
      <c r="T915" s="6">
        <f t="shared" si="29"/>
        <v>914</v>
      </c>
      <c r="U915" s="4" t="s">
        <v>194</v>
      </c>
    </row>
    <row r="916" spans="19:21" x14ac:dyDescent="0.25">
      <c r="S916" s="6" t="s">
        <v>302</v>
      </c>
      <c r="T916" s="6">
        <f t="shared" si="29"/>
        <v>915</v>
      </c>
      <c r="U916" s="4" t="s">
        <v>194</v>
      </c>
    </row>
    <row r="917" spans="19:21" x14ac:dyDescent="0.25">
      <c r="S917" s="6" t="s">
        <v>302</v>
      </c>
      <c r="T917" s="6">
        <f t="shared" si="29"/>
        <v>916</v>
      </c>
      <c r="U917" s="4" t="s">
        <v>194</v>
      </c>
    </row>
    <row r="918" spans="19:21" x14ac:dyDescent="0.25">
      <c r="S918" s="6" t="s">
        <v>302</v>
      </c>
      <c r="T918" s="6">
        <f t="shared" si="29"/>
        <v>917</v>
      </c>
      <c r="U918" s="4" t="s">
        <v>194</v>
      </c>
    </row>
    <row r="919" spans="19:21" x14ac:dyDescent="0.25">
      <c r="S919" s="6" t="s">
        <v>302</v>
      </c>
      <c r="T919" s="6">
        <f t="shared" si="29"/>
        <v>918</v>
      </c>
      <c r="U919" s="4" t="s">
        <v>194</v>
      </c>
    </row>
    <row r="920" spans="19:21" x14ac:dyDescent="0.25">
      <c r="S920" s="6" t="s">
        <v>302</v>
      </c>
      <c r="T920" s="6">
        <f t="shared" si="29"/>
        <v>919</v>
      </c>
      <c r="U920" s="4" t="s">
        <v>194</v>
      </c>
    </row>
    <row r="921" spans="19:21" x14ac:dyDescent="0.25">
      <c r="S921" s="6" t="s">
        <v>302</v>
      </c>
      <c r="T921" s="6">
        <f t="shared" si="29"/>
        <v>920</v>
      </c>
      <c r="U921" s="4" t="s">
        <v>194</v>
      </c>
    </row>
    <row r="922" spans="19:21" x14ac:dyDescent="0.25">
      <c r="S922" s="6" t="s">
        <v>302</v>
      </c>
      <c r="T922" s="6">
        <f t="shared" si="29"/>
        <v>921</v>
      </c>
      <c r="U922" s="4" t="s">
        <v>194</v>
      </c>
    </row>
    <row r="923" spans="19:21" x14ac:dyDescent="0.25">
      <c r="S923" s="6" t="s">
        <v>302</v>
      </c>
      <c r="T923" s="6">
        <f t="shared" si="29"/>
        <v>922</v>
      </c>
      <c r="U923" s="4" t="s">
        <v>194</v>
      </c>
    </row>
    <row r="924" spans="19:21" x14ac:dyDescent="0.25">
      <c r="S924" s="6" t="s">
        <v>302</v>
      </c>
      <c r="T924" s="6">
        <f t="shared" si="29"/>
        <v>923</v>
      </c>
      <c r="U924" s="4" t="s">
        <v>194</v>
      </c>
    </row>
    <row r="925" spans="19:21" x14ac:dyDescent="0.25">
      <c r="S925" s="6" t="s">
        <v>302</v>
      </c>
      <c r="T925" s="6">
        <f t="shared" si="29"/>
        <v>924</v>
      </c>
      <c r="U925" s="4" t="s">
        <v>194</v>
      </c>
    </row>
    <row r="926" spans="19:21" x14ac:dyDescent="0.25">
      <c r="S926" s="6" t="s">
        <v>302</v>
      </c>
      <c r="T926" s="6">
        <f t="shared" si="29"/>
        <v>925</v>
      </c>
      <c r="U926" s="4" t="s">
        <v>194</v>
      </c>
    </row>
    <row r="927" spans="19:21" x14ac:dyDescent="0.25">
      <c r="S927" s="6" t="s">
        <v>302</v>
      </c>
      <c r="T927" s="6">
        <f t="shared" si="29"/>
        <v>926</v>
      </c>
      <c r="U927" s="4" t="s">
        <v>194</v>
      </c>
    </row>
    <row r="928" spans="19:21" x14ac:dyDescent="0.25">
      <c r="S928" s="6" t="s">
        <v>302</v>
      </c>
      <c r="T928" s="6">
        <f t="shared" si="29"/>
        <v>927</v>
      </c>
      <c r="U928" s="4" t="s">
        <v>194</v>
      </c>
    </row>
    <row r="929" spans="19:21" x14ac:dyDescent="0.25">
      <c r="S929" s="6" t="s">
        <v>302</v>
      </c>
      <c r="T929" s="6">
        <f t="shared" si="29"/>
        <v>928</v>
      </c>
      <c r="U929" s="4" t="s">
        <v>194</v>
      </c>
    </row>
    <row r="930" spans="19:21" x14ac:dyDescent="0.25">
      <c r="S930" s="6" t="s">
        <v>302</v>
      </c>
      <c r="T930" s="6">
        <f t="shared" si="29"/>
        <v>929</v>
      </c>
      <c r="U930" s="4" t="s">
        <v>194</v>
      </c>
    </row>
    <row r="931" spans="19:21" x14ac:dyDescent="0.25">
      <c r="S931" s="6" t="s">
        <v>302</v>
      </c>
      <c r="T931" s="6">
        <f t="shared" si="29"/>
        <v>930</v>
      </c>
      <c r="U931" s="4" t="s">
        <v>194</v>
      </c>
    </row>
    <row r="932" spans="19:21" x14ac:dyDescent="0.25">
      <c r="S932" s="6" t="s">
        <v>302</v>
      </c>
      <c r="T932" s="6">
        <f t="shared" si="29"/>
        <v>931</v>
      </c>
      <c r="U932" s="4" t="s">
        <v>194</v>
      </c>
    </row>
    <row r="933" spans="19:21" x14ac:dyDescent="0.25">
      <c r="S933" s="6" t="s">
        <v>302</v>
      </c>
      <c r="T933" s="6">
        <f t="shared" si="29"/>
        <v>932</v>
      </c>
      <c r="U933" s="4" t="s">
        <v>194</v>
      </c>
    </row>
    <row r="934" spans="19:21" x14ac:dyDescent="0.25">
      <c r="S934" s="6" t="s">
        <v>302</v>
      </c>
      <c r="T934" s="6">
        <f t="shared" si="29"/>
        <v>933</v>
      </c>
      <c r="U934" s="4" t="s">
        <v>194</v>
      </c>
    </row>
    <row r="935" spans="19:21" x14ac:dyDescent="0.25">
      <c r="S935" s="6" t="s">
        <v>302</v>
      </c>
      <c r="T935" s="6">
        <f t="shared" si="29"/>
        <v>934</v>
      </c>
      <c r="U935" s="4" t="s">
        <v>194</v>
      </c>
    </row>
    <row r="936" spans="19:21" x14ac:dyDescent="0.25">
      <c r="S936" s="6" t="s">
        <v>302</v>
      </c>
      <c r="T936" s="6">
        <f t="shared" si="29"/>
        <v>935</v>
      </c>
      <c r="U936" s="4" t="s">
        <v>194</v>
      </c>
    </row>
    <row r="937" spans="19:21" x14ac:dyDescent="0.25">
      <c r="S937" s="6" t="s">
        <v>302</v>
      </c>
      <c r="T937" s="6">
        <f t="shared" si="29"/>
        <v>936</v>
      </c>
      <c r="U937" s="4" t="s">
        <v>194</v>
      </c>
    </row>
    <row r="938" spans="19:21" x14ac:dyDescent="0.25">
      <c r="S938" s="6" t="s">
        <v>302</v>
      </c>
      <c r="T938" s="6">
        <f t="shared" si="29"/>
        <v>937</v>
      </c>
      <c r="U938" s="4" t="s">
        <v>194</v>
      </c>
    </row>
    <row r="939" spans="19:21" x14ac:dyDescent="0.25">
      <c r="S939" s="6" t="s">
        <v>302</v>
      </c>
      <c r="T939" s="6">
        <f t="shared" si="29"/>
        <v>938</v>
      </c>
      <c r="U939" s="4" t="s">
        <v>194</v>
      </c>
    </row>
    <row r="940" spans="19:21" x14ac:dyDescent="0.25">
      <c r="S940" s="6" t="s">
        <v>302</v>
      </c>
      <c r="T940" s="6">
        <f t="shared" si="29"/>
        <v>939</v>
      </c>
      <c r="U940" s="4" t="s">
        <v>194</v>
      </c>
    </row>
    <row r="941" spans="19:21" x14ac:dyDescent="0.25">
      <c r="S941" s="6" t="s">
        <v>302</v>
      </c>
      <c r="T941" s="6">
        <f t="shared" si="29"/>
        <v>940</v>
      </c>
      <c r="U941" s="4" t="s">
        <v>194</v>
      </c>
    </row>
    <row r="942" spans="19:21" x14ac:dyDescent="0.25">
      <c r="S942" s="6" t="s">
        <v>302</v>
      </c>
      <c r="T942" s="6">
        <f t="shared" si="29"/>
        <v>941</v>
      </c>
      <c r="U942" s="4" t="s">
        <v>194</v>
      </c>
    </row>
    <row r="943" spans="19:21" x14ac:dyDescent="0.25">
      <c r="S943" s="6" t="s">
        <v>302</v>
      </c>
      <c r="T943" s="6">
        <f t="shared" si="29"/>
        <v>942</v>
      </c>
      <c r="U943" s="4" t="s">
        <v>194</v>
      </c>
    </row>
    <row r="944" spans="19:21" x14ac:dyDescent="0.25">
      <c r="S944" s="6" t="s">
        <v>302</v>
      </c>
      <c r="T944" s="6">
        <f t="shared" si="29"/>
        <v>943</v>
      </c>
      <c r="U944" s="4" t="s">
        <v>194</v>
      </c>
    </row>
    <row r="945" spans="19:21" x14ac:dyDescent="0.25">
      <c r="S945" s="6" t="s">
        <v>302</v>
      </c>
      <c r="T945" s="6">
        <f t="shared" si="29"/>
        <v>944</v>
      </c>
      <c r="U945" s="4" t="s">
        <v>194</v>
      </c>
    </row>
    <row r="946" spans="19:21" x14ac:dyDescent="0.25">
      <c r="S946" s="6" t="s">
        <v>302</v>
      </c>
      <c r="T946" s="6">
        <f t="shared" si="29"/>
        <v>945</v>
      </c>
      <c r="U946" s="4" t="s">
        <v>194</v>
      </c>
    </row>
    <row r="947" spans="19:21" x14ac:dyDescent="0.25">
      <c r="S947" s="6" t="s">
        <v>302</v>
      </c>
      <c r="T947" s="6">
        <f t="shared" si="29"/>
        <v>946</v>
      </c>
      <c r="U947" s="4" t="s">
        <v>194</v>
      </c>
    </row>
    <row r="948" spans="19:21" x14ac:dyDescent="0.25">
      <c r="S948" s="6" t="s">
        <v>302</v>
      </c>
      <c r="T948" s="6">
        <f t="shared" si="29"/>
        <v>947</v>
      </c>
      <c r="U948" s="4" t="s">
        <v>194</v>
      </c>
    </row>
    <row r="949" spans="19:21" x14ac:dyDescent="0.25">
      <c r="S949" s="6" t="s">
        <v>302</v>
      </c>
      <c r="T949" s="6">
        <f t="shared" si="29"/>
        <v>948</v>
      </c>
      <c r="U949" s="4" t="s">
        <v>194</v>
      </c>
    </row>
    <row r="950" spans="19:21" x14ac:dyDescent="0.25">
      <c r="S950" s="6" t="s">
        <v>302</v>
      </c>
      <c r="T950" s="6">
        <f t="shared" si="29"/>
        <v>949</v>
      </c>
      <c r="U950" s="4" t="s">
        <v>194</v>
      </c>
    </row>
    <row r="951" spans="19:21" x14ac:dyDescent="0.25">
      <c r="S951" s="6" t="s">
        <v>302</v>
      </c>
      <c r="T951" s="6">
        <f t="shared" si="29"/>
        <v>950</v>
      </c>
      <c r="U951" s="4" t="s">
        <v>194</v>
      </c>
    </row>
    <row r="952" spans="19:21" x14ac:dyDescent="0.25">
      <c r="S952" s="6" t="s">
        <v>302</v>
      </c>
      <c r="T952" s="6">
        <f t="shared" si="29"/>
        <v>951</v>
      </c>
      <c r="U952" s="4" t="s">
        <v>194</v>
      </c>
    </row>
    <row r="953" spans="19:21" x14ac:dyDescent="0.25">
      <c r="S953" s="6" t="s">
        <v>302</v>
      </c>
      <c r="T953" s="6">
        <f t="shared" si="29"/>
        <v>952</v>
      </c>
      <c r="U953" s="4" t="s">
        <v>194</v>
      </c>
    </row>
    <row r="954" spans="19:21" x14ac:dyDescent="0.25">
      <c r="S954" s="6" t="s">
        <v>302</v>
      </c>
      <c r="T954" s="6">
        <f t="shared" si="29"/>
        <v>953</v>
      </c>
      <c r="U954" s="4" t="s">
        <v>194</v>
      </c>
    </row>
    <row r="955" spans="19:21" x14ac:dyDescent="0.25">
      <c r="S955" s="6" t="s">
        <v>302</v>
      </c>
      <c r="T955" s="6">
        <f t="shared" si="29"/>
        <v>954</v>
      </c>
      <c r="U955" s="4" t="s">
        <v>194</v>
      </c>
    </row>
    <row r="956" spans="19:21" x14ac:dyDescent="0.25">
      <c r="S956" s="6" t="s">
        <v>302</v>
      </c>
      <c r="T956" s="6">
        <f t="shared" si="29"/>
        <v>955</v>
      </c>
      <c r="U956" s="4" t="s">
        <v>194</v>
      </c>
    </row>
    <row r="957" spans="19:21" x14ac:dyDescent="0.25">
      <c r="S957" s="6" t="s">
        <v>302</v>
      </c>
      <c r="T957" s="6">
        <f t="shared" si="29"/>
        <v>956</v>
      </c>
      <c r="U957" s="4" t="s">
        <v>194</v>
      </c>
    </row>
    <row r="958" spans="19:21" x14ac:dyDescent="0.25">
      <c r="S958" s="6" t="s">
        <v>302</v>
      </c>
      <c r="T958" s="6">
        <f t="shared" si="29"/>
        <v>957</v>
      </c>
      <c r="U958" s="4" t="s">
        <v>194</v>
      </c>
    </row>
    <row r="959" spans="19:21" x14ac:dyDescent="0.25">
      <c r="S959" s="6" t="s">
        <v>302</v>
      </c>
      <c r="T959" s="6">
        <f t="shared" si="29"/>
        <v>958</v>
      </c>
      <c r="U959" s="4" t="s">
        <v>194</v>
      </c>
    </row>
    <row r="960" spans="19:21" x14ac:dyDescent="0.25">
      <c r="S960" s="6" t="s">
        <v>302</v>
      </c>
      <c r="T960" s="6">
        <f t="shared" si="29"/>
        <v>959</v>
      </c>
      <c r="U960" s="4" t="s">
        <v>194</v>
      </c>
    </row>
    <row r="961" spans="19:21" x14ac:dyDescent="0.25">
      <c r="S961" s="6" t="s">
        <v>302</v>
      </c>
      <c r="T961" s="6">
        <f t="shared" si="29"/>
        <v>960</v>
      </c>
      <c r="U961" s="4" t="s">
        <v>194</v>
      </c>
    </row>
    <row r="962" spans="19:21" x14ac:dyDescent="0.25">
      <c r="S962" s="6" t="s">
        <v>302</v>
      </c>
      <c r="T962" s="6">
        <f t="shared" si="29"/>
        <v>961</v>
      </c>
      <c r="U962" s="4" t="s">
        <v>194</v>
      </c>
    </row>
    <row r="963" spans="19:21" x14ac:dyDescent="0.25">
      <c r="S963" s="6" t="s">
        <v>302</v>
      </c>
      <c r="T963" s="6">
        <f t="shared" si="29"/>
        <v>962</v>
      </c>
      <c r="U963" s="4" t="s">
        <v>194</v>
      </c>
    </row>
    <row r="964" spans="19:21" x14ac:dyDescent="0.25">
      <c r="S964" s="6" t="s">
        <v>302</v>
      </c>
      <c r="T964" s="6">
        <f t="shared" si="29"/>
        <v>963</v>
      </c>
      <c r="U964" s="4" t="s">
        <v>194</v>
      </c>
    </row>
    <row r="965" spans="19:21" x14ac:dyDescent="0.25">
      <c r="S965" s="6" t="s">
        <v>302</v>
      </c>
      <c r="T965" s="6">
        <f t="shared" ref="T965:T1028" si="30">T964+1</f>
        <v>964</v>
      </c>
      <c r="U965" s="4" t="s">
        <v>194</v>
      </c>
    </row>
    <row r="966" spans="19:21" x14ac:dyDescent="0.25">
      <c r="S966" s="6" t="s">
        <v>302</v>
      </c>
      <c r="T966" s="6">
        <f t="shared" si="30"/>
        <v>965</v>
      </c>
      <c r="U966" s="4" t="s">
        <v>194</v>
      </c>
    </row>
    <row r="967" spans="19:21" x14ac:dyDescent="0.25">
      <c r="S967" s="6" t="s">
        <v>302</v>
      </c>
      <c r="T967" s="6">
        <f t="shared" si="30"/>
        <v>966</v>
      </c>
      <c r="U967" s="4" t="s">
        <v>194</v>
      </c>
    </row>
    <row r="968" spans="19:21" x14ac:dyDescent="0.25">
      <c r="S968" s="6" t="s">
        <v>302</v>
      </c>
      <c r="T968" s="6">
        <f t="shared" si="30"/>
        <v>967</v>
      </c>
      <c r="U968" s="4" t="s">
        <v>194</v>
      </c>
    </row>
    <row r="969" spans="19:21" x14ac:dyDescent="0.25">
      <c r="S969" s="6" t="s">
        <v>302</v>
      </c>
      <c r="T969" s="6">
        <f t="shared" si="30"/>
        <v>968</v>
      </c>
      <c r="U969" s="4" t="s">
        <v>194</v>
      </c>
    </row>
    <row r="970" spans="19:21" x14ac:dyDescent="0.25">
      <c r="S970" s="6" t="s">
        <v>302</v>
      </c>
      <c r="T970" s="6">
        <f t="shared" si="30"/>
        <v>969</v>
      </c>
      <c r="U970" s="4" t="s">
        <v>194</v>
      </c>
    </row>
    <row r="971" spans="19:21" x14ac:dyDescent="0.25">
      <c r="S971" s="6" t="s">
        <v>302</v>
      </c>
      <c r="T971" s="6">
        <f t="shared" si="30"/>
        <v>970</v>
      </c>
      <c r="U971" s="4" t="s">
        <v>194</v>
      </c>
    </row>
    <row r="972" spans="19:21" x14ac:dyDescent="0.25">
      <c r="S972" s="6" t="s">
        <v>302</v>
      </c>
      <c r="T972" s="6">
        <f t="shared" si="30"/>
        <v>971</v>
      </c>
      <c r="U972" s="4" t="s">
        <v>194</v>
      </c>
    </row>
    <row r="973" spans="19:21" x14ac:dyDescent="0.25">
      <c r="S973" s="6" t="s">
        <v>302</v>
      </c>
      <c r="T973" s="6">
        <f t="shared" si="30"/>
        <v>972</v>
      </c>
      <c r="U973" s="4" t="s">
        <v>194</v>
      </c>
    </row>
    <row r="974" spans="19:21" x14ac:dyDescent="0.25">
      <c r="S974" s="6" t="s">
        <v>302</v>
      </c>
      <c r="T974" s="6">
        <f t="shared" si="30"/>
        <v>973</v>
      </c>
      <c r="U974" s="4" t="s">
        <v>194</v>
      </c>
    </row>
    <row r="975" spans="19:21" x14ac:dyDescent="0.25">
      <c r="S975" s="6" t="s">
        <v>302</v>
      </c>
      <c r="T975" s="6">
        <f t="shared" si="30"/>
        <v>974</v>
      </c>
      <c r="U975" s="4" t="s">
        <v>194</v>
      </c>
    </row>
    <row r="976" spans="19:21" x14ac:dyDescent="0.25">
      <c r="S976" s="6" t="s">
        <v>302</v>
      </c>
      <c r="T976" s="6">
        <f t="shared" si="30"/>
        <v>975</v>
      </c>
      <c r="U976" s="4" t="s">
        <v>194</v>
      </c>
    </row>
    <row r="977" spans="19:21" x14ac:dyDescent="0.25">
      <c r="S977" s="6" t="s">
        <v>302</v>
      </c>
      <c r="T977" s="6">
        <f t="shared" si="30"/>
        <v>976</v>
      </c>
      <c r="U977" s="4" t="s">
        <v>194</v>
      </c>
    </row>
    <row r="978" spans="19:21" x14ac:dyDescent="0.25">
      <c r="S978" s="6" t="s">
        <v>302</v>
      </c>
      <c r="T978" s="6">
        <f t="shared" si="30"/>
        <v>977</v>
      </c>
      <c r="U978" s="4" t="s">
        <v>194</v>
      </c>
    </row>
    <row r="979" spans="19:21" x14ac:dyDescent="0.25">
      <c r="S979" s="6" t="s">
        <v>302</v>
      </c>
      <c r="T979" s="6">
        <f t="shared" si="30"/>
        <v>978</v>
      </c>
      <c r="U979" s="4" t="s">
        <v>194</v>
      </c>
    </row>
    <row r="980" spans="19:21" x14ac:dyDescent="0.25">
      <c r="S980" s="6" t="s">
        <v>302</v>
      </c>
      <c r="T980" s="6">
        <f t="shared" si="30"/>
        <v>979</v>
      </c>
      <c r="U980" s="4" t="s">
        <v>194</v>
      </c>
    </row>
    <row r="981" spans="19:21" x14ac:dyDescent="0.25">
      <c r="S981" s="6" t="s">
        <v>302</v>
      </c>
      <c r="T981" s="6">
        <f t="shared" si="30"/>
        <v>980</v>
      </c>
      <c r="U981" s="4" t="s">
        <v>194</v>
      </c>
    </row>
    <row r="982" spans="19:21" x14ac:dyDescent="0.25">
      <c r="S982" s="6" t="s">
        <v>302</v>
      </c>
      <c r="T982" s="6">
        <f t="shared" si="30"/>
        <v>981</v>
      </c>
      <c r="U982" s="4" t="s">
        <v>194</v>
      </c>
    </row>
    <row r="983" spans="19:21" x14ac:dyDescent="0.25">
      <c r="S983" s="6" t="s">
        <v>302</v>
      </c>
      <c r="T983" s="6">
        <f t="shared" si="30"/>
        <v>982</v>
      </c>
      <c r="U983" s="4" t="s">
        <v>194</v>
      </c>
    </row>
    <row r="984" spans="19:21" x14ac:dyDescent="0.25">
      <c r="S984" s="6" t="s">
        <v>302</v>
      </c>
      <c r="T984" s="6">
        <f t="shared" si="30"/>
        <v>983</v>
      </c>
      <c r="U984" s="4" t="s">
        <v>194</v>
      </c>
    </row>
    <row r="985" spans="19:21" x14ac:dyDescent="0.25">
      <c r="S985" s="6" t="s">
        <v>302</v>
      </c>
      <c r="T985" s="6">
        <f t="shared" si="30"/>
        <v>984</v>
      </c>
      <c r="U985" s="4" t="s">
        <v>194</v>
      </c>
    </row>
    <row r="986" spans="19:21" x14ac:dyDescent="0.25">
      <c r="S986" s="6" t="s">
        <v>302</v>
      </c>
      <c r="T986" s="6">
        <f t="shared" si="30"/>
        <v>985</v>
      </c>
      <c r="U986" s="4" t="s">
        <v>194</v>
      </c>
    </row>
    <row r="987" spans="19:21" x14ac:dyDescent="0.25">
      <c r="S987" s="6" t="s">
        <v>302</v>
      </c>
      <c r="T987" s="6">
        <f t="shared" si="30"/>
        <v>986</v>
      </c>
      <c r="U987" s="4" t="s">
        <v>194</v>
      </c>
    </row>
    <row r="988" spans="19:21" x14ac:dyDescent="0.25">
      <c r="S988" s="6" t="s">
        <v>302</v>
      </c>
      <c r="T988" s="6">
        <f t="shared" si="30"/>
        <v>987</v>
      </c>
      <c r="U988" s="4" t="s">
        <v>194</v>
      </c>
    </row>
    <row r="989" spans="19:21" x14ac:dyDescent="0.25">
      <c r="S989" s="6" t="s">
        <v>302</v>
      </c>
      <c r="T989" s="6">
        <f t="shared" si="30"/>
        <v>988</v>
      </c>
      <c r="U989" s="4" t="s">
        <v>194</v>
      </c>
    </row>
    <row r="990" spans="19:21" x14ac:dyDescent="0.25">
      <c r="S990" s="6" t="s">
        <v>302</v>
      </c>
      <c r="T990" s="6">
        <f t="shared" si="30"/>
        <v>989</v>
      </c>
      <c r="U990" s="4" t="s">
        <v>194</v>
      </c>
    </row>
    <row r="991" spans="19:21" x14ac:dyDescent="0.25">
      <c r="S991" s="6" t="s">
        <v>302</v>
      </c>
      <c r="T991" s="6">
        <f t="shared" si="30"/>
        <v>990</v>
      </c>
      <c r="U991" s="4" t="s">
        <v>194</v>
      </c>
    </row>
    <row r="992" spans="19:21" x14ac:dyDescent="0.25">
      <c r="S992" s="6" t="s">
        <v>302</v>
      </c>
      <c r="T992" s="6">
        <f t="shared" si="30"/>
        <v>991</v>
      </c>
      <c r="U992" s="4" t="s">
        <v>194</v>
      </c>
    </row>
    <row r="993" spans="19:21" x14ac:dyDescent="0.25">
      <c r="S993" s="6" t="s">
        <v>302</v>
      </c>
      <c r="T993" s="6">
        <f t="shared" si="30"/>
        <v>992</v>
      </c>
      <c r="U993" s="4" t="s">
        <v>194</v>
      </c>
    </row>
    <row r="994" spans="19:21" x14ac:dyDescent="0.25">
      <c r="S994" s="6" t="s">
        <v>302</v>
      </c>
      <c r="T994" s="6">
        <f t="shared" si="30"/>
        <v>993</v>
      </c>
      <c r="U994" s="4" t="s">
        <v>194</v>
      </c>
    </row>
    <row r="995" spans="19:21" x14ac:dyDescent="0.25">
      <c r="S995" s="6" t="s">
        <v>302</v>
      </c>
      <c r="T995" s="6">
        <f t="shared" si="30"/>
        <v>994</v>
      </c>
      <c r="U995" s="4" t="s">
        <v>194</v>
      </c>
    </row>
    <row r="996" spans="19:21" x14ac:dyDescent="0.25">
      <c r="S996" s="6" t="s">
        <v>302</v>
      </c>
      <c r="T996" s="6">
        <f t="shared" si="30"/>
        <v>995</v>
      </c>
      <c r="U996" s="4" t="s">
        <v>194</v>
      </c>
    </row>
    <row r="997" spans="19:21" x14ac:dyDescent="0.25">
      <c r="S997" s="6" t="s">
        <v>302</v>
      </c>
      <c r="T997" s="6">
        <f t="shared" si="30"/>
        <v>996</v>
      </c>
      <c r="U997" s="4" t="s">
        <v>194</v>
      </c>
    </row>
    <row r="998" spans="19:21" x14ac:dyDescent="0.25">
      <c r="S998" s="6" t="s">
        <v>302</v>
      </c>
      <c r="T998" s="6">
        <f t="shared" si="30"/>
        <v>997</v>
      </c>
      <c r="U998" s="4" t="s">
        <v>194</v>
      </c>
    </row>
    <row r="999" spans="19:21" x14ac:dyDescent="0.25">
      <c r="S999" s="6" t="s">
        <v>302</v>
      </c>
      <c r="T999" s="6">
        <f t="shared" si="30"/>
        <v>998</v>
      </c>
      <c r="U999" s="4" t="s">
        <v>194</v>
      </c>
    </row>
    <row r="1000" spans="19:21" x14ac:dyDescent="0.25">
      <c r="S1000" s="6" t="s">
        <v>302</v>
      </c>
      <c r="T1000" s="6">
        <f t="shared" si="30"/>
        <v>999</v>
      </c>
      <c r="U1000" s="4" t="s">
        <v>194</v>
      </c>
    </row>
    <row r="1001" spans="19:21" x14ac:dyDescent="0.25">
      <c r="S1001" s="6" t="s">
        <v>302</v>
      </c>
      <c r="T1001" s="6">
        <f t="shared" si="30"/>
        <v>1000</v>
      </c>
      <c r="U1001" s="4" t="s">
        <v>194</v>
      </c>
    </row>
    <row r="1002" spans="19:21" x14ac:dyDescent="0.25">
      <c r="S1002" s="6" t="s">
        <v>302</v>
      </c>
      <c r="T1002" s="6">
        <f t="shared" si="30"/>
        <v>1001</v>
      </c>
      <c r="U1002" s="4" t="s">
        <v>194</v>
      </c>
    </row>
    <row r="1003" spans="19:21" x14ac:dyDescent="0.25">
      <c r="S1003" s="6" t="s">
        <v>302</v>
      </c>
      <c r="T1003" s="6">
        <f t="shared" si="30"/>
        <v>1002</v>
      </c>
      <c r="U1003" s="4" t="s">
        <v>194</v>
      </c>
    </row>
    <row r="1004" spans="19:21" x14ac:dyDescent="0.25">
      <c r="S1004" s="6" t="s">
        <v>302</v>
      </c>
      <c r="T1004" s="6">
        <f t="shared" si="30"/>
        <v>1003</v>
      </c>
      <c r="U1004" s="4" t="s">
        <v>194</v>
      </c>
    </row>
    <row r="1005" spans="19:21" x14ac:dyDescent="0.25">
      <c r="S1005" s="6" t="s">
        <v>302</v>
      </c>
      <c r="T1005" s="6">
        <f t="shared" si="30"/>
        <v>1004</v>
      </c>
      <c r="U1005" s="4" t="s">
        <v>194</v>
      </c>
    </row>
    <row r="1006" spans="19:21" x14ac:dyDescent="0.25">
      <c r="S1006" s="6" t="s">
        <v>302</v>
      </c>
      <c r="T1006" s="6">
        <f t="shared" si="30"/>
        <v>1005</v>
      </c>
      <c r="U1006" s="4" t="s">
        <v>194</v>
      </c>
    </row>
    <row r="1007" spans="19:21" x14ac:dyDescent="0.25">
      <c r="S1007" s="6" t="s">
        <v>302</v>
      </c>
      <c r="T1007" s="6">
        <f t="shared" si="30"/>
        <v>1006</v>
      </c>
      <c r="U1007" s="4" t="s">
        <v>194</v>
      </c>
    </row>
    <row r="1008" spans="19:21" x14ac:dyDescent="0.25">
      <c r="S1008" s="6" t="s">
        <v>302</v>
      </c>
      <c r="T1008" s="6">
        <f t="shared" si="30"/>
        <v>1007</v>
      </c>
      <c r="U1008" s="4" t="s">
        <v>194</v>
      </c>
    </row>
    <row r="1009" spans="19:21" x14ac:dyDescent="0.25">
      <c r="S1009" s="6" t="s">
        <v>302</v>
      </c>
      <c r="T1009" s="6">
        <f t="shared" si="30"/>
        <v>1008</v>
      </c>
      <c r="U1009" s="4" t="s">
        <v>194</v>
      </c>
    </row>
    <row r="1010" spans="19:21" x14ac:dyDescent="0.25">
      <c r="S1010" s="6" t="s">
        <v>302</v>
      </c>
      <c r="T1010" s="6">
        <f t="shared" si="30"/>
        <v>1009</v>
      </c>
      <c r="U1010" s="4" t="s">
        <v>194</v>
      </c>
    </row>
    <row r="1011" spans="19:21" x14ac:dyDescent="0.25">
      <c r="S1011" s="6" t="s">
        <v>302</v>
      </c>
      <c r="T1011" s="6">
        <f t="shared" si="30"/>
        <v>1010</v>
      </c>
      <c r="U1011" s="4" t="s">
        <v>194</v>
      </c>
    </row>
    <row r="1012" spans="19:21" x14ac:dyDescent="0.25">
      <c r="S1012" s="6" t="s">
        <v>302</v>
      </c>
      <c r="T1012" s="6">
        <f t="shared" si="30"/>
        <v>1011</v>
      </c>
      <c r="U1012" s="4" t="s">
        <v>194</v>
      </c>
    </row>
    <row r="1013" spans="19:21" x14ac:dyDescent="0.25">
      <c r="S1013" s="6" t="s">
        <v>302</v>
      </c>
      <c r="T1013" s="6">
        <f t="shared" si="30"/>
        <v>1012</v>
      </c>
      <c r="U1013" s="4" t="s">
        <v>194</v>
      </c>
    </row>
    <row r="1014" spans="19:21" x14ac:dyDescent="0.25">
      <c r="S1014" s="6" t="s">
        <v>302</v>
      </c>
      <c r="T1014" s="6">
        <f t="shared" si="30"/>
        <v>1013</v>
      </c>
      <c r="U1014" s="4" t="s">
        <v>194</v>
      </c>
    </row>
    <row r="1015" spans="19:21" x14ac:dyDescent="0.25">
      <c r="S1015" s="6" t="s">
        <v>302</v>
      </c>
      <c r="T1015" s="6">
        <f t="shared" si="30"/>
        <v>1014</v>
      </c>
      <c r="U1015" s="4" t="s">
        <v>194</v>
      </c>
    </row>
    <row r="1016" spans="19:21" x14ac:dyDescent="0.25">
      <c r="S1016" s="6" t="s">
        <v>302</v>
      </c>
      <c r="T1016" s="6">
        <f t="shared" si="30"/>
        <v>1015</v>
      </c>
      <c r="U1016" s="4" t="s">
        <v>194</v>
      </c>
    </row>
    <row r="1017" spans="19:21" x14ac:dyDescent="0.25">
      <c r="S1017" s="6" t="s">
        <v>302</v>
      </c>
      <c r="T1017" s="6">
        <f t="shared" si="30"/>
        <v>1016</v>
      </c>
      <c r="U1017" s="4" t="s">
        <v>194</v>
      </c>
    </row>
    <row r="1018" spans="19:21" x14ac:dyDescent="0.25">
      <c r="S1018" s="6" t="s">
        <v>302</v>
      </c>
      <c r="T1018" s="6">
        <f t="shared" si="30"/>
        <v>1017</v>
      </c>
      <c r="U1018" s="4" t="s">
        <v>194</v>
      </c>
    </row>
    <row r="1019" spans="19:21" x14ac:dyDescent="0.25">
      <c r="S1019" s="6" t="s">
        <v>302</v>
      </c>
      <c r="T1019" s="6">
        <f t="shared" si="30"/>
        <v>1018</v>
      </c>
      <c r="U1019" s="4" t="s">
        <v>194</v>
      </c>
    </row>
    <row r="1020" spans="19:21" x14ac:dyDescent="0.25">
      <c r="S1020" s="6" t="s">
        <v>302</v>
      </c>
      <c r="T1020" s="6">
        <f t="shared" si="30"/>
        <v>1019</v>
      </c>
      <c r="U1020" s="4" t="s">
        <v>194</v>
      </c>
    </row>
    <row r="1021" spans="19:21" x14ac:dyDescent="0.25">
      <c r="S1021" s="6" t="s">
        <v>302</v>
      </c>
      <c r="T1021" s="6">
        <f t="shared" si="30"/>
        <v>1020</v>
      </c>
      <c r="U1021" s="4" t="s">
        <v>194</v>
      </c>
    </row>
    <row r="1022" spans="19:21" x14ac:dyDescent="0.25">
      <c r="S1022" s="6" t="s">
        <v>302</v>
      </c>
      <c r="T1022" s="6">
        <f t="shared" si="30"/>
        <v>1021</v>
      </c>
      <c r="U1022" s="4" t="s">
        <v>194</v>
      </c>
    </row>
    <row r="1023" spans="19:21" x14ac:dyDescent="0.25">
      <c r="S1023" s="6" t="s">
        <v>302</v>
      </c>
      <c r="T1023" s="6">
        <f t="shared" si="30"/>
        <v>1022</v>
      </c>
      <c r="U1023" s="4" t="s">
        <v>194</v>
      </c>
    </row>
    <row r="1024" spans="19:21" x14ac:dyDescent="0.25">
      <c r="S1024" s="6" t="s">
        <v>302</v>
      </c>
      <c r="T1024" s="6">
        <f t="shared" si="30"/>
        <v>1023</v>
      </c>
      <c r="U1024" s="4" t="s">
        <v>194</v>
      </c>
    </row>
    <row r="1025" spans="19:21" x14ac:dyDescent="0.25">
      <c r="S1025" s="6" t="s">
        <v>302</v>
      </c>
      <c r="T1025" s="6">
        <f t="shared" si="30"/>
        <v>1024</v>
      </c>
      <c r="U1025" s="4" t="s">
        <v>194</v>
      </c>
    </row>
    <row r="1026" spans="19:21" x14ac:dyDescent="0.25">
      <c r="S1026" s="6" t="s">
        <v>302</v>
      </c>
      <c r="T1026" s="6">
        <f t="shared" si="30"/>
        <v>1025</v>
      </c>
      <c r="U1026" s="4" t="s">
        <v>194</v>
      </c>
    </row>
    <row r="1027" spans="19:21" x14ac:dyDescent="0.25">
      <c r="S1027" s="6" t="s">
        <v>302</v>
      </c>
      <c r="T1027" s="6">
        <f t="shared" si="30"/>
        <v>1026</v>
      </c>
      <c r="U1027" s="4" t="s">
        <v>194</v>
      </c>
    </row>
    <row r="1028" spans="19:21" x14ac:dyDescent="0.25">
      <c r="S1028" s="6" t="s">
        <v>302</v>
      </c>
      <c r="T1028" s="6">
        <f t="shared" si="30"/>
        <v>1027</v>
      </c>
      <c r="U1028" s="4" t="s">
        <v>194</v>
      </c>
    </row>
    <row r="1029" spans="19:21" x14ac:dyDescent="0.25">
      <c r="S1029" s="6" t="s">
        <v>302</v>
      </c>
      <c r="T1029" s="6">
        <f t="shared" ref="T1029:T1092" si="31">T1028+1</f>
        <v>1028</v>
      </c>
      <c r="U1029" s="4" t="s">
        <v>194</v>
      </c>
    </row>
    <row r="1030" spans="19:21" x14ac:dyDescent="0.25">
      <c r="S1030" s="6" t="s">
        <v>302</v>
      </c>
      <c r="T1030" s="6">
        <f t="shared" si="31"/>
        <v>1029</v>
      </c>
      <c r="U1030" s="4" t="s">
        <v>194</v>
      </c>
    </row>
    <row r="1031" spans="19:21" x14ac:dyDescent="0.25">
      <c r="S1031" s="6" t="s">
        <v>302</v>
      </c>
      <c r="T1031" s="6">
        <f t="shared" si="31"/>
        <v>1030</v>
      </c>
      <c r="U1031" s="4" t="s">
        <v>194</v>
      </c>
    </row>
    <row r="1032" spans="19:21" x14ac:dyDescent="0.25">
      <c r="S1032" s="6" t="s">
        <v>302</v>
      </c>
      <c r="T1032" s="6">
        <f t="shared" si="31"/>
        <v>1031</v>
      </c>
      <c r="U1032" s="4" t="s">
        <v>194</v>
      </c>
    </row>
    <row r="1033" spans="19:21" x14ac:dyDescent="0.25">
      <c r="S1033" s="6" t="s">
        <v>302</v>
      </c>
      <c r="T1033" s="6">
        <f t="shared" si="31"/>
        <v>1032</v>
      </c>
      <c r="U1033" s="4" t="s">
        <v>194</v>
      </c>
    </row>
    <row r="1034" spans="19:21" x14ac:dyDescent="0.25">
      <c r="S1034" s="6" t="s">
        <v>302</v>
      </c>
      <c r="T1034" s="6">
        <f t="shared" si="31"/>
        <v>1033</v>
      </c>
      <c r="U1034" s="4" t="s">
        <v>194</v>
      </c>
    </row>
    <row r="1035" spans="19:21" x14ac:dyDescent="0.25">
      <c r="S1035" s="6" t="s">
        <v>302</v>
      </c>
      <c r="T1035" s="6">
        <f t="shared" si="31"/>
        <v>1034</v>
      </c>
      <c r="U1035" s="4" t="s">
        <v>194</v>
      </c>
    </row>
    <row r="1036" spans="19:21" x14ac:dyDescent="0.25">
      <c r="S1036" s="6" t="s">
        <v>302</v>
      </c>
      <c r="T1036" s="6">
        <f t="shared" si="31"/>
        <v>1035</v>
      </c>
      <c r="U1036" s="4" t="s">
        <v>194</v>
      </c>
    </row>
    <row r="1037" spans="19:21" x14ac:dyDescent="0.25">
      <c r="S1037" s="6" t="s">
        <v>302</v>
      </c>
      <c r="T1037" s="6">
        <f t="shared" si="31"/>
        <v>1036</v>
      </c>
      <c r="U1037" s="4" t="s">
        <v>194</v>
      </c>
    </row>
    <row r="1038" spans="19:21" x14ac:dyDescent="0.25">
      <c r="S1038" s="6" t="s">
        <v>302</v>
      </c>
      <c r="T1038" s="6">
        <f t="shared" si="31"/>
        <v>1037</v>
      </c>
      <c r="U1038" s="4" t="s">
        <v>194</v>
      </c>
    </row>
    <row r="1039" spans="19:21" x14ac:dyDescent="0.25">
      <c r="S1039" s="6" t="s">
        <v>302</v>
      </c>
      <c r="T1039" s="6">
        <f t="shared" si="31"/>
        <v>1038</v>
      </c>
      <c r="U1039" s="4" t="s">
        <v>194</v>
      </c>
    </row>
    <row r="1040" spans="19:21" x14ac:dyDescent="0.25">
      <c r="S1040" s="6" t="s">
        <v>302</v>
      </c>
      <c r="T1040" s="6">
        <f t="shared" si="31"/>
        <v>1039</v>
      </c>
      <c r="U1040" s="4" t="s">
        <v>194</v>
      </c>
    </row>
    <row r="1041" spans="19:21" x14ac:dyDescent="0.25">
      <c r="S1041" s="6" t="s">
        <v>302</v>
      </c>
      <c r="T1041" s="6">
        <f t="shared" si="31"/>
        <v>1040</v>
      </c>
      <c r="U1041" s="4" t="s">
        <v>194</v>
      </c>
    </row>
    <row r="1042" spans="19:21" x14ac:dyDescent="0.25">
      <c r="S1042" s="6" t="s">
        <v>302</v>
      </c>
      <c r="T1042" s="6">
        <f t="shared" si="31"/>
        <v>1041</v>
      </c>
      <c r="U1042" s="4" t="s">
        <v>194</v>
      </c>
    </row>
    <row r="1043" spans="19:21" x14ac:dyDescent="0.25">
      <c r="S1043" s="6" t="s">
        <v>302</v>
      </c>
      <c r="T1043" s="6">
        <f t="shared" si="31"/>
        <v>1042</v>
      </c>
      <c r="U1043" s="4" t="s">
        <v>194</v>
      </c>
    </row>
    <row r="1044" spans="19:21" x14ac:dyDescent="0.25">
      <c r="S1044" s="6" t="s">
        <v>302</v>
      </c>
      <c r="T1044" s="6">
        <f t="shared" si="31"/>
        <v>1043</v>
      </c>
      <c r="U1044" s="4" t="s">
        <v>194</v>
      </c>
    </row>
    <row r="1045" spans="19:21" x14ac:dyDescent="0.25">
      <c r="S1045" s="6" t="s">
        <v>302</v>
      </c>
      <c r="T1045" s="6">
        <f t="shared" si="31"/>
        <v>1044</v>
      </c>
      <c r="U1045" s="4" t="s">
        <v>194</v>
      </c>
    </row>
    <row r="1046" spans="19:21" x14ac:dyDescent="0.25">
      <c r="S1046" s="6" t="s">
        <v>302</v>
      </c>
      <c r="T1046" s="6">
        <f t="shared" si="31"/>
        <v>1045</v>
      </c>
      <c r="U1046" s="4" t="s">
        <v>194</v>
      </c>
    </row>
    <row r="1047" spans="19:21" x14ac:dyDescent="0.25">
      <c r="S1047" s="6" t="s">
        <v>302</v>
      </c>
      <c r="T1047" s="6">
        <f t="shared" si="31"/>
        <v>1046</v>
      </c>
      <c r="U1047" s="4" t="s">
        <v>194</v>
      </c>
    </row>
    <row r="1048" spans="19:21" x14ac:dyDescent="0.25">
      <c r="S1048" s="6" t="s">
        <v>302</v>
      </c>
      <c r="T1048" s="6">
        <f t="shared" si="31"/>
        <v>1047</v>
      </c>
      <c r="U1048" s="4" t="s">
        <v>194</v>
      </c>
    </row>
    <row r="1049" spans="19:21" x14ac:dyDescent="0.25">
      <c r="S1049" s="6" t="s">
        <v>302</v>
      </c>
      <c r="T1049" s="6">
        <f t="shared" si="31"/>
        <v>1048</v>
      </c>
      <c r="U1049" s="4" t="s">
        <v>194</v>
      </c>
    </row>
    <row r="1050" spans="19:21" x14ac:dyDescent="0.25">
      <c r="S1050" s="6" t="s">
        <v>302</v>
      </c>
      <c r="T1050" s="6">
        <f t="shared" si="31"/>
        <v>1049</v>
      </c>
      <c r="U1050" s="4" t="s">
        <v>194</v>
      </c>
    </row>
    <row r="1051" spans="19:21" x14ac:dyDescent="0.25">
      <c r="S1051" s="6" t="s">
        <v>302</v>
      </c>
      <c r="T1051" s="6">
        <f t="shared" si="31"/>
        <v>1050</v>
      </c>
      <c r="U1051" s="4" t="s">
        <v>194</v>
      </c>
    </row>
    <row r="1052" spans="19:21" x14ac:dyDescent="0.25">
      <c r="S1052" s="6" t="s">
        <v>302</v>
      </c>
      <c r="T1052" s="6">
        <f t="shared" si="31"/>
        <v>1051</v>
      </c>
      <c r="U1052" s="4" t="s">
        <v>194</v>
      </c>
    </row>
    <row r="1053" spans="19:21" x14ac:dyDescent="0.25">
      <c r="S1053" s="6" t="s">
        <v>302</v>
      </c>
      <c r="T1053" s="6">
        <f t="shared" si="31"/>
        <v>1052</v>
      </c>
      <c r="U1053" s="4" t="s">
        <v>194</v>
      </c>
    </row>
    <row r="1054" spans="19:21" x14ac:dyDescent="0.25">
      <c r="S1054" s="6" t="s">
        <v>302</v>
      </c>
      <c r="T1054" s="6">
        <f t="shared" si="31"/>
        <v>1053</v>
      </c>
      <c r="U1054" s="4" t="s">
        <v>194</v>
      </c>
    </row>
    <row r="1055" spans="19:21" x14ac:dyDescent="0.25">
      <c r="S1055" s="6" t="s">
        <v>302</v>
      </c>
      <c r="T1055" s="6">
        <f t="shared" si="31"/>
        <v>1054</v>
      </c>
      <c r="U1055" s="4" t="s">
        <v>194</v>
      </c>
    </row>
    <row r="1056" spans="19:21" x14ac:dyDescent="0.25">
      <c r="S1056" s="6" t="s">
        <v>302</v>
      </c>
      <c r="T1056" s="6">
        <f t="shared" si="31"/>
        <v>1055</v>
      </c>
      <c r="U1056" s="4" t="s">
        <v>194</v>
      </c>
    </row>
    <row r="1057" spans="19:21" x14ac:dyDescent="0.25">
      <c r="S1057" s="6" t="s">
        <v>302</v>
      </c>
      <c r="T1057" s="6">
        <f t="shared" si="31"/>
        <v>1056</v>
      </c>
      <c r="U1057" s="4" t="s">
        <v>194</v>
      </c>
    </row>
    <row r="1058" spans="19:21" x14ac:dyDescent="0.25">
      <c r="S1058" s="6" t="s">
        <v>302</v>
      </c>
      <c r="T1058" s="6">
        <f t="shared" si="31"/>
        <v>1057</v>
      </c>
      <c r="U1058" s="4" t="s">
        <v>194</v>
      </c>
    </row>
    <row r="1059" spans="19:21" x14ac:dyDescent="0.25">
      <c r="S1059" s="6" t="s">
        <v>302</v>
      </c>
      <c r="T1059" s="6">
        <f t="shared" si="31"/>
        <v>1058</v>
      </c>
      <c r="U1059" s="4" t="s">
        <v>194</v>
      </c>
    </row>
    <row r="1060" spans="19:21" x14ac:dyDescent="0.25">
      <c r="S1060" s="6" t="s">
        <v>302</v>
      </c>
      <c r="T1060" s="6">
        <f t="shared" si="31"/>
        <v>1059</v>
      </c>
      <c r="U1060" s="4" t="s">
        <v>194</v>
      </c>
    </row>
    <row r="1061" spans="19:21" x14ac:dyDescent="0.25">
      <c r="S1061" s="6" t="s">
        <v>302</v>
      </c>
      <c r="T1061" s="6">
        <f t="shared" si="31"/>
        <v>1060</v>
      </c>
      <c r="U1061" s="4" t="s">
        <v>194</v>
      </c>
    </row>
    <row r="1062" spans="19:21" x14ac:dyDescent="0.25">
      <c r="S1062" s="6" t="s">
        <v>302</v>
      </c>
      <c r="T1062" s="6">
        <f t="shared" si="31"/>
        <v>1061</v>
      </c>
      <c r="U1062" s="4" t="s">
        <v>194</v>
      </c>
    </row>
    <row r="1063" spans="19:21" x14ac:dyDescent="0.25">
      <c r="S1063" s="6" t="s">
        <v>302</v>
      </c>
      <c r="T1063" s="6">
        <f t="shared" si="31"/>
        <v>1062</v>
      </c>
      <c r="U1063" s="4" t="s">
        <v>194</v>
      </c>
    </row>
    <row r="1064" spans="19:21" x14ac:dyDescent="0.25">
      <c r="S1064" s="6" t="s">
        <v>302</v>
      </c>
      <c r="T1064" s="6">
        <f t="shared" si="31"/>
        <v>1063</v>
      </c>
      <c r="U1064" s="4" t="s">
        <v>194</v>
      </c>
    </row>
    <row r="1065" spans="19:21" x14ac:dyDescent="0.25">
      <c r="S1065" s="6" t="s">
        <v>302</v>
      </c>
      <c r="T1065" s="6">
        <f t="shared" si="31"/>
        <v>1064</v>
      </c>
      <c r="U1065" s="4" t="s">
        <v>194</v>
      </c>
    </row>
    <row r="1066" spans="19:21" x14ac:dyDescent="0.25">
      <c r="S1066" s="6" t="s">
        <v>302</v>
      </c>
      <c r="T1066" s="6">
        <f t="shared" si="31"/>
        <v>1065</v>
      </c>
      <c r="U1066" s="4" t="s">
        <v>194</v>
      </c>
    </row>
    <row r="1067" spans="19:21" x14ac:dyDescent="0.25">
      <c r="S1067" s="6" t="s">
        <v>302</v>
      </c>
      <c r="T1067" s="6">
        <f t="shared" si="31"/>
        <v>1066</v>
      </c>
      <c r="U1067" s="4" t="s">
        <v>194</v>
      </c>
    </row>
    <row r="1068" spans="19:21" x14ac:dyDescent="0.25">
      <c r="S1068" s="6" t="s">
        <v>302</v>
      </c>
      <c r="T1068" s="6">
        <f t="shared" si="31"/>
        <v>1067</v>
      </c>
      <c r="U1068" s="4" t="s">
        <v>194</v>
      </c>
    </row>
    <row r="1069" spans="19:21" x14ac:dyDescent="0.25">
      <c r="S1069" s="6" t="s">
        <v>302</v>
      </c>
      <c r="T1069" s="6">
        <f t="shared" si="31"/>
        <v>1068</v>
      </c>
      <c r="U1069" s="4" t="s">
        <v>194</v>
      </c>
    </row>
    <row r="1070" spans="19:21" x14ac:dyDescent="0.25">
      <c r="S1070" s="6" t="s">
        <v>302</v>
      </c>
      <c r="T1070" s="6">
        <f t="shared" si="31"/>
        <v>1069</v>
      </c>
      <c r="U1070" s="4" t="s">
        <v>194</v>
      </c>
    </row>
    <row r="1071" spans="19:21" x14ac:dyDescent="0.25">
      <c r="S1071" s="6" t="s">
        <v>302</v>
      </c>
      <c r="T1071" s="6">
        <f t="shared" si="31"/>
        <v>1070</v>
      </c>
      <c r="U1071" s="4" t="s">
        <v>194</v>
      </c>
    </row>
    <row r="1072" spans="19:21" x14ac:dyDescent="0.25">
      <c r="S1072" s="6" t="s">
        <v>302</v>
      </c>
      <c r="T1072" s="6">
        <f t="shared" si="31"/>
        <v>1071</v>
      </c>
      <c r="U1072" s="4" t="s">
        <v>194</v>
      </c>
    </row>
    <row r="1073" spans="19:21" x14ac:dyDescent="0.25">
      <c r="S1073" s="6" t="s">
        <v>302</v>
      </c>
      <c r="T1073" s="6">
        <f t="shared" si="31"/>
        <v>1072</v>
      </c>
      <c r="U1073" s="4" t="s">
        <v>194</v>
      </c>
    </row>
    <row r="1074" spans="19:21" x14ac:dyDescent="0.25">
      <c r="S1074" s="6" t="s">
        <v>302</v>
      </c>
      <c r="T1074" s="6">
        <f t="shared" si="31"/>
        <v>1073</v>
      </c>
      <c r="U1074" s="4" t="s">
        <v>194</v>
      </c>
    </row>
    <row r="1075" spans="19:21" x14ac:dyDescent="0.25">
      <c r="S1075" s="6" t="s">
        <v>302</v>
      </c>
      <c r="T1075" s="6">
        <f t="shared" si="31"/>
        <v>1074</v>
      </c>
      <c r="U1075" s="4" t="s">
        <v>194</v>
      </c>
    </row>
    <row r="1076" spans="19:21" x14ac:dyDescent="0.25">
      <c r="S1076" s="6" t="s">
        <v>302</v>
      </c>
      <c r="T1076" s="6">
        <f t="shared" si="31"/>
        <v>1075</v>
      </c>
      <c r="U1076" s="4" t="s">
        <v>194</v>
      </c>
    </row>
    <row r="1077" spans="19:21" x14ac:dyDescent="0.25">
      <c r="S1077" s="6" t="s">
        <v>302</v>
      </c>
      <c r="T1077" s="6">
        <f t="shared" si="31"/>
        <v>1076</v>
      </c>
      <c r="U1077" s="4" t="s">
        <v>194</v>
      </c>
    </row>
    <row r="1078" spans="19:21" x14ac:dyDescent="0.25">
      <c r="S1078" s="6" t="s">
        <v>302</v>
      </c>
      <c r="T1078" s="6">
        <f t="shared" si="31"/>
        <v>1077</v>
      </c>
      <c r="U1078" s="4" t="s">
        <v>194</v>
      </c>
    </row>
    <row r="1079" spans="19:21" x14ac:dyDescent="0.25">
      <c r="S1079" s="6" t="s">
        <v>302</v>
      </c>
      <c r="T1079" s="6">
        <f t="shared" si="31"/>
        <v>1078</v>
      </c>
      <c r="U1079" s="4" t="s">
        <v>194</v>
      </c>
    </row>
    <row r="1080" spans="19:21" x14ac:dyDescent="0.25">
      <c r="S1080" s="6" t="s">
        <v>302</v>
      </c>
      <c r="T1080" s="6">
        <f t="shared" si="31"/>
        <v>1079</v>
      </c>
      <c r="U1080" s="4" t="s">
        <v>194</v>
      </c>
    </row>
    <row r="1081" spans="19:21" x14ac:dyDescent="0.25">
      <c r="S1081" s="6" t="s">
        <v>302</v>
      </c>
      <c r="T1081" s="6">
        <f t="shared" si="31"/>
        <v>1080</v>
      </c>
      <c r="U1081" s="4" t="s">
        <v>194</v>
      </c>
    </row>
    <row r="1082" spans="19:21" x14ac:dyDescent="0.25">
      <c r="S1082" s="6" t="s">
        <v>302</v>
      </c>
      <c r="T1082" s="6">
        <f t="shared" si="31"/>
        <v>1081</v>
      </c>
      <c r="U1082" s="4" t="s">
        <v>194</v>
      </c>
    </row>
    <row r="1083" spans="19:21" x14ac:dyDescent="0.25">
      <c r="S1083" s="6" t="s">
        <v>302</v>
      </c>
      <c r="T1083" s="6">
        <f t="shared" si="31"/>
        <v>1082</v>
      </c>
      <c r="U1083" s="4" t="s">
        <v>194</v>
      </c>
    </row>
    <row r="1084" spans="19:21" x14ac:dyDescent="0.25">
      <c r="S1084" s="6" t="s">
        <v>302</v>
      </c>
      <c r="T1084" s="6">
        <f t="shared" si="31"/>
        <v>1083</v>
      </c>
      <c r="U1084" s="4" t="s">
        <v>194</v>
      </c>
    </row>
    <row r="1085" spans="19:21" x14ac:dyDescent="0.25">
      <c r="S1085" s="6" t="s">
        <v>302</v>
      </c>
      <c r="T1085" s="6">
        <f t="shared" si="31"/>
        <v>1084</v>
      </c>
      <c r="U1085" s="4" t="s">
        <v>194</v>
      </c>
    </row>
    <row r="1086" spans="19:21" x14ac:dyDescent="0.25">
      <c r="S1086" s="6" t="s">
        <v>302</v>
      </c>
      <c r="T1086" s="6">
        <f t="shared" si="31"/>
        <v>1085</v>
      </c>
      <c r="U1086" s="4" t="s">
        <v>194</v>
      </c>
    </row>
    <row r="1087" spans="19:21" x14ac:dyDescent="0.25">
      <c r="S1087" s="6" t="s">
        <v>302</v>
      </c>
      <c r="T1087" s="6">
        <f t="shared" si="31"/>
        <v>1086</v>
      </c>
      <c r="U1087" s="4" t="s">
        <v>194</v>
      </c>
    </row>
    <row r="1088" spans="19:21" x14ac:dyDescent="0.25">
      <c r="S1088" s="6" t="s">
        <v>302</v>
      </c>
      <c r="T1088" s="6">
        <f t="shared" si="31"/>
        <v>1087</v>
      </c>
      <c r="U1088" s="4" t="s">
        <v>194</v>
      </c>
    </row>
    <row r="1089" spans="19:21" x14ac:dyDescent="0.25">
      <c r="S1089" s="6" t="s">
        <v>302</v>
      </c>
      <c r="T1089" s="6">
        <f t="shared" si="31"/>
        <v>1088</v>
      </c>
      <c r="U1089" s="4" t="s">
        <v>194</v>
      </c>
    </row>
    <row r="1090" spans="19:21" x14ac:dyDescent="0.25">
      <c r="S1090" s="6" t="s">
        <v>302</v>
      </c>
      <c r="T1090" s="6">
        <f t="shared" si="31"/>
        <v>1089</v>
      </c>
      <c r="U1090" s="4" t="s">
        <v>194</v>
      </c>
    </row>
    <row r="1091" spans="19:21" x14ac:dyDescent="0.25">
      <c r="S1091" s="6" t="s">
        <v>302</v>
      </c>
      <c r="T1091" s="6">
        <f t="shared" si="31"/>
        <v>1090</v>
      </c>
      <c r="U1091" s="4" t="s">
        <v>194</v>
      </c>
    </row>
    <row r="1092" spans="19:21" x14ac:dyDescent="0.25">
      <c r="S1092" s="6" t="s">
        <v>302</v>
      </c>
      <c r="T1092" s="6">
        <f t="shared" si="31"/>
        <v>1091</v>
      </c>
      <c r="U1092" s="4" t="s">
        <v>194</v>
      </c>
    </row>
    <row r="1093" spans="19:21" x14ac:dyDescent="0.25">
      <c r="S1093" s="6" t="s">
        <v>302</v>
      </c>
      <c r="T1093" s="6">
        <f t="shared" ref="T1093:T1156" si="32">T1092+1</f>
        <v>1092</v>
      </c>
      <c r="U1093" s="4" t="s">
        <v>194</v>
      </c>
    </row>
    <row r="1094" spans="19:21" x14ac:dyDescent="0.25">
      <c r="S1094" s="6" t="s">
        <v>302</v>
      </c>
      <c r="T1094" s="6">
        <f t="shared" si="32"/>
        <v>1093</v>
      </c>
      <c r="U1094" s="4" t="s">
        <v>194</v>
      </c>
    </row>
    <row r="1095" spans="19:21" x14ac:dyDescent="0.25">
      <c r="S1095" s="6" t="s">
        <v>302</v>
      </c>
      <c r="T1095" s="6">
        <f t="shared" si="32"/>
        <v>1094</v>
      </c>
      <c r="U1095" s="4" t="s">
        <v>194</v>
      </c>
    </row>
    <row r="1096" spans="19:21" x14ac:dyDescent="0.25">
      <c r="S1096" s="6" t="s">
        <v>302</v>
      </c>
      <c r="T1096" s="6">
        <f t="shared" si="32"/>
        <v>1095</v>
      </c>
      <c r="U1096" s="4" t="s">
        <v>194</v>
      </c>
    </row>
    <row r="1097" spans="19:21" x14ac:dyDescent="0.25">
      <c r="S1097" s="6" t="s">
        <v>302</v>
      </c>
      <c r="T1097" s="6">
        <f t="shared" si="32"/>
        <v>1096</v>
      </c>
      <c r="U1097" s="4" t="s">
        <v>194</v>
      </c>
    </row>
    <row r="1098" spans="19:21" x14ac:dyDescent="0.25">
      <c r="S1098" s="6" t="s">
        <v>302</v>
      </c>
      <c r="T1098" s="6">
        <f t="shared" si="32"/>
        <v>1097</v>
      </c>
      <c r="U1098" s="4" t="s">
        <v>194</v>
      </c>
    </row>
    <row r="1099" spans="19:21" x14ac:dyDescent="0.25">
      <c r="S1099" s="6" t="s">
        <v>302</v>
      </c>
      <c r="T1099" s="6">
        <f t="shared" si="32"/>
        <v>1098</v>
      </c>
      <c r="U1099" s="4" t="s">
        <v>194</v>
      </c>
    </row>
    <row r="1100" spans="19:21" x14ac:dyDescent="0.25">
      <c r="S1100" s="6" t="s">
        <v>302</v>
      </c>
      <c r="T1100" s="6">
        <f t="shared" si="32"/>
        <v>1099</v>
      </c>
      <c r="U1100" s="4" t="s">
        <v>194</v>
      </c>
    </row>
    <row r="1101" spans="19:21" x14ac:dyDescent="0.25">
      <c r="S1101" s="6" t="s">
        <v>302</v>
      </c>
      <c r="T1101" s="6">
        <f t="shared" si="32"/>
        <v>1100</v>
      </c>
      <c r="U1101" s="4" t="s">
        <v>194</v>
      </c>
    </row>
    <row r="1102" spans="19:21" x14ac:dyDescent="0.25">
      <c r="S1102" s="6" t="s">
        <v>302</v>
      </c>
      <c r="T1102" s="6">
        <f t="shared" si="32"/>
        <v>1101</v>
      </c>
      <c r="U1102" s="4" t="s">
        <v>194</v>
      </c>
    </row>
    <row r="1103" spans="19:21" x14ac:dyDescent="0.25">
      <c r="S1103" s="6" t="s">
        <v>302</v>
      </c>
      <c r="T1103" s="6">
        <f t="shared" si="32"/>
        <v>1102</v>
      </c>
      <c r="U1103" s="4" t="s">
        <v>194</v>
      </c>
    </row>
    <row r="1104" spans="19:21" x14ac:dyDescent="0.25">
      <c r="S1104" s="6" t="s">
        <v>302</v>
      </c>
      <c r="T1104" s="6">
        <f t="shared" si="32"/>
        <v>1103</v>
      </c>
      <c r="U1104" s="4" t="s">
        <v>194</v>
      </c>
    </row>
    <row r="1105" spans="19:21" x14ac:dyDescent="0.25">
      <c r="S1105" s="6" t="s">
        <v>302</v>
      </c>
      <c r="T1105" s="6">
        <f t="shared" si="32"/>
        <v>1104</v>
      </c>
      <c r="U1105" s="4" t="s">
        <v>194</v>
      </c>
    </row>
    <row r="1106" spans="19:21" x14ac:dyDescent="0.25">
      <c r="S1106" s="6" t="s">
        <v>302</v>
      </c>
      <c r="T1106" s="6">
        <f t="shared" si="32"/>
        <v>1105</v>
      </c>
      <c r="U1106" s="4" t="s">
        <v>194</v>
      </c>
    </row>
    <row r="1107" spans="19:21" x14ac:dyDescent="0.25">
      <c r="S1107" s="6" t="s">
        <v>302</v>
      </c>
      <c r="T1107" s="6">
        <f t="shared" si="32"/>
        <v>1106</v>
      </c>
      <c r="U1107" s="4" t="s">
        <v>194</v>
      </c>
    </row>
    <row r="1108" spans="19:21" x14ac:dyDescent="0.25">
      <c r="S1108" s="6" t="s">
        <v>302</v>
      </c>
      <c r="T1108" s="6">
        <f t="shared" si="32"/>
        <v>1107</v>
      </c>
      <c r="U1108" s="4" t="s">
        <v>194</v>
      </c>
    </row>
    <row r="1109" spans="19:21" x14ac:dyDescent="0.25">
      <c r="S1109" s="6" t="s">
        <v>302</v>
      </c>
      <c r="T1109" s="6">
        <f t="shared" si="32"/>
        <v>1108</v>
      </c>
      <c r="U1109" s="4" t="s">
        <v>194</v>
      </c>
    </row>
    <row r="1110" spans="19:21" x14ac:dyDescent="0.25">
      <c r="S1110" s="6" t="s">
        <v>302</v>
      </c>
      <c r="T1110" s="6">
        <f t="shared" si="32"/>
        <v>1109</v>
      </c>
      <c r="U1110" s="4" t="s">
        <v>194</v>
      </c>
    </row>
    <row r="1111" spans="19:21" x14ac:dyDescent="0.25">
      <c r="S1111" s="6" t="s">
        <v>302</v>
      </c>
      <c r="T1111" s="6">
        <f t="shared" si="32"/>
        <v>1110</v>
      </c>
      <c r="U1111" s="4" t="s">
        <v>194</v>
      </c>
    </row>
    <row r="1112" spans="19:21" x14ac:dyDescent="0.25">
      <c r="S1112" s="6" t="s">
        <v>302</v>
      </c>
      <c r="T1112" s="6">
        <f t="shared" si="32"/>
        <v>1111</v>
      </c>
      <c r="U1112" s="4" t="s">
        <v>194</v>
      </c>
    </row>
    <row r="1113" spans="19:21" x14ac:dyDescent="0.25">
      <c r="S1113" s="6" t="s">
        <v>302</v>
      </c>
      <c r="T1113" s="6">
        <f t="shared" si="32"/>
        <v>1112</v>
      </c>
      <c r="U1113" s="4" t="s">
        <v>194</v>
      </c>
    </row>
    <row r="1114" spans="19:21" x14ac:dyDescent="0.25">
      <c r="S1114" s="6" t="s">
        <v>302</v>
      </c>
      <c r="T1114" s="6">
        <f t="shared" si="32"/>
        <v>1113</v>
      </c>
      <c r="U1114" s="4" t="s">
        <v>194</v>
      </c>
    </row>
    <row r="1115" spans="19:21" x14ac:dyDescent="0.25">
      <c r="S1115" s="6" t="s">
        <v>302</v>
      </c>
      <c r="T1115" s="6">
        <f t="shared" si="32"/>
        <v>1114</v>
      </c>
      <c r="U1115" s="4" t="s">
        <v>194</v>
      </c>
    </row>
    <row r="1116" spans="19:21" x14ac:dyDescent="0.25">
      <c r="S1116" s="6" t="s">
        <v>302</v>
      </c>
      <c r="T1116" s="6">
        <f t="shared" si="32"/>
        <v>1115</v>
      </c>
      <c r="U1116" s="4" t="s">
        <v>194</v>
      </c>
    </row>
    <row r="1117" spans="19:21" x14ac:dyDescent="0.25">
      <c r="S1117" s="6" t="s">
        <v>302</v>
      </c>
      <c r="T1117" s="6">
        <f t="shared" si="32"/>
        <v>1116</v>
      </c>
      <c r="U1117" s="4" t="s">
        <v>194</v>
      </c>
    </row>
    <row r="1118" spans="19:21" x14ac:dyDescent="0.25">
      <c r="S1118" s="6" t="s">
        <v>302</v>
      </c>
      <c r="T1118" s="6">
        <f t="shared" si="32"/>
        <v>1117</v>
      </c>
      <c r="U1118" s="4" t="s">
        <v>194</v>
      </c>
    </row>
    <row r="1119" spans="19:21" x14ac:dyDescent="0.25">
      <c r="S1119" s="6" t="s">
        <v>302</v>
      </c>
      <c r="T1119" s="6">
        <f t="shared" si="32"/>
        <v>1118</v>
      </c>
      <c r="U1119" s="4" t="s">
        <v>194</v>
      </c>
    </row>
    <row r="1120" spans="19:21" x14ac:dyDescent="0.25">
      <c r="S1120" s="6" t="s">
        <v>302</v>
      </c>
      <c r="T1120" s="6">
        <f t="shared" si="32"/>
        <v>1119</v>
      </c>
      <c r="U1120" s="4" t="s">
        <v>194</v>
      </c>
    </row>
    <row r="1121" spans="19:21" x14ac:dyDescent="0.25">
      <c r="S1121" s="6" t="s">
        <v>302</v>
      </c>
      <c r="T1121" s="6">
        <f t="shared" si="32"/>
        <v>1120</v>
      </c>
      <c r="U1121" s="4" t="s">
        <v>194</v>
      </c>
    </row>
    <row r="1122" spans="19:21" x14ac:dyDescent="0.25">
      <c r="S1122" s="6" t="s">
        <v>302</v>
      </c>
      <c r="T1122" s="6">
        <f t="shared" si="32"/>
        <v>1121</v>
      </c>
      <c r="U1122" s="4" t="s">
        <v>194</v>
      </c>
    </row>
    <row r="1123" spans="19:21" x14ac:dyDescent="0.25">
      <c r="S1123" s="6" t="s">
        <v>302</v>
      </c>
      <c r="T1123" s="6">
        <f t="shared" si="32"/>
        <v>1122</v>
      </c>
      <c r="U1123" s="4" t="s">
        <v>194</v>
      </c>
    </row>
    <row r="1124" spans="19:21" x14ac:dyDescent="0.25">
      <c r="S1124" s="6" t="s">
        <v>302</v>
      </c>
      <c r="T1124" s="6">
        <f t="shared" si="32"/>
        <v>1123</v>
      </c>
      <c r="U1124" s="4" t="s">
        <v>194</v>
      </c>
    </row>
    <row r="1125" spans="19:21" x14ac:dyDescent="0.25">
      <c r="S1125" s="6" t="s">
        <v>302</v>
      </c>
      <c r="T1125" s="6">
        <f t="shared" si="32"/>
        <v>1124</v>
      </c>
      <c r="U1125" s="4" t="s">
        <v>194</v>
      </c>
    </row>
    <row r="1126" spans="19:21" x14ac:dyDescent="0.25">
      <c r="S1126" s="6" t="s">
        <v>302</v>
      </c>
      <c r="T1126" s="6">
        <f t="shared" si="32"/>
        <v>1125</v>
      </c>
      <c r="U1126" s="4" t="s">
        <v>194</v>
      </c>
    </row>
    <row r="1127" spans="19:21" x14ac:dyDescent="0.25">
      <c r="S1127" s="6" t="s">
        <v>302</v>
      </c>
      <c r="T1127" s="6">
        <f t="shared" si="32"/>
        <v>1126</v>
      </c>
      <c r="U1127" s="4" t="s">
        <v>194</v>
      </c>
    </row>
    <row r="1128" spans="19:21" x14ac:dyDescent="0.25">
      <c r="S1128" s="6" t="s">
        <v>302</v>
      </c>
      <c r="T1128" s="6">
        <f t="shared" si="32"/>
        <v>1127</v>
      </c>
      <c r="U1128" s="4" t="s">
        <v>194</v>
      </c>
    </row>
    <row r="1129" spans="19:21" x14ac:dyDescent="0.25">
      <c r="S1129" s="6" t="s">
        <v>302</v>
      </c>
      <c r="T1129" s="6">
        <f t="shared" si="32"/>
        <v>1128</v>
      </c>
      <c r="U1129" s="4" t="s">
        <v>194</v>
      </c>
    </row>
    <row r="1130" spans="19:21" x14ac:dyDescent="0.25">
      <c r="S1130" s="6" t="s">
        <v>302</v>
      </c>
      <c r="T1130" s="6">
        <f t="shared" si="32"/>
        <v>1129</v>
      </c>
      <c r="U1130" s="4" t="s">
        <v>194</v>
      </c>
    </row>
    <row r="1131" spans="19:21" x14ac:dyDescent="0.25">
      <c r="S1131" s="6" t="s">
        <v>302</v>
      </c>
      <c r="T1131" s="6">
        <f t="shared" si="32"/>
        <v>1130</v>
      </c>
      <c r="U1131" s="4" t="s">
        <v>194</v>
      </c>
    </row>
    <row r="1132" spans="19:21" x14ac:dyDescent="0.25">
      <c r="S1132" s="6" t="s">
        <v>302</v>
      </c>
      <c r="T1132" s="6">
        <f t="shared" si="32"/>
        <v>1131</v>
      </c>
      <c r="U1132" s="4" t="s">
        <v>194</v>
      </c>
    </row>
    <row r="1133" spans="19:21" x14ac:dyDescent="0.25">
      <c r="S1133" s="6" t="s">
        <v>302</v>
      </c>
      <c r="T1133" s="6">
        <f t="shared" si="32"/>
        <v>1132</v>
      </c>
      <c r="U1133" s="4" t="s">
        <v>194</v>
      </c>
    </row>
    <row r="1134" spans="19:21" x14ac:dyDescent="0.25">
      <c r="S1134" s="6" t="s">
        <v>302</v>
      </c>
      <c r="T1134" s="6">
        <f t="shared" si="32"/>
        <v>1133</v>
      </c>
      <c r="U1134" s="4" t="s">
        <v>194</v>
      </c>
    </row>
    <row r="1135" spans="19:21" x14ac:dyDescent="0.25">
      <c r="S1135" s="6" t="s">
        <v>302</v>
      </c>
      <c r="T1135" s="6">
        <f t="shared" si="32"/>
        <v>1134</v>
      </c>
      <c r="U1135" s="4" t="s">
        <v>194</v>
      </c>
    </row>
    <row r="1136" spans="19:21" x14ac:dyDescent="0.25">
      <c r="S1136" s="6" t="s">
        <v>302</v>
      </c>
      <c r="T1136" s="6">
        <f t="shared" si="32"/>
        <v>1135</v>
      </c>
      <c r="U1136" s="4" t="s">
        <v>194</v>
      </c>
    </row>
    <row r="1137" spans="19:21" x14ac:dyDescent="0.25">
      <c r="S1137" s="6" t="s">
        <v>302</v>
      </c>
      <c r="T1137" s="6">
        <f t="shared" si="32"/>
        <v>1136</v>
      </c>
      <c r="U1137" s="4" t="s">
        <v>194</v>
      </c>
    </row>
    <row r="1138" spans="19:21" x14ac:dyDescent="0.25">
      <c r="S1138" s="6" t="s">
        <v>302</v>
      </c>
      <c r="T1138" s="6">
        <f t="shared" si="32"/>
        <v>1137</v>
      </c>
      <c r="U1138" s="4" t="s">
        <v>194</v>
      </c>
    </row>
    <row r="1139" spans="19:21" x14ac:dyDescent="0.25">
      <c r="S1139" s="6" t="s">
        <v>302</v>
      </c>
      <c r="T1139" s="6">
        <f t="shared" si="32"/>
        <v>1138</v>
      </c>
      <c r="U1139" s="4" t="s">
        <v>194</v>
      </c>
    </row>
    <row r="1140" spans="19:21" x14ac:dyDescent="0.25">
      <c r="S1140" s="6" t="s">
        <v>302</v>
      </c>
      <c r="T1140" s="6">
        <f t="shared" si="32"/>
        <v>1139</v>
      </c>
      <c r="U1140" s="4" t="s">
        <v>194</v>
      </c>
    </row>
    <row r="1141" spans="19:21" x14ac:dyDescent="0.25">
      <c r="S1141" s="6" t="s">
        <v>302</v>
      </c>
      <c r="T1141" s="6">
        <f t="shared" si="32"/>
        <v>1140</v>
      </c>
      <c r="U1141" s="4" t="s">
        <v>194</v>
      </c>
    </row>
    <row r="1142" spans="19:21" x14ac:dyDescent="0.25">
      <c r="S1142" s="6" t="s">
        <v>302</v>
      </c>
      <c r="T1142" s="6">
        <f t="shared" si="32"/>
        <v>1141</v>
      </c>
      <c r="U1142" s="4" t="s">
        <v>194</v>
      </c>
    </row>
    <row r="1143" spans="19:21" x14ac:dyDescent="0.25">
      <c r="S1143" s="6" t="s">
        <v>302</v>
      </c>
      <c r="T1143" s="6">
        <f t="shared" si="32"/>
        <v>1142</v>
      </c>
      <c r="U1143" s="4" t="s">
        <v>194</v>
      </c>
    </row>
    <row r="1144" spans="19:21" x14ac:dyDescent="0.25">
      <c r="S1144" s="6" t="s">
        <v>302</v>
      </c>
      <c r="T1144" s="6">
        <f t="shared" si="32"/>
        <v>1143</v>
      </c>
      <c r="U1144" s="4" t="s">
        <v>194</v>
      </c>
    </row>
    <row r="1145" spans="19:21" x14ac:dyDescent="0.25">
      <c r="S1145" s="6" t="s">
        <v>302</v>
      </c>
      <c r="T1145" s="6">
        <f t="shared" si="32"/>
        <v>1144</v>
      </c>
      <c r="U1145" s="4" t="s">
        <v>194</v>
      </c>
    </row>
    <row r="1146" spans="19:21" x14ac:dyDescent="0.25">
      <c r="S1146" s="6" t="s">
        <v>302</v>
      </c>
      <c r="T1146" s="6">
        <f t="shared" si="32"/>
        <v>1145</v>
      </c>
      <c r="U1146" s="4" t="s">
        <v>194</v>
      </c>
    </row>
    <row r="1147" spans="19:21" x14ac:dyDescent="0.25">
      <c r="S1147" s="6" t="s">
        <v>302</v>
      </c>
      <c r="T1147" s="6">
        <f t="shared" si="32"/>
        <v>1146</v>
      </c>
      <c r="U1147" s="4" t="s">
        <v>194</v>
      </c>
    </row>
    <row r="1148" spans="19:21" x14ac:dyDescent="0.25">
      <c r="S1148" s="6" t="s">
        <v>302</v>
      </c>
      <c r="T1148" s="6">
        <f t="shared" si="32"/>
        <v>1147</v>
      </c>
      <c r="U1148" s="4" t="s">
        <v>194</v>
      </c>
    </row>
    <row r="1149" spans="19:21" x14ac:dyDescent="0.25">
      <c r="S1149" s="6" t="s">
        <v>302</v>
      </c>
      <c r="T1149" s="6">
        <f t="shared" si="32"/>
        <v>1148</v>
      </c>
      <c r="U1149" s="4" t="s">
        <v>194</v>
      </c>
    </row>
    <row r="1150" spans="19:21" x14ac:dyDescent="0.25">
      <c r="S1150" s="6" t="s">
        <v>302</v>
      </c>
      <c r="T1150" s="6">
        <f t="shared" si="32"/>
        <v>1149</v>
      </c>
      <c r="U1150" s="4" t="s">
        <v>194</v>
      </c>
    </row>
    <row r="1151" spans="19:21" x14ac:dyDescent="0.25">
      <c r="S1151" s="6" t="s">
        <v>302</v>
      </c>
      <c r="T1151" s="6">
        <f t="shared" si="32"/>
        <v>1150</v>
      </c>
      <c r="U1151" s="4" t="s">
        <v>194</v>
      </c>
    </row>
    <row r="1152" spans="19:21" x14ac:dyDescent="0.25">
      <c r="S1152" s="6" t="s">
        <v>302</v>
      </c>
      <c r="T1152" s="6">
        <f t="shared" si="32"/>
        <v>1151</v>
      </c>
      <c r="U1152" s="4" t="s">
        <v>194</v>
      </c>
    </row>
    <row r="1153" spans="19:21" x14ac:dyDescent="0.25">
      <c r="S1153" s="6" t="s">
        <v>302</v>
      </c>
      <c r="T1153" s="6">
        <f t="shared" si="32"/>
        <v>1152</v>
      </c>
      <c r="U1153" s="4" t="s">
        <v>194</v>
      </c>
    </row>
    <row r="1154" spans="19:21" x14ac:dyDescent="0.25">
      <c r="S1154" s="6" t="s">
        <v>302</v>
      </c>
      <c r="T1154" s="6">
        <f t="shared" si="32"/>
        <v>1153</v>
      </c>
      <c r="U1154" s="4" t="s">
        <v>194</v>
      </c>
    </row>
    <row r="1155" spans="19:21" x14ac:dyDescent="0.25">
      <c r="S1155" s="6" t="s">
        <v>302</v>
      </c>
      <c r="T1155" s="6">
        <f t="shared" si="32"/>
        <v>1154</v>
      </c>
      <c r="U1155" s="4" t="s">
        <v>194</v>
      </c>
    </row>
    <row r="1156" spans="19:21" x14ac:dyDescent="0.25">
      <c r="S1156" s="6" t="s">
        <v>302</v>
      </c>
      <c r="T1156" s="6">
        <f t="shared" si="32"/>
        <v>1155</v>
      </c>
      <c r="U1156" s="4" t="s">
        <v>194</v>
      </c>
    </row>
    <row r="1157" spans="19:21" x14ac:dyDescent="0.25">
      <c r="S1157" s="6" t="s">
        <v>302</v>
      </c>
      <c r="T1157" s="6">
        <f t="shared" ref="T1157:T1220" si="33">T1156+1</f>
        <v>1156</v>
      </c>
      <c r="U1157" s="4" t="s">
        <v>194</v>
      </c>
    </row>
    <row r="1158" spans="19:21" x14ac:dyDescent="0.25">
      <c r="S1158" s="6" t="s">
        <v>302</v>
      </c>
      <c r="T1158" s="6">
        <f t="shared" si="33"/>
        <v>1157</v>
      </c>
      <c r="U1158" s="4" t="s">
        <v>194</v>
      </c>
    </row>
    <row r="1159" spans="19:21" x14ac:dyDescent="0.25">
      <c r="S1159" s="6" t="s">
        <v>302</v>
      </c>
      <c r="T1159" s="6">
        <f t="shared" si="33"/>
        <v>1158</v>
      </c>
      <c r="U1159" s="4" t="s">
        <v>194</v>
      </c>
    </row>
    <row r="1160" spans="19:21" x14ac:dyDescent="0.25">
      <c r="S1160" s="6" t="s">
        <v>302</v>
      </c>
      <c r="T1160" s="6">
        <f t="shared" si="33"/>
        <v>1159</v>
      </c>
      <c r="U1160" s="4" t="s">
        <v>194</v>
      </c>
    </row>
    <row r="1161" spans="19:21" x14ac:dyDescent="0.25">
      <c r="S1161" s="6" t="s">
        <v>302</v>
      </c>
      <c r="T1161" s="6">
        <f t="shared" si="33"/>
        <v>1160</v>
      </c>
      <c r="U1161" s="4" t="s">
        <v>194</v>
      </c>
    </row>
    <row r="1162" spans="19:21" x14ac:dyDescent="0.25">
      <c r="S1162" s="6" t="s">
        <v>302</v>
      </c>
      <c r="T1162" s="6">
        <f t="shared" si="33"/>
        <v>1161</v>
      </c>
      <c r="U1162" s="4" t="s">
        <v>194</v>
      </c>
    </row>
    <row r="1163" spans="19:21" x14ac:dyDescent="0.25">
      <c r="S1163" s="6" t="s">
        <v>302</v>
      </c>
      <c r="T1163" s="6">
        <f t="shared" si="33"/>
        <v>1162</v>
      </c>
      <c r="U1163" s="4" t="s">
        <v>194</v>
      </c>
    </row>
    <row r="1164" spans="19:21" x14ac:dyDescent="0.25">
      <c r="S1164" s="6" t="s">
        <v>302</v>
      </c>
      <c r="T1164" s="6">
        <f t="shared" si="33"/>
        <v>1163</v>
      </c>
      <c r="U1164" s="4" t="s">
        <v>194</v>
      </c>
    </row>
    <row r="1165" spans="19:21" x14ac:dyDescent="0.25">
      <c r="S1165" s="6" t="s">
        <v>302</v>
      </c>
      <c r="T1165" s="6">
        <f t="shared" si="33"/>
        <v>1164</v>
      </c>
      <c r="U1165" s="4" t="s">
        <v>194</v>
      </c>
    </row>
    <row r="1166" spans="19:21" x14ac:dyDescent="0.25">
      <c r="S1166" s="6" t="s">
        <v>302</v>
      </c>
      <c r="T1166" s="6">
        <f t="shared" si="33"/>
        <v>1165</v>
      </c>
      <c r="U1166" s="4" t="s">
        <v>194</v>
      </c>
    </row>
    <row r="1167" spans="19:21" x14ac:dyDescent="0.25">
      <c r="S1167" s="6" t="s">
        <v>302</v>
      </c>
      <c r="T1167" s="6">
        <f t="shared" si="33"/>
        <v>1166</v>
      </c>
      <c r="U1167" s="4" t="s">
        <v>194</v>
      </c>
    </row>
    <row r="1168" spans="19:21" x14ac:dyDescent="0.25">
      <c r="S1168" s="6" t="s">
        <v>302</v>
      </c>
      <c r="T1168" s="6">
        <f t="shared" si="33"/>
        <v>1167</v>
      </c>
      <c r="U1168" s="4" t="s">
        <v>194</v>
      </c>
    </row>
    <row r="1169" spans="19:21" x14ac:dyDescent="0.25">
      <c r="S1169" s="6" t="s">
        <v>302</v>
      </c>
      <c r="T1169" s="6">
        <f t="shared" si="33"/>
        <v>1168</v>
      </c>
      <c r="U1169" s="4" t="s">
        <v>194</v>
      </c>
    </row>
    <row r="1170" spans="19:21" x14ac:dyDescent="0.25">
      <c r="S1170" s="6" t="s">
        <v>302</v>
      </c>
      <c r="T1170" s="6">
        <f t="shared" si="33"/>
        <v>1169</v>
      </c>
      <c r="U1170" s="4" t="s">
        <v>194</v>
      </c>
    </row>
    <row r="1171" spans="19:21" x14ac:dyDescent="0.25">
      <c r="S1171" s="6" t="s">
        <v>302</v>
      </c>
      <c r="T1171" s="6">
        <f t="shared" si="33"/>
        <v>1170</v>
      </c>
      <c r="U1171" s="4" t="s">
        <v>194</v>
      </c>
    </row>
    <row r="1172" spans="19:21" x14ac:dyDescent="0.25">
      <c r="S1172" s="6" t="s">
        <v>302</v>
      </c>
      <c r="T1172" s="6">
        <f t="shared" si="33"/>
        <v>1171</v>
      </c>
      <c r="U1172" s="4" t="s">
        <v>194</v>
      </c>
    </row>
    <row r="1173" spans="19:21" x14ac:dyDescent="0.25">
      <c r="S1173" s="6" t="s">
        <v>302</v>
      </c>
      <c r="T1173" s="6">
        <f t="shared" si="33"/>
        <v>1172</v>
      </c>
      <c r="U1173" s="4" t="s">
        <v>194</v>
      </c>
    </row>
    <row r="1174" spans="19:21" x14ac:dyDescent="0.25">
      <c r="S1174" s="6" t="s">
        <v>302</v>
      </c>
      <c r="T1174" s="6">
        <f t="shared" si="33"/>
        <v>1173</v>
      </c>
      <c r="U1174" s="4" t="s">
        <v>194</v>
      </c>
    </row>
    <row r="1175" spans="19:21" x14ac:dyDescent="0.25">
      <c r="S1175" s="6" t="s">
        <v>302</v>
      </c>
      <c r="T1175" s="6">
        <f t="shared" si="33"/>
        <v>1174</v>
      </c>
      <c r="U1175" s="4" t="s">
        <v>194</v>
      </c>
    </row>
    <row r="1176" spans="19:21" x14ac:dyDescent="0.25">
      <c r="S1176" s="6" t="s">
        <v>302</v>
      </c>
      <c r="T1176" s="6">
        <f t="shared" si="33"/>
        <v>1175</v>
      </c>
      <c r="U1176" s="4" t="s">
        <v>194</v>
      </c>
    </row>
    <row r="1177" spans="19:21" x14ac:dyDescent="0.25">
      <c r="S1177" s="6" t="s">
        <v>302</v>
      </c>
      <c r="T1177" s="6">
        <f t="shared" si="33"/>
        <v>1176</v>
      </c>
      <c r="U1177" s="4" t="s">
        <v>194</v>
      </c>
    </row>
    <row r="1178" spans="19:21" x14ac:dyDescent="0.25">
      <c r="S1178" s="6" t="s">
        <v>302</v>
      </c>
      <c r="T1178" s="6">
        <f t="shared" si="33"/>
        <v>1177</v>
      </c>
      <c r="U1178" s="4" t="s">
        <v>194</v>
      </c>
    </row>
    <row r="1179" spans="19:21" x14ac:dyDescent="0.25">
      <c r="S1179" s="6" t="s">
        <v>302</v>
      </c>
      <c r="T1179" s="6">
        <f t="shared" si="33"/>
        <v>1178</v>
      </c>
      <c r="U1179" s="4" t="s">
        <v>194</v>
      </c>
    </row>
    <row r="1180" spans="19:21" x14ac:dyDescent="0.25">
      <c r="S1180" s="6" t="s">
        <v>302</v>
      </c>
      <c r="T1180" s="6">
        <f t="shared" si="33"/>
        <v>1179</v>
      </c>
      <c r="U1180" s="4" t="s">
        <v>194</v>
      </c>
    </row>
    <row r="1181" spans="19:21" x14ac:dyDescent="0.25">
      <c r="S1181" s="6" t="s">
        <v>302</v>
      </c>
      <c r="T1181" s="6">
        <f t="shared" si="33"/>
        <v>1180</v>
      </c>
      <c r="U1181" s="4" t="s">
        <v>194</v>
      </c>
    </row>
    <row r="1182" spans="19:21" x14ac:dyDescent="0.25">
      <c r="S1182" s="6" t="s">
        <v>302</v>
      </c>
      <c r="T1182" s="6">
        <f t="shared" si="33"/>
        <v>1181</v>
      </c>
      <c r="U1182" s="4" t="s">
        <v>194</v>
      </c>
    </row>
    <row r="1183" spans="19:21" x14ac:dyDescent="0.25">
      <c r="S1183" s="6" t="s">
        <v>302</v>
      </c>
      <c r="T1183" s="6">
        <f t="shared" si="33"/>
        <v>1182</v>
      </c>
      <c r="U1183" s="4" t="s">
        <v>194</v>
      </c>
    </row>
    <row r="1184" spans="19:21" x14ac:dyDescent="0.25">
      <c r="S1184" s="6" t="s">
        <v>302</v>
      </c>
      <c r="T1184" s="6">
        <f t="shared" si="33"/>
        <v>1183</v>
      </c>
      <c r="U1184" s="4" t="s">
        <v>194</v>
      </c>
    </row>
    <row r="1185" spans="19:21" x14ac:dyDescent="0.25">
      <c r="S1185" s="6" t="s">
        <v>302</v>
      </c>
      <c r="T1185" s="6">
        <f t="shared" si="33"/>
        <v>1184</v>
      </c>
      <c r="U1185" s="4" t="s">
        <v>194</v>
      </c>
    </row>
    <row r="1186" spans="19:21" x14ac:dyDescent="0.25">
      <c r="S1186" s="6" t="s">
        <v>302</v>
      </c>
      <c r="T1186" s="6">
        <f t="shared" si="33"/>
        <v>1185</v>
      </c>
      <c r="U1186" s="4" t="s">
        <v>194</v>
      </c>
    </row>
    <row r="1187" spans="19:21" x14ac:dyDescent="0.25">
      <c r="S1187" s="6" t="s">
        <v>302</v>
      </c>
      <c r="T1187" s="6">
        <f t="shared" si="33"/>
        <v>1186</v>
      </c>
      <c r="U1187" s="4" t="s">
        <v>194</v>
      </c>
    </row>
    <row r="1188" spans="19:21" x14ac:dyDescent="0.25">
      <c r="S1188" s="6" t="s">
        <v>302</v>
      </c>
      <c r="T1188" s="6">
        <f t="shared" si="33"/>
        <v>1187</v>
      </c>
      <c r="U1188" s="4" t="s">
        <v>194</v>
      </c>
    </row>
    <row r="1189" spans="19:21" x14ac:dyDescent="0.25">
      <c r="S1189" s="6" t="s">
        <v>302</v>
      </c>
      <c r="T1189" s="6">
        <f t="shared" si="33"/>
        <v>1188</v>
      </c>
      <c r="U1189" s="4" t="s">
        <v>194</v>
      </c>
    </row>
    <row r="1190" spans="19:21" x14ac:dyDescent="0.25">
      <c r="S1190" s="6" t="s">
        <v>302</v>
      </c>
      <c r="T1190" s="6">
        <f t="shared" si="33"/>
        <v>1189</v>
      </c>
      <c r="U1190" s="4" t="s">
        <v>194</v>
      </c>
    </row>
    <row r="1191" spans="19:21" x14ac:dyDescent="0.25">
      <c r="S1191" s="6" t="s">
        <v>302</v>
      </c>
      <c r="T1191" s="6">
        <f t="shared" si="33"/>
        <v>1190</v>
      </c>
      <c r="U1191" s="4" t="s">
        <v>194</v>
      </c>
    </row>
    <row r="1192" spans="19:21" x14ac:dyDescent="0.25">
      <c r="S1192" s="6" t="s">
        <v>302</v>
      </c>
      <c r="T1192" s="6">
        <f t="shared" si="33"/>
        <v>1191</v>
      </c>
      <c r="U1192" s="4" t="s">
        <v>194</v>
      </c>
    </row>
    <row r="1193" spans="19:21" x14ac:dyDescent="0.25">
      <c r="S1193" s="6" t="s">
        <v>302</v>
      </c>
      <c r="T1193" s="6">
        <f t="shared" si="33"/>
        <v>1192</v>
      </c>
      <c r="U1193" s="4" t="s">
        <v>194</v>
      </c>
    </row>
    <row r="1194" spans="19:21" x14ac:dyDescent="0.25">
      <c r="S1194" s="6" t="s">
        <v>302</v>
      </c>
      <c r="T1194" s="6">
        <f t="shared" si="33"/>
        <v>1193</v>
      </c>
      <c r="U1194" s="4" t="s">
        <v>194</v>
      </c>
    </row>
    <row r="1195" spans="19:21" x14ac:dyDescent="0.25">
      <c r="S1195" s="6" t="s">
        <v>302</v>
      </c>
      <c r="T1195" s="6">
        <f t="shared" si="33"/>
        <v>1194</v>
      </c>
      <c r="U1195" s="4" t="s">
        <v>194</v>
      </c>
    </row>
    <row r="1196" spans="19:21" x14ac:dyDescent="0.25">
      <c r="S1196" s="6" t="s">
        <v>302</v>
      </c>
      <c r="T1196" s="6">
        <f t="shared" si="33"/>
        <v>1195</v>
      </c>
      <c r="U1196" s="4" t="s">
        <v>194</v>
      </c>
    </row>
    <row r="1197" spans="19:21" x14ac:dyDescent="0.25">
      <c r="S1197" s="6" t="s">
        <v>302</v>
      </c>
      <c r="T1197" s="6">
        <f t="shared" si="33"/>
        <v>1196</v>
      </c>
      <c r="U1197" s="4" t="s">
        <v>194</v>
      </c>
    </row>
    <row r="1198" spans="19:21" x14ac:dyDescent="0.25">
      <c r="S1198" s="6" t="s">
        <v>302</v>
      </c>
      <c r="T1198" s="6">
        <f t="shared" si="33"/>
        <v>1197</v>
      </c>
      <c r="U1198" s="4" t="s">
        <v>194</v>
      </c>
    </row>
    <row r="1199" spans="19:21" x14ac:dyDescent="0.25">
      <c r="S1199" s="6" t="s">
        <v>302</v>
      </c>
      <c r="T1199" s="6">
        <f t="shared" si="33"/>
        <v>1198</v>
      </c>
      <c r="U1199" s="4" t="s">
        <v>194</v>
      </c>
    </row>
    <row r="1200" spans="19:21" x14ac:dyDescent="0.25">
      <c r="S1200" s="6" t="s">
        <v>302</v>
      </c>
      <c r="T1200" s="6">
        <f t="shared" si="33"/>
        <v>1199</v>
      </c>
      <c r="U1200" s="4" t="s">
        <v>194</v>
      </c>
    </row>
    <row r="1201" spans="19:21" x14ac:dyDescent="0.25">
      <c r="S1201" s="6" t="s">
        <v>302</v>
      </c>
      <c r="T1201" s="6">
        <f t="shared" si="33"/>
        <v>1200</v>
      </c>
      <c r="U1201" s="4" t="s">
        <v>194</v>
      </c>
    </row>
    <row r="1202" spans="19:21" x14ac:dyDescent="0.25">
      <c r="S1202" s="6" t="s">
        <v>302</v>
      </c>
      <c r="T1202" s="6">
        <f t="shared" si="33"/>
        <v>1201</v>
      </c>
      <c r="U1202" s="4" t="s">
        <v>194</v>
      </c>
    </row>
    <row r="1203" spans="19:21" x14ac:dyDescent="0.25">
      <c r="S1203" s="6" t="s">
        <v>302</v>
      </c>
      <c r="T1203" s="6">
        <f t="shared" si="33"/>
        <v>1202</v>
      </c>
      <c r="U1203" s="4" t="s">
        <v>194</v>
      </c>
    </row>
    <row r="1204" spans="19:21" x14ac:dyDescent="0.25">
      <c r="S1204" s="6" t="s">
        <v>302</v>
      </c>
      <c r="T1204" s="6">
        <f t="shared" si="33"/>
        <v>1203</v>
      </c>
      <c r="U1204" s="4" t="s">
        <v>194</v>
      </c>
    </row>
    <row r="1205" spans="19:21" x14ac:dyDescent="0.25">
      <c r="S1205" s="6" t="s">
        <v>302</v>
      </c>
      <c r="T1205" s="6">
        <f t="shared" si="33"/>
        <v>1204</v>
      </c>
      <c r="U1205" s="4" t="s">
        <v>194</v>
      </c>
    </row>
    <row r="1206" spans="19:21" x14ac:dyDescent="0.25">
      <c r="S1206" s="6" t="s">
        <v>302</v>
      </c>
      <c r="T1206" s="6">
        <f t="shared" si="33"/>
        <v>1205</v>
      </c>
      <c r="U1206" s="4" t="s">
        <v>194</v>
      </c>
    </row>
    <row r="1207" spans="19:21" x14ac:dyDescent="0.25">
      <c r="S1207" s="6" t="s">
        <v>302</v>
      </c>
      <c r="T1207" s="6">
        <f t="shared" si="33"/>
        <v>1206</v>
      </c>
      <c r="U1207" s="4" t="s">
        <v>194</v>
      </c>
    </row>
    <row r="1208" spans="19:21" x14ac:dyDescent="0.25">
      <c r="S1208" s="6" t="s">
        <v>302</v>
      </c>
      <c r="T1208" s="6">
        <f t="shared" si="33"/>
        <v>1207</v>
      </c>
      <c r="U1208" s="4" t="s">
        <v>194</v>
      </c>
    </row>
    <row r="1209" spans="19:21" x14ac:dyDescent="0.25">
      <c r="S1209" s="6" t="s">
        <v>302</v>
      </c>
      <c r="T1209" s="6">
        <f t="shared" si="33"/>
        <v>1208</v>
      </c>
      <c r="U1209" s="4" t="s">
        <v>194</v>
      </c>
    </row>
    <row r="1210" spans="19:21" x14ac:dyDescent="0.25">
      <c r="S1210" s="6" t="s">
        <v>302</v>
      </c>
      <c r="T1210" s="6">
        <f t="shared" si="33"/>
        <v>1209</v>
      </c>
      <c r="U1210" s="4" t="s">
        <v>194</v>
      </c>
    </row>
    <row r="1211" spans="19:21" x14ac:dyDescent="0.25">
      <c r="S1211" s="6" t="s">
        <v>302</v>
      </c>
      <c r="T1211" s="6">
        <f t="shared" si="33"/>
        <v>1210</v>
      </c>
      <c r="U1211" s="4" t="s">
        <v>194</v>
      </c>
    </row>
    <row r="1212" spans="19:21" x14ac:dyDescent="0.25">
      <c r="S1212" s="6" t="s">
        <v>302</v>
      </c>
      <c r="T1212" s="6">
        <f t="shared" si="33"/>
        <v>1211</v>
      </c>
      <c r="U1212" s="4" t="s">
        <v>194</v>
      </c>
    </row>
    <row r="1213" spans="19:21" x14ac:dyDescent="0.25">
      <c r="S1213" s="6" t="s">
        <v>302</v>
      </c>
      <c r="T1213" s="6">
        <f t="shared" si="33"/>
        <v>1212</v>
      </c>
      <c r="U1213" s="4" t="s">
        <v>194</v>
      </c>
    </row>
    <row r="1214" spans="19:21" x14ac:dyDescent="0.25">
      <c r="S1214" s="6" t="s">
        <v>302</v>
      </c>
      <c r="T1214" s="6">
        <f t="shared" si="33"/>
        <v>1213</v>
      </c>
      <c r="U1214" s="4" t="s">
        <v>194</v>
      </c>
    </row>
    <row r="1215" spans="19:21" x14ac:dyDescent="0.25">
      <c r="S1215" s="6" t="s">
        <v>302</v>
      </c>
      <c r="T1215" s="6">
        <f t="shared" si="33"/>
        <v>1214</v>
      </c>
      <c r="U1215" s="4" t="s">
        <v>194</v>
      </c>
    </row>
    <row r="1216" spans="19:21" x14ac:dyDescent="0.25">
      <c r="S1216" s="6" t="s">
        <v>302</v>
      </c>
      <c r="T1216" s="6">
        <f t="shared" si="33"/>
        <v>1215</v>
      </c>
      <c r="U1216" s="4" t="s">
        <v>194</v>
      </c>
    </row>
    <row r="1217" spans="19:21" x14ac:dyDescent="0.25">
      <c r="S1217" s="6" t="s">
        <v>302</v>
      </c>
      <c r="T1217" s="6">
        <f t="shared" si="33"/>
        <v>1216</v>
      </c>
      <c r="U1217" s="4" t="s">
        <v>194</v>
      </c>
    </row>
    <row r="1218" spans="19:21" x14ac:dyDescent="0.25">
      <c r="S1218" s="6" t="s">
        <v>302</v>
      </c>
      <c r="T1218" s="6">
        <f t="shared" si="33"/>
        <v>1217</v>
      </c>
      <c r="U1218" s="4" t="s">
        <v>194</v>
      </c>
    </row>
    <row r="1219" spans="19:21" x14ac:dyDescent="0.25">
      <c r="S1219" s="6" t="s">
        <v>302</v>
      </c>
      <c r="T1219" s="6">
        <f t="shared" si="33"/>
        <v>1218</v>
      </c>
      <c r="U1219" s="4" t="s">
        <v>194</v>
      </c>
    </row>
    <row r="1220" spans="19:21" x14ac:dyDescent="0.25">
      <c r="S1220" s="6" t="s">
        <v>302</v>
      </c>
      <c r="T1220" s="6">
        <f t="shared" si="33"/>
        <v>1219</v>
      </c>
      <c r="U1220" s="4" t="s">
        <v>194</v>
      </c>
    </row>
    <row r="1221" spans="19:21" x14ac:dyDescent="0.25">
      <c r="S1221" s="6" t="s">
        <v>302</v>
      </c>
      <c r="T1221" s="6">
        <f t="shared" ref="T1221:T1284" si="34">T1220+1</f>
        <v>1220</v>
      </c>
      <c r="U1221" s="4" t="s">
        <v>194</v>
      </c>
    </row>
    <row r="1222" spans="19:21" x14ac:dyDescent="0.25">
      <c r="S1222" s="6" t="s">
        <v>302</v>
      </c>
      <c r="T1222" s="6">
        <f t="shared" si="34"/>
        <v>1221</v>
      </c>
      <c r="U1222" s="4" t="s">
        <v>194</v>
      </c>
    </row>
    <row r="1223" spans="19:21" x14ac:dyDescent="0.25">
      <c r="S1223" s="6" t="s">
        <v>302</v>
      </c>
      <c r="T1223" s="6">
        <f t="shared" si="34"/>
        <v>1222</v>
      </c>
      <c r="U1223" s="4" t="s">
        <v>194</v>
      </c>
    </row>
    <row r="1224" spans="19:21" x14ac:dyDescent="0.25">
      <c r="S1224" s="6" t="s">
        <v>302</v>
      </c>
      <c r="T1224" s="6">
        <f t="shared" si="34"/>
        <v>1223</v>
      </c>
      <c r="U1224" s="4" t="s">
        <v>194</v>
      </c>
    </row>
    <row r="1225" spans="19:21" x14ac:dyDescent="0.25">
      <c r="S1225" s="6" t="s">
        <v>302</v>
      </c>
      <c r="T1225" s="6">
        <f t="shared" si="34"/>
        <v>1224</v>
      </c>
      <c r="U1225" s="4" t="s">
        <v>194</v>
      </c>
    </row>
    <row r="1226" spans="19:21" x14ac:dyDescent="0.25">
      <c r="S1226" s="6" t="s">
        <v>302</v>
      </c>
      <c r="T1226" s="6">
        <f t="shared" si="34"/>
        <v>1225</v>
      </c>
      <c r="U1226" s="4" t="s">
        <v>194</v>
      </c>
    </row>
    <row r="1227" spans="19:21" x14ac:dyDescent="0.25">
      <c r="S1227" s="6" t="s">
        <v>302</v>
      </c>
      <c r="T1227" s="6">
        <f t="shared" si="34"/>
        <v>1226</v>
      </c>
      <c r="U1227" s="4" t="s">
        <v>194</v>
      </c>
    </row>
    <row r="1228" spans="19:21" x14ac:dyDescent="0.25">
      <c r="S1228" s="6" t="s">
        <v>302</v>
      </c>
      <c r="T1228" s="6">
        <f t="shared" si="34"/>
        <v>1227</v>
      </c>
      <c r="U1228" s="4" t="s">
        <v>194</v>
      </c>
    </row>
    <row r="1229" spans="19:21" x14ac:dyDescent="0.25">
      <c r="S1229" s="6" t="s">
        <v>302</v>
      </c>
      <c r="T1229" s="6">
        <f t="shared" si="34"/>
        <v>1228</v>
      </c>
      <c r="U1229" s="4" t="s">
        <v>194</v>
      </c>
    </row>
    <row r="1230" spans="19:21" x14ac:dyDescent="0.25">
      <c r="S1230" s="6" t="s">
        <v>302</v>
      </c>
      <c r="T1230" s="6">
        <f t="shared" si="34"/>
        <v>1229</v>
      </c>
      <c r="U1230" s="4" t="s">
        <v>194</v>
      </c>
    </row>
    <row r="1231" spans="19:21" x14ac:dyDescent="0.25">
      <c r="S1231" s="6" t="s">
        <v>302</v>
      </c>
      <c r="T1231" s="6">
        <f t="shared" si="34"/>
        <v>1230</v>
      </c>
      <c r="U1231" s="4" t="s">
        <v>194</v>
      </c>
    </row>
    <row r="1232" spans="19:21" x14ac:dyDescent="0.25">
      <c r="S1232" s="6" t="s">
        <v>302</v>
      </c>
      <c r="T1232" s="6">
        <f t="shared" si="34"/>
        <v>1231</v>
      </c>
      <c r="U1232" s="4" t="s">
        <v>194</v>
      </c>
    </row>
    <row r="1233" spans="19:21" x14ac:dyDescent="0.25">
      <c r="S1233" s="6" t="s">
        <v>302</v>
      </c>
      <c r="T1233" s="6">
        <f t="shared" si="34"/>
        <v>1232</v>
      </c>
      <c r="U1233" s="4" t="s">
        <v>194</v>
      </c>
    </row>
    <row r="1234" spans="19:21" x14ac:dyDescent="0.25">
      <c r="S1234" s="6" t="s">
        <v>302</v>
      </c>
      <c r="T1234" s="6">
        <f t="shared" si="34"/>
        <v>1233</v>
      </c>
      <c r="U1234" s="4" t="s">
        <v>194</v>
      </c>
    </row>
    <row r="1235" spans="19:21" x14ac:dyDescent="0.25">
      <c r="S1235" s="6" t="s">
        <v>302</v>
      </c>
      <c r="T1235" s="6">
        <f t="shared" si="34"/>
        <v>1234</v>
      </c>
      <c r="U1235" s="4" t="s">
        <v>194</v>
      </c>
    </row>
    <row r="1236" spans="19:21" x14ac:dyDescent="0.25">
      <c r="S1236" s="6" t="s">
        <v>302</v>
      </c>
      <c r="T1236" s="6">
        <f t="shared" si="34"/>
        <v>1235</v>
      </c>
      <c r="U1236" s="4" t="s">
        <v>194</v>
      </c>
    </row>
    <row r="1237" spans="19:21" x14ac:dyDescent="0.25">
      <c r="S1237" s="6" t="s">
        <v>302</v>
      </c>
      <c r="T1237" s="6">
        <f t="shared" si="34"/>
        <v>1236</v>
      </c>
      <c r="U1237" s="4" t="s">
        <v>194</v>
      </c>
    </row>
    <row r="1238" spans="19:21" x14ac:dyDescent="0.25">
      <c r="S1238" s="6" t="s">
        <v>302</v>
      </c>
      <c r="T1238" s="6">
        <f t="shared" si="34"/>
        <v>1237</v>
      </c>
      <c r="U1238" s="4" t="s">
        <v>194</v>
      </c>
    </row>
    <row r="1239" spans="19:21" x14ac:dyDescent="0.25">
      <c r="S1239" s="6" t="s">
        <v>302</v>
      </c>
      <c r="T1239" s="6">
        <f t="shared" si="34"/>
        <v>1238</v>
      </c>
      <c r="U1239" s="4" t="s">
        <v>194</v>
      </c>
    </row>
    <row r="1240" spans="19:21" x14ac:dyDescent="0.25">
      <c r="S1240" s="6" t="s">
        <v>302</v>
      </c>
      <c r="T1240" s="6">
        <f t="shared" si="34"/>
        <v>1239</v>
      </c>
      <c r="U1240" s="4" t="s">
        <v>194</v>
      </c>
    </row>
    <row r="1241" spans="19:21" x14ac:dyDescent="0.25">
      <c r="S1241" s="6" t="s">
        <v>302</v>
      </c>
      <c r="T1241" s="6">
        <f t="shared" si="34"/>
        <v>1240</v>
      </c>
      <c r="U1241" s="4" t="s">
        <v>194</v>
      </c>
    </row>
    <row r="1242" spans="19:21" x14ac:dyDescent="0.25">
      <c r="S1242" s="6" t="s">
        <v>302</v>
      </c>
      <c r="T1242" s="6">
        <f t="shared" si="34"/>
        <v>1241</v>
      </c>
      <c r="U1242" s="4" t="s">
        <v>194</v>
      </c>
    </row>
    <row r="1243" spans="19:21" x14ac:dyDescent="0.25">
      <c r="S1243" s="6" t="s">
        <v>302</v>
      </c>
      <c r="T1243" s="6">
        <f t="shared" si="34"/>
        <v>1242</v>
      </c>
      <c r="U1243" s="4" t="s">
        <v>194</v>
      </c>
    </row>
    <row r="1244" spans="19:21" x14ac:dyDescent="0.25">
      <c r="S1244" s="6" t="s">
        <v>302</v>
      </c>
      <c r="T1244" s="6">
        <f t="shared" si="34"/>
        <v>1243</v>
      </c>
      <c r="U1244" s="4" t="s">
        <v>194</v>
      </c>
    </row>
    <row r="1245" spans="19:21" x14ac:dyDescent="0.25">
      <c r="S1245" s="6" t="s">
        <v>302</v>
      </c>
      <c r="T1245" s="6">
        <f t="shared" si="34"/>
        <v>1244</v>
      </c>
      <c r="U1245" s="4" t="s">
        <v>194</v>
      </c>
    </row>
    <row r="1246" spans="19:21" x14ac:dyDescent="0.25">
      <c r="S1246" s="6" t="s">
        <v>302</v>
      </c>
      <c r="T1246" s="6">
        <f t="shared" si="34"/>
        <v>1245</v>
      </c>
      <c r="U1246" s="4" t="s">
        <v>194</v>
      </c>
    </row>
    <row r="1247" spans="19:21" x14ac:dyDescent="0.25">
      <c r="S1247" s="6" t="s">
        <v>302</v>
      </c>
      <c r="T1247" s="6">
        <f t="shared" si="34"/>
        <v>1246</v>
      </c>
      <c r="U1247" s="4" t="s">
        <v>194</v>
      </c>
    </row>
    <row r="1248" spans="19:21" x14ac:dyDescent="0.25">
      <c r="S1248" s="6" t="s">
        <v>302</v>
      </c>
      <c r="T1248" s="6">
        <f t="shared" si="34"/>
        <v>1247</v>
      </c>
      <c r="U1248" s="4" t="s">
        <v>194</v>
      </c>
    </row>
    <row r="1249" spans="19:21" x14ac:dyDescent="0.25">
      <c r="S1249" s="6" t="s">
        <v>302</v>
      </c>
      <c r="T1249" s="6">
        <f t="shared" si="34"/>
        <v>1248</v>
      </c>
      <c r="U1249" s="4" t="s">
        <v>194</v>
      </c>
    </row>
    <row r="1250" spans="19:21" x14ac:dyDescent="0.25">
      <c r="S1250" s="6" t="s">
        <v>302</v>
      </c>
      <c r="T1250" s="6">
        <f t="shared" si="34"/>
        <v>1249</v>
      </c>
      <c r="U1250" s="4" t="s">
        <v>194</v>
      </c>
    </row>
    <row r="1251" spans="19:21" x14ac:dyDescent="0.25">
      <c r="S1251" s="6" t="s">
        <v>302</v>
      </c>
      <c r="T1251" s="6">
        <f t="shared" si="34"/>
        <v>1250</v>
      </c>
      <c r="U1251" s="4" t="s">
        <v>194</v>
      </c>
    </row>
    <row r="1252" spans="19:21" x14ac:dyDescent="0.25">
      <c r="S1252" s="6" t="s">
        <v>302</v>
      </c>
      <c r="T1252" s="6">
        <f t="shared" si="34"/>
        <v>1251</v>
      </c>
      <c r="U1252" s="4" t="s">
        <v>194</v>
      </c>
    </row>
    <row r="1253" spans="19:21" x14ac:dyDescent="0.25">
      <c r="S1253" s="6" t="s">
        <v>302</v>
      </c>
      <c r="T1253" s="6">
        <f t="shared" si="34"/>
        <v>1252</v>
      </c>
      <c r="U1253" s="4" t="s">
        <v>194</v>
      </c>
    </row>
    <row r="1254" spans="19:21" x14ac:dyDescent="0.25">
      <c r="S1254" s="6" t="s">
        <v>302</v>
      </c>
      <c r="T1254" s="6">
        <f t="shared" si="34"/>
        <v>1253</v>
      </c>
      <c r="U1254" s="4" t="s">
        <v>194</v>
      </c>
    </row>
    <row r="1255" spans="19:21" x14ac:dyDescent="0.25">
      <c r="S1255" s="6" t="s">
        <v>302</v>
      </c>
      <c r="T1255" s="6">
        <f t="shared" si="34"/>
        <v>1254</v>
      </c>
      <c r="U1255" s="4" t="s">
        <v>194</v>
      </c>
    </row>
    <row r="1256" spans="19:21" x14ac:dyDescent="0.25">
      <c r="S1256" s="6" t="s">
        <v>302</v>
      </c>
      <c r="T1256" s="6">
        <f t="shared" si="34"/>
        <v>1255</v>
      </c>
      <c r="U1256" s="4" t="s">
        <v>194</v>
      </c>
    </row>
    <row r="1257" spans="19:21" x14ac:dyDescent="0.25">
      <c r="S1257" s="6" t="s">
        <v>302</v>
      </c>
      <c r="T1257" s="6">
        <f t="shared" si="34"/>
        <v>1256</v>
      </c>
      <c r="U1257" s="4" t="s">
        <v>194</v>
      </c>
    </row>
    <row r="1258" spans="19:21" x14ac:dyDescent="0.25">
      <c r="S1258" s="6" t="s">
        <v>302</v>
      </c>
      <c r="T1258" s="6">
        <f t="shared" si="34"/>
        <v>1257</v>
      </c>
      <c r="U1258" s="4" t="s">
        <v>194</v>
      </c>
    </row>
    <row r="1259" spans="19:21" x14ac:dyDescent="0.25">
      <c r="S1259" s="6" t="s">
        <v>302</v>
      </c>
      <c r="T1259" s="6">
        <f t="shared" si="34"/>
        <v>1258</v>
      </c>
      <c r="U1259" s="4" t="s">
        <v>194</v>
      </c>
    </row>
    <row r="1260" spans="19:21" x14ac:dyDescent="0.25">
      <c r="S1260" s="6" t="s">
        <v>302</v>
      </c>
      <c r="T1260" s="6">
        <f t="shared" si="34"/>
        <v>1259</v>
      </c>
      <c r="U1260" s="4" t="s">
        <v>194</v>
      </c>
    </row>
    <row r="1261" spans="19:21" x14ac:dyDescent="0.25">
      <c r="S1261" s="6" t="s">
        <v>302</v>
      </c>
      <c r="T1261" s="6">
        <f t="shared" si="34"/>
        <v>1260</v>
      </c>
      <c r="U1261" s="4" t="s">
        <v>194</v>
      </c>
    </row>
    <row r="1262" spans="19:21" x14ac:dyDescent="0.25">
      <c r="S1262" s="6" t="s">
        <v>302</v>
      </c>
      <c r="T1262" s="6">
        <f t="shared" si="34"/>
        <v>1261</v>
      </c>
      <c r="U1262" s="4" t="s">
        <v>194</v>
      </c>
    </row>
    <row r="1263" spans="19:21" x14ac:dyDescent="0.25">
      <c r="S1263" s="6" t="s">
        <v>302</v>
      </c>
      <c r="T1263" s="6">
        <f t="shared" si="34"/>
        <v>1262</v>
      </c>
      <c r="U1263" s="4" t="s">
        <v>194</v>
      </c>
    </row>
    <row r="1264" spans="19:21" x14ac:dyDescent="0.25">
      <c r="S1264" s="6" t="s">
        <v>302</v>
      </c>
      <c r="T1264" s="6">
        <f t="shared" si="34"/>
        <v>1263</v>
      </c>
      <c r="U1264" s="4" t="s">
        <v>194</v>
      </c>
    </row>
    <row r="1265" spans="19:21" x14ac:dyDescent="0.25">
      <c r="S1265" s="6" t="s">
        <v>302</v>
      </c>
      <c r="T1265" s="6">
        <f t="shared" si="34"/>
        <v>1264</v>
      </c>
      <c r="U1265" s="4" t="s">
        <v>194</v>
      </c>
    </row>
    <row r="1266" spans="19:21" x14ac:dyDescent="0.25">
      <c r="S1266" s="6" t="s">
        <v>302</v>
      </c>
      <c r="T1266" s="6">
        <f t="shared" si="34"/>
        <v>1265</v>
      </c>
      <c r="U1266" s="4" t="s">
        <v>194</v>
      </c>
    </row>
    <row r="1267" spans="19:21" x14ac:dyDescent="0.25">
      <c r="S1267" s="6" t="s">
        <v>302</v>
      </c>
      <c r="T1267" s="6">
        <f t="shared" si="34"/>
        <v>1266</v>
      </c>
      <c r="U1267" s="4" t="s">
        <v>194</v>
      </c>
    </row>
    <row r="1268" spans="19:21" x14ac:dyDescent="0.25">
      <c r="S1268" s="6" t="s">
        <v>302</v>
      </c>
      <c r="T1268" s="6">
        <f t="shared" si="34"/>
        <v>1267</v>
      </c>
      <c r="U1268" s="4" t="s">
        <v>194</v>
      </c>
    </row>
    <row r="1269" spans="19:21" x14ac:dyDescent="0.25">
      <c r="S1269" s="6" t="s">
        <v>302</v>
      </c>
      <c r="T1269" s="6">
        <f t="shared" si="34"/>
        <v>1268</v>
      </c>
      <c r="U1269" s="4" t="s">
        <v>194</v>
      </c>
    </row>
    <row r="1270" spans="19:21" x14ac:dyDescent="0.25">
      <c r="S1270" s="6" t="s">
        <v>302</v>
      </c>
      <c r="T1270" s="6">
        <f t="shared" si="34"/>
        <v>1269</v>
      </c>
      <c r="U1270" s="4" t="s">
        <v>194</v>
      </c>
    </row>
    <row r="1271" spans="19:21" x14ac:dyDescent="0.25">
      <c r="S1271" s="6" t="s">
        <v>302</v>
      </c>
      <c r="T1271" s="6">
        <f t="shared" si="34"/>
        <v>1270</v>
      </c>
      <c r="U1271" s="4" t="s">
        <v>194</v>
      </c>
    </row>
    <row r="1272" spans="19:21" x14ac:dyDescent="0.25">
      <c r="S1272" s="6" t="s">
        <v>302</v>
      </c>
      <c r="T1272" s="6">
        <f t="shared" si="34"/>
        <v>1271</v>
      </c>
      <c r="U1272" s="4" t="s">
        <v>194</v>
      </c>
    </row>
    <row r="1273" spans="19:21" x14ac:dyDescent="0.25">
      <c r="S1273" s="6" t="s">
        <v>302</v>
      </c>
      <c r="T1273" s="6">
        <f t="shared" si="34"/>
        <v>1272</v>
      </c>
      <c r="U1273" s="4" t="s">
        <v>194</v>
      </c>
    </row>
    <row r="1274" spans="19:21" x14ac:dyDescent="0.25">
      <c r="S1274" s="6" t="s">
        <v>302</v>
      </c>
      <c r="T1274" s="6">
        <f t="shared" si="34"/>
        <v>1273</v>
      </c>
      <c r="U1274" s="4" t="s">
        <v>194</v>
      </c>
    </row>
    <row r="1275" spans="19:21" x14ac:dyDescent="0.25">
      <c r="S1275" s="6" t="s">
        <v>302</v>
      </c>
      <c r="T1275" s="6">
        <f t="shared" si="34"/>
        <v>1274</v>
      </c>
      <c r="U1275" s="4" t="s">
        <v>194</v>
      </c>
    </row>
    <row r="1276" spans="19:21" x14ac:dyDescent="0.25">
      <c r="S1276" s="6" t="s">
        <v>302</v>
      </c>
      <c r="T1276" s="6">
        <f t="shared" si="34"/>
        <v>1275</v>
      </c>
      <c r="U1276" s="4" t="s">
        <v>194</v>
      </c>
    </row>
    <row r="1277" spans="19:21" x14ac:dyDescent="0.25">
      <c r="S1277" s="6" t="s">
        <v>302</v>
      </c>
      <c r="T1277" s="6">
        <f t="shared" si="34"/>
        <v>1276</v>
      </c>
      <c r="U1277" s="4" t="s">
        <v>194</v>
      </c>
    </row>
    <row r="1278" spans="19:21" x14ac:dyDescent="0.25">
      <c r="S1278" s="6" t="s">
        <v>302</v>
      </c>
      <c r="T1278" s="6">
        <f t="shared" si="34"/>
        <v>1277</v>
      </c>
      <c r="U1278" s="4" t="s">
        <v>194</v>
      </c>
    </row>
    <row r="1279" spans="19:21" x14ac:dyDescent="0.25">
      <c r="S1279" s="6" t="s">
        <v>302</v>
      </c>
      <c r="T1279" s="6">
        <f t="shared" si="34"/>
        <v>1278</v>
      </c>
      <c r="U1279" s="4" t="s">
        <v>194</v>
      </c>
    </row>
    <row r="1280" spans="19:21" x14ac:dyDescent="0.25">
      <c r="S1280" s="6" t="s">
        <v>302</v>
      </c>
      <c r="T1280" s="6">
        <f t="shared" si="34"/>
        <v>1279</v>
      </c>
      <c r="U1280" s="4" t="s">
        <v>194</v>
      </c>
    </row>
    <row r="1281" spans="19:21" x14ac:dyDescent="0.25">
      <c r="S1281" s="6" t="s">
        <v>302</v>
      </c>
      <c r="T1281" s="6">
        <f t="shared" si="34"/>
        <v>1280</v>
      </c>
      <c r="U1281" s="4" t="s">
        <v>194</v>
      </c>
    </row>
    <row r="1282" spans="19:21" x14ac:dyDescent="0.25">
      <c r="S1282" s="6" t="s">
        <v>302</v>
      </c>
      <c r="T1282" s="6">
        <f t="shared" si="34"/>
        <v>1281</v>
      </c>
      <c r="U1282" s="4" t="s">
        <v>194</v>
      </c>
    </row>
    <row r="1283" spans="19:21" x14ac:dyDescent="0.25">
      <c r="S1283" s="6" t="s">
        <v>302</v>
      </c>
      <c r="T1283" s="6">
        <f t="shared" si="34"/>
        <v>1282</v>
      </c>
      <c r="U1283" s="4" t="s">
        <v>194</v>
      </c>
    </row>
    <row r="1284" spans="19:21" x14ac:dyDescent="0.25">
      <c r="S1284" s="6" t="s">
        <v>302</v>
      </c>
      <c r="T1284" s="6">
        <f t="shared" si="34"/>
        <v>1283</v>
      </c>
      <c r="U1284" s="4" t="s">
        <v>194</v>
      </c>
    </row>
    <row r="1285" spans="19:21" x14ac:dyDescent="0.25">
      <c r="S1285" s="6" t="s">
        <v>302</v>
      </c>
      <c r="T1285" s="6">
        <f t="shared" ref="T1285:T1348" si="35">T1284+1</f>
        <v>1284</v>
      </c>
      <c r="U1285" s="4" t="s">
        <v>194</v>
      </c>
    </row>
    <row r="1286" spans="19:21" x14ac:dyDescent="0.25">
      <c r="S1286" s="6" t="s">
        <v>302</v>
      </c>
      <c r="T1286" s="6">
        <f t="shared" si="35"/>
        <v>1285</v>
      </c>
      <c r="U1286" s="4" t="s">
        <v>194</v>
      </c>
    </row>
    <row r="1287" spans="19:21" x14ac:dyDescent="0.25">
      <c r="S1287" s="6" t="s">
        <v>302</v>
      </c>
      <c r="T1287" s="6">
        <f t="shared" si="35"/>
        <v>1286</v>
      </c>
      <c r="U1287" s="4" t="s">
        <v>194</v>
      </c>
    </row>
    <row r="1288" spans="19:21" x14ac:dyDescent="0.25">
      <c r="S1288" s="6" t="s">
        <v>302</v>
      </c>
      <c r="T1288" s="6">
        <f t="shared" si="35"/>
        <v>1287</v>
      </c>
      <c r="U1288" s="4" t="s">
        <v>194</v>
      </c>
    </row>
    <row r="1289" spans="19:21" x14ac:dyDescent="0.25">
      <c r="S1289" s="6" t="s">
        <v>302</v>
      </c>
      <c r="T1289" s="6">
        <f t="shared" si="35"/>
        <v>1288</v>
      </c>
      <c r="U1289" s="4" t="s">
        <v>194</v>
      </c>
    </row>
    <row r="1290" spans="19:21" x14ac:dyDescent="0.25">
      <c r="S1290" s="6" t="s">
        <v>302</v>
      </c>
      <c r="T1290" s="6">
        <f t="shared" si="35"/>
        <v>1289</v>
      </c>
      <c r="U1290" s="4" t="s">
        <v>194</v>
      </c>
    </row>
    <row r="1291" spans="19:21" x14ac:dyDescent="0.25">
      <c r="S1291" s="6" t="s">
        <v>302</v>
      </c>
      <c r="T1291" s="6">
        <f t="shared" si="35"/>
        <v>1290</v>
      </c>
      <c r="U1291" s="4" t="s">
        <v>194</v>
      </c>
    </row>
    <row r="1292" spans="19:21" x14ac:dyDescent="0.25">
      <c r="S1292" s="6" t="s">
        <v>302</v>
      </c>
      <c r="T1292" s="6">
        <f t="shared" si="35"/>
        <v>1291</v>
      </c>
      <c r="U1292" s="4" t="s">
        <v>194</v>
      </c>
    </row>
    <row r="1293" spans="19:21" x14ac:dyDescent="0.25">
      <c r="S1293" s="6" t="s">
        <v>302</v>
      </c>
      <c r="T1293" s="6">
        <f t="shared" si="35"/>
        <v>1292</v>
      </c>
      <c r="U1293" s="4" t="s">
        <v>194</v>
      </c>
    </row>
    <row r="1294" spans="19:21" x14ac:dyDescent="0.25">
      <c r="S1294" s="6" t="s">
        <v>302</v>
      </c>
      <c r="T1294" s="6">
        <f t="shared" si="35"/>
        <v>1293</v>
      </c>
      <c r="U1294" s="4" t="s">
        <v>194</v>
      </c>
    </row>
    <row r="1295" spans="19:21" x14ac:dyDescent="0.25">
      <c r="S1295" s="6" t="s">
        <v>302</v>
      </c>
      <c r="T1295" s="6">
        <f t="shared" si="35"/>
        <v>1294</v>
      </c>
      <c r="U1295" s="4" t="s">
        <v>194</v>
      </c>
    </row>
    <row r="1296" spans="19:21" x14ac:dyDescent="0.25">
      <c r="S1296" s="6" t="s">
        <v>302</v>
      </c>
      <c r="T1296" s="6">
        <f t="shared" si="35"/>
        <v>1295</v>
      </c>
      <c r="U1296" s="4" t="s">
        <v>194</v>
      </c>
    </row>
    <row r="1297" spans="19:21" x14ac:dyDescent="0.25">
      <c r="S1297" s="6" t="s">
        <v>302</v>
      </c>
      <c r="T1297" s="6">
        <f t="shared" si="35"/>
        <v>1296</v>
      </c>
      <c r="U1297" s="4" t="s">
        <v>194</v>
      </c>
    </row>
    <row r="1298" spans="19:21" x14ac:dyDescent="0.25">
      <c r="S1298" s="6" t="s">
        <v>302</v>
      </c>
      <c r="T1298" s="6">
        <f t="shared" si="35"/>
        <v>1297</v>
      </c>
      <c r="U1298" s="4" t="s">
        <v>194</v>
      </c>
    </row>
    <row r="1299" spans="19:21" x14ac:dyDescent="0.25">
      <c r="S1299" s="6" t="s">
        <v>302</v>
      </c>
      <c r="T1299" s="6">
        <f t="shared" si="35"/>
        <v>1298</v>
      </c>
      <c r="U1299" s="4" t="s">
        <v>194</v>
      </c>
    </row>
    <row r="1300" spans="19:21" x14ac:dyDescent="0.25">
      <c r="S1300" s="6" t="s">
        <v>302</v>
      </c>
      <c r="T1300" s="6">
        <f t="shared" si="35"/>
        <v>1299</v>
      </c>
      <c r="U1300" s="4" t="s">
        <v>194</v>
      </c>
    </row>
    <row r="1301" spans="19:21" x14ac:dyDescent="0.25">
      <c r="S1301" s="6" t="s">
        <v>302</v>
      </c>
      <c r="T1301" s="6">
        <f t="shared" si="35"/>
        <v>1300</v>
      </c>
      <c r="U1301" s="4" t="s">
        <v>194</v>
      </c>
    </row>
    <row r="1302" spans="19:21" x14ac:dyDescent="0.25">
      <c r="S1302" s="6" t="s">
        <v>302</v>
      </c>
      <c r="T1302" s="6">
        <f t="shared" si="35"/>
        <v>1301</v>
      </c>
      <c r="U1302" s="4" t="s">
        <v>194</v>
      </c>
    </row>
    <row r="1303" spans="19:21" x14ac:dyDescent="0.25">
      <c r="S1303" s="6" t="s">
        <v>302</v>
      </c>
      <c r="T1303" s="6">
        <f t="shared" si="35"/>
        <v>1302</v>
      </c>
      <c r="U1303" s="4" t="s">
        <v>194</v>
      </c>
    </row>
    <row r="1304" spans="19:21" x14ac:dyDescent="0.25">
      <c r="S1304" s="6" t="s">
        <v>302</v>
      </c>
      <c r="T1304" s="6">
        <f t="shared" si="35"/>
        <v>1303</v>
      </c>
      <c r="U1304" s="4" t="s">
        <v>194</v>
      </c>
    </row>
    <row r="1305" spans="19:21" x14ac:dyDescent="0.25">
      <c r="S1305" s="6" t="s">
        <v>302</v>
      </c>
      <c r="T1305" s="6">
        <f t="shared" si="35"/>
        <v>1304</v>
      </c>
      <c r="U1305" s="4" t="s">
        <v>194</v>
      </c>
    </row>
    <row r="1306" spans="19:21" x14ac:dyDescent="0.25">
      <c r="S1306" s="6" t="s">
        <v>302</v>
      </c>
      <c r="T1306" s="6">
        <f t="shared" si="35"/>
        <v>1305</v>
      </c>
      <c r="U1306" s="4" t="s">
        <v>194</v>
      </c>
    </row>
    <row r="1307" spans="19:21" x14ac:dyDescent="0.25">
      <c r="S1307" s="6" t="s">
        <v>302</v>
      </c>
      <c r="T1307" s="6">
        <f t="shared" si="35"/>
        <v>1306</v>
      </c>
      <c r="U1307" s="4" t="s">
        <v>194</v>
      </c>
    </row>
    <row r="1308" spans="19:21" x14ac:dyDescent="0.25">
      <c r="S1308" s="6" t="s">
        <v>302</v>
      </c>
      <c r="T1308" s="6">
        <f t="shared" si="35"/>
        <v>1307</v>
      </c>
      <c r="U1308" s="4" t="s">
        <v>194</v>
      </c>
    </row>
    <row r="1309" spans="19:21" x14ac:dyDescent="0.25">
      <c r="S1309" s="6" t="s">
        <v>302</v>
      </c>
      <c r="T1309" s="6">
        <f t="shared" si="35"/>
        <v>1308</v>
      </c>
      <c r="U1309" s="4" t="s">
        <v>194</v>
      </c>
    </row>
    <row r="1310" spans="19:21" x14ac:dyDescent="0.25">
      <c r="S1310" s="6" t="s">
        <v>302</v>
      </c>
      <c r="T1310" s="6">
        <f t="shared" si="35"/>
        <v>1309</v>
      </c>
      <c r="U1310" s="4" t="s">
        <v>194</v>
      </c>
    </row>
    <row r="1311" spans="19:21" x14ac:dyDescent="0.25">
      <c r="S1311" s="6" t="s">
        <v>302</v>
      </c>
      <c r="T1311" s="6">
        <f t="shared" si="35"/>
        <v>1310</v>
      </c>
      <c r="U1311" s="4" t="s">
        <v>194</v>
      </c>
    </row>
    <row r="1312" spans="19:21" x14ac:dyDescent="0.25">
      <c r="S1312" s="6" t="s">
        <v>302</v>
      </c>
      <c r="T1312" s="6">
        <f t="shared" si="35"/>
        <v>1311</v>
      </c>
      <c r="U1312" s="4" t="s">
        <v>194</v>
      </c>
    </row>
    <row r="1313" spans="19:21" x14ac:dyDescent="0.25">
      <c r="S1313" s="6" t="s">
        <v>302</v>
      </c>
      <c r="T1313" s="6">
        <f t="shared" si="35"/>
        <v>1312</v>
      </c>
      <c r="U1313" s="4" t="s">
        <v>194</v>
      </c>
    </row>
    <row r="1314" spans="19:21" x14ac:dyDescent="0.25">
      <c r="S1314" s="6" t="s">
        <v>302</v>
      </c>
      <c r="T1314" s="6">
        <f t="shared" si="35"/>
        <v>1313</v>
      </c>
      <c r="U1314" s="4" t="s">
        <v>194</v>
      </c>
    </row>
    <row r="1315" spans="19:21" x14ac:dyDescent="0.25">
      <c r="S1315" s="6" t="s">
        <v>302</v>
      </c>
      <c r="T1315" s="6">
        <f t="shared" si="35"/>
        <v>1314</v>
      </c>
      <c r="U1315" s="4" t="s">
        <v>194</v>
      </c>
    </row>
    <row r="1316" spans="19:21" x14ac:dyDescent="0.25">
      <c r="S1316" s="6" t="s">
        <v>302</v>
      </c>
      <c r="T1316" s="6">
        <f t="shared" si="35"/>
        <v>1315</v>
      </c>
      <c r="U1316" s="4" t="s">
        <v>194</v>
      </c>
    </row>
    <row r="1317" spans="19:21" x14ac:dyDescent="0.25">
      <c r="S1317" s="6" t="s">
        <v>302</v>
      </c>
      <c r="T1317" s="6">
        <f t="shared" si="35"/>
        <v>1316</v>
      </c>
      <c r="U1317" s="4" t="s">
        <v>194</v>
      </c>
    </row>
    <row r="1318" spans="19:21" x14ac:dyDescent="0.25">
      <c r="S1318" s="6" t="s">
        <v>302</v>
      </c>
      <c r="T1318" s="6">
        <f t="shared" si="35"/>
        <v>1317</v>
      </c>
      <c r="U1318" s="4" t="s">
        <v>194</v>
      </c>
    </row>
    <row r="1319" spans="19:21" x14ac:dyDescent="0.25">
      <c r="S1319" s="6" t="s">
        <v>302</v>
      </c>
      <c r="T1319" s="6">
        <f t="shared" si="35"/>
        <v>1318</v>
      </c>
      <c r="U1319" s="4" t="s">
        <v>194</v>
      </c>
    </row>
    <row r="1320" spans="19:21" x14ac:dyDescent="0.25">
      <c r="S1320" s="6" t="s">
        <v>302</v>
      </c>
      <c r="T1320" s="6">
        <f t="shared" si="35"/>
        <v>1319</v>
      </c>
      <c r="U1320" s="4" t="s">
        <v>194</v>
      </c>
    </row>
    <row r="1321" spans="19:21" x14ac:dyDescent="0.25">
      <c r="S1321" s="6" t="s">
        <v>302</v>
      </c>
      <c r="T1321" s="6">
        <f t="shared" si="35"/>
        <v>1320</v>
      </c>
      <c r="U1321" s="4" t="s">
        <v>194</v>
      </c>
    </row>
    <row r="1322" spans="19:21" x14ac:dyDescent="0.25">
      <c r="S1322" s="6" t="s">
        <v>302</v>
      </c>
      <c r="T1322" s="6">
        <f t="shared" si="35"/>
        <v>1321</v>
      </c>
      <c r="U1322" s="4" t="s">
        <v>194</v>
      </c>
    </row>
    <row r="1323" spans="19:21" x14ac:dyDescent="0.25">
      <c r="S1323" s="6" t="s">
        <v>302</v>
      </c>
      <c r="T1323" s="6">
        <f t="shared" si="35"/>
        <v>1322</v>
      </c>
      <c r="U1323" s="4" t="s">
        <v>194</v>
      </c>
    </row>
    <row r="1324" spans="19:21" x14ac:dyDescent="0.25">
      <c r="S1324" s="6" t="s">
        <v>302</v>
      </c>
      <c r="T1324" s="6">
        <f t="shared" si="35"/>
        <v>1323</v>
      </c>
      <c r="U1324" s="4" t="s">
        <v>194</v>
      </c>
    </row>
    <row r="1325" spans="19:21" x14ac:dyDescent="0.25">
      <c r="S1325" s="6" t="s">
        <v>302</v>
      </c>
      <c r="T1325" s="6">
        <f t="shared" si="35"/>
        <v>1324</v>
      </c>
      <c r="U1325" s="4" t="s">
        <v>194</v>
      </c>
    </row>
    <row r="1326" spans="19:21" x14ac:dyDescent="0.25">
      <c r="S1326" s="6" t="s">
        <v>302</v>
      </c>
      <c r="T1326" s="6">
        <f t="shared" si="35"/>
        <v>1325</v>
      </c>
      <c r="U1326" s="4" t="s">
        <v>194</v>
      </c>
    </row>
    <row r="1327" spans="19:21" x14ac:dyDescent="0.25">
      <c r="S1327" s="6" t="s">
        <v>302</v>
      </c>
      <c r="T1327" s="6">
        <f t="shared" si="35"/>
        <v>1326</v>
      </c>
      <c r="U1327" s="4" t="s">
        <v>194</v>
      </c>
    </row>
    <row r="1328" spans="19:21" x14ac:dyDescent="0.25">
      <c r="S1328" s="6" t="s">
        <v>302</v>
      </c>
      <c r="T1328" s="6">
        <f t="shared" si="35"/>
        <v>1327</v>
      </c>
      <c r="U1328" s="4" t="s">
        <v>194</v>
      </c>
    </row>
    <row r="1329" spans="19:21" x14ac:dyDescent="0.25">
      <c r="S1329" s="6" t="s">
        <v>302</v>
      </c>
      <c r="T1329" s="6">
        <f t="shared" si="35"/>
        <v>1328</v>
      </c>
      <c r="U1329" s="4" t="s">
        <v>194</v>
      </c>
    </row>
    <row r="1330" spans="19:21" x14ac:dyDescent="0.25">
      <c r="S1330" s="6" t="s">
        <v>302</v>
      </c>
      <c r="T1330" s="6">
        <f t="shared" si="35"/>
        <v>1329</v>
      </c>
      <c r="U1330" s="4" t="s">
        <v>194</v>
      </c>
    </row>
    <row r="1331" spans="19:21" x14ac:dyDescent="0.25">
      <c r="S1331" s="6" t="s">
        <v>302</v>
      </c>
      <c r="T1331" s="6">
        <f t="shared" si="35"/>
        <v>1330</v>
      </c>
      <c r="U1331" s="4" t="s">
        <v>194</v>
      </c>
    </row>
    <row r="1332" spans="19:21" x14ac:dyDescent="0.25">
      <c r="S1332" s="6" t="s">
        <v>302</v>
      </c>
      <c r="T1332" s="6">
        <f t="shared" si="35"/>
        <v>1331</v>
      </c>
      <c r="U1332" s="4" t="s">
        <v>194</v>
      </c>
    </row>
    <row r="1333" spans="19:21" x14ac:dyDescent="0.25">
      <c r="S1333" s="6" t="s">
        <v>302</v>
      </c>
      <c r="T1333" s="6">
        <f t="shared" si="35"/>
        <v>1332</v>
      </c>
      <c r="U1333" s="4" t="s">
        <v>194</v>
      </c>
    </row>
    <row r="1334" spans="19:21" x14ac:dyDescent="0.25">
      <c r="S1334" s="6" t="s">
        <v>302</v>
      </c>
      <c r="T1334" s="6">
        <f t="shared" si="35"/>
        <v>1333</v>
      </c>
      <c r="U1334" s="4" t="s">
        <v>194</v>
      </c>
    </row>
    <row r="1335" spans="19:21" x14ac:dyDescent="0.25">
      <c r="S1335" s="6" t="s">
        <v>302</v>
      </c>
      <c r="T1335" s="6">
        <f t="shared" si="35"/>
        <v>1334</v>
      </c>
      <c r="U1335" s="4" t="s">
        <v>194</v>
      </c>
    </row>
    <row r="1336" spans="19:21" x14ac:dyDescent="0.25">
      <c r="S1336" s="6" t="s">
        <v>302</v>
      </c>
      <c r="T1336" s="6">
        <f t="shared" si="35"/>
        <v>1335</v>
      </c>
      <c r="U1336" s="4" t="s">
        <v>194</v>
      </c>
    </row>
    <row r="1337" spans="19:21" x14ac:dyDescent="0.25">
      <c r="S1337" s="6" t="s">
        <v>302</v>
      </c>
      <c r="T1337" s="6">
        <f t="shared" si="35"/>
        <v>1336</v>
      </c>
      <c r="U1337" s="4" t="s">
        <v>194</v>
      </c>
    </row>
    <row r="1338" spans="19:21" x14ac:dyDescent="0.25">
      <c r="S1338" s="6" t="s">
        <v>302</v>
      </c>
      <c r="T1338" s="6">
        <f t="shared" si="35"/>
        <v>1337</v>
      </c>
      <c r="U1338" s="4" t="s">
        <v>194</v>
      </c>
    </row>
    <row r="1339" spans="19:21" x14ac:dyDescent="0.25">
      <c r="S1339" s="6" t="s">
        <v>302</v>
      </c>
      <c r="T1339" s="6">
        <f t="shared" si="35"/>
        <v>1338</v>
      </c>
      <c r="U1339" s="4" t="s">
        <v>194</v>
      </c>
    </row>
    <row r="1340" spans="19:21" x14ac:dyDescent="0.25">
      <c r="S1340" s="6" t="s">
        <v>302</v>
      </c>
      <c r="T1340" s="6">
        <f t="shared" si="35"/>
        <v>1339</v>
      </c>
      <c r="U1340" s="4" t="s">
        <v>194</v>
      </c>
    </row>
    <row r="1341" spans="19:21" x14ac:dyDescent="0.25">
      <c r="S1341" s="6" t="s">
        <v>302</v>
      </c>
      <c r="T1341" s="6">
        <f t="shared" si="35"/>
        <v>1340</v>
      </c>
      <c r="U1341" s="4" t="s">
        <v>194</v>
      </c>
    </row>
    <row r="1342" spans="19:21" x14ac:dyDescent="0.25">
      <c r="S1342" s="6" t="s">
        <v>302</v>
      </c>
      <c r="T1342" s="6">
        <f t="shared" si="35"/>
        <v>1341</v>
      </c>
      <c r="U1342" s="4" t="s">
        <v>194</v>
      </c>
    </row>
    <row r="1343" spans="19:21" x14ac:dyDescent="0.25">
      <c r="S1343" s="6" t="s">
        <v>302</v>
      </c>
      <c r="T1343" s="6">
        <f t="shared" si="35"/>
        <v>1342</v>
      </c>
      <c r="U1343" s="4" t="s">
        <v>194</v>
      </c>
    </row>
    <row r="1344" spans="19:21" x14ac:dyDescent="0.25">
      <c r="S1344" s="6" t="s">
        <v>302</v>
      </c>
      <c r="T1344" s="6">
        <f t="shared" si="35"/>
        <v>1343</v>
      </c>
      <c r="U1344" s="4" t="s">
        <v>194</v>
      </c>
    </row>
    <row r="1345" spans="19:21" x14ac:dyDescent="0.25">
      <c r="S1345" s="6" t="s">
        <v>302</v>
      </c>
      <c r="T1345" s="6">
        <f t="shared" si="35"/>
        <v>1344</v>
      </c>
      <c r="U1345" s="4" t="s">
        <v>194</v>
      </c>
    </row>
    <row r="1346" spans="19:21" x14ac:dyDescent="0.25">
      <c r="S1346" s="6" t="s">
        <v>302</v>
      </c>
      <c r="T1346" s="6">
        <f t="shared" si="35"/>
        <v>1345</v>
      </c>
      <c r="U1346" s="4" t="s">
        <v>194</v>
      </c>
    </row>
    <row r="1347" spans="19:21" x14ac:dyDescent="0.25">
      <c r="S1347" s="6" t="s">
        <v>302</v>
      </c>
      <c r="T1347" s="6">
        <f t="shared" si="35"/>
        <v>1346</v>
      </c>
      <c r="U1347" s="4" t="s">
        <v>194</v>
      </c>
    </row>
    <row r="1348" spans="19:21" x14ac:dyDescent="0.25">
      <c r="S1348" s="6" t="s">
        <v>302</v>
      </c>
      <c r="T1348" s="6">
        <f t="shared" si="35"/>
        <v>1347</v>
      </c>
      <c r="U1348" s="4" t="s">
        <v>194</v>
      </c>
    </row>
    <row r="1349" spans="19:21" x14ac:dyDescent="0.25">
      <c r="S1349" s="6" t="s">
        <v>302</v>
      </c>
      <c r="T1349" s="6">
        <f t="shared" ref="T1349:T1361" si="36">T1348+1</f>
        <v>1348</v>
      </c>
      <c r="U1349" s="4" t="s">
        <v>194</v>
      </c>
    </row>
    <row r="1350" spans="19:21" x14ac:dyDescent="0.25">
      <c r="S1350" s="6" t="s">
        <v>302</v>
      </c>
      <c r="T1350" s="6">
        <f t="shared" si="36"/>
        <v>1349</v>
      </c>
      <c r="U1350" s="4" t="s">
        <v>194</v>
      </c>
    </row>
    <row r="1351" spans="19:21" x14ac:dyDescent="0.25">
      <c r="S1351" s="6" t="s">
        <v>302</v>
      </c>
      <c r="T1351" s="6">
        <f t="shared" si="36"/>
        <v>1350</v>
      </c>
      <c r="U1351" s="4" t="s">
        <v>194</v>
      </c>
    </row>
    <row r="1352" spans="19:21" x14ac:dyDescent="0.25">
      <c r="S1352" s="6" t="s">
        <v>302</v>
      </c>
      <c r="T1352" s="6">
        <f t="shared" si="36"/>
        <v>1351</v>
      </c>
      <c r="U1352" s="4" t="s">
        <v>194</v>
      </c>
    </row>
    <row r="1353" spans="19:21" x14ac:dyDescent="0.25">
      <c r="S1353" s="6" t="s">
        <v>302</v>
      </c>
      <c r="T1353" s="6">
        <f t="shared" si="36"/>
        <v>1352</v>
      </c>
      <c r="U1353" s="4" t="s">
        <v>194</v>
      </c>
    </row>
    <row r="1354" spans="19:21" x14ac:dyDescent="0.25">
      <c r="S1354" s="6" t="s">
        <v>302</v>
      </c>
      <c r="T1354" s="6">
        <f t="shared" si="36"/>
        <v>1353</v>
      </c>
      <c r="U1354" s="4" t="s">
        <v>194</v>
      </c>
    </row>
    <row r="1355" spans="19:21" x14ac:dyDescent="0.25">
      <c r="S1355" s="6" t="s">
        <v>302</v>
      </c>
      <c r="T1355" s="6">
        <f t="shared" si="36"/>
        <v>1354</v>
      </c>
      <c r="U1355" s="4" t="s">
        <v>194</v>
      </c>
    </row>
    <row r="1356" spans="19:21" x14ac:dyDescent="0.25">
      <c r="S1356" s="6" t="s">
        <v>302</v>
      </c>
      <c r="T1356" s="6">
        <f t="shared" si="36"/>
        <v>1355</v>
      </c>
      <c r="U1356" s="4" t="s">
        <v>194</v>
      </c>
    </row>
    <row r="1357" spans="19:21" x14ac:dyDescent="0.25">
      <c r="S1357" s="6" t="s">
        <v>302</v>
      </c>
      <c r="T1357" s="6">
        <f t="shared" si="36"/>
        <v>1356</v>
      </c>
      <c r="U1357" s="4" t="s">
        <v>194</v>
      </c>
    </row>
    <row r="1358" spans="19:21" x14ac:dyDescent="0.25">
      <c r="S1358" s="6" t="s">
        <v>302</v>
      </c>
      <c r="T1358" s="6">
        <f t="shared" si="36"/>
        <v>1357</v>
      </c>
      <c r="U1358" s="4" t="s">
        <v>194</v>
      </c>
    </row>
    <row r="1359" spans="19:21" x14ac:dyDescent="0.25">
      <c r="S1359" s="6" t="s">
        <v>302</v>
      </c>
      <c r="T1359" s="6">
        <f t="shared" si="36"/>
        <v>1358</v>
      </c>
      <c r="U1359" s="4" t="s">
        <v>194</v>
      </c>
    </row>
    <row r="1360" spans="19:21" x14ac:dyDescent="0.25">
      <c r="S1360" s="6" t="s">
        <v>302</v>
      </c>
      <c r="T1360" s="6">
        <f t="shared" si="36"/>
        <v>1359</v>
      </c>
      <c r="U1360" s="4" t="s">
        <v>194</v>
      </c>
    </row>
    <row r="1361" spans="19:21" x14ac:dyDescent="0.25">
      <c r="S1361" s="6" t="s">
        <v>302</v>
      </c>
      <c r="T1361" s="6">
        <f t="shared" si="36"/>
        <v>1360</v>
      </c>
      <c r="U1361" s="4" t="s">
        <v>194</v>
      </c>
    </row>
    <row r="1362" spans="19:21" x14ac:dyDescent="0.25">
      <c r="S1362" s="6" t="s">
        <v>302</v>
      </c>
      <c r="T1362" s="6">
        <f t="shared" ref="T1362:T1363" si="37">T1361+1</f>
        <v>1361</v>
      </c>
      <c r="U1362" s="4" t="s">
        <v>194</v>
      </c>
    </row>
    <row r="1363" spans="19:21" x14ac:dyDescent="0.25">
      <c r="S1363" s="6" t="s">
        <v>302</v>
      </c>
      <c r="T1363" s="6">
        <f t="shared" si="37"/>
        <v>1362</v>
      </c>
      <c r="U1363" s="4" t="s">
        <v>194</v>
      </c>
    </row>
    <row r="1364" spans="19:21" x14ac:dyDescent="0.25">
      <c r="S1364" s="6" t="s">
        <v>302</v>
      </c>
      <c r="T1364" s="6">
        <f t="shared" ref="T1364:T1427" si="38">T1363+1</f>
        <v>1363</v>
      </c>
      <c r="U1364" s="4" t="s">
        <v>194</v>
      </c>
    </row>
    <row r="1365" spans="19:21" x14ac:dyDescent="0.25">
      <c r="S1365" s="6" t="s">
        <v>302</v>
      </c>
      <c r="T1365" s="6">
        <f t="shared" si="38"/>
        <v>1364</v>
      </c>
      <c r="U1365" s="4" t="s">
        <v>194</v>
      </c>
    </row>
    <row r="1366" spans="19:21" x14ac:dyDescent="0.25">
      <c r="S1366" s="6" t="s">
        <v>302</v>
      </c>
      <c r="T1366" s="6">
        <f t="shared" si="38"/>
        <v>1365</v>
      </c>
      <c r="U1366" s="4" t="s">
        <v>194</v>
      </c>
    </row>
    <row r="1367" spans="19:21" x14ac:dyDescent="0.25">
      <c r="S1367" s="6" t="s">
        <v>302</v>
      </c>
      <c r="T1367" s="6">
        <f t="shared" si="38"/>
        <v>1366</v>
      </c>
      <c r="U1367" s="4" t="s">
        <v>194</v>
      </c>
    </row>
    <row r="1368" spans="19:21" x14ac:dyDescent="0.25">
      <c r="S1368" s="6" t="s">
        <v>302</v>
      </c>
      <c r="T1368" s="6">
        <f t="shared" si="38"/>
        <v>1367</v>
      </c>
      <c r="U1368" s="4" t="s">
        <v>194</v>
      </c>
    </row>
    <row r="1369" spans="19:21" x14ac:dyDescent="0.25">
      <c r="S1369" s="6" t="s">
        <v>302</v>
      </c>
      <c r="T1369" s="6">
        <f t="shared" si="38"/>
        <v>1368</v>
      </c>
      <c r="U1369" s="4" t="s">
        <v>194</v>
      </c>
    </row>
    <row r="1370" spans="19:21" x14ac:dyDescent="0.25">
      <c r="S1370" s="6" t="s">
        <v>302</v>
      </c>
      <c r="T1370" s="6">
        <f t="shared" si="38"/>
        <v>1369</v>
      </c>
      <c r="U1370" s="4" t="s">
        <v>194</v>
      </c>
    </row>
    <row r="1371" spans="19:21" x14ac:dyDescent="0.25">
      <c r="S1371" s="6" t="s">
        <v>302</v>
      </c>
      <c r="T1371" s="6">
        <f t="shared" si="38"/>
        <v>1370</v>
      </c>
      <c r="U1371" s="4" t="s">
        <v>194</v>
      </c>
    </row>
    <row r="1372" spans="19:21" x14ac:dyDescent="0.25">
      <c r="S1372" s="6" t="s">
        <v>302</v>
      </c>
      <c r="T1372" s="6">
        <f t="shared" si="38"/>
        <v>1371</v>
      </c>
      <c r="U1372" s="4" t="s">
        <v>194</v>
      </c>
    </row>
    <row r="1373" spans="19:21" x14ac:dyDescent="0.25">
      <c r="S1373" s="6" t="s">
        <v>302</v>
      </c>
      <c r="T1373" s="6">
        <f t="shared" si="38"/>
        <v>1372</v>
      </c>
      <c r="U1373" s="4" t="s">
        <v>194</v>
      </c>
    </row>
    <row r="1374" spans="19:21" x14ac:dyDescent="0.25">
      <c r="S1374" s="6" t="s">
        <v>302</v>
      </c>
      <c r="T1374" s="6">
        <f t="shared" si="38"/>
        <v>1373</v>
      </c>
      <c r="U1374" s="4" t="s">
        <v>194</v>
      </c>
    </row>
    <row r="1375" spans="19:21" x14ac:dyDescent="0.25">
      <c r="S1375" s="6" t="s">
        <v>302</v>
      </c>
      <c r="T1375" s="6">
        <f t="shared" si="38"/>
        <v>1374</v>
      </c>
      <c r="U1375" s="4" t="s">
        <v>194</v>
      </c>
    </row>
    <row r="1376" spans="19:21" x14ac:dyDescent="0.25">
      <c r="S1376" s="6" t="s">
        <v>302</v>
      </c>
      <c r="T1376" s="6">
        <f t="shared" si="38"/>
        <v>1375</v>
      </c>
      <c r="U1376" s="4" t="s">
        <v>194</v>
      </c>
    </row>
    <row r="1377" spans="19:21" x14ac:dyDescent="0.25">
      <c r="S1377" s="6" t="s">
        <v>302</v>
      </c>
      <c r="T1377" s="6">
        <f t="shared" si="38"/>
        <v>1376</v>
      </c>
      <c r="U1377" s="4" t="s">
        <v>194</v>
      </c>
    </row>
    <row r="1378" spans="19:21" x14ac:dyDescent="0.25">
      <c r="S1378" s="6" t="s">
        <v>302</v>
      </c>
      <c r="T1378" s="6">
        <f t="shared" si="38"/>
        <v>1377</v>
      </c>
      <c r="U1378" s="4" t="s">
        <v>194</v>
      </c>
    </row>
    <row r="1379" spans="19:21" x14ac:dyDescent="0.25">
      <c r="S1379" s="6" t="s">
        <v>302</v>
      </c>
      <c r="T1379" s="6">
        <f t="shared" si="38"/>
        <v>1378</v>
      </c>
      <c r="U1379" s="4" t="s">
        <v>194</v>
      </c>
    </row>
    <row r="1380" spans="19:21" x14ac:dyDescent="0.25">
      <c r="S1380" s="6" t="s">
        <v>302</v>
      </c>
      <c r="T1380" s="6">
        <f t="shared" si="38"/>
        <v>1379</v>
      </c>
      <c r="U1380" s="4" t="s">
        <v>194</v>
      </c>
    </row>
    <row r="1381" spans="19:21" x14ac:dyDescent="0.25">
      <c r="S1381" s="6" t="s">
        <v>302</v>
      </c>
      <c r="T1381" s="6">
        <f t="shared" si="38"/>
        <v>1380</v>
      </c>
      <c r="U1381" s="4" t="s">
        <v>194</v>
      </c>
    </row>
    <row r="1382" spans="19:21" x14ac:dyDescent="0.25">
      <c r="S1382" s="6" t="s">
        <v>302</v>
      </c>
      <c r="T1382" s="6">
        <f t="shared" si="38"/>
        <v>1381</v>
      </c>
      <c r="U1382" s="4" t="s">
        <v>194</v>
      </c>
    </row>
    <row r="1383" spans="19:21" x14ac:dyDescent="0.25">
      <c r="S1383" s="6" t="s">
        <v>302</v>
      </c>
      <c r="T1383" s="6">
        <f t="shared" si="38"/>
        <v>1382</v>
      </c>
      <c r="U1383" s="4" t="s">
        <v>194</v>
      </c>
    </row>
    <row r="1384" spans="19:21" x14ac:dyDescent="0.25">
      <c r="S1384" s="6" t="s">
        <v>302</v>
      </c>
      <c r="T1384" s="6">
        <f t="shared" si="38"/>
        <v>1383</v>
      </c>
      <c r="U1384" s="4" t="s">
        <v>194</v>
      </c>
    </row>
    <row r="1385" spans="19:21" x14ac:dyDescent="0.25">
      <c r="S1385" s="6" t="s">
        <v>302</v>
      </c>
      <c r="T1385" s="6">
        <f t="shared" si="38"/>
        <v>1384</v>
      </c>
      <c r="U1385" s="4" t="s">
        <v>194</v>
      </c>
    </row>
    <row r="1386" spans="19:21" x14ac:dyDescent="0.25">
      <c r="S1386" s="6" t="s">
        <v>302</v>
      </c>
      <c r="T1386" s="6">
        <f t="shared" si="38"/>
        <v>1385</v>
      </c>
      <c r="U1386" s="4" t="s">
        <v>194</v>
      </c>
    </row>
    <row r="1387" spans="19:21" x14ac:dyDescent="0.25">
      <c r="S1387" s="6" t="s">
        <v>302</v>
      </c>
      <c r="T1387" s="6">
        <f t="shared" si="38"/>
        <v>1386</v>
      </c>
      <c r="U1387" s="4" t="s">
        <v>194</v>
      </c>
    </row>
    <row r="1388" spans="19:21" x14ac:dyDescent="0.25">
      <c r="S1388" s="6" t="s">
        <v>302</v>
      </c>
      <c r="T1388" s="6">
        <f t="shared" si="38"/>
        <v>1387</v>
      </c>
      <c r="U1388" s="4" t="s">
        <v>194</v>
      </c>
    </row>
    <row r="1389" spans="19:21" x14ac:dyDescent="0.25">
      <c r="S1389" s="6" t="s">
        <v>302</v>
      </c>
      <c r="T1389" s="6">
        <f t="shared" si="38"/>
        <v>1388</v>
      </c>
      <c r="U1389" s="4" t="s">
        <v>194</v>
      </c>
    </row>
    <row r="1390" spans="19:21" x14ac:dyDescent="0.25">
      <c r="S1390" s="6" t="s">
        <v>302</v>
      </c>
      <c r="T1390" s="6">
        <f t="shared" si="38"/>
        <v>1389</v>
      </c>
      <c r="U1390" s="4" t="s">
        <v>194</v>
      </c>
    </row>
    <row r="1391" spans="19:21" x14ac:dyDescent="0.25">
      <c r="S1391" s="6" t="s">
        <v>302</v>
      </c>
      <c r="T1391" s="6">
        <f t="shared" si="38"/>
        <v>1390</v>
      </c>
      <c r="U1391" s="4" t="s">
        <v>194</v>
      </c>
    </row>
    <row r="1392" spans="19:21" x14ac:dyDescent="0.25">
      <c r="S1392" s="6" t="s">
        <v>302</v>
      </c>
      <c r="T1392" s="6">
        <f t="shared" si="38"/>
        <v>1391</v>
      </c>
      <c r="U1392" s="4" t="s">
        <v>194</v>
      </c>
    </row>
    <row r="1393" spans="19:21" x14ac:dyDescent="0.25">
      <c r="S1393" s="6" t="s">
        <v>302</v>
      </c>
      <c r="T1393" s="6">
        <f t="shared" si="38"/>
        <v>1392</v>
      </c>
      <c r="U1393" s="4" t="s">
        <v>194</v>
      </c>
    </row>
    <row r="1394" spans="19:21" x14ac:dyDescent="0.25">
      <c r="S1394" s="6" t="s">
        <v>302</v>
      </c>
      <c r="T1394" s="6">
        <f t="shared" si="38"/>
        <v>1393</v>
      </c>
      <c r="U1394" s="4" t="s">
        <v>194</v>
      </c>
    </row>
    <row r="1395" spans="19:21" x14ac:dyDescent="0.25">
      <c r="S1395" s="6" t="s">
        <v>302</v>
      </c>
      <c r="T1395" s="6">
        <f t="shared" si="38"/>
        <v>1394</v>
      </c>
      <c r="U1395" s="4" t="s">
        <v>194</v>
      </c>
    </row>
    <row r="1396" spans="19:21" x14ac:dyDescent="0.25">
      <c r="S1396" s="6" t="s">
        <v>302</v>
      </c>
      <c r="T1396" s="6">
        <f t="shared" si="38"/>
        <v>1395</v>
      </c>
      <c r="U1396" s="4" t="s">
        <v>194</v>
      </c>
    </row>
    <row r="1397" spans="19:21" x14ac:dyDescent="0.25">
      <c r="S1397" s="6" t="s">
        <v>302</v>
      </c>
      <c r="T1397" s="6">
        <f t="shared" si="38"/>
        <v>1396</v>
      </c>
      <c r="U1397" s="4" t="s">
        <v>194</v>
      </c>
    </row>
    <row r="1398" spans="19:21" x14ac:dyDescent="0.25">
      <c r="S1398" s="6" t="s">
        <v>302</v>
      </c>
      <c r="T1398" s="6">
        <f t="shared" si="38"/>
        <v>1397</v>
      </c>
      <c r="U1398" s="4" t="s">
        <v>194</v>
      </c>
    </row>
    <row r="1399" spans="19:21" x14ac:dyDescent="0.25">
      <c r="S1399" s="6" t="s">
        <v>302</v>
      </c>
      <c r="T1399" s="6">
        <f t="shared" si="38"/>
        <v>1398</v>
      </c>
      <c r="U1399" s="4" t="s">
        <v>194</v>
      </c>
    </row>
    <row r="1400" spans="19:21" x14ac:dyDescent="0.25">
      <c r="S1400" s="6" t="s">
        <v>302</v>
      </c>
      <c r="T1400" s="6">
        <f t="shared" si="38"/>
        <v>1399</v>
      </c>
      <c r="U1400" s="4" t="s">
        <v>194</v>
      </c>
    </row>
    <row r="1401" spans="19:21" x14ac:dyDescent="0.25">
      <c r="S1401" s="6" t="s">
        <v>302</v>
      </c>
      <c r="T1401" s="6">
        <f t="shared" si="38"/>
        <v>1400</v>
      </c>
      <c r="U1401" s="4" t="s">
        <v>194</v>
      </c>
    </row>
    <row r="1402" spans="19:21" x14ac:dyDescent="0.25">
      <c r="S1402" s="6" t="s">
        <v>302</v>
      </c>
      <c r="T1402" s="6">
        <f t="shared" si="38"/>
        <v>1401</v>
      </c>
      <c r="U1402" s="4" t="s">
        <v>194</v>
      </c>
    </row>
    <row r="1403" spans="19:21" x14ac:dyDescent="0.25">
      <c r="S1403" s="6" t="s">
        <v>302</v>
      </c>
      <c r="T1403" s="6">
        <f t="shared" si="38"/>
        <v>1402</v>
      </c>
      <c r="U1403" s="4" t="s">
        <v>194</v>
      </c>
    </row>
    <row r="1404" spans="19:21" x14ac:dyDescent="0.25">
      <c r="S1404" s="6" t="s">
        <v>302</v>
      </c>
      <c r="T1404" s="6">
        <f t="shared" si="38"/>
        <v>1403</v>
      </c>
      <c r="U1404" s="4" t="s">
        <v>194</v>
      </c>
    </row>
    <row r="1405" spans="19:21" x14ac:dyDescent="0.25">
      <c r="S1405" s="6" t="s">
        <v>302</v>
      </c>
      <c r="T1405" s="6">
        <f t="shared" si="38"/>
        <v>1404</v>
      </c>
      <c r="U1405" s="4" t="s">
        <v>194</v>
      </c>
    </row>
    <row r="1406" spans="19:21" x14ac:dyDescent="0.25">
      <c r="S1406" s="6" t="s">
        <v>302</v>
      </c>
      <c r="T1406" s="6">
        <f t="shared" si="38"/>
        <v>1405</v>
      </c>
      <c r="U1406" s="4" t="s">
        <v>194</v>
      </c>
    </row>
    <row r="1407" spans="19:21" x14ac:dyDescent="0.25">
      <c r="S1407" s="6" t="s">
        <v>302</v>
      </c>
      <c r="T1407" s="6">
        <f t="shared" si="38"/>
        <v>1406</v>
      </c>
      <c r="U1407" s="4" t="s">
        <v>194</v>
      </c>
    </row>
    <row r="1408" spans="19:21" x14ac:dyDescent="0.25">
      <c r="S1408" s="6" t="s">
        <v>302</v>
      </c>
      <c r="T1408" s="6">
        <f t="shared" si="38"/>
        <v>1407</v>
      </c>
      <c r="U1408" s="4" t="s">
        <v>194</v>
      </c>
    </row>
    <row r="1409" spans="19:21" x14ac:dyDescent="0.25">
      <c r="S1409" s="6" t="s">
        <v>302</v>
      </c>
      <c r="T1409" s="6">
        <f t="shared" si="38"/>
        <v>1408</v>
      </c>
      <c r="U1409" s="4" t="s">
        <v>194</v>
      </c>
    </row>
    <row r="1410" spans="19:21" x14ac:dyDescent="0.25">
      <c r="S1410" s="6" t="s">
        <v>302</v>
      </c>
      <c r="T1410" s="6">
        <f t="shared" si="38"/>
        <v>1409</v>
      </c>
      <c r="U1410" s="4" t="s">
        <v>194</v>
      </c>
    </row>
    <row r="1411" spans="19:21" x14ac:dyDescent="0.25">
      <c r="S1411" s="6" t="s">
        <v>302</v>
      </c>
      <c r="T1411" s="6">
        <f t="shared" si="38"/>
        <v>1410</v>
      </c>
      <c r="U1411" s="4" t="s">
        <v>194</v>
      </c>
    </row>
    <row r="1412" spans="19:21" x14ac:dyDescent="0.25">
      <c r="S1412" s="6" t="s">
        <v>302</v>
      </c>
      <c r="T1412" s="6">
        <f t="shared" si="38"/>
        <v>1411</v>
      </c>
      <c r="U1412" s="4" t="s">
        <v>194</v>
      </c>
    </row>
    <row r="1413" spans="19:21" x14ac:dyDescent="0.25">
      <c r="S1413" s="6" t="s">
        <v>302</v>
      </c>
      <c r="T1413" s="6">
        <f t="shared" si="38"/>
        <v>1412</v>
      </c>
      <c r="U1413" s="4" t="s">
        <v>194</v>
      </c>
    </row>
    <row r="1414" spans="19:21" x14ac:dyDescent="0.25">
      <c r="S1414" s="6" t="s">
        <v>302</v>
      </c>
      <c r="T1414" s="6">
        <f t="shared" si="38"/>
        <v>1413</v>
      </c>
      <c r="U1414" s="4" t="s">
        <v>194</v>
      </c>
    </row>
    <row r="1415" spans="19:21" x14ac:dyDescent="0.25">
      <c r="S1415" s="6" t="s">
        <v>302</v>
      </c>
      <c r="T1415" s="6">
        <f t="shared" si="38"/>
        <v>1414</v>
      </c>
      <c r="U1415" s="4" t="s">
        <v>194</v>
      </c>
    </row>
    <row r="1416" spans="19:21" x14ac:dyDescent="0.25">
      <c r="S1416" s="6" t="s">
        <v>302</v>
      </c>
      <c r="T1416" s="6">
        <f t="shared" si="38"/>
        <v>1415</v>
      </c>
      <c r="U1416" s="4" t="s">
        <v>194</v>
      </c>
    </row>
    <row r="1417" spans="19:21" x14ac:dyDescent="0.25">
      <c r="S1417" s="6" t="s">
        <v>302</v>
      </c>
      <c r="T1417" s="6">
        <f t="shared" si="38"/>
        <v>1416</v>
      </c>
      <c r="U1417" s="4" t="s">
        <v>194</v>
      </c>
    </row>
    <row r="1418" spans="19:21" x14ac:dyDescent="0.25">
      <c r="S1418" s="6" t="s">
        <v>302</v>
      </c>
      <c r="T1418" s="6">
        <f t="shared" si="38"/>
        <v>1417</v>
      </c>
      <c r="U1418" s="4" t="s">
        <v>194</v>
      </c>
    </row>
    <row r="1419" spans="19:21" x14ac:dyDescent="0.25">
      <c r="S1419" s="6" t="s">
        <v>302</v>
      </c>
      <c r="T1419" s="6">
        <f t="shared" si="38"/>
        <v>1418</v>
      </c>
      <c r="U1419" s="4" t="s">
        <v>194</v>
      </c>
    </row>
    <row r="1420" spans="19:21" x14ac:dyDescent="0.25">
      <c r="S1420" s="6" t="s">
        <v>302</v>
      </c>
      <c r="T1420" s="6">
        <f t="shared" si="38"/>
        <v>1419</v>
      </c>
      <c r="U1420" s="4" t="s">
        <v>194</v>
      </c>
    </row>
    <row r="1421" spans="19:21" x14ac:dyDescent="0.25">
      <c r="S1421" s="6" t="s">
        <v>302</v>
      </c>
      <c r="T1421" s="6">
        <f t="shared" si="38"/>
        <v>1420</v>
      </c>
      <c r="U1421" s="4" t="s">
        <v>194</v>
      </c>
    </row>
    <row r="1422" spans="19:21" x14ac:dyDescent="0.25">
      <c r="S1422" s="6" t="s">
        <v>302</v>
      </c>
      <c r="T1422" s="6">
        <f t="shared" si="38"/>
        <v>1421</v>
      </c>
      <c r="U1422" s="4" t="s">
        <v>194</v>
      </c>
    </row>
    <row r="1423" spans="19:21" x14ac:dyDescent="0.25">
      <c r="S1423" s="6" t="s">
        <v>302</v>
      </c>
      <c r="T1423" s="6">
        <f t="shared" si="38"/>
        <v>1422</v>
      </c>
      <c r="U1423" s="4" t="s">
        <v>194</v>
      </c>
    </row>
    <row r="1424" spans="19:21" x14ac:dyDescent="0.25">
      <c r="S1424" s="6" t="s">
        <v>302</v>
      </c>
      <c r="T1424" s="6">
        <f t="shared" si="38"/>
        <v>1423</v>
      </c>
      <c r="U1424" s="4" t="s">
        <v>194</v>
      </c>
    </row>
    <row r="1425" spans="19:21" x14ac:dyDescent="0.25">
      <c r="S1425" s="6" t="s">
        <v>302</v>
      </c>
      <c r="T1425" s="6">
        <f t="shared" si="38"/>
        <v>1424</v>
      </c>
      <c r="U1425" s="4" t="s">
        <v>194</v>
      </c>
    </row>
    <row r="1426" spans="19:21" x14ac:dyDescent="0.25">
      <c r="S1426" s="6" t="s">
        <v>302</v>
      </c>
      <c r="T1426" s="6">
        <f t="shared" si="38"/>
        <v>1425</v>
      </c>
      <c r="U1426" s="4" t="s">
        <v>194</v>
      </c>
    </row>
    <row r="1427" spans="19:21" x14ac:dyDescent="0.25">
      <c r="S1427" s="6" t="s">
        <v>302</v>
      </c>
      <c r="T1427" s="6">
        <f t="shared" si="38"/>
        <v>1426</v>
      </c>
      <c r="U1427" s="4" t="s">
        <v>194</v>
      </c>
    </row>
    <row r="1428" spans="19:21" x14ac:dyDescent="0.25">
      <c r="S1428" s="6" t="s">
        <v>302</v>
      </c>
      <c r="T1428" s="6">
        <f t="shared" ref="T1428:T1491" si="39">T1427+1</f>
        <v>1427</v>
      </c>
      <c r="U1428" s="4" t="s">
        <v>194</v>
      </c>
    </row>
    <row r="1429" spans="19:21" x14ac:dyDescent="0.25">
      <c r="S1429" s="6" t="s">
        <v>302</v>
      </c>
      <c r="T1429" s="6">
        <f t="shared" si="39"/>
        <v>1428</v>
      </c>
      <c r="U1429" s="4" t="s">
        <v>194</v>
      </c>
    </row>
    <row r="1430" spans="19:21" x14ac:dyDescent="0.25">
      <c r="S1430" s="6" t="s">
        <v>302</v>
      </c>
      <c r="T1430" s="6">
        <f t="shared" si="39"/>
        <v>1429</v>
      </c>
      <c r="U1430" s="4" t="s">
        <v>194</v>
      </c>
    </row>
    <row r="1431" spans="19:21" x14ac:dyDescent="0.25">
      <c r="S1431" s="6" t="s">
        <v>302</v>
      </c>
      <c r="T1431" s="6">
        <f t="shared" si="39"/>
        <v>1430</v>
      </c>
      <c r="U1431" s="4" t="s">
        <v>194</v>
      </c>
    </row>
    <row r="1432" spans="19:21" x14ac:dyDescent="0.25">
      <c r="S1432" s="6" t="s">
        <v>302</v>
      </c>
      <c r="T1432" s="6">
        <f t="shared" si="39"/>
        <v>1431</v>
      </c>
      <c r="U1432" s="4" t="s">
        <v>194</v>
      </c>
    </row>
    <row r="1433" spans="19:21" x14ac:dyDescent="0.25">
      <c r="S1433" s="6" t="s">
        <v>302</v>
      </c>
      <c r="T1433" s="6">
        <f t="shared" si="39"/>
        <v>1432</v>
      </c>
      <c r="U1433" s="4" t="s">
        <v>194</v>
      </c>
    </row>
    <row r="1434" spans="19:21" x14ac:dyDescent="0.25">
      <c r="S1434" s="6" t="s">
        <v>302</v>
      </c>
      <c r="T1434" s="6">
        <f t="shared" si="39"/>
        <v>1433</v>
      </c>
      <c r="U1434" s="4" t="s">
        <v>194</v>
      </c>
    </row>
    <row r="1435" spans="19:21" x14ac:dyDescent="0.25">
      <c r="S1435" s="6" t="s">
        <v>302</v>
      </c>
      <c r="T1435" s="6">
        <f t="shared" si="39"/>
        <v>1434</v>
      </c>
      <c r="U1435" s="4" t="s">
        <v>194</v>
      </c>
    </row>
    <row r="1436" spans="19:21" x14ac:dyDescent="0.25">
      <c r="S1436" s="6" t="s">
        <v>302</v>
      </c>
      <c r="T1436" s="6">
        <f t="shared" si="39"/>
        <v>1435</v>
      </c>
      <c r="U1436" s="4" t="s">
        <v>194</v>
      </c>
    </row>
    <row r="1437" spans="19:21" x14ac:dyDescent="0.25">
      <c r="S1437" s="6" t="s">
        <v>302</v>
      </c>
      <c r="T1437" s="6">
        <f t="shared" si="39"/>
        <v>1436</v>
      </c>
      <c r="U1437" s="4" t="s">
        <v>194</v>
      </c>
    </row>
    <row r="1438" spans="19:21" x14ac:dyDescent="0.25">
      <c r="S1438" s="6" t="s">
        <v>302</v>
      </c>
      <c r="T1438" s="6">
        <f t="shared" si="39"/>
        <v>1437</v>
      </c>
      <c r="U1438" s="4" t="s">
        <v>194</v>
      </c>
    </row>
    <row r="1439" spans="19:21" x14ac:dyDescent="0.25">
      <c r="S1439" s="6" t="s">
        <v>302</v>
      </c>
      <c r="T1439" s="6">
        <f t="shared" si="39"/>
        <v>1438</v>
      </c>
      <c r="U1439" s="4" t="s">
        <v>194</v>
      </c>
    </row>
    <row r="1440" spans="19:21" x14ac:dyDescent="0.25">
      <c r="S1440" s="6" t="s">
        <v>302</v>
      </c>
      <c r="T1440" s="6">
        <f t="shared" si="39"/>
        <v>1439</v>
      </c>
      <c r="U1440" s="4" t="s">
        <v>194</v>
      </c>
    </row>
    <row r="1441" spans="19:21" x14ac:dyDescent="0.25">
      <c r="S1441" s="6" t="s">
        <v>302</v>
      </c>
      <c r="T1441" s="6">
        <f t="shared" si="39"/>
        <v>1440</v>
      </c>
      <c r="U1441" s="4" t="s">
        <v>194</v>
      </c>
    </row>
    <row r="1442" spans="19:21" x14ac:dyDescent="0.25">
      <c r="S1442" s="6" t="s">
        <v>302</v>
      </c>
      <c r="T1442" s="6">
        <f t="shared" si="39"/>
        <v>1441</v>
      </c>
      <c r="U1442" s="4" t="s">
        <v>194</v>
      </c>
    </row>
    <row r="1443" spans="19:21" x14ac:dyDescent="0.25">
      <c r="S1443" s="6" t="s">
        <v>302</v>
      </c>
      <c r="T1443" s="6">
        <f t="shared" si="39"/>
        <v>1442</v>
      </c>
      <c r="U1443" s="4" t="s">
        <v>194</v>
      </c>
    </row>
    <row r="1444" spans="19:21" x14ac:dyDescent="0.25">
      <c r="S1444" s="6" t="s">
        <v>302</v>
      </c>
      <c r="T1444" s="6">
        <f t="shared" si="39"/>
        <v>1443</v>
      </c>
      <c r="U1444" s="4" t="s">
        <v>194</v>
      </c>
    </row>
    <row r="1445" spans="19:21" x14ac:dyDescent="0.25">
      <c r="S1445" s="6" t="s">
        <v>302</v>
      </c>
      <c r="T1445" s="6">
        <f t="shared" si="39"/>
        <v>1444</v>
      </c>
      <c r="U1445" s="4" t="s">
        <v>194</v>
      </c>
    </row>
    <row r="1446" spans="19:21" x14ac:dyDescent="0.25">
      <c r="S1446" s="6" t="s">
        <v>302</v>
      </c>
      <c r="T1446" s="6">
        <f t="shared" si="39"/>
        <v>1445</v>
      </c>
      <c r="U1446" s="4" t="s">
        <v>194</v>
      </c>
    </row>
    <row r="1447" spans="19:21" x14ac:dyDescent="0.25">
      <c r="S1447" s="6" t="s">
        <v>302</v>
      </c>
      <c r="T1447" s="6">
        <f t="shared" si="39"/>
        <v>1446</v>
      </c>
      <c r="U1447" s="4" t="s">
        <v>194</v>
      </c>
    </row>
    <row r="1448" spans="19:21" x14ac:dyDescent="0.25">
      <c r="S1448" s="6" t="s">
        <v>302</v>
      </c>
      <c r="T1448" s="6">
        <f t="shared" si="39"/>
        <v>1447</v>
      </c>
      <c r="U1448" s="4" t="s">
        <v>194</v>
      </c>
    </row>
    <row r="1449" spans="19:21" x14ac:dyDescent="0.25">
      <c r="S1449" s="6" t="s">
        <v>302</v>
      </c>
      <c r="T1449" s="6">
        <f t="shared" si="39"/>
        <v>1448</v>
      </c>
      <c r="U1449" s="4" t="s">
        <v>194</v>
      </c>
    </row>
    <row r="1450" spans="19:21" x14ac:dyDescent="0.25">
      <c r="S1450" s="6" t="s">
        <v>302</v>
      </c>
      <c r="T1450" s="6">
        <f t="shared" si="39"/>
        <v>1449</v>
      </c>
      <c r="U1450" s="4" t="s">
        <v>194</v>
      </c>
    </row>
    <row r="1451" spans="19:21" x14ac:dyDescent="0.25">
      <c r="S1451" s="6" t="s">
        <v>302</v>
      </c>
      <c r="T1451" s="6">
        <f t="shared" si="39"/>
        <v>1450</v>
      </c>
      <c r="U1451" s="4" t="s">
        <v>194</v>
      </c>
    </row>
    <row r="1452" spans="19:21" x14ac:dyDescent="0.25">
      <c r="S1452" s="6" t="s">
        <v>302</v>
      </c>
      <c r="T1452" s="6">
        <f t="shared" si="39"/>
        <v>1451</v>
      </c>
      <c r="U1452" s="4" t="s">
        <v>194</v>
      </c>
    </row>
    <row r="1453" spans="19:21" x14ac:dyDescent="0.25">
      <c r="S1453" s="6" t="s">
        <v>302</v>
      </c>
      <c r="T1453" s="6">
        <f t="shared" si="39"/>
        <v>1452</v>
      </c>
      <c r="U1453" s="4" t="s">
        <v>194</v>
      </c>
    </row>
    <row r="1454" spans="19:21" x14ac:dyDescent="0.25">
      <c r="S1454" s="6" t="s">
        <v>302</v>
      </c>
      <c r="T1454" s="6">
        <f t="shared" si="39"/>
        <v>1453</v>
      </c>
      <c r="U1454" s="4" t="s">
        <v>194</v>
      </c>
    </row>
    <row r="1455" spans="19:21" x14ac:dyDescent="0.25">
      <c r="S1455" s="6" t="s">
        <v>302</v>
      </c>
      <c r="T1455" s="6">
        <f t="shared" si="39"/>
        <v>1454</v>
      </c>
      <c r="U1455" s="4" t="s">
        <v>194</v>
      </c>
    </row>
    <row r="1456" spans="19:21" x14ac:dyDescent="0.25">
      <c r="S1456" s="6" t="s">
        <v>302</v>
      </c>
      <c r="T1456" s="6">
        <f t="shared" si="39"/>
        <v>1455</v>
      </c>
      <c r="U1456" s="4" t="s">
        <v>194</v>
      </c>
    </row>
    <row r="1457" spans="19:21" x14ac:dyDescent="0.25">
      <c r="S1457" s="6" t="s">
        <v>302</v>
      </c>
      <c r="T1457" s="6">
        <f t="shared" si="39"/>
        <v>1456</v>
      </c>
      <c r="U1457" s="4" t="s">
        <v>194</v>
      </c>
    </row>
    <row r="1458" spans="19:21" x14ac:dyDescent="0.25">
      <c r="S1458" s="6" t="s">
        <v>302</v>
      </c>
      <c r="T1458" s="6">
        <f t="shared" si="39"/>
        <v>1457</v>
      </c>
      <c r="U1458" s="4" t="s">
        <v>194</v>
      </c>
    </row>
    <row r="1459" spans="19:21" x14ac:dyDescent="0.25">
      <c r="S1459" s="6" t="s">
        <v>302</v>
      </c>
      <c r="T1459" s="6">
        <f t="shared" si="39"/>
        <v>1458</v>
      </c>
      <c r="U1459" s="4" t="s">
        <v>194</v>
      </c>
    </row>
    <row r="1460" spans="19:21" x14ac:dyDescent="0.25">
      <c r="S1460" s="6" t="s">
        <v>302</v>
      </c>
      <c r="T1460" s="6">
        <f t="shared" si="39"/>
        <v>1459</v>
      </c>
      <c r="U1460" s="4" t="s">
        <v>194</v>
      </c>
    </row>
    <row r="1461" spans="19:21" x14ac:dyDescent="0.25">
      <c r="S1461" s="6" t="s">
        <v>302</v>
      </c>
      <c r="T1461" s="6">
        <f t="shared" si="39"/>
        <v>1460</v>
      </c>
      <c r="U1461" s="4" t="s">
        <v>194</v>
      </c>
    </row>
    <row r="1462" spans="19:21" x14ac:dyDescent="0.25">
      <c r="S1462" s="6" t="s">
        <v>302</v>
      </c>
      <c r="T1462" s="6">
        <f t="shared" si="39"/>
        <v>1461</v>
      </c>
      <c r="U1462" s="4" t="s">
        <v>194</v>
      </c>
    </row>
    <row r="1463" spans="19:21" x14ac:dyDescent="0.25">
      <c r="S1463" s="6" t="s">
        <v>302</v>
      </c>
      <c r="T1463" s="6">
        <f t="shared" si="39"/>
        <v>1462</v>
      </c>
      <c r="U1463" s="4" t="s">
        <v>194</v>
      </c>
    </row>
    <row r="1464" spans="19:21" x14ac:dyDescent="0.25">
      <c r="S1464" s="6" t="s">
        <v>302</v>
      </c>
      <c r="T1464" s="6">
        <f t="shared" si="39"/>
        <v>1463</v>
      </c>
      <c r="U1464" s="4" t="s">
        <v>194</v>
      </c>
    </row>
    <row r="1465" spans="19:21" x14ac:dyDescent="0.25">
      <c r="S1465" s="6" t="s">
        <v>302</v>
      </c>
      <c r="T1465" s="6">
        <f t="shared" si="39"/>
        <v>1464</v>
      </c>
      <c r="U1465" s="4" t="s">
        <v>194</v>
      </c>
    </row>
    <row r="1466" spans="19:21" x14ac:dyDescent="0.25">
      <c r="S1466" s="6" t="s">
        <v>302</v>
      </c>
      <c r="T1466" s="6">
        <f t="shared" si="39"/>
        <v>1465</v>
      </c>
      <c r="U1466" s="4" t="s">
        <v>194</v>
      </c>
    </row>
    <row r="1467" spans="19:21" x14ac:dyDescent="0.25">
      <c r="S1467" s="6" t="s">
        <v>302</v>
      </c>
      <c r="T1467" s="6">
        <f t="shared" si="39"/>
        <v>1466</v>
      </c>
      <c r="U1467" s="4" t="s">
        <v>194</v>
      </c>
    </row>
    <row r="1468" spans="19:21" x14ac:dyDescent="0.25">
      <c r="S1468" s="6" t="s">
        <v>302</v>
      </c>
      <c r="T1468" s="6">
        <f t="shared" si="39"/>
        <v>1467</v>
      </c>
      <c r="U1468" s="4" t="s">
        <v>194</v>
      </c>
    </row>
    <row r="1469" spans="19:21" x14ac:dyDescent="0.25">
      <c r="S1469" s="6" t="s">
        <v>302</v>
      </c>
      <c r="T1469" s="6">
        <f t="shared" si="39"/>
        <v>1468</v>
      </c>
      <c r="U1469" s="4" t="s">
        <v>194</v>
      </c>
    </row>
    <row r="1470" spans="19:21" x14ac:dyDescent="0.25">
      <c r="S1470" s="6" t="s">
        <v>302</v>
      </c>
      <c r="T1470" s="6">
        <f t="shared" si="39"/>
        <v>1469</v>
      </c>
      <c r="U1470" s="4" t="s">
        <v>194</v>
      </c>
    </row>
    <row r="1471" spans="19:21" x14ac:dyDescent="0.25">
      <c r="S1471" s="6" t="s">
        <v>302</v>
      </c>
      <c r="T1471" s="6">
        <f t="shared" si="39"/>
        <v>1470</v>
      </c>
      <c r="U1471" s="4" t="s">
        <v>194</v>
      </c>
    </row>
    <row r="1472" spans="19:21" x14ac:dyDescent="0.25">
      <c r="S1472" s="6" t="s">
        <v>302</v>
      </c>
      <c r="T1472" s="6">
        <f t="shared" si="39"/>
        <v>1471</v>
      </c>
      <c r="U1472" s="4" t="s">
        <v>194</v>
      </c>
    </row>
    <row r="1473" spans="19:21" x14ac:dyDescent="0.25">
      <c r="S1473" s="6" t="s">
        <v>302</v>
      </c>
      <c r="T1473" s="6">
        <f t="shared" si="39"/>
        <v>1472</v>
      </c>
      <c r="U1473" s="4" t="s">
        <v>194</v>
      </c>
    </row>
    <row r="1474" spans="19:21" x14ac:dyDescent="0.25">
      <c r="S1474" s="6" t="s">
        <v>302</v>
      </c>
      <c r="T1474" s="6">
        <f t="shared" si="39"/>
        <v>1473</v>
      </c>
      <c r="U1474" s="4" t="s">
        <v>194</v>
      </c>
    </row>
    <row r="1475" spans="19:21" x14ac:dyDescent="0.25">
      <c r="S1475" s="6" t="s">
        <v>302</v>
      </c>
      <c r="T1475" s="6">
        <f t="shared" si="39"/>
        <v>1474</v>
      </c>
      <c r="U1475" s="4" t="s">
        <v>194</v>
      </c>
    </row>
    <row r="1476" spans="19:21" x14ac:dyDescent="0.25">
      <c r="S1476" s="6" t="s">
        <v>302</v>
      </c>
      <c r="T1476" s="6">
        <f t="shared" si="39"/>
        <v>1475</v>
      </c>
      <c r="U1476" s="4" t="s">
        <v>194</v>
      </c>
    </row>
    <row r="1477" spans="19:21" x14ac:dyDescent="0.25">
      <c r="S1477" s="6" t="s">
        <v>302</v>
      </c>
      <c r="T1477" s="6">
        <f t="shared" si="39"/>
        <v>1476</v>
      </c>
      <c r="U1477" s="4" t="s">
        <v>194</v>
      </c>
    </row>
    <row r="1478" spans="19:21" x14ac:dyDescent="0.25">
      <c r="S1478" s="6" t="s">
        <v>302</v>
      </c>
      <c r="T1478" s="6">
        <f t="shared" si="39"/>
        <v>1477</v>
      </c>
      <c r="U1478" s="4" t="s">
        <v>194</v>
      </c>
    </row>
    <row r="1479" spans="19:21" x14ac:dyDescent="0.25">
      <c r="S1479" s="6" t="s">
        <v>302</v>
      </c>
      <c r="T1479" s="6">
        <f t="shared" si="39"/>
        <v>1478</v>
      </c>
      <c r="U1479" s="4" t="s">
        <v>194</v>
      </c>
    </row>
    <row r="1480" spans="19:21" x14ac:dyDescent="0.25">
      <c r="S1480" s="6" t="s">
        <v>302</v>
      </c>
      <c r="T1480" s="6">
        <f t="shared" si="39"/>
        <v>1479</v>
      </c>
      <c r="U1480" s="4" t="s">
        <v>194</v>
      </c>
    </row>
    <row r="1481" spans="19:21" x14ac:dyDescent="0.25">
      <c r="S1481" s="6" t="s">
        <v>302</v>
      </c>
      <c r="T1481" s="6">
        <f t="shared" si="39"/>
        <v>1480</v>
      </c>
      <c r="U1481" s="4" t="s">
        <v>194</v>
      </c>
    </row>
    <row r="1482" spans="19:21" x14ac:dyDescent="0.25">
      <c r="S1482" s="6" t="s">
        <v>302</v>
      </c>
      <c r="T1482" s="6">
        <f t="shared" si="39"/>
        <v>1481</v>
      </c>
      <c r="U1482" s="4" t="s">
        <v>194</v>
      </c>
    </row>
    <row r="1483" spans="19:21" x14ac:dyDescent="0.25">
      <c r="S1483" s="6" t="s">
        <v>302</v>
      </c>
      <c r="T1483" s="6">
        <f t="shared" si="39"/>
        <v>1482</v>
      </c>
      <c r="U1483" s="4" t="s">
        <v>194</v>
      </c>
    </row>
    <row r="1484" spans="19:21" x14ac:dyDescent="0.25">
      <c r="S1484" s="6" t="s">
        <v>302</v>
      </c>
      <c r="T1484" s="6">
        <f t="shared" si="39"/>
        <v>1483</v>
      </c>
      <c r="U1484" s="4" t="s">
        <v>194</v>
      </c>
    </row>
    <row r="1485" spans="19:21" x14ac:dyDescent="0.25">
      <c r="S1485" s="6" t="s">
        <v>302</v>
      </c>
      <c r="T1485" s="6">
        <f t="shared" si="39"/>
        <v>1484</v>
      </c>
      <c r="U1485" s="4" t="s">
        <v>194</v>
      </c>
    </row>
    <row r="1486" spans="19:21" x14ac:dyDescent="0.25">
      <c r="S1486" s="6" t="s">
        <v>302</v>
      </c>
      <c r="T1486" s="6">
        <f t="shared" si="39"/>
        <v>1485</v>
      </c>
      <c r="U1486" s="4" t="s">
        <v>194</v>
      </c>
    </row>
    <row r="1487" spans="19:21" x14ac:dyDescent="0.25">
      <c r="S1487" s="6" t="s">
        <v>302</v>
      </c>
      <c r="T1487" s="6">
        <f t="shared" si="39"/>
        <v>1486</v>
      </c>
      <c r="U1487" s="4" t="s">
        <v>194</v>
      </c>
    </row>
    <row r="1488" spans="19:21" x14ac:dyDescent="0.25">
      <c r="S1488" s="6" t="s">
        <v>302</v>
      </c>
      <c r="T1488" s="6">
        <f t="shared" si="39"/>
        <v>1487</v>
      </c>
      <c r="U1488" s="4" t="s">
        <v>194</v>
      </c>
    </row>
    <row r="1489" spans="19:21" x14ac:dyDescent="0.25">
      <c r="S1489" s="6" t="s">
        <v>302</v>
      </c>
      <c r="T1489" s="6">
        <f t="shared" si="39"/>
        <v>1488</v>
      </c>
      <c r="U1489" s="4" t="s">
        <v>194</v>
      </c>
    </row>
    <row r="1490" spans="19:21" x14ac:dyDescent="0.25">
      <c r="S1490" s="6" t="s">
        <v>302</v>
      </c>
      <c r="T1490" s="6">
        <f t="shared" si="39"/>
        <v>1489</v>
      </c>
      <c r="U1490" s="4" t="s">
        <v>194</v>
      </c>
    </row>
    <row r="1491" spans="19:21" x14ac:dyDescent="0.25">
      <c r="S1491" s="6" t="s">
        <v>302</v>
      </c>
      <c r="T1491" s="6">
        <f t="shared" si="39"/>
        <v>1490</v>
      </c>
      <c r="U1491" s="4" t="s">
        <v>194</v>
      </c>
    </row>
    <row r="1492" spans="19:21" x14ac:dyDescent="0.25">
      <c r="S1492" s="6" t="s">
        <v>302</v>
      </c>
      <c r="T1492" s="6">
        <f t="shared" ref="T1492:T1555" si="40">T1491+1</f>
        <v>1491</v>
      </c>
      <c r="U1492" s="4" t="s">
        <v>194</v>
      </c>
    </row>
    <row r="1493" spans="19:21" x14ac:dyDescent="0.25">
      <c r="S1493" s="6" t="s">
        <v>302</v>
      </c>
      <c r="T1493" s="6">
        <f t="shared" si="40"/>
        <v>1492</v>
      </c>
      <c r="U1493" s="4" t="s">
        <v>194</v>
      </c>
    </row>
    <row r="1494" spans="19:21" x14ac:dyDescent="0.25">
      <c r="S1494" s="6" t="s">
        <v>302</v>
      </c>
      <c r="T1494" s="6">
        <f t="shared" si="40"/>
        <v>1493</v>
      </c>
      <c r="U1494" s="4" t="s">
        <v>194</v>
      </c>
    </row>
    <row r="1495" spans="19:21" x14ac:dyDescent="0.25">
      <c r="S1495" s="6" t="s">
        <v>302</v>
      </c>
      <c r="T1495" s="6">
        <f t="shared" si="40"/>
        <v>1494</v>
      </c>
      <c r="U1495" s="4" t="s">
        <v>194</v>
      </c>
    </row>
    <row r="1496" spans="19:21" x14ac:dyDescent="0.25">
      <c r="S1496" s="6" t="s">
        <v>302</v>
      </c>
      <c r="T1496" s="6">
        <f t="shared" si="40"/>
        <v>1495</v>
      </c>
      <c r="U1496" s="4" t="s">
        <v>194</v>
      </c>
    </row>
    <row r="1497" spans="19:21" x14ac:dyDescent="0.25">
      <c r="S1497" s="6" t="s">
        <v>302</v>
      </c>
      <c r="T1497" s="6">
        <f t="shared" si="40"/>
        <v>1496</v>
      </c>
      <c r="U1497" s="4" t="s">
        <v>194</v>
      </c>
    </row>
    <row r="1498" spans="19:21" x14ac:dyDescent="0.25">
      <c r="S1498" s="6" t="s">
        <v>302</v>
      </c>
      <c r="T1498" s="6">
        <f t="shared" si="40"/>
        <v>1497</v>
      </c>
      <c r="U1498" s="4" t="s">
        <v>194</v>
      </c>
    </row>
    <row r="1499" spans="19:21" x14ac:dyDescent="0.25">
      <c r="S1499" s="6" t="s">
        <v>302</v>
      </c>
      <c r="T1499" s="6">
        <f t="shared" si="40"/>
        <v>1498</v>
      </c>
      <c r="U1499" s="4" t="s">
        <v>194</v>
      </c>
    </row>
    <row r="1500" spans="19:21" x14ac:dyDescent="0.25">
      <c r="S1500" s="6" t="s">
        <v>302</v>
      </c>
      <c r="T1500" s="6">
        <f t="shared" si="40"/>
        <v>1499</v>
      </c>
      <c r="U1500" s="4" t="s">
        <v>194</v>
      </c>
    </row>
    <row r="1501" spans="19:21" x14ac:dyDescent="0.25">
      <c r="S1501" s="6" t="s">
        <v>302</v>
      </c>
      <c r="T1501" s="6">
        <f t="shared" si="40"/>
        <v>1500</v>
      </c>
      <c r="U1501" s="4" t="s">
        <v>194</v>
      </c>
    </row>
    <row r="1502" spans="19:21" x14ac:dyDescent="0.25">
      <c r="S1502" s="6" t="s">
        <v>302</v>
      </c>
      <c r="T1502" s="6">
        <f t="shared" si="40"/>
        <v>1501</v>
      </c>
      <c r="U1502" s="4" t="s">
        <v>194</v>
      </c>
    </row>
    <row r="1503" spans="19:21" x14ac:dyDescent="0.25">
      <c r="S1503" s="6" t="s">
        <v>302</v>
      </c>
      <c r="T1503" s="6">
        <f t="shared" si="40"/>
        <v>1502</v>
      </c>
      <c r="U1503" s="4" t="s">
        <v>194</v>
      </c>
    </row>
    <row r="1504" spans="19:21" x14ac:dyDescent="0.25">
      <c r="S1504" s="6" t="s">
        <v>302</v>
      </c>
      <c r="T1504" s="6">
        <f t="shared" si="40"/>
        <v>1503</v>
      </c>
      <c r="U1504" s="4" t="s">
        <v>194</v>
      </c>
    </row>
    <row r="1505" spans="19:21" x14ac:dyDescent="0.25">
      <c r="S1505" s="6" t="s">
        <v>302</v>
      </c>
      <c r="T1505" s="6">
        <f t="shared" si="40"/>
        <v>1504</v>
      </c>
      <c r="U1505" s="4" t="s">
        <v>194</v>
      </c>
    </row>
    <row r="1506" spans="19:21" x14ac:dyDescent="0.25">
      <c r="S1506" s="6" t="s">
        <v>302</v>
      </c>
      <c r="T1506" s="6">
        <f t="shared" si="40"/>
        <v>1505</v>
      </c>
      <c r="U1506" s="4" t="s">
        <v>194</v>
      </c>
    </row>
    <row r="1507" spans="19:21" x14ac:dyDescent="0.25">
      <c r="S1507" s="6" t="s">
        <v>302</v>
      </c>
      <c r="T1507" s="6">
        <f t="shared" si="40"/>
        <v>1506</v>
      </c>
      <c r="U1507" s="4" t="s">
        <v>194</v>
      </c>
    </row>
    <row r="1508" spans="19:21" x14ac:dyDescent="0.25">
      <c r="S1508" s="6" t="s">
        <v>302</v>
      </c>
      <c r="T1508" s="6">
        <f t="shared" si="40"/>
        <v>1507</v>
      </c>
      <c r="U1508" s="4" t="s">
        <v>194</v>
      </c>
    </row>
    <row r="1509" spans="19:21" x14ac:dyDescent="0.25">
      <c r="S1509" s="6" t="s">
        <v>302</v>
      </c>
      <c r="T1509" s="6">
        <f t="shared" si="40"/>
        <v>1508</v>
      </c>
      <c r="U1509" s="4" t="s">
        <v>194</v>
      </c>
    </row>
    <row r="1510" spans="19:21" x14ac:dyDescent="0.25">
      <c r="S1510" s="6" t="s">
        <v>302</v>
      </c>
      <c r="T1510" s="6">
        <f t="shared" si="40"/>
        <v>1509</v>
      </c>
      <c r="U1510" s="4" t="s">
        <v>194</v>
      </c>
    </row>
    <row r="1511" spans="19:21" x14ac:dyDescent="0.25">
      <c r="S1511" s="6" t="s">
        <v>302</v>
      </c>
      <c r="T1511" s="6">
        <f t="shared" si="40"/>
        <v>1510</v>
      </c>
      <c r="U1511" s="4" t="s">
        <v>194</v>
      </c>
    </row>
    <row r="1512" spans="19:21" x14ac:dyDescent="0.25">
      <c r="S1512" s="6" t="s">
        <v>302</v>
      </c>
      <c r="T1512" s="6">
        <f t="shared" si="40"/>
        <v>1511</v>
      </c>
      <c r="U1512" s="4" t="s">
        <v>194</v>
      </c>
    </row>
    <row r="1513" spans="19:21" x14ac:dyDescent="0.25">
      <c r="S1513" s="6" t="s">
        <v>302</v>
      </c>
      <c r="T1513" s="6">
        <f t="shared" si="40"/>
        <v>1512</v>
      </c>
      <c r="U1513" s="4" t="s">
        <v>194</v>
      </c>
    </row>
    <row r="1514" spans="19:21" x14ac:dyDescent="0.25">
      <c r="S1514" s="6" t="s">
        <v>302</v>
      </c>
      <c r="T1514" s="6">
        <f t="shared" si="40"/>
        <v>1513</v>
      </c>
      <c r="U1514" s="4" t="s">
        <v>194</v>
      </c>
    </row>
    <row r="1515" spans="19:21" x14ac:dyDescent="0.25">
      <c r="S1515" s="6" t="s">
        <v>302</v>
      </c>
      <c r="T1515" s="6">
        <f t="shared" si="40"/>
        <v>1514</v>
      </c>
      <c r="U1515" s="4" t="s">
        <v>194</v>
      </c>
    </row>
    <row r="1516" spans="19:21" x14ac:dyDescent="0.25">
      <c r="S1516" s="6" t="s">
        <v>302</v>
      </c>
      <c r="T1516" s="6">
        <f t="shared" si="40"/>
        <v>1515</v>
      </c>
      <c r="U1516" s="4" t="s">
        <v>194</v>
      </c>
    </row>
    <row r="1517" spans="19:21" x14ac:dyDescent="0.25">
      <c r="S1517" s="6" t="s">
        <v>302</v>
      </c>
      <c r="T1517" s="6">
        <f t="shared" si="40"/>
        <v>1516</v>
      </c>
      <c r="U1517" s="4" t="s">
        <v>194</v>
      </c>
    </row>
    <row r="1518" spans="19:21" x14ac:dyDescent="0.25">
      <c r="S1518" s="6" t="s">
        <v>302</v>
      </c>
      <c r="T1518" s="6">
        <f t="shared" si="40"/>
        <v>1517</v>
      </c>
      <c r="U1518" s="4" t="s">
        <v>194</v>
      </c>
    </row>
    <row r="1519" spans="19:21" x14ac:dyDescent="0.25">
      <c r="S1519" s="6" t="s">
        <v>302</v>
      </c>
      <c r="T1519" s="6">
        <f t="shared" si="40"/>
        <v>1518</v>
      </c>
      <c r="U1519" s="4" t="s">
        <v>194</v>
      </c>
    </row>
    <row r="1520" spans="19:21" x14ac:dyDescent="0.25">
      <c r="S1520" s="6" t="s">
        <v>302</v>
      </c>
      <c r="T1520" s="6">
        <f t="shared" si="40"/>
        <v>1519</v>
      </c>
      <c r="U1520" s="4" t="s">
        <v>194</v>
      </c>
    </row>
    <row r="1521" spans="19:21" x14ac:dyDescent="0.25">
      <c r="S1521" s="6" t="s">
        <v>302</v>
      </c>
      <c r="T1521" s="6">
        <f t="shared" si="40"/>
        <v>1520</v>
      </c>
      <c r="U1521" s="4" t="s">
        <v>194</v>
      </c>
    </row>
    <row r="1522" spans="19:21" x14ac:dyDescent="0.25">
      <c r="S1522" s="6" t="s">
        <v>302</v>
      </c>
      <c r="T1522" s="6">
        <f t="shared" si="40"/>
        <v>1521</v>
      </c>
      <c r="U1522" s="4" t="s">
        <v>194</v>
      </c>
    </row>
    <row r="1523" spans="19:21" x14ac:dyDescent="0.25">
      <c r="S1523" s="6" t="s">
        <v>302</v>
      </c>
      <c r="T1523" s="6">
        <f t="shared" si="40"/>
        <v>1522</v>
      </c>
      <c r="U1523" s="4" t="s">
        <v>194</v>
      </c>
    </row>
    <row r="1524" spans="19:21" x14ac:dyDescent="0.25">
      <c r="S1524" s="6" t="s">
        <v>302</v>
      </c>
      <c r="T1524" s="6">
        <f t="shared" si="40"/>
        <v>1523</v>
      </c>
      <c r="U1524" s="4" t="s">
        <v>194</v>
      </c>
    </row>
    <row r="1525" spans="19:21" x14ac:dyDescent="0.25">
      <c r="S1525" s="6" t="s">
        <v>302</v>
      </c>
      <c r="T1525" s="6">
        <f t="shared" si="40"/>
        <v>1524</v>
      </c>
      <c r="U1525" s="4" t="s">
        <v>194</v>
      </c>
    </row>
    <row r="1526" spans="19:21" x14ac:dyDescent="0.25">
      <c r="S1526" s="6" t="s">
        <v>302</v>
      </c>
      <c r="T1526" s="6">
        <f t="shared" si="40"/>
        <v>1525</v>
      </c>
      <c r="U1526" s="4" t="s">
        <v>194</v>
      </c>
    </row>
    <row r="1527" spans="19:21" x14ac:dyDescent="0.25">
      <c r="S1527" s="6" t="s">
        <v>302</v>
      </c>
      <c r="T1527" s="6">
        <f t="shared" si="40"/>
        <v>1526</v>
      </c>
      <c r="U1527" s="4" t="s">
        <v>194</v>
      </c>
    </row>
    <row r="1528" spans="19:21" x14ac:dyDescent="0.25">
      <c r="S1528" s="6" t="s">
        <v>302</v>
      </c>
      <c r="T1528" s="6">
        <f t="shared" si="40"/>
        <v>1527</v>
      </c>
      <c r="U1528" s="4" t="s">
        <v>194</v>
      </c>
    </row>
    <row r="1529" spans="19:21" x14ac:dyDescent="0.25">
      <c r="S1529" s="6" t="s">
        <v>302</v>
      </c>
      <c r="T1529" s="6">
        <f t="shared" si="40"/>
        <v>1528</v>
      </c>
      <c r="U1529" s="4" t="s">
        <v>194</v>
      </c>
    </row>
    <row r="1530" spans="19:21" x14ac:dyDescent="0.25">
      <c r="S1530" s="6" t="s">
        <v>302</v>
      </c>
      <c r="T1530" s="6">
        <f t="shared" si="40"/>
        <v>1529</v>
      </c>
      <c r="U1530" s="4" t="s">
        <v>194</v>
      </c>
    </row>
    <row r="1531" spans="19:21" x14ac:dyDescent="0.25">
      <c r="S1531" s="6" t="s">
        <v>302</v>
      </c>
      <c r="T1531" s="6">
        <f t="shared" si="40"/>
        <v>1530</v>
      </c>
      <c r="U1531" s="4" t="s">
        <v>194</v>
      </c>
    </row>
    <row r="1532" spans="19:21" x14ac:dyDescent="0.25">
      <c r="S1532" s="6" t="s">
        <v>302</v>
      </c>
      <c r="T1532" s="6">
        <f t="shared" si="40"/>
        <v>1531</v>
      </c>
      <c r="U1532" s="4" t="s">
        <v>194</v>
      </c>
    </row>
    <row r="1533" spans="19:21" x14ac:dyDescent="0.25">
      <c r="S1533" s="6" t="s">
        <v>302</v>
      </c>
      <c r="T1533" s="6">
        <f t="shared" si="40"/>
        <v>1532</v>
      </c>
      <c r="U1533" s="4" t="s">
        <v>194</v>
      </c>
    </row>
    <row r="1534" spans="19:21" x14ac:dyDescent="0.25">
      <c r="S1534" s="6" t="s">
        <v>302</v>
      </c>
      <c r="T1534" s="6">
        <f t="shared" si="40"/>
        <v>1533</v>
      </c>
      <c r="U1534" s="4" t="s">
        <v>194</v>
      </c>
    </row>
    <row r="1535" spans="19:21" x14ac:dyDescent="0.25">
      <c r="S1535" s="6" t="s">
        <v>302</v>
      </c>
      <c r="T1535" s="6">
        <f t="shared" si="40"/>
        <v>1534</v>
      </c>
      <c r="U1535" s="4" t="s">
        <v>194</v>
      </c>
    </row>
    <row r="1536" spans="19:21" x14ac:dyDescent="0.25">
      <c r="S1536" s="6" t="s">
        <v>302</v>
      </c>
      <c r="T1536" s="6">
        <f t="shared" si="40"/>
        <v>1535</v>
      </c>
      <c r="U1536" s="4" t="s">
        <v>194</v>
      </c>
    </row>
    <row r="1537" spans="19:21" x14ac:dyDescent="0.25">
      <c r="S1537" s="6" t="s">
        <v>302</v>
      </c>
      <c r="T1537" s="6">
        <f t="shared" si="40"/>
        <v>1536</v>
      </c>
      <c r="U1537" s="4" t="s">
        <v>194</v>
      </c>
    </row>
    <row r="1538" spans="19:21" x14ac:dyDescent="0.25">
      <c r="S1538" s="6" t="s">
        <v>302</v>
      </c>
      <c r="T1538" s="6">
        <f t="shared" si="40"/>
        <v>1537</v>
      </c>
      <c r="U1538" s="4" t="s">
        <v>194</v>
      </c>
    </row>
    <row r="1539" spans="19:21" x14ac:dyDescent="0.25">
      <c r="S1539" s="6" t="s">
        <v>302</v>
      </c>
      <c r="T1539" s="6">
        <f t="shared" si="40"/>
        <v>1538</v>
      </c>
      <c r="U1539" s="4" t="s">
        <v>194</v>
      </c>
    </row>
    <row r="1540" spans="19:21" x14ac:dyDescent="0.25">
      <c r="S1540" s="6" t="s">
        <v>302</v>
      </c>
      <c r="T1540" s="6">
        <f t="shared" si="40"/>
        <v>1539</v>
      </c>
      <c r="U1540" s="4" t="s">
        <v>194</v>
      </c>
    </row>
    <row r="1541" spans="19:21" x14ac:dyDescent="0.25">
      <c r="S1541" s="6" t="s">
        <v>302</v>
      </c>
      <c r="T1541" s="6">
        <f t="shared" si="40"/>
        <v>1540</v>
      </c>
      <c r="U1541" s="4" t="s">
        <v>194</v>
      </c>
    </row>
    <row r="1542" spans="19:21" x14ac:dyDescent="0.25">
      <c r="S1542" s="6" t="s">
        <v>302</v>
      </c>
      <c r="T1542" s="6">
        <f t="shared" si="40"/>
        <v>1541</v>
      </c>
      <c r="U1542" s="4" t="s">
        <v>194</v>
      </c>
    </row>
    <row r="1543" spans="19:21" x14ac:dyDescent="0.25">
      <c r="S1543" s="6" t="s">
        <v>302</v>
      </c>
      <c r="T1543" s="6">
        <f t="shared" si="40"/>
        <v>1542</v>
      </c>
      <c r="U1543" s="4" t="s">
        <v>194</v>
      </c>
    </row>
    <row r="1544" spans="19:21" x14ac:dyDescent="0.25">
      <c r="S1544" s="6" t="s">
        <v>302</v>
      </c>
      <c r="T1544" s="6">
        <f t="shared" si="40"/>
        <v>1543</v>
      </c>
      <c r="U1544" s="4" t="s">
        <v>194</v>
      </c>
    </row>
    <row r="1545" spans="19:21" x14ac:dyDescent="0.25">
      <c r="S1545" s="6" t="s">
        <v>302</v>
      </c>
      <c r="T1545" s="6">
        <f t="shared" si="40"/>
        <v>1544</v>
      </c>
      <c r="U1545" s="4" t="s">
        <v>194</v>
      </c>
    </row>
    <row r="1546" spans="19:21" x14ac:dyDescent="0.25">
      <c r="S1546" s="6" t="s">
        <v>302</v>
      </c>
      <c r="T1546" s="6">
        <f t="shared" si="40"/>
        <v>1545</v>
      </c>
      <c r="U1546" s="4" t="s">
        <v>194</v>
      </c>
    </row>
    <row r="1547" spans="19:21" x14ac:dyDescent="0.25">
      <c r="S1547" s="6" t="s">
        <v>302</v>
      </c>
      <c r="T1547" s="6">
        <f t="shared" si="40"/>
        <v>1546</v>
      </c>
      <c r="U1547" s="4" t="s">
        <v>194</v>
      </c>
    </row>
    <row r="1548" spans="19:21" x14ac:dyDescent="0.25">
      <c r="S1548" s="6" t="s">
        <v>302</v>
      </c>
      <c r="T1548" s="6">
        <f t="shared" si="40"/>
        <v>1547</v>
      </c>
      <c r="U1548" s="4" t="s">
        <v>194</v>
      </c>
    </row>
    <row r="1549" spans="19:21" x14ac:dyDescent="0.25">
      <c r="S1549" s="6" t="s">
        <v>302</v>
      </c>
      <c r="T1549" s="6">
        <f t="shared" si="40"/>
        <v>1548</v>
      </c>
      <c r="U1549" s="4" t="s">
        <v>194</v>
      </c>
    </row>
    <row r="1550" spans="19:21" x14ac:dyDescent="0.25">
      <c r="S1550" s="6" t="s">
        <v>302</v>
      </c>
      <c r="T1550" s="6">
        <f t="shared" si="40"/>
        <v>1549</v>
      </c>
      <c r="U1550" s="4" t="s">
        <v>194</v>
      </c>
    </row>
    <row r="1551" spans="19:21" x14ac:dyDescent="0.25">
      <c r="S1551" s="6" t="s">
        <v>302</v>
      </c>
      <c r="T1551" s="6">
        <f t="shared" si="40"/>
        <v>1550</v>
      </c>
      <c r="U1551" s="4" t="s">
        <v>194</v>
      </c>
    </row>
    <row r="1552" spans="19:21" x14ac:dyDescent="0.25">
      <c r="S1552" s="6" t="s">
        <v>302</v>
      </c>
      <c r="T1552" s="6">
        <f t="shared" si="40"/>
        <v>1551</v>
      </c>
      <c r="U1552" s="4" t="s">
        <v>194</v>
      </c>
    </row>
    <row r="1553" spans="19:21" x14ac:dyDescent="0.25">
      <c r="S1553" s="6" t="s">
        <v>302</v>
      </c>
      <c r="T1553" s="6">
        <f t="shared" si="40"/>
        <v>1552</v>
      </c>
      <c r="U1553" s="4" t="s">
        <v>194</v>
      </c>
    </row>
    <row r="1554" spans="19:21" x14ac:dyDescent="0.25">
      <c r="S1554" s="6" t="s">
        <v>302</v>
      </c>
      <c r="T1554" s="6">
        <f t="shared" si="40"/>
        <v>1553</v>
      </c>
      <c r="U1554" s="4" t="s">
        <v>194</v>
      </c>
    </row>
    <row r="1555" spans="19:21" x14ac:dyDescent="0.25">
      <c r="S1555" s="6" t="s">
        <v>302</v>
      </c>
      <c r="T1555" s="6">
        <f t="shared" si="40"/>
        <v>1554</v>
      </c>
      <c r="U1555" s="4" t="s">
        <v>194</v>
      </c>
    </row>
    <row r="1556" spans="19:21" x14ac:dyDescent="0.25">
      <c r="S1556" s="6" t="s">
        <v>302</v>
      </c>
      <c r="T1556" s="6">
        <f t="shared" ref="T1556:T1619" si="41">T1555+1</f>
        <v>1555</v>
      </c>
      <c r="U1556" s="4" t="s">
        <v>194</v>
      </c>
    </row>
    <row r="1557" spans="19:21" x14ac:dyDescent="0.25">
      <c r="S1557" s="6" t="s">
        <v>302</v>
      </c>
      <c r="T1557" s="6">
        <f t="shared" si="41"/>
        <v>1556</v>
      </c>
      <c r="U1557" s="4" t="s">
        <v>194</v>
      </c>
    </row>
    <row r="1558" spans="19:21" x14ac:dyDescent="0.25">
      <c r="S1558" s="6" t="s">
        <v>302</v>
      </c>
      <c r="T1558" s="6">
        <f t="shared" si="41"/>
        <v>1557</v>
      </c>
      <c r="U1558" s="4" t="s">
        <v>194</v>
      </c>
    </row>
    <row r="1559" spans="19:21" x14ac:dyDescent="0.25">
      <c r="S1559" s="6" t="s">
        <v>302</v>
      </c>
      <c r="T1559" s="6">
        <f t="shared" si="41"/>
        <v>1558</v>
      </c>
      <c r="U1559" s="4" t="s">
        <v>194</v>
      </c>
    </row>
    <row r="1560" spans="19:21" x14ac:dyDescent="0.25">
      <c r="S1560" s="6" t="s">
        <v>302</v>
      </c>
      <c r="T1560" s="6">
        <f t="shared" si="41"/>
        <v>1559</v>
      </c>
      <c r="U1560" s="4" t="s">
        <v>194</v>
      </c>
    </row>
    <row r="1561" spans="19:21" x14ac:dyDescent="0.25">
      <c r="S1561" s="6" t="s">
        <v>302</v>
      </c>
      <c r="T1561" s="6">
        <f t="shared" si="41"/>
        <v>1560</v>
      </c>
      <c r="U1561" s="4" t="s">
        <v>194</v>
      </c>
    </row>
    <row r="1562" spans="19:21" x14ac:dyDescent="0.25">
      <c r="S1562" s="6" t="s">
        <v>302</v>
      </c>
      <c r="T1562" s="6">
        <f t="shared" si="41"/>
        <v>1561</v>
      </c>
      <c r="U1562" s="4" t="s">
        <v>194</v>
      </c>
    </row>
    <row r="1563" spans="19:21" x14ac:dyDescent="0.25">
      <c r="S1563" s="6" t="s">
        <v>302</v>
      </c>
      <c r="T1563" s="6">
        <f t="shared" si="41"/>
        <v>1562</v>
      </c>
      <c r="U1563" s="4" t="s">
        <v>194</v>
      </c>
    </row>
    <row r="1564" spans="19:21" x14ac:dyDescent="0.25">
      <c r="S1564" s="6" t="s">
        <v>302</v>
      </c>
      <c r="T1564" s="6">
        <f t="shared" si="41"/>
        <v>1563</v>
      </c>
      <c r="U1564" s="4" t="s">
        <v>194</v>
      </c>
    </row>
    <row r="1565" spans="19:21" x14ac:dyDescent="0.25">
      <c r="S1565" s="6" t="s">
        <v>302</v>
      </c>
      <c r="T1565" s="6">
        <f t="shared" si="41"/>
        <v>1564</v>
      </c>
      <c r="U1565" s="4" t="s">
        <v>194</v>
      </c>
    </row>
    <row r="1566" spans="19:21" x14ac:dyDescent="0.25">
      <c r="S1566" s="6" t="s">
        <v>302</v>
      </c>
      <c r="T1566" s="6">
        <f t="shared" si="41"/>
        <v>1565</v>
      </c>
      <c r="U1566" s="4" t="s">
        <v>194</v>
      </c>
    </row>
    <row r="1567" spans="19:21" x14ac:dyDescent="0.25">
      <c r="S1567" s="6" t="s">
        <v>302</v>
      </c>
      <c r="T1567" s="6">
        <f t="shared" si="41"/>
        <v>1566</v>
      </c>
      <c r="U1567" s="4" t="s">
        <v>194</v>
      </c>
    </row>
    <row r="1568" spans="19:21" x14ac:dyDescent="0.25">
      <c r="S1568" s="6" t="s">
        <v>302</v>
      </c>
      <c r="T1568" s="6">
        <f t="shared" si="41"/>
        <v>1567</v>
      </c>
      <c r="U1568" s="4" t="s">
        <v>194</v>
      </c>
    </row>
    <row r="1569" spans="19:21" x14ac:dyDescent="0.25">
      <c r="S1569" s="6" t="s">
        <v>302</v>
      </c>
      <c r="T1569" s="6">
        <f t="shared" si="41"/>
        <v>1568</v>
      </c>
      <c r="U1569" s="4" t="s">
        <v>194</v>
      </c>
    </row>
    <row r="1570" spans="19:21" x14ac:dyDescent="0.25">
      <c r="S1570" s="6" t="s">
        <v>302</v>
      </c>
      <c r="T1570" s="6">
        <f t="shared" si="41"/>
        <v>1569</v>
      </c>
      <c r="U1570" s="4" t="s">
        <v>194</v>
      </c>
    </row>
    <row r="1571" spans="19:21" x14ac:dyDescent="0.25">
      <c r="S1571" s="6" t="s">
        <v>302</v>
      </c>
      <c r="T1571" s="6">
        <f t="shared" si="41"/>
        <v>1570</v>
      </c>
      <c r="U1571" s="4" t="s">
        <v>194</v>
      </c>
    </row>
    <row r="1572" spans="19:21" x14ac:dyDescent="0.25">
      <c r="S1572" s="6" t="s">
        <v>302</v>
      </c>
      <c r="T1572" s="6">
        <f t="shared" si="41"/>
        <v>1571</v>
      </c>
      <c r="U1572" s="4" t="s">
        <v>194</v>
      </c>
    </row>
    <row r="1573" spans="19:21" x14ac:dyDescent="0.25">
      <c r="S1573" s="6" t="s">
        <v>302</v>
      </c>
      <c r="T1573" s="6">
        <f t="shared" si="41"/>
        <v>1572</v>
      </c>
      <c r="U1573" s="4" t="s">
        <v>194</v>
      </c>
    </row>
    <row r="1574" spans="19:21" x14ac:dyDescent="0.25">
      <c r="S1574" s="6" t="s">
        <v>302</v>
      </c>
      <c r="T1574" s="6">
        <f t="shared" si="41"/>
        <v>1573</v>
      </c>
      <c r="U1574" s="4" t="s">
        <v>194</v>
      </c>
    </row>
    <row r="1575" spans="19:21" x14ac:dyDescent="0.25">
      <c r="S1575" s="6" t="s">
        <v>302</v>
      </c>
      <c r="T1575" s="6">
        <f t="shared" si="41"/>
        <v>1574</v>
      </c>
      <c r="U1575" s="4" t="s">
        <v>194</v>
      </c>
    </row>
    <row r="1576" spans="19:21" x14ac:dyDescent="0.25">
      <c r="S1576" s="6" t="s">
        <v>302</v>
      </c>
      <c r="T1576" s="6">
        <f t="shared" si="41"/>
        <v>1575</v>
      </c>
      <c r="U1576" s="4" t="s">
        <v>194</v>
      </c>
    </row>
    <row r="1577" spans="19:21" x14ac:dyDescent="0.25">
      <c r="S1577" s="6" t="s">
        <v>302</v>
      </c>
      <c r="T1577" s="6">
        <f t="shared" si="41"/>
        <v>1576</v>
      </c>
      <c r="U1577" s="4" t="s">
        <v>194</v>
      </c>
    </row>
    <row r="1578" spans="19:21" x14ac:dyDescent="0.25">
      <c r="S1578" s="6" t="s">
        <v>302</v>
      </c>
      <c r="T1578" s="6">
        <f t="shared" si="41"/>
        <v>1577</v>
      </c>
      <c r="U1578" s="4" t="s">
        <v>194</v>
      </c>
    </row>
    <row r="1579" spans="19:21" x14ac:dyDescent="0.25">
      <c r="S1579" s="6" t="s">
        <v>302</v>
      </c>
      <c r="T1579" s="6">
        <f t="shared" si="41"/>
        <v>1578</v>
      </c>
      <c r="U1579" s="4" t="s">
        <v>194</v>
      </c>
    </row>
    <row r="1580" spans="19:21" x14ac:dyDescent="0.25">
      <c r="S1580" s="6" t="s">
        <v>302</v>
      </c>
      <c r="T1580" s="6">
        <f t="shared" si="41"/>
        <v>1579</v>
      </c>
      <c r="U1580" s="4" t="s">
        <v>194</v>
      </c>
    </row>
    <row r="1581" spans="19:21" x14ac:dyDescent="0.25">
      <c r="S1581" s="6" t="s">
        <v>302</v>
      </c>
      <c r="T1581" s="6">
        <f t="shared" si="41"/>
        <v>1580</v>
      </c>
      <c r="U1581" s="4" t="s">
        <v>194</v>
      </c>
    </row>
    <row r="1582" spans="19:21" x14ac:dyDescent="0.25">
      <c r="S1582" s="6" t="s">
        <v>302</v>
      </c>
      <c r="T1582" s="6">
        <f t="shared" si="41"/>
        <v>1581</v>
      </c>
      <c r="U1582" s="4" t="s">
        <v>194</v>
      </c>
    </row>
    <row r="1583" spans="19:21" x14ac:dyDescent="0.25">
      <c r="S1583" s="6" t="s">
        <v>302</v>
      </c>
      <c r="T1583" s="6">
        <f t="shared" si="41"/>
        <v>1582</v>
      </c>
      <c r="U1583" s="4" t="s">
        <v>194</v>
      </c>
    </row>
    <row r="1584" spans="19:21" x14ac:dyDescent="0.25">
      <c r="S1584" s="6" t="s">
        <v>302</v>
      </c>
      <c r="T1584" s="6">
        <f t="shared" si="41"/>
        <v>1583</v>
      </c>
      <c r="U1584" s="4" t="s">
        <v>194</v>
      </c>
    </row>
    <row r="1585" spans="19:21" x14ac:dyDescent="0.25">
      <c r="S1585" s="6" t="s">
        <v>302</v>
      </c>
      <c r="T1585" s="6">
        <f t="shared" si="41"/>
        <v>1584</v>
      </c>
      <c r="U1585" s="4" t="s">
        <v>194</v>
      </c>
    </row>
    <row r="1586" spans="19:21" x14ac:dyDescent="0.25">
      <c r="S1586" s="6" t="s">
        <v>302</v>
      </c>
      <c r="T1586" s="6">
        <f t="shared" si="41"/>
        <v>1585</v>
      </c>
      <c r="U1586" s="4" t="s">
        <v>194</v>
      </c>
    </row>
    <row r="1587" spans="19:21" x14ac:dyDescent="0.25">
      <c r="S1587" s="6" t="s">
        <v>302</v>
      </c>
      <c r="T1587" s="6">
        <f t="shared" si="41"/>
        <v>1586</v>
      </c>
      <c r="U1587" s="4" t="s">
        <v>194</v>
      </c>
    </row>
    <row r="1588" spans="19:21" x14ac:dyDescent="0.25">
      <c r="S1588" s="6" t="s">
        <v>302</v>
      </c>
      <c r="T1588" s="6">
        <f t="shared" si="41"/>
        <v>1587</v>
      </c>
      <c r="U1588" s="4" t="s">
        <v>194</v>
      </c>
    </row>
    <row r="1589" spans="19:21" x14ac:dyDescent="0.25">
      <c r="S1589" s="6" t="s">
        <v>302</v>
      </c>
      <c r="T1589" s="6">
        <f t="shared" si="41"/>
        <v>1588</v>
      </c>
      <c r="U1589" s="4" t="s">
        <v>194</v>
      </c>
    </row>
    <row r="1590" spans="19:21" x14ac:dyDescent="0.25">
      <c r="S1590" s="6" t="s">
        <v>302</v>
      </c>
      <c r="T1590" s="6">
        <f t="shared" si="41"/>
        <v>1589</v>
      </c>
      <c r="U1590" s="4" t="s">
        <v>194</v>
      </c>
    </row>
    <row r="1591" spans="19:21" x14ac:dyDescent="0.25">
      <c r="S1591" s="6" t="s">
        <v>302</v>
      </c>
      <c r="T1591" s="6">
        <f t="shared" si="41"/>
        <v>1590</v>
      </c>
      <c r="U1591" s="4" t="s">
        <v>194</v>
      </c>
    </row>
    <row r="1592" spans="19:21" x14ac:dyDescent="0.25">
      <c r="S1592" s="6" t="s">
        <v>302</v>
      </c>
      <c r="T1592" s="6">
        <f t="shared" si="41"/>
        <v>1591</v>
      </c>
      <c r="U1592" s="4" t="s">
        <v>194</v>
      </c>
    </row>
    <row r="1593" spans="19:21" x14ac:dyDescent="0.25">
      <c r="S1593" s="6" t="s">
        <v>302</v>
      </c>
      <c r="T1593" s="6">
        <f t="shared" si="41"/>
        <v>1592</v>
      </c>
      <c r="U1593" s="4" t="s">
        <v>194</v>
      </c>
    </row>
    <row r="1594" spans="19:21" x14ac:dyDescent="0.25">
      <c r="S1594" s="6" t="s">
        <v>302</v>
      </c>
      <c r="T1594" s="6">
        <f t="shared" si="41"/>
        <v>1593</v>
      </c>
      <c r="U1594" s="4" t="s">
        <v>194</v>
      </c>
    </row>
    <row r="1595" spans="19:21" x14ac:dyDescent="0.25">
      <c r="S1595" s="6" t="s">
        <v>302</v>
      </c>
      <c r="T1595" s="6">
        <f t="shared" si="41"/>
        <v>1594</v>
      </c>
      <c r="U1595" s="4" t="s">
        <v>194</v>
      </c>
    </row>
    <row r="1596" spans="19:21" x14ac:dyDescent="0.25">
      <c r="S1596" s="6" t="s">
        <v>302</v>
      </c>
      <c r="T1596" s="6">
        <f t="shared" si="41"/>
        <v>1595</v>
      </c>
      <c r="U1596" s="4" t="s">
        <v>194</v>
      </c>
    </row>
    <row r="1597" spans="19:21" x14ac:dyDescent="0.25">
      <c r="S1597" s="6" t="s">
        <v>302</v>
      </c>
      <c r="T1597" s="6">
        <f t="shared" si="41"/>
        <v>1596</v>
      </c>
      <c r="U1597" s="4" t="s">
        <v>194</v>
      </c>
    </row>
    <row r="1598" spans="19:21" x14ac:dyDescent="0.25">
      <c r="S1598" s="6" t="s">
        <v>302</v>
      </c>
      <c r="T1598" s="6">
        <f t="shared" si="41"/>
        <v>1597</v>
      </c>
      <c r="U1598" s="4" t="s">
        <v>194</v>
      </c>
    </row>
    <row r="1599" spans="19:21" x14ac:dyDescent="0.25">
      <c r="S1599" s="6" t="s">
        <v>302</v>
      </c>
      <c r="T1599" s="6">
        <f t="shared" si="41"/>
        <v>1598</v>
      </c>
      <c r="U1599" s="4" t="s">
        <v>194</v>
      </c>
    </row>
    <row r="1600" spans="19:21" x14ac:dyDescent="0.25">
      <c r="S1600" s="6" t="s">
        <v>302</v>
      </c>
      <c r="T1600" s="6">
        <f t="shared" si="41"/>
        <v>1599</v>
      </c>
      <c r="U1600" s="4" t="s">
        <v>194</v>
      </c>
    </row>
    <row r="1601" spans="19:21" x14ac:dyDescent="0.25">
      <c r="S1601" s="6" t="s">
        <v>302</v>
      </c>
      <c r="T1601" s="6">
        <f t="shared" si="41"/>
        <v>1600</v>
      </c>
      <c r="U1601" s="4" t="s">
        <v>194</v>
      </c>
    </row>
    <row r="1602" spans="19:21" x14ac:dyDescent="0.25">
      <c r="S1602" s="6" t="s">
        <v>302</v>
      </c>
      <c r="T1602" s="6">
        <f t="shared" si="41"/>
        <v>1601</v>
      </c>
      <c r="U1602" s="4" t="s">
        <v>194</v>
      </c>
    </row>
    <row r="1603" spans="19:21" x14ac:dyDescent="0.25">
      <c r="S1603" s="6" t="s">
        <v>302</v>
      </c>
      <c r="T1603" s="6">
        <f t="shared" si="41"/>
        <v>1602</v>
      </c>
      <c r="U1603" s="4" t="s">
        <v>194</v>
      </c>
    </row>
    <row r="1604" spans="19:21" x14ac:dyDescent="0.25">
      <c r="S1604" s="6" t="s">
        <v>302</v>
      </c>
      <c r="T1604" s="6">
        <f t="shared" si="41"/>
        <v>1603</v>
      </c>
      <c r="U1604" s="4" t="s">
        <v>194</v>
      </c>
    </row>
    <row r="1605" spans="19:21" x14ac:dyDescent="0.25">
      <c r="S1605" s="6" t="s">
        <v>302</v>
      </c>
      <c r="T1605" s="6">
        <f t="shared" si="41"/>
        <v>1604</v>
      </c>
      <c r="U1605" s="4" t="s">
        <v>194</v>
      </c>
    </row>
    <row r="1606" spans="19:21" x14ac:dyDescent="0.25">
      <c r="S1606" s="6" t="s">
        <v>302</v>
      </c>
      <c r="T1606" s="6">
        <f t="shared" si="41"/>
        <v>1605</v>
      </c>
      <c r="U1606" s="4" t="s">
        <v>194</v>
      </c>
    </row>
    <row r="1607" spans="19:21" x14ac:dyDescent="0.25">
      <c r="S1607" s="6" t="s">
        <v>302</v>
      </c>
      <c r="T1607" s="6">
        <f t="shared" si="41"/>
        <v>1606</v>
      </c>
      <c r="U1607" s="4" t="s">
        <v>194</v>
      </c>
    </row>
    <row r="1608" spans="19:21" x14ac:dyDescent="0.25">
      <c r="S1608" s="6" t="s">
        <v>302</v>
      </c>
      <c r="T1608" s="6">
        <f t="shared" si="41"/>
        <v>1607</v>
      </c>
      <c r="U1608" s="4" t="s">
        <v>194</v>
      </c>
    </row>
    <row r="1609" spans="19:21" x14ac:dyDescent="0.25">
      <c r="S1609" s="6" t="s">
        <v>302</v>
      </c>
      <c r="T1609" s="6">
        <f t="shared" si="41"/>
        <v>1608</v>
      </c>
      <c r="U1609" s="4" t="s">
        <v>194</v>
      </c>
    </row>
    <row r="1610" spans="19:21" x14ac:dyDescent="0.25">
      <c r="S1610" s="6" t="s">
        <v>302</v>
      </c>
      <c r="T1610" s="6">
        <f t="shared" si="41"/>
        <v>1609</v>
      </c>
      <c r="U1610" s="4" t="s">
        <v>194</v>
      </c>
    </row>
    <row r="1611" spans="19:21" x14ac:dyDescent="0.25">
      <c r="S1611" s="6" t="s">
        <v>302</v>
      </c>
      <c r="T1611" s="6">
        <f t="shared" si="41"/>
        <v>1610</v>
      </c>
      <c r="U1611" s="4" t="s">
        <v>194</v>
      </c>
    </row>
    <row r="1612" spans="19:21" x14ac:dyDescent="0.25">
      <c r="S1612" s="6" t="s">
        <v>302</v>
      </c>
      <c r="T1612" s="6">
        <f t="shared" si="41"/>
        <v>1611</v>
      </c>
      <c r="U1612" s="4" t="s">
        <v>194</v>
      </c>
    </row>
    <row r="1613" spans="19:21" x14ac:dyDescent="0.25">
      <c r="S1613" s="6" t="s">
        <v>302</v>
      </c>
      <c r="T1613" s="6">
        <f t="shared" si="41"/>
        <v>1612</v>
      </c>
      <c r="U1613" s="4" t="s">
        <v>194</v>
      </c>
    </row>
    <row r="1614" spans="19:21" x14ac:dyDescent="0.25">
      <c r="S1614" s="6" t="s">
        <v>302</v>
      </c>
      <c r="T1614" s="6">
        <f t="shared" si="41"/>
        <v>1613</v>
      </c>
      <c r="U1614" s="4" t="s">
        <v>194</v>
      </c>
    </row>
    <row r="1615" spans="19:21" x14ac:dyDescent="0.25">
      <c r="S1615" s="6" t="s">
        <v>302</v>
      </c>
      <c r="T1615" s="6">
        <f t="shared" si="41"/>
        <v>1614</v>
      </c>
      <c r="U1615" s="4" t="s">
        <v>194</v>
      </c>
    </row>
    <row r="1616" spans="19:21" x14ac:dyDescent="0.25">
      <c r="S1616" s="6" t="s">
        <v>302</v>
      </c>
      <c r="T1616" s="6">
        <f t="shared" si="41"/>
        <v>1615</v>
      </c>
      <c r="U1616" s="4" t="s">
        <v>194</v>
      </c>
    </row>
    <row r="1617" spans="19:21" x14ac:dyDescent="0.25">
      <c r="S1617" s="6" t="s">
        <v>302</v>
      </c>
      <c r="T1617" s="6">
        <f t="shared" si="41"/>
        <v>1616</v>
      </c>
      <c r="U1617" s="4" t="s">
        <v>194</v>
      </c>
    </row>
    <row r="1618" spans="19:21" x14ac:dyDescent="0.25">
      <c r="S1618" s="6" t="s">
        <v>302</v>
      </c>
      <c r="T1618" s="6">
        <f t="shared" si="41"/>
        <v>1617</v>
      </c>
      <c r="U1618" s="4" t="s">
        <v>194</v>
      </c>
    </row>
    <row r="1619" spans="19:21" x14ac:dyDescent="0.25">
      <c r="S1619" s="6" t="s">
        <v>302</v>
      </c>
      <c r="T1619" s="6">
        <f t="shared" si="41"/>
        <v>1618</v>
      </c>
      <c r="U1619" s="4" t="s">
        <v>194</v>
      </c>
    </row>
    <row r="1620" spans="19:21" x14ac:dyDescent="0.25">
      <c r="S1620" s="6" t="s">
        <v>302</v>
      </c>
      <c r="T1620" s="6">
        <f t="shared" ref="T1620:T1683" si="42">T1619+1</f>
        <v>1619</v>
      </c>
      <c r="U1620" s="4" t="s">
        <v>194</v>
      </c>
    </row>
    <row r="1621" spans="19:21" x14ac:dyDescent="0.25">
      <c r="S1621" s="6" t="s">
        <v>302</v>
      </c>
      <c r="T1621" s="6">
        <f t="shared" si="42"/>
        <v>1620</v>
      </c>
      <c r="U1621" s="4" t="s">
        <v>194</v>
      </c>
    </row>
    <row r="1622" spans="19:21" x14ac:dyDescent="0.25">
      <c r="S1622" s="6" t="s">
        <v>302</v>
      </c>
      <c r="T1622" s="6">
        <f t="shared" si="42"/>
        <v>1621</v>
      </c>
      <c r="U1622" s="4" t="s">
        <v>194</v>
      </c>
    </row>
    <row r="1623" spans="19:21" x14ac:dyDescent="0.25">
      <c r="S1623" s="6" t="s">
        <v>302</v>
      </c>
      <c r="T1623" s="6">
        <f t="shared" si="42"/>
        <v>1622</v>
      </c>
      <c r="U1623" s="4" t="s">
        <v>194</v>
      </c>
    </row>
    <row r="1624" spans="19:21" x14ac:dyDescent="0.25">
      <c r="S1624" s="6" t="s">
        <v>302</v>
      </c>
      <c r="T1624" s="6">
        <f t="shared" si="42"/>
        <v>1623</v>
      </c>
      <c r="U1624" s="4" t="s">
        <v>194</v>
      </c>
    </row>
    <row r="1625" spans="19:21" x14ac:dyDescent="0.25">
      <c r="S1625" s="6" t="s">
        <v>302</v>
      </c>
      <c r="T1625" s="6">
        <f t="shared" si="42"/>
        <v>1624</v>
      </c>
      <c r="U1625" s="4" t="s">
        <v>194</v>
      </c>
    </row>
    <row r="1626" spans="19:21" x14ac:dyDescent="0.25">
      <c r="S1626" s="6" t="s">
        <v>302</v>
      </c>
      <c r="T1626" s="6">
        <f t="shared" si="42"/>
        <v>1625</v>
      </c>
      <c r="U1626" s="4" t="s">
        <v>194</v>
      </c>
    </row>
    <row r="1627" spans="19:21" x14ac:dyDescent="0.25">
      <c r="S1627" s="6" t="s">
        <v>302</v>
      </c>
      <c r="T1627" s="6">
        <f t="shared" si="42"/>
        <v>1626</v>
      </c>
      <c r="U1627" s="4" t="s">
        <v>194</v>
      </c>
    </row>
    <row r="1628" spans="19:21" x14ac:dyDescent="0.25">
      <c r="S1628" s="6" t="s">
        <v>302</v>
      </c>
      <c r="T1628" s="6">
        <f t="shared" si="42"/>
        <v>1627</v>
      </c>
      <c r="U1628" s="4" t="s">
        <v>194</v>
      </c>
    </row>
    <row r="1629" spans="19:21" x14ac:dyDescent="0.25">
      <c r="S1629" s="6" t="s">
        <v>302</v>
      </c>
      <c r="T1629" s="6">
        <f t="shared" si="42"/>
        <v>1628</v>
      </c>
      <c r="U1629" s="4" t="s">
        <v>194</v>
      </c>
    </row>
    <row r="1630" spans="19:21" x14ac:dyDescent="0.25">
      <c r="S1630" s="6" t="s">
        <v>302</v>
      </c>
      <c r="T1630" s="6">
        <f t="shared" si="42"/>
        <v>1629</v>
      </c>
      <c r="U1630" s="4" t="s">
        <v>194</v>
      </c>
    </row>
    <row r="1631" spans="19:21" x14ac:dyDescent="0.25">
      <c r="S1631" s="6" t="s">
        <v>302</v>
      </c>
      <c r="T1631" s="6">
        <f t="shared" si="42"/>
        <v>1630</v>
      </c>
      <c r="U1631" s="4" t="s">
        <v>194</v>
      </c>
    </row>
    <row r="1632" spans="19:21" x14ac:dyDescent="0.25">
      <c r="S1632" s="6" t="s">
        <v>302</v>
      </c>
      <c r="T1632" s="6">
        <f t="shared" si="42"/>
        <v>1631</v>
      </c>
      <c r="U1632" s="4" t="s">
        <v>194</v>
      </c>
    </row>
    <row r="1633" spans="19:21" x14ac:dyDescent="0.25">
      <c r="S1633" s="6" t="s">
        <v>302</v>
      </c>
      <c r="T1633" s="6">
        <f t="shared" si="42"/>
        <v>1632</v>
      </c>
      <c r="U1633" s="4" t="s">
        <v>194</v>
      </c>
    </row>
    <row r="1634" spans="19:21" x14ac:dyDescent="0.25">
      <c r="S1634" s="6" t="s">
        <v>302</v>
      </c>
      <c r="T1634" s="6">
        <f t="shared" si="42"/>
        <v>1633</v>
      </c>
      <c r="U1634" s="4" t="s">
        <v>194</v>
      </c>
    </row>
    <row r="1635" spans="19:21" x14ac:dyDescent="0.25">
      <c r="S1635" s="6" t="s">
        <v>302</v>
      </c>
      <c r="T1635" s="6">
        <f t="shared" si="42"/>
        <v>1634</v>
      </c>
      <c r="U1635" s="4" t="s">
        <v>194</v>
      </c>
    </row>
    <row r="1636" spans="19:21" x14ac:dyDescent="0.25">
      <c r="S1636" s="6" t="s">
        <v>302</v>
      </c>
      <c r="T1636" s="6">
        <f t="shared" si="42"/>
        <v>1635</v>
      </c>
      <c r="U1636" s="4" t="s">
        <v>194</v>
      </c>
    </row>
    <row r="1637" spans="19:21" x14ac:dyDescent="0.25">
      <c r="S1637" s="6" t="s">
        <v>302</v>
      </c>
      <c r="T1637" s="6">
        <f t="shared" si="42"/>
        <v>1636</v>
      </c>
      <c r="U1637" s="4" t="s">
        <v>194</v>
      </c>
    </row>
    <row r="1638" spans="19:21" x14ac:dyDescent="0.25">
      <c r="S1638" s="6" t="s">
        <v>302</v>
      </c>
      <c r="T1638" s="6">
        <f t="shared" si="42"/>
        <v>1637</v>
      </c>
      <c r="U1638" s="4" t="s">
        <v>194</v>
      </c>
    </row>
    <row r="1639" spans="19:21" x14ac:dyDescent="0.25">
      <c r="S1639" s="6" t="s">
        <v>302</v>
      </c>
      <c r="T1639" s="6">
        <f t="shared" si="42"/>
        <v>1638</v>
      </c>
      <c r="U1639" s="4" t="s">
        <v>194</v>
      </c>
    </row>
    <row r="1640" spans="19:21" x14ac:dyDescent="0.25">
      <c r="S1640" s="6" t="s">
        <v>302</v>
      </c>
      <c r="T1640" s="6">
        <f t="shared" si="42"/>
        <v>1639</v>
      </c>
      <c r="U1640" s="4" t="s">
        <v>194</v>
      </c>
    </row>
    <row r="1641" spans="19:21" x14ac:dyDescent="0.25">
      <c r="S1641" s="6" t="s">
        <v>302</v>
      </c>
      <c r="T1641" s="6">
        <f t="shared" si="42"/>
        <v>1640</v>
      </c>
      <c r="U1641" s="4" t="s">
        <v>194</v>
      </c>
    </row>
    <row r="1642" spans="19:21" x14ac:dyDescent="0.25">
      <c r="S1642" s="6" t="s">
        <v>302</v>
      </c>
      <c r="T1642" s="6">
        <f t="shared" si="42"/>
        <v>1641</v>
      </c>
      <c r="U1642" s="4" t="s">
        <v>194</v>
      </c>
    </row>
    <row r="1643" spans="19:21" x14ac:dyDescent="0.25">
      <c r="S1643" s="6" t="s">
        <v>302</v>
      </c>
      <c r="T1643" s="6">
        <f t="shared" si="42"/>
        <v>1642</v>
      </c>
      <c r="U1643" s="4" t="s">
        <v>194</v>
      </c>
    </row>
    <row r="1644" spans="19:21" x14ac:dyDescent="0.25">
      <c r="S1644" s="6" t="s">
        <v>302</v>
      </c>
      <c r="T1644" s="6">
        <f t="shared" si="42"/>
        <v>1643</v>
      </c>
      <c r="U1644" s="4" t="s">
        <v>194</v>
      </c>
    </row>
    <row r="1645" spans="19:21" x14ac:dyDescent="0.25">
      <c r="S1645" s="6" t="s">
        <v>302</v>
      </c>
      <c r="T1645" s="6">
        <f t="shared" si="42"/>
        <v>1644</v>
      </c>
      <c r="U1645" s="4" t="s">
        <v>194</v>
      </c>
    </row>
    <row r="1646" spans="19:21" x14ac:dyDescent="0.25">
      <c r="S1646" s="6" t="s">
        <v>302</v>
      </c>
      <c r="T1646" s="6">
        <f t="shared" si="42"/>
        <v>1645</v>
      </c>
      <c r="U1646" s="4" t="s">
        <v>194</v>
      </c>
    </row>
    <row r="1647" spans="19:21" x14ac:dyDescent="0.25">
      <c r="S1647" s="6" t="s">
        <v>302</v>
      </c>
      <c r="T1647" s="6">
        <f t="shared" si="42"/>
        <v>1646</v>
      </c>
      <c r="U1647" s="4" t="s">
        <v>194</v>
      </c>
    </row>
    <row r="1648" spans="19:21" x14ac:dyDescent="0.25">
      <c r="S1648" s="6" t="s">
        <v>302</v>
      </c>
      <c r="T1648" s="6">
        <f t="shared" si="42"/>
        <v>1647</v>
      </c>
      <c r="U1648" s="4" t="s">
        <v>194</v>
      </c>
    </row>
    <row r="1649" spans="19:21" x14ac:dyDescent="0.25">
      <c r="S1649" s="6" t="s">
        <v>302</v>
      </c>
      <c r="T1649" s="6">
        <f t="shared" si="42"/>
        <v>1648</v>
      </c>
      <c r="U1649" s="4" t="s">
        <v>194</v>
      </c>
    </row>
    <row r="1650" spans="19:21" x14ac:dyDescent="0.25">
      <c r="S1650" s="6" t="s">
        <v>302</v>
      </c>
      <c r="T1650" s="6">
        <f t="shared" si="42"/>
        <v>1649</v>
      </c>
      <c r="U1650" s="4" t="s">
        <v>194</v>
      </c>
    </row>
    <row r="1651" spans="19:21" x14ac:dyDescent="0.25">
      <c r="S1651" s="6" t="s">
        <v>302</v>
      </c>
      <c r="T1651" s="6">
        <f t="shared" si="42"/>
        <v>1650</v>
      </c>
      <c r="U1651" s="4" t="s">
        <v>194</v>
      </c>
    </row>
    <row r="1652" spans="19:21" x14ac:dyDescent="0.25">
      <c r="S1652" s="6" t="s">
        <v>302</v>
      </c>
      <c r="T1652" s="6">
        <f t="shared" si="42"/>
        <v>1651</v>
      </c>
      <c r="U1652" s="4" t="s">
        <v>194</v>
      </c>
    </row>
    <row r="1653" spans="19:21" x14ac:dyDescent="0.25">
      <c r="S1653" s="6" t="s">
        <v>302</v>
      </c>
      <c r="T1653" s="6">
        <f t="shared" si="42"/>
        <v>1652</v>
      </c>
      <c r="U1653" s="4" t="s">
        <v>194</v>
      </c>
    </row>
    <row r="1654" spans="19:21" x14ac:dyDescent="0.25">
      <c r="S1654" s="6" t="s">
        <v>302</v>
      </c>
      <c r="T1654" s="6">
        <f t="shared" si="42"/>
        <v>1653</v>
      </c>
      <c r="U1654" s="4" t="s">
        <v>194</v>
      </c>
    </row>
    <row r="1655" spans="19:21" x14ac:dyDescent="0.25">
      <c r="S1655" s="6" t="s">
        <v>302</v>
      </c>
      <c r="T1655" s="6">
        <f t="shared" si="42"/>
        <v>1654</v>
      </c>
      <c r="U1655" s="4" t="s">
        <v>194</v>
      </c>
    </row>
    <row r="1656" spans="19:21" x14ac:dyDescent="0.25">
      <c r="S1656" s="6" t="s">
        <v>302</v>
      </c>
      <c r="T1656" s="6">
        <f t="shared" si="42"/>
        <v>1655</v>
      </c>
      <c r="U1656" s="4" t="s">
        <v>194</v>
      </c>
    </row>
    <row r="1657" spans="19:21" x14ac:dyDescent="0.25">
      <c r="S1657" s="6" t="s">
        <v>302</v>
      </c>
      <c r="T1657" s="6">
        <f t="shared" si="42"/>
        <v>1656</v>
      </c>
      <c r="U1657" s="4" t="s">
        <v>194</v>
      </c>
    </row>
    <row r="1658" spans="19:21" x14ac:dyDescent="0.25">
      <c r="S1658" s="6" t="s">
        <v>302</v>
      </c>
      <c r="T1658" s="6">
        <f t="shared" si="42"/>
        <v>1657</v>
      </c>
      <c r="U1658" s="4" t="s">
        <v>194</v>
      </c>
    </row>
    <row r="1659" spans="19:21" x14ac:dyDescent="0.25">
      <c r="S1659" s="6" t="s">
        <v>302</v>
      </c>
      <c r="T1659" s="6">
        <f t="shared" si="42"/>
        <v>1658</v>
      </c>
      <c r="U1659" s="4" t="s">
        <v>194</v>
      </c>
    </row>
    <row r="1660" spans="19:21" x14ac:dyDescent="0.25">
      <c r="S1660" s="6" t="s">
        <v>302</v>
      </c>
      <c r="T1660" s="6">
        <f t="shared" si="42"/>
        <v>1659</v>
      </c>
      <c r="U1660" s="4" t="s">
        <v>194</v>
      </c>
    </row>
    <row r="1661" spans="19:21" x14ac:dyDescent="0.25">
      <c r="S1661" s="6" t="s">
        <v>302</v>
      </c>
      <c r="T1661" s="6">
        <f t="shared" si="42"/>
        <v>1660</v>
      </c>
      <c r="U1661" s="4" t="s">
        <v>194</v>
      </c>
    </row>
    <row r="1662" spans="19:21" x14ac:dyDescent="0.25">
      <c r="S1662" s="6" t="s">
        <v>302</v>
      </c>
      <c r="T1662" s="6">
        <f t="shared" si="42"/>
        <v>1661</v>
      </c>
      <c r="U1662" s="4" t="s">
        <v>194</v>
      </c>
    </row>
    <row r="1663" spans="19:21" x14ac:dyDescent="0.25">
      <c r="S1663" s="6" t="s">
        <v>302</v>
      </c>
      <c r="T1663" s="6">
        <f t="shared" si="42"/>
        <v>1662</v>
      </c>
      <c r="U1663" s="4" t="s">
        <v>194</v>
      </c>
    </row>
    <row r="1664" spans="19:21" x14ac:dyDescent="0.25">
      <c r="S1664" s="6" t="s">
        <v>302</v>
      </c>
      <c r="T1664" s="6">
        <f t="shared" si="42"/>
        <v>1663</v>
      </c>
      <c r="U1664" s="4" t="s">
        <v>194</v>
      </c>
    </row>
    <row r="1665" spans="19:21" x14ac:dyDescent="0.25">
      <c r="S1665" s="6" t="s">
        <v>302</v>
      </c>
      <c r="T1665" s="6">
        <f t="shared" si="42"/>
        <v>1664</v>
      </c>
      <c r="U1665" s="4" t="s">
        <v>194</v>
      </c>
    </row>
    <row r="1666" spans="19:21" x14ac:dyDescent="0.25">
      <c r="S1666" s="6" t="s">
        <v>302</v>
      </c>
      <c r="T1666" s="6">
        <f t="shared" si="42"/>
        <v>1665</v>
      </c>
      <c r="U1666" s="4" t="s">
        <v>194</v>
      </c>
    </row>
    <row r="1667" spans="19:21" x14ac:dyDescent="0.25">
      <c r="S1667" s="6" t="s">
        <v>302</v>
      </c>
      <c r="T1667" s="6">
        <f t="shared" si="42"/>
        <v>1666</v>
      </c>
      <c r="U1667" s="4" t="s">
        <v>194</v>
      </c>
    </row>
    <row r="1668" spans="19:21" x14ac:dyDescent="0.25">
      <c r="S1668" s="6" t="s">
        <v>302</v>
      </c>
      <c r="T1668" s="6">
        <f t="shared" si="42"/>
        <v>1667</v>
      </c>
      <c r="U1668" s="4" t="s">
        <v>194</v>
      </c>
    </row>
    <row r="1669" spans="19:21" x14ac:dyDescent="0.25">
      <c r="S1669" s="6" t="s">
        <v>302</v>
      </c>
      <c r="T1669" s="6">
        <f t="shared" si="42"/>
        <v>1668</v>
      </c>
      <c r="U1669" s="4" t="s">
        <v>194</v>
      </c>
    </row>
    <row r="1670" spans="19:21" x14ac:dyDescent="0.25">
      <c r="S1670" s="6" t="s">
        <v>302</v>
      </c>
      <c r="T1670" s="6">
        <f t="shared" si="42"/>
        <v>1669</v>
      </c>
      <c r="U1670" s="4" t="s">
        <v>194</v>
      </c>
    </row>
    <row r="1671" spans="19:21" x14ac:dyDescent="0.25">
      <c r="S1671" s="6" t="s">
        <v>302</v>
      </c>
      <c r="T1671" s="6">
        <f t="shared" si="42"/>
        <v>1670</v>
      </c>
      <c r="U1671" s="4" t="s">
        <v>194</v>
      </c>
    </row>
    <row r="1672" spans="19:21" x14ac:dyDescent="0.25">
      <c r="S1672" s="6" t="s">
        <v>302</v>
      </c>
      <c r="T1672" s="6">
        <f t="shared" si="42"/>
        <v>1671</v>
      </c>
      <c r="U1672" s="4" t="s">
        <v>194</v>
      </c>
    </row>
    <row r="1673" spans="19:21" x14ac:dyDescent="0.25">
      <c r="S1673" s="6" t="s">
        <v>302</v>
      </c>
      <c r="T1673" s="6">
        <f t="shared" si="42"/>
        <v>1672</v>
      </c>
      <c r="U1673" s="4" t="s">
        <v>194</v>
      </c>
    </row>
    <row r="1674" spans="19:21" x14ac:dyDescent="0.25">
      <c r="S1674" s="6" t="s">
        <v>302</v>
      </c>
      <c r="T1674" s="6">
        <f t="shared" si="42"/>
        <v>1673</v>
      </c>
      <c r="U1674" s="4" t="s">
        <v>194</v>
      </c>
    </row>
    <row r="1675" spans="19:21" x14ac:dyDescent="0.25">
      <c r="S1675" s="6" t="s">
        <v>302</v>
      </c>
      <c r="T1675" s="6">
        <f t="shared" si="42"/>
        <v>1674</v>
      </c>
      <c r="U1675" s="4" t="s">
        <v>194</v>
      </c>
    </row>
    <row r="1676" spans="19:21" x14ac:dyDescent="0.25">
      <c r="S1676" s="6" t="s">
        <v>302</v>
      </c>
      <c r="T1676" s="6">
        <f t="shared" si="42"/>
        <v>1675</v>
      </c>
      <c r="U1676" s="4" t="s">
        <v>194</v>
      </c>
    </row>
    <row r="1677" spans="19:21" x14ac:dyDescent="0.25">
      <c r="S1677" s="6" t="s">
        <v>302</v>
      </c>
      <c r="T1677" s="6">
        <f t="shared" si="42"/>
        <v>1676</v>
      </c>
      <c r="U1677" s="4" t="s">
        <v>194</v>
      </c>
    </row>
    <row r="1678" spans="19:21" x14ac:dyDescent="0.25">
      <c r="S1678" s="6" t="s">
        <v>302</v>
      </c>
      <c r="T1678" s="6">
        <f t="shared" si="42"/>
        <v>1677</v>
      </c>
      <c r="U1678" s="4" t="s">
        <v>194</v>
      </c>
    </row>
    <row r="1679" spans="19:21" x14ac:dyDescent="0.25">
      <c r="S1679" s="6" t="s">
        <v>302</v>
      </c>
      <c r="T1679" s="6">
        <f t="shared" si="42"/>
        <v>1678</v>
      </c>
      <c r="U1679" s="4" t="s">
        <v>194</v>
      </c>
    </row>
    <row r="1680" spans="19:21" x14ac:dyDescent="0.25">
      <c r="S1680" s="6" t="s">
        <v>302</v>
      </c>
      <c r="T1680" s="6">
        <f t="shared" si="42"/>
        <v>1679</v>
      </c>
      <c r="U1680" s="4" t="s">
        <v>194</v>
      </c>
    </row>
    <row r="1681" spans="19:21" x14ac:dyDescent="0.25">
      <c r="S1681" s="6" t="s">
        <v>302</v>
      </c>
      <c r="T1681" s="6">
        <f t="shared" si="42"/>
        <v>1680</v>
      </c>
      <c r="U1681" s="4" t="s">
        <v>194</v>
      </c>
    </row>
    <row r="1682" spans="19:21" x14ac:dyDescent="0.25">
      <c r="S1682" s="6" t="s">
        <v>302</v>
      </c>
      <c r="T1682" s="6">
        <f t="shared" si="42"/>
        <v>1681</v>
      </c>
      <c r="U1682" s="4" t="s">
        <v>194</v>
      </c>
    </row>
    <row r="1683" spans="19:21" x14ac:dyDescent="0.25">
      <c r="S1683" s="6" t="s">
        <v>302</v>
      </c>
      <c r="T1683" s="6">
        <f t="shared" si="42"/>
        <v>1682</v>
      </c>
      <c r="U1683" s="4" t="s">
        <v>194</v>
      </c>
    </row>
    <row r="1684" spans="19:21" x14ac:dyDescent="0.25">
      <c r="S1684" s="6" t="s">
        <v>302</v>
      </c>
      <c r="T1684" s="6">
        <f t="shared" ref="T1684:T1747" si="43">T1683+1</f>
        <v>1683</v>
      </c>
      <c r="U1684" s="4" t="s">
        <v>194</v>
      </c>
    </row>
    <row r="1685" spans="19:21" x14ac:dyDescent="0.25">
      <c r="S1685" s="6" t="s">
        <v>302</v>
      </c>
      <c r="T1685" s="6">
        <f t="shared" si="43"/>
        <v>1684</v>
      </c>
      <c r="U1685" s="4" t="s">
        <v>194</v>
      </c>
    </row>
    <row r="1686" spans="19:21" x14ac:dyDescent="0.25">
      <c r="S1686" s="6" t="s">
        <v>302</v>
      </c>
      <c r="T1686" s="6">
        <f t="shared" si="43"/>
        <v>1685</v>
      </c>
      <c r="U1686" s="4" t="s">
        <v>194</v>
      </c>
    </row>
    <row r="1687" spans="19:21" x14ac:dyDescent="0.25">
      <c r="S1687" s="6" t="s">
        <v>302</v>
      </c>
      <c r="T1687" s="6">
        <f t="shared" si="43"/>
        <v>1686</v>
      </c>
      <c r="U1687" s="4" t="s">
        <v>194</v>
      </c>
    </row>
    <row r="1688" spans="19:21" x14ac:dyDescent="0.25">
      <c r="S1688" s="6" t="s">
        <v>302</v>
      </c>
      <c r="T1688" s="6">
        <f t="shared" si="43"/>
        <v>1687</v>
      </c>
      <c r="U1688" s="4" t="s">
        <v>194</v>
      </c>
    </row>
    <row r="1689" spans="19:21" x14ac:dyDescent="0.25">
      <c r="S1689" s="6" t="s">
        <v>302</v>
      </c>
      <c r="T1689" s="6">
        <f t="shared" si="43"/>
        <v>1688</v>
      </c>
      <c r="U1689" s="4" t="s">
        <v>194</v>
      </c>
    </row>
    <row r="1690" spans="19:21" x14ac:dyDescent="0.25">
      <c r="S1690" s="6" t="s">
        <v>302</v>
      </c>
      <c r="T1690" s="6">
        <f t="shared" si="43"/>
        <v>1689</v>
      </c>
      <c r="U1690" s="4" t="s">
        <v>194</v>
      </c>
    </row>
    <row r="1691" spans="19:21" x14ac:dyDescent="0.25">
      <c r="S1691" s="6" t="s">
        <v>302</v>
      </c>
      <c r="T1691" s="6">
        <f t="shared" si="43"/>
        <v>1690</v>
      </c>
      <c r="U1691" s="4" t="s">
        <v>194</v>
      </c>
    </row>
    <row r="1692" spans="19:21" x14ac:dyDescent="0.25">
      <c r="S1692" s="6" t="s">
        <v>302</v>
      </c>
      <c r="T1692" s="6">
        <f t="shared" si="43"/>
        <v>1691</v>
      </c>
      <c r="U1692" s="4" t="s">
        <v>194</v>
      </c>
    </row>
    <row r="1693" spans="19:21" x14ac:dyDescent="0.25">
      <c r="S1693" s="6" t="s">
        <v>302</v>
      </c>
      <c r="T1693" s="6">
        <f t="shared" si="43"/>
        <v>1692</v>
      </c>
      <c r="U1693" s="4" t="s">
        <v>194</v>
      </c>
    </row>
    <row r="1694" spans="19:21" x14ac:dyDescent="0.25">
      <c r="S1694" s="6" t="s">
        <v>302</v>
      </c>
      <c r="T1694" s="6">
        <f t="shared" si="43"/>
        <v>1693</v>
      </c>
      <c r="U1694" s="4" t="s">
        <v>194</v>
      </c>
    </row>
    <row r="1695" spans="19:21" x14ac:dyDescent="0.25">
      <c r="S1695" s="6" t="s">
        <v>302</v>
      </c>
      <c r="T1695" s="6">
        <f t="shared" si="43"/>
        <v>1694</v>
      </c>
      <c r="U1695" s="4" t="s">
        <v>194</v>
      </c>
    </row>
    <row r="1696" spans="19:21" x14ac:dyDescent="0.25">
      <c r="S1696" s="6" t="s">
        <v>302</v>
      </c>
      <c r="T1696" s="6">
        <f t="shared" si="43"/>
        <v>1695</v>
      </c>
      <c r="U1696" s="4" t="s">
        <v>194</v>
      </c>
    </row>
    <row r="1697" spans="19:21" x14ac:dyDescent="0.25">
      <c r="S1697" s="6" t="s">
        <v>302</v>
      </c>
      <c r="T1697" s="6">
        <f t="shared" si="43"/>
        <v>1696</v>
      </c>
      <c r="U1697" s="4" t="s">
        <v>194</v>
      </c>
    </row>
    <row r="1698" spans="19:21" x14ac:dyDescent="0.25">
      <c r="S1698" s="6" t="s">
        <v>302</v>
      </c>
      <c r="T1698" s="6">
        <f t="shared" si="43"/>
        <v>1697</v>
      </c>
      <c r="U1698" s="4" t="s">
        <v>194</v>
      </c>
    </row>
    <row r="1699" spans="19:21" x14ac:dyDescent="0.25">
      <c r="S1699" s="6" t="s">
        <v>302</v>
      </c>
      <c r="T1699" s="6">
        <f t="shared" si="43"/>
        <v>1698</v>
      </c>
      <c r="U1699" s="4" t="s">
        <v>194</v>
      </c>
    </row>
    <row r="1700" spans="19:21" x14ac:dyDescent="0.25">
      <c r="S1700" s="6" t="s">
        <v>302</v>
      </c>
      <c r="T1700" s="6">
        <f t="shared" si="43"/>
        <v>1699</v>
      </c>
      <c r="U1700" s="4" t="s">
        <v>194</v>
      </c>
    </row>
    <row r="1701" spans="19:21" x14ac:dyDescent="0.25">
      <c r="S1701" s="6" t="s">
        <v>302</v>
      </c>
      <c r="T1701" s="6">
        <f t="shared" si="43"/>
        <v>1700</v>
      </c>
      <c r="U1701" s="4" t="s">
        <v>194</v>
      </c>
    </row>
    <row r="1702" spans="19:21" x14ac:dyDescent="0.25">
      <c r="S1702" s="6" t="s">
        <v>302</v>
      </c>
      <c r="T1702" s="6">
        <f t="shared" si="43"/>
        <v>1701</v>
      </c>
      <c r="U1702" s="4" t="s">
        <v>194</v>
      </c>
    </row>
    <row r="1703" spans="19:21" x14ac:dyDescent="0.25">
      <c r="S1703" s="6" t="s">
        <v>302</v>
      </c>
      <c r="T1703" s="6">
        <f t="shared" si="43"/>
        <v>1702</v>
      </c>
      <c r="U1703" s="4" t="s">
        <v>194</v>
      </c>
    </row>
    <row r="1704" spans="19:21" x14ac:dyDescent="0.25">
      <c r="S1704" s="6" t="s">
        <v>302</v>
      </c>
      <c r="T1704" s="6">
        <f t="shared" si="43"/>
        <v>1703</v>
      </c>
      <c r="U1704" s="4" t="s">
        <v>194</v>
      </c>
    </row>
    <row r="1705" spans="19:21" x14ac:dyDescent="0.25">
      <c r="S1705" s="6" t="s">
        <v>302</v>
      </c>
      <c r="T1705" s="6">
        <f t="shared" si="43"/>
        <v>1704</v>
      </c>
      <c r="U1705" s="4" t="s">
        <v>194</v>
      </c>
    </row>
    <row r="1706" spans="19:21" x14ac:dyDescent="0.25">
      <c r="S1706" s="6" t="s">
        <v>302</v>
      </c>
      <c r="T1706" s="6">
        <f t="shared" si="43"/>
        <v>1705</v>
      </c>
      <c r="U1706" s="4" t="s">
        <v>194</v>
      </c>
    </row>
    <row r="1707" spans="19:21" x14ac:dyDescent="0.25">
      <c r="S1707" s="6" t="s">
        <v>302</v>
      </c>
      <c r="T1707" s="6">
        <f t="shared" si="43"/>
        <v>1706</v>
      </c>
      <c r="U1707" s="4" t="s">
        <v>194</v>
      </c>
    </row>
    <row r="1708" spans="19:21" x14ac:dyDescent="0.25">
      <c r="S1708" s="6" t="s">
        <v>302</v>
      </c>
      <c r="T1708" s="6">
        <f t="shared" si="43"/>
        <v>1707</v>
      </c>
      <c r="U1708" s="4" t="s">
        <v>194</v>
      </c>
    </row>
    <row r="1709" spans="19:21" x14ac:dyDescent="0.25">
      <c r="S1709" s="6" t="s">
        <v>302</v>
      </c>
      <c r="T1709" s="6">
        <f t="shared" si="43"/>
        <v>1708</v>
      </c>
      <c r="U1709" s="4" t="s">
        <v>194</v>
      </c>
    </row>
    <row r="1710" spans="19:21" x14ac:dyDescent="0.25">
      <c r="S1710" s="6" t="s">
        <v>302</v>
      </c>
      <c r="T1710" s="6">
        <f t="shared" si="43"/>
        <v>1709</v>
      </c>
      <c r="U1710" s="4" t="s">
        <v>194</v>
      </c>
    </row>
    <row r="1711" spans="19:21" x14ac:dyDescent="0.25">
      <c r="S1711" s="6" t="s">
        <v>302</v>
      </c>
      <c r="T1711" s="6">
        <f t="shared" si="43"/>
        <v>1710</v>
      </c>
      <c r="U1711" s="4" t="s">
        <v>194</v>
      </c>
    </row>
    <row r="1712" spans="19:21" x14ac:dyDescent="0.25">
      <c r="S1712" s="6" t="s">
        <v>302</v>
      </c>
      <c r="T1712" s="6">
        <f t="shared" si="43"/>
        <v>1711</v>
      </c>
      <c r="U1712" s="4" t="s">
        <v>194</v>
      </c>
    </row>
    <row r="1713" spans="19:21" x14ac:dyDescent="0.25">
      <c r="S1713" s="6" t="s">
        <v>302</v>
      </c>
      <c r="T1713" s="6">
        <f t="shared" si="43"/>
        <v>1712</v>
      </c>
      <c r="U1713" s="4" t="s">
        <v>194</v>
      </c>
    </row>
    <row r="1714" spans="19:21" x14ac:dyDescent="0.25">
      <c r="S1714" s="6" t="s">
        <v>302</v>
      </c>
      <c r="T1714" s="6">
        <f t="shared" si="43"/>
        <v>1713</v>
      </c>
      <c r="U1714" s="4" t="s">
        <v>194</v>
      </c>
    </row>
    <row r="1715" spans="19:21" x14ac:dyDescent="0.25">
      <c r="S1715" s="6" t="s">
        <v>302</v>
      </c>
      <c r="T1715" s="6">
        <f t="shared" si="43"/>
        <v>1714</v>
      </c>
      <c r="U1715" s="4" t="s">
        <v>194</v>
      </c>
    </row>
    <row r="1716" spans="19:21" x14ac:dyDescent="0.25">
      <c r="S1716" s="6" t="s">
        <v>302</v>
      </c>
      <c r="T1716" s="6">
        <f t="shared" si="43"/>
        <v>1715</v>
      </c>
      <c r="U1716" s="4" t="s">
        <v>194</v>
      </c>
    </row>
    <row r="1717" spans="19:21" x14ac:dyDescent="0.25">
      <c r="S1717" s="6" t="s">
        <v>302</v>
      </c>
      <c r="T1717" s="6">
        <f t="shared" si="43"/>
        <v>1716</v>
      </c>
      <c r="U1717" s="4" t="s">
        <v>194</v>
      </c>
    </row>
    <row r="1718" spans="19:21" x14ac:dyDescent="0.25">
      <c r="S1718" s="6" t="s">
        <v>302</v>
      </c>
      <c r="T1718" s="6">
        <f t="shared" si="43"/>
        <v>1717</v>
      </c>
      <c r="U1718" s="4" t="s">
        <v>194</v>
      </c>
    </row>
    <row r="1719" spans="19:21" x14ac:dyDescent="0.25">
      <c r="S1719" s="6" t="s">
        <v>302</v>
      </c>
      <c r="T1719" s="6">
        <f t="shared" si="43"/>
        <v>1718</v>
      </c>
      <c r="U1719" s="4" t="s">
        <v>194</v>
      </c>
    </row>
    <row r="1720" spans="19:21" x14ac:dyDescent="0.25">
      <c r="S1720" s="6" t="s">
        <v>302</v>
      </c>
      <c r="T1720" s="6">
        <f t="shared" si="43"/>
        <v>1719</v>
      </c>
      <c r="U1720" s="4" t="s">
        <v>194</v>
      </c>
    </row>
    <row r="1721" spans="19:21" x14ac:dyDescent="0.25">
      <c r="S1721" s="6" t="s">
        <v>302</v>
      </c>
      <c r="T1721" s="6">
        <f t="shared" si="43"/>
        <v>1720</v>
      </c>
      <c r="U1721" s="4" t="s">
        <v>194</v>
      </c>
    </row>
    <row r="1722" spans="19:21" x14ac:dyDescent="0.25">
      <c r="S1722" s="6" t="s">
        <v>302</v>
      </c>
      <c r="T1722" s="6">
        <f t="shared" si="43"/>
        <v>1721</v>
      </c>
      <c r="U1722" s="4" t="s">
        <v>194</v>
      </c>
    </row>
    <row r="1723" spans="19:21" x14ac:dyDescent="0.25">
      <c r="S1723" s="6" t="s">
        <v>302</v>
      </c>
      <c r="T1723" s="6">
        <f t="shared" si="43"/>
        <v>1722</v>
      </c>
      <c r="U1723" s="4" t="s">
        <v>194</v>
      </c>
    </row>
    <row r="1724" spans="19:21" x14ac:dyDescent="0.25">
      <c r="S1724" s="6" t="s">
        <v>302</v>
      </c>
      <c r="T1724" s="6">
        <f t="shared" si="43"/>
        <v>1723</v>
      </c>
      <c r="U1724" s="4" t="s">
        <v>194</v>
      </c>
    </row>
    <row r="1725" spans="19:21" x14ac:dyDescent="0.25">
      <c r="S1725" s="6" t="s">
        <v>302</v>
      </c>
      <c r="T1725" s="6">
        <f t="shared" si="43"/>
        <v>1724</v>
      </c>
      <c r="U1725" s="4" t="s">
        <v>194</v>
      </c>
    </row>
    <row r="1726" spans="19:21" x14ac:dyDescent="0.25">
      <c r="S1726" s="6" t="s">
        <v>302</v>
      </c>
      <c r="T1726" s="6">
        <f t="shared" si="43"/>
        <v>1725</v>
      </c>
      <c r="U1726" s="4" t="s">
        <v>194</v>
      </c>
    </row>
    <row r="1727" spans="19:21" x14ac:dyDescent="0.25">
      <c r="S1727" s="6" t="s">
        <v>302</v>
      </c>
      <c r="T1727" s="6">
        <f t="shared" si="43"/>
        <v>1726</v>
      </c>
      <c r="U1727" s="4" t="s">
        <v>194</v>
      </c>
    </row>
    <row r="1728" spans="19:21" x14ac:dyDescent="0.25">
      <c r="S1728" s="6" t="s">
        <v>302</v>
      </c>
      <c r="T1728" s="6">
        <f t="shared" si="43"/>
        <v>1727</v>
      </c>
      <c r="U1728" s="4" t="s">
        <v>194</v>
      </c>
    </row>
    <row r="1729" spans="19:21" x14ac:dyDescent="0.25">
      <c r="S1729" s="6" t="s">
        <v>302</v>
      </c>
      <c r="T1729" s="6">
        <f t="shared" si="43"/>
        <v>1728</v>
      </c>
      <c r="U1729" s="4" t="s">
        <v>194</v>
      </c>
    </row>
    <row r="1730" spans="19:21" x14ac:dyDescent="0.25">
      <c r="S1730" s="6" t="s">
        <v>302</v>
      </c>
      <c r="T1730" s="6">
        <f t="shared" si="43"/>
        <v>1729</v>
      </c>
      <c r="U1730" s="4" t="s">
        <v>194</v>
      </c>
    </row>
    <row r="1731" spans="19:21" x14ac:dyDescent="0.25">
      <c r="S1731" s="6" t="s">
        <v>302</v>
      </c>
      <c r="T1731" s="6">
        <f t="shared" si="43"/>
        <v>1730</v>
      </c>
      <c r="U1731" s="4" t="s">
        <v>194</v>
      </c>
    </row>
    <row r="1732" spans="19:21" x14ac:dyDescent="0.25">
      <c r="S1732" s="6" t="s">
        <v>302</v>
      </c>
      <c r="T1732" s="6">
        <f t="shared" si="43"/>
        <v>1731</v>
      </c>
      <c r="U1732" s="4" t="s">
        <v>194</v>
      </c>
    </row>
    <row r="1733" spans="19:21" x14ac:dyDescent="0.25">
      <c r="S1733" s="6" t="s">
        <v>302</v>
      </c>
      <c r="T1733" s="6">
        <f t="shared" si="43"/>
        <v>1732</v>
      </c>
      <c r="U1733" s="4" t="s">
        <v>194</v>
      </c>
    </row>
    <row r="1734" spans="19:21" x14ac:dyDescent="0.25">
      <c r="S1734" s="6" t="s">
        <v>302</v>
      </c>
      <c r="T1734" s="6">
        <f t="shared" si="43"/>
        <v>1733</v>
      </c>
      <c r="U1734" s="4" t="s">
        <v>194</v>
      </c>
    </row>
    <row r="1735" spans="19:21" x14ac:dyDescent="0.25">
      <c r="S1735" s="6" t="s">
        <v>302</v>
      </c>
      <c r="T1735" s="6">
        <f t="shared" si="43"/>
        <v>1734</v>
      </c>
      <c r="U1735" s="4" t="s">
        <v>194</v>
      </c>
    </row>
    <row r="1736" spans="19:21" x14ac:dyDescent="0.25">
      <c r="S1736" s="6" t="s">
        <v>302</v>
      </c>
      <c r="T1736" s="6">
        <f t="shared" si="43"/>
        <v>1735</v>
      </c>
      <c r="U1736" s="4" t="s">
        <v>194</v>
      </c>
    </row>
    <row r="1737" spans="19:21" x14ac:dyDescent="0.25">
      <c r="S1737" s="6" t="s">
        <v>302</v>
      </c>
      <c r="T1737" s="6">
        <f t="shared" si="43"/>
        <v>1736</v>
      </c>
      <c r="U1737" s="4" t="s">
        <v>194</v>
      </c>
    </row>
    <row r="1738" spans="19:21" x14ac:dyDescent="0.25">
      <c r="S1738" s="6" t="s">
        <v>302</v>
      </c>
      <c r="T1738" s="6">
        <f t="shared" si="43"/>
        <v>1737</v>
      </c>
      <c r="U1738" s="4" t="s">
        <v>194</v>
      </c>
    </row>
    <row r="1739" spans="19:21" x14ac:dyDescent="0.25">
      <c r="S1739" s="6" t="s">
        <v>302</v>
      </c>
      <c r="T1739" s="6">
        <f t="shared" si="43"/>
        <v>1738</v>
      </c>
      <c r="U1739" s="4" t="s">
        <v>194</v>
      </c>
    </row>
    <row r="1740" spans="19:21" x14ac:dyDescent="0.25">
      <c r="S1740" s="6" t="s">
        <v>302</v>
      </c>
      <c r="T1740" s="6">
        <f t="shared" si="43"/>
        <v>1739</v>
      </c>
      <c r="U1740" s="4" t="s">
        <v>194</v>
      </c>
    </row>
    <row r="1741" spans="19:21" x14ac:dyDescent="0.25">
      <c r="S1741" s="6" t="s">
        <v>302</v>
      </c>
      <c r="T1741" s="6">
        <f t="shared" si="43"/>
        <v>1740</v>
      </c>
      <c r="U1741" s="4" t="s">
        <v>194</v>
      </c>
    </row>
    <row r="1742" spans="19:21" x14ac:dyDescent="0.25">
      <c r="S1742" s="6" t="s">
        <v>302</v>
      </c>
      <c r="T1742" s="6">
        <f t="shared" si="43"/>
        <v>1741</v>
      </c>
      <c r="U1742" s="4" t="s">
        <v>194</v>
      </c>
    </row>
    <row r="1743" spans="19:21" x14ac:dyDescent="0.25">
      <c r="S1743" s="6" t="s">
        <v>302</v>
      </c>
      <c r="T1743" s="6">
        <f t="shared" si="43"/>
        <v>1742</v>
      </c>
      <c r="U1743" s="4" t="s">
        <v>194</v>
      </c>
    </row>
    <row r="1744" spans="19:21" x14ac:dyDescent="0.25">
      <c r="S1744" s="6" t="s">
        <v>302</v>
      </c>
      <c r="T1744" s="6">
        <f t="shared" si="43"/>
        <v>1743</v>
      </c>
      <c r="U1744" s="4" t="s">
        <v>194</v>
      </c>
    </row>
    <row r="1745" spans="19:21" x14ac:dyDescent="0.25">
      <c r="S1745" s="6" t="s">
        <v>302</v>
      </c>
      <c r="T1745" s="6">
        <f t="shared" si="43"/>
        <v>1744</v>
      </c>
      <c r="U1745" s="4" t="s">
        <v>194</v>
      </c>
    </row>
    <row r="1746" spans="19:21" x14ac:dyDescent="0.25">
      <c r="S1746" s="6" t="s">
        <v>302</v>
      </c>
      <c r="T1746" s="6">
        <f t="shared" si="43"/>
        <v>1745</v>
      </c>
      <c r="U1746" s="4" t="s">
        <v>194</v>
      </c>
    </row>
    <row r="1747" spans="19:21" x14ac:dyDescent="0.25">
      <c r="S1747" s="6" t="s">
        <v>302</v>
      </c>
      <c r="T1747" s="6">
        <f t="shared" si="43"/>
        <v>1746</v>
      </c>
      <c r="U1747" s="4" t="s">
        <v>194</v>
      </c>
    </row>
    <row r="1748" spans="19:21" x14ac:dyDescent="0.25">
      <c r="S1748" s="6" t="s">
        <v>302</v>
      </c>
      <c r="T1748" s="6">
        <f t="shared" ref="T1748:T1811" si="44">T1747+1</f>
        <v>1747</v>
      </c>
      <c r="U1748" s="4" t="s">
        <v>194</v>
      </c>
    </row>
    <row r="1749" spans="19:21" x14ac:dyDescent="0.25">
      <c r="S1749" s="6" t="s">
        <v>302</v>
      </c>
      <c r="T1749" s="6">
        <f t="shared" si="44"/>
        <v>1748</v>
      </c>
      <c r="U1749" s="4" t="s">
        <v>194</v>
      </c>
    </row>
    <row r="1750" spans="19:21" x14ac:dyDescent="0.25">
      <c r="S1750" s="6" t="s">
        <v>302</v>
      </c>
      <c r="T1750" s="6">
        <f t="shared" si="44"/>
        <v>1749</v>
      </c>
      <c r="U1750" s="4" t="s">
        <v>194</v>
      </c>
    </row>
    <row r="1751" spans="19:21" x14ac:dyDescent="0.25">
      <c r="S1751" s="6" t="s">
        <v>302</v>
      </c>
      <c r="T1751" s="6">
        <f t="shared" si="44"/>
        <v>1750</v>
      </c>
      <c r="U1751" s="4" t="s">
        <v>194</v>
      </c>
    </row>
    <row r="1752" spans="19:21" x14ac:dyDescent="0.25">
      <c r="S1752" s="6" t="s">
        <v>302</v>
      </c>
      <c r="T1752" s="6">
        <f t="shared" si="44"/>
        <v>1751</v>
      </c>
      <c r="U1752" s="4" t="s">
        <v>194</v>
      </c>
    </row>
    <row r="1753" spans="19:21" x14ac:dyDescent="0.25">
      <c r="S1753" s="6" t="s">
        <v>302</v>
      </c>
      <c r="T1753" s="6">
        <f t="shared" si="44"/>
        <v>1752</v>
      </c>
      <c r="U1753" s="4" t="s">
        <v>194</v>
      </c>
    </row>
    <row r="1754" spans="19:21" x14ac:dyDescent="0.25">
      <c r="S1754" s="6" t="s">
        <v>302</v>
      </c>
      <c r="T1754" s="6">
        <f t="shared" si="44"/>
        <v>1753</v>
      </c>
      <c r="U1754" s="4" t="s">
        <v>194</v>
      </c>
    </row>
    <row r="1755" spans="19:21" x14ac:dyDescent="0.25">
      <c r="S1755" s="6" t="s">
        <v>302</v>
      </c>
      <c r="T1755" s="6">
        <f t="shared" si="44"/>
        <v>1754</v>
      </c>
      <c r="U1755" s="4" t="s">
        <v>194</v>
      </c>
    </row>
    <row r="1756" spans="19:21" x14ac:dyDescent="0.25">
      <c r="S1756" s="6" t="s">
        <v>302</v>
      </c>
      <c r="T1756" s="6">
        <f t="shared" si="44"/>
        <v>1755</v>
      </c>
      <c r="U1756" s="4" t="s">
        <v>194</v>
      </c>
    </row>
    <row r="1757" spans="19:21" x14ac:dyDescent="0.25">
      <c r="S1757" s="6" t="s">
        <v>302</v>
      </c>
      <c r="T1757" s="6">
        <f t="shared" si="44"/>
        <v>1756</v>
      </c>
      <c r="U1757" s="4" t="s">
        <v>194</v>
      </c>
    </row>
    <row r="1758" spans="19:21" x14ac:dyDescent="0.25">
      <c r="S1758" s="6" t="s">
        <v>302</v>
      </c>
      <c r="T1758" s="6">
        <f t="shared" si="44"/>
        <v>1757</v>
      </c>
      <c r="U1758" s="4" t="s">
        <v>194</v>
      </c>
    </row>
    <row r="1759" spans="19:21" x14ac:dyDescent="0.25">
      <c r="S1759" s="6" t="s">
        <v>302</v>
      </c>
      <c r="T1759" s="6">
        <f t="shared" si="44"/>
        <v>1758</v>
      </c>
      <c r="U1759" s="4" t="s">
        <v>194</v>
      </c>
    </row>
    <row r="1760" spans="19:21" x14ac:dyDescent="0.25">
      <c r="S1760" s="6" t="s">
        <v>302</v>
      </c>
      <c r="T1760" s="6">
        <f t="shared" si="44"/>
        <v>1759</v>
      </c>
      <c r="U1760" s="4" t="s">
        <v>194</v>
      </c>
    </row>
    <row r="1761" spans="19:21" x14ac:dyDescent="0.25">
      <c r="S1761" s="6" t="s">
        <v>302</v>
      </c>
      <c r="T1761" s="6">
        <f t="shared" si="44"/>
        <v>1760</v>
      </c>
      <c r="U1761" s="4" t="s">
        <v>194</v>
      </c>
    </row>
    <row r="1762" spans="19:21" x14ac:dyDescent="0.25">
      <c r="S1762" s="6" t="s">
        <v>302</v>
      </c>
      <c r="T1762" s="6">
        <f t="shared" si="44"/>
        <v>1761</v>
      </c>
      <c r="U1762" s="4" t="s">
        <v>194</v>
      </c>
    </row>
    <row r="1763" spans="19:21" x14ac:dyDescent="0.25">
      <c r="S1763" s="6" t="s">
        <v>302</v>
      </c>
      <c r="T1763" s="6">
        <f t="shared" si="44"/>
        <v>1762</v>
      </c>
      <c r="U1763" s="4" t="s">
        <v>194</v>
      </c>
    </row>
    <row r="1764" spans="19:21" x14ac:dyDescent="0.25">
      <c r="S1764" s="6" t="s">
        <v>302</v>
      </c>
      <c r="T1764" s="6">
        <f t="shared" si="44"/>
        <v>1763</v>
      </c>
      <c r="U1764" s="4" t="s">
        <v>194</v>
      </c>
    </row>
    <row r="1765" spans="19:21" x14ac:dyDescent="0.25">
      <c r="S1765" s="6" t="s">
        <v>302</v>
      </c>
      <c r="T1765" s="6">
        <f t="shared" si="44"/>
        <v>1764</v>
      </c>
      <c r="U1765" s="4" t="s">
        <v>194</v>
      </c>
    </row>
    <row r="1766" spans="19:21" x14ac:dyDescent="0.25">
      <c r="S1766" s="6" t="s">
        <v>302</v>
      </c>
      <c r="T1766" s="6">
        <f t="shared" si="44"/>
        <v>1765</v>
      </c>
      <c r="U1766" s="4" t="s">
        <v>194</v>
      </c>
    </row>
    <row r="1767" spans="19:21" x14ac:dyDescent="0.25">
      <c r="S1767" s="6" t="s">
        <v>302</v>
      </c>
      <c r="T1767" s="6">
        <f t="shared" si="44"/>
        <v>1766</v>
      </c>
      <c r="U1767" s="4" t="s">
        <v>194</v>
      </c>
    </row>
    <row r="1768" spans="19:21" x14ac:dyDescent="0.25">
      <c r="S1768" s="6" t="s">
        <v>302</v>
      </c>
      <c r="T1768" s="6">
        <f t="shared" si="44"/>
        <v>1767</v>
      </c>
      <c r="U1768" s="4" t="s">
        <v>194</v>
      </c>
    </row>
    <row r="1769" spans="19:21" x14ac:dyDescent="0.25">
      <c r="S1769" s="6" t="s">
        <v>302</v>
      </c>
      <c r="T1769" s="6">
        <f t="shared" si="44"/>
        <v>1768</v>
      </c>
      <c r="U1769" s="4" t="s">
        <v>194</v>
      </c>
    </row>
    <row r="1770" spans="19:21" x14ac:dyDescent="0.25">
      <c r="S1770" s="6" t="s">
        <v>302</v>
      </c>
      <c r="T1770" s="6">
        <f t="shared" si="44"/>
        <v>1769</v>
      </c>
      <c r="U1770" s="4" t="s">
        <v>194</v>
      </c>
    </row>
    <row r="1771" spans="19:21" x14ac:dyDescent="0.25">
      <c r="S1771" s="6" t="s">
        <v>302</v>
      </c>
      <c r="T1771" s="6">
        <f t="shared" si="44"/>
        <v>1770</v>
      </c>
      <c r="U1771" s="4" t="s">
        <v>194</v>
      </c>
    </row>
    <row r="1772" spans="19:21" x14ac:dyDescent="0.25">
      <c r="S1772" s="6" t="s">
        <v>302</v>
      </c>
      <c r="T1772" s="6">
        <f t="shared" si="44"/>
        <v>1771</v>
      </c>
      <c r="U1772" s="4" t="s">
        <v>194</v>
      </c>
    </row>
    <row r="1773" spans="19:21" x14ac:dyDescent="0.25">
      <c r="S1773" s="6" t="s">
        <v>302</v>
      </c>
      <c r="T1773" s="6">
        <f t="shared" si="44"/>
        <v>1772</v>
      </c>
      <c r="U1773" s="4" t="s">
        <v>194</v>
      </c>
    </row>
    <row r="1774" spans="19:21" x14ac:dyDescent="0.25">
      <c r="S1774" s="6" t="s">
        <v>302</v>
      </c>
      <c r="T1774" s="6">
        <f t="shared" si="44"/>
        <v>1773</v>
      </c>
      <c r="U1774" s="4" t="s">
        <v>194</v>
      </c>
    </row>
    <row r="1775" spans="19:21" x14ac:dyDescent="0.25">
      <c r="S1775" s="6" t="s">
        <v>302</v>
      </c>
      <c r="T1775" s="6">
        <f t="shared" si="44"/>
        <v>1774</v>
      </c>
      <c r="U1775" s="4" t="s">
        <v>194</v>
      </c>
    </row>
    <row r="1776" spans="19:21" x14ac:dyDescent="0.25">
      <c r="S1776" s="6" t="s">
        <v>302</v>
      </c>
      <c r="T1776" s="6">
        <f t="shared" si="44"/>
        <v>1775</v>
      </c>
      <c r="U1776" s="4" t="s">
        <v>194</v>
      </c>
    </row>
    <row r="1777" spans="19:21" x14ac:dyDescent="0.25">
      <c r="S1777" s="6" t="s">
        <v>302</v>
      </c>
      <c r="T1777" s="6">
        <f t="shared" si="44"/>
        <v>1776</v>
      </c>
      <c r="U1777" s="4" t="s">
        <v>194</v>
      </c>
    </row>
    <row r="1778" spans="19:21" x14ac:dyDescent="0.25">
      <c r="S1778" s="6" t="s">
        <v>302</v>
      </c>
      <c r="T1778" s="6">
        <f t="shared" si="44"/>
        <v>1777</v>
      </c>
      <c r="U1778" s="4" t="s">
        <v>194</v>
      </c>
    </row>
    <row r="1779" spans="19:21" x14ac:dyDescent="0.25">
      <c r="S1779" s="6" t="s">
        <v>302</v>
      </c>
      <c r="T1779" s="6">
        <f t="shared" si="44"/>
        <v>1778</v>
      </c>
      <c r="U1779" s="4" t="s">
        <v>194</v>
      </c>
    </row>
    <row r="1780" spans="19:21" x14ac:dyDescent="0.25">
      <c r="S1780" s="6" t="s">
        <v>302</v>
      </c>
      <c r="T1780" s="6">
        <f t="shared" si="44"/>
        <v>1779</v>
      </c>
      <c r="U1780" s="4" t="s">
        <v>194</v>
      </c>
    </row>
    <row r="1781" spans="19:21" x14ac:dyDescent="0.25">
      <c r="S1781" s="6" t="s">
        <v>302</v>
      </c>
      <c r="T1781" s="6">
        <f t="shared" si="44"/>
        <v>1780</v>
      </c>
      <c r="U1781" s="4" t="s">
        <v>194</v>
      </c>
    </row>
    <row r="1782" spans="19:21" x14ac:dyDescent="0.25">
      <c r="S1782" s="6" t="s">
        <v>302</v>
      </c>
      <c r="T1782" s="6">
        <f t="shared" si="44"/>
        <v>1781</v>
      </c>
      <c r="U1782" s="4" t="s">
        <v>194</v>
      </c>
    </row>
    <row r="1783" spans="19:21" x14ac:dyDescent="0.25">
      <c r="S1783" s="6" t="s">
        <v>302</v>
      </c>
      <c r="T1783" s="6">
        <f t="shared" si="44"/>
        <v>1782</v>
      </c>
      <c r="U1783" s="4" t="s">
        <v>194</v>
      </c>
    </row>
    <row r="1784" spans="19:21" x14ac:dyDescent="0.25">
      <c r="S1784" s="6" t="s">
        <v>302</v>
      </c>
      <c r="T1784" s="6">
        <f t="shared" si="44"/>
        <v>1783</v>
      </c>
      <c r="U1784" s="4" t="s">
        <v>194</v>
      </c>
    </row>
    <row r="1785" spans="19:21" x14ac:dyDescent="0.25">
      <c r="S1785" s="6" t="s">
        <v>302</v>
      </c>
      <c r="T1785" s="6">
        <f t="shared" si="44"/>
        <v>1784</v>
      </c>
      <c r="U1785" s="4" t="s">
        <v>194</v>
      </c>
    </row>
    <row r="1786" spans="19:21" x14ac:dyDescent="0.25">
      <c r="S1786" s="6" t="s">
        <v>302</v>
      </c>
      <c r="T1786" s="6">
        <f t="shared" si="44"/>
        <v>1785</v>
      </c>
      <c r="U1786" s="4" t="s">
        <v>194</v>
      </c>
    </row>
    <row r="1787" spans="19:21" x14ac:dyDescent="0.25">
      <c r="S1787" s="6" t="s">
        <v>302</v>
      </c>
      <c r="T1787" s="6">
        <f t="shared" si="44"/>
        <v>1786</v>
      </c>
      <c r="U1787" s="4" t="s">
        <v>194</v>
      </c>
    </row>
    <row r="1788" spans="19:21" x14ac:dyDescent="0.25">
      <c r="S1788" s="6" t="s">
        <v>302</v>
      </c>
      <c r="T1788" s="6">
        <f t="shared" si="44"/>
        <v>1787</v>
      </c>
      <c r="U1788" s="4" t="s">
        <v>194</v>
      </c>
    </row>
    <row r="1789" spans="19:21" x14ac:dyDescent="0.25">
      <c r="S1789" s="6" t="s">
        <v>302</v>
      </c>
      <c r="T1789" s="6">
        <f t="shared" si="44"/>
        <v>1788</v>
      </c>
      <c r="U1789" s="4" t="s">
        <v>194</v>
      </c>
    </row>
    <row r="1790" spans="19:21" x14ac:dyDescent="0.25">
      <c r="S1790" s="6" t="s">
        <v>302</v>
      </c>
      <c r="T1790" s="6">
        <f t="shared" si="44"/>
        <v>1789</v>
      </c>
      <c r="U1790" s="4" t="s">
        <v>194</v>
      </c>
    </row>
    <row r="1791" spans="19:21" x14ac:dyDescent="0.25">
      <c r="S1791" s="6" t="s">
        <v>302</v>
      </c>
      <c r="T1791" s="6">
        <f t="shared" si="44"/>
        <v>1790</v>
      </c>
      <c r="U1791" s="4" t="s">
        <v>194</v>
      </c>
    </row>
    <row r="1792" spans="19:21" x14ac:dyDescent="0.25">
      <c r="S1792" s="6" t="s">
        <v>302</v>
      </c>
      <c r="T1792" s="6">
        <f t="shared" si="44"/>
        <v>1791</v>
      </c>
      <c r="U1792" s="4" t="s">
        <v>194</v>
      </c>
    </row>
    <row r="1793" spans="19:21" x14ac:dyDescent="0.25">
      <c r="S1793" s="6" t="s">
        <v>302</v>
      </c>
      <c r="T1793" s="6">
        <f t="shared" si="44"/>
        <v>1792</v>
      </c>
      <c r="U1793" s="4" t="s">
        <v>194</v>
      </c>
    </row>
    <row r="1794" spans="19:21" x14ac:dyDescent="0.25">
      <c r="S1794" s="6" t="s">
        <v>302</v>
      </c>
      <c r="T1794" s="6">
        <f t="shared" si="44"/>
        <v>1793</v>
      </c>
      <c r="U1794" s="4" t="s">
        <v>194</v>
      </c>
    </row>
    <row r="1795" spans="19:21" x14ac:dyDescent="0.25">
      <c r="S1795" s="6" t="s">
        <v>302</v>
      </c>
      <c r="T1795" s="6">
        <f t="shared" si="44"/>
        <v>1794</v>
      </c>
      <c r="U1795" s="4" t="s">
        <v>194</v>
      </c>
    </row>
    <row r="1796" spans="19:21" x14ac:dyDescent="0.25">
      <c r="S1796" s="6" t="s">
        <v>302</v>
      </c>
      <c r="T1796" s="6">
        <f t="shared" si="44"/>
        <v>1795</v>
      </c>
      <c r="U1796" s="4" t="s">
        <v>194</v>
      </c>
    </row>
    <row r="1797" spans="19:21" x14ac:dyDescent="0.25">
      <c r="S1797" s="6" t="s">
        <v>302</v>
      </c>
      <c r="T1797" s="6">
        <f t="shared" si="44"/>
        <v>1796</v>
      </c>
      <c r="U1797" s="4" t="s">
        <v>194</v>
      </c>
    </row>
    <row r="1798" spans="19:21" x14ac:dyDescent="0.25">
      <c r="S1798" s="6" t="s">
        <v>302</v>
      </c>
      <c r="T1798" s="6">
        <f t="shared" si="44"/>
        <v>1797</v>
      </c>
      <c r="U1798" s="4" t="s">
        <v>194</v>
      </c>
    </row>
    <row r="1799" spans="19:21" x14ac:dyDescent="0.25">
      <c r="S1799" s="6" t="s">
        <v>302</v>
      </c>
      <c r="T1799" s="6">
        <f t="shared" si="44"/>
        <v>1798</v>
      </c>
      <c r="U1799" s="4" t="s">
        <v>194</v>
      </c>
    </row>
    <row r="1800" spans="19:21" x14ac:dyDescent="0.25">
      <c r="S1800" s="6" t="s">
        <v>302</v>
      </c>
      <c r="T1800" s="6">
        <f t="shared" si="44"/>
        <v>1799</v>
      </c>
      <c r="U1800" s="4" t="s">
        <v>194</v>
      </c>
    </row>
    <row r="1801" spans="19:21" x14ac:dyDescent="0.25">
      <c r="S1801" s="6" t="s">
        <v>302</v>
      </c>
      <c r="T1801" s="6">
        <f t="shared" si="44"/>
        <v>1800</v>
      </c>
      <c r="U1801" s="4" t="s">
        <v>194</v>
      </c>
    </row>
    <row r="1802" spans="19:21" x14ac:dyDescent="0.25">
      <c r="S1802" s="6" t="s">
        <v>302</v>
      </c>
      <c r="T1802" s="6">
        <f t="shared" si="44"/>
        <v>1801</v>
      </c>
      <c r="U1802" s="4" t="s">
        <v>194</v>
      </c>
    </row>
    <row r="1803" spans="19:21" x14ac:dyDescent="0.25">
      <c r="S1803" s="6" t="s">
        <v>302</v>
      </c>
      <c r="T1803" s="6">
        <f t="shared" si="44"/>
        <v>1802</v>
      </c>
      <c r="U1803" s="4" t="s">
        <v>194</v>
      </c>
    </row>
    <row r="1804" spans="19:21" x14ac:dyDescent="0.25">
      <c r="S1804" s="6" t="s">
        <v>302</v>
      </c>
      <c r="T1804" s="6">
        <f t="shared" si="44"/>
        <v>1803</v>
      </c>
      <c r="U1804" s="4" t="s">
        <v>194</v>
      </c>
    </row>
    <row r="1805" spans="19:21" x14ac:dyDescent="0.25">
      <c r="S1805" s="6" t="s">
        <v>302</v>
      </c>
      <c r="T1805" s="6">
        <f t="shared" si="44"/>
        <v>1804</v>
      </c>
      <c r="U1805" s="4" t="s">
        <v>194</v>
      </c>
    </row>
    <row r="1806" spans="19:21" x14ac:dyDescent="0.25">
      <c r="S1806" s="6" t="s">
        <v>302</v>
      </c>
      <c r="T1806" s="6">
        <f t="shared" si="44"/>
        <v>1805</v>
      </c>
      <c r="U1806" s="4" t="s">
        <v>194</v>
      </c>
    </row>
    <row r="1807" spans="19:21" x14ac:dyDescent="0.25">
      <c r="S1807" s="6" t="s">
        <v>302</v>
      </c>
      <c r="T1807" s="6">
        <f t="shared" si="44"/>
        <v>1806</v>
      </c>
      <c r="U1807" s="4" t="s">
        <v>194</v>
      </c>
    </row>
    <row r="1808" spans="19:21" x14ac:dyDescent="0.25">
      <c r="S1808" s="6" t="s">
        <v>302</v>
      </c>
      <c r="T1808" s="6">
        <f t="shared" si="44"/>
        <v>1807</v>
      </c>
      <c r="U1808" s="4" t="s">
        <v>194</v>
      </c>
    </row>
    <row r="1809" spans="19:21" x14ac:dyDescent="0.25">
      <c r="S1809" s="6" t="s">
        <v>302</v>
      </c>
      <c r="T1809" s="6">
        <f t="shared" si="44"/>
        <v>1808</v>
      </c>
      <c r="U1809" s="4" t="s">
        <v>194</v>
      </c>
    </row>
    <row r="1810" spans="19:21" x14ac:dyDescent="0.25">
      <c r="S1810" s="6" t="s">
        <v>302</v>
      </c>
      <c r="T1810" s="6">
        <f t="shared" si="44"/>
        <v>1809</v>
      </c>
      <c r="U1810" s="4" t="s">
        <v>194</v>
      </c>
    </row>
    <row r="1811" spans="19:21" x14ac:dyDescent="0.25">
      <c r="S1811" s="6" t="s">
        <v>302</v>
      </c>
      <c r="T1811" s="6">
        <f t="shared" si="44"/>
        <v>1810</v>
      </c>
      <c r="U1811" s="4" t="s">
        <v>194</v>
      </c>
    </row>
    <row r="1812" spans="19:21" x14ac:dyDescent="0.25">
      <c r="S1812" s="6" t="s">
        <v>302</v>
      </c>
      <c r="T1812" s="6">
        <f t="shared" ref="T1812:T1875" si="45">T1811+1</f>
        <v>1811</v>
      </c>
      <c r="U1812" s="4" t="s">
        <v>194</v>
      </c>
    </row>
    <row r="1813" spans="19:21" x14ac:dyDescent="0.25">
      <c r="S1813" s="6" t="s">
        <v>302</v>
      </c>
      <c r="T1813" s="6">
        <f t="shared" si="45"/>
        <v>1812</v>
      </c>
      <c r="U1813" s="4" t="s">
        <v>194</v>
      </c>
    </row>
    <row r="1814" spans="19:21" x14ac:dyDescent="0.25">
      <c r="S1814" s="6" t="s">
        <v>302</v>
      </c>
      <c r="T1814" s="6">
        <f t="shared" si="45"/>
        <v>1813</v>
      </c>
      <c r="U1814" s="4" t="s">
        <v>194</v>
      </c>
    </row>
    <row r="1815" spans="19:21" x14ac:dyDescent="0.25">
      <c r="S1815" s="6" t="s">
        <v>302</v>
      </c>
      <c r="T1815" s="6">
        <f t="shared" si="45"/>
        <v>1814</v>
      </c>
      <c r="U1815" s="4" t="s">
        <v>194</v>
      </c>
    </row>
    <row r="1816" spans="19:21" x14ac:dyDescent="0.25">
      <c r="S1816" s="6" t="s">
        <v>302</v>
      </c>
      <c r="T1816" s="6">
        <f t="shared" si="45"/>
        <v>1815</v>
      </c>
      <c r="U1816" s="4" t="s">
        <v>194</v>
      </c>
    </row>
    <row r="1817" spans="19:21" x14ac:dyDescent="0.25">
      <c r="S1817" s="6" t="s">
        <v>302</v>
      </c>
      <c r="T1817" s="6">
        <f t="shared" si="45"/>
        <v>1816</v>
      </c>
      <c r="U1817" s="4" t="s">
        <v>194</v>
      </c>
    </row>
    <row r="1818" spans="19:21" x14ac:dyDescent="0.25">
      <c r="S1818" s="6" t="s">
        <v>302</v>
      </c>
      <c r="T1818" s="6">
        <f t="shared" si="45"/>
        <v>1817</v>
      </c>
      <c r="U1818" s="4" t="s">
        <v>194</v>
      </c>
    </row>
    <row r="1819" spans="19:21" x14ac:dyDescent="0.25">
      <c r="S1819" s="6" t="s">
        <v>302</v>
      </c>
      <c r="T1819" s="6">
        <f t="shared" si="45"/>
        <v>1818</v>
      </c>
      <c r="U1819" s="4" t="s">
        <v>194</v>
      </c>
    </row>
    <row r="1820" spans="19:21" x14ac:dyDescent="0.25">
      <c r="S1820" s="6" t="s">
        <v>302</v>
      </c>
      <c r="T1820" s="6">
        <f t="shared" si="45"/>
        <v>1819</v>
      </c>
      <c r="U1820" s="4" t="s">
        <v>194</v>
      </c>
    </row>
    <row r="1821" spans="19:21" x14ac:dyDescent="0.25">
      <c r="S1821" s="6" t="s">
        <v>302</v>
      </c>
      <c r="T1821" s="6">
        <f t="shared" si="45"/>
        <v>1820</v>
      </c>
      <c r="U1821" s="4" t="s">
        <v>194</v>
      </c>
    </row>
    <row r="1822" spans="19:21" x14ac:dyDescent="0.25">
      <c r="S1822" s="6" t="s">
        <v>302</v>
      </c>
      <c r="T1822" s="6">
        <f t="shared" si="45"/>
        <v>1821</v>
      </c>
      <c r="U1822" s="4" t="s">
        <v>194</v>
      </c>
    </row>
    <row r="1823" spans="19:21" x14ac:dyDescent="0.25">
      <c r="S1823" s="6" t="s">
        <v>302</v>
      </c>
      <c r="T1823" s="6">
        <f t="shared" si="45"/>
        <v>1822</v>
      </c>
      <c r="U1823" s="4" t="s">
        <v>194</v>
      </c>
    </row>
    <row r="1824" spans="19:21" x14ac:dyDescent="0.25">
      <c r="S1824" s="6" t="s">
        <v>302</v>
      </c>
      <c r="T1824" s="6">
        <f t="shared" si="45"/>
        <v>1823</v>
      </c>
      <c r="U1824" s="4" t="s">
        <v>194</v>
      </c>
    </row>
    <row r="1825" spans="19:21" x14ac:dyDescent="0.25">
      <c r="S1825" s="6" t="s">
        <v>302</v>
      </c>
      <c r="T1825" s="6">
        <f t="shared" si="45"/>
        <v>1824</v>
      </c>
      <c r="U1825" s="4" t="s">
        <v>194</v>
      </c>
    </row>
    <row r="1826" spans="19:21" x14ac:dyDescent="0.25">
      <c r="S1826" s="6" t="s">
        <v>302</v>
      </c>
      <c r="T1826" s="6">
        <f t="shared" si="45"/>
        <v>1825</v>
      </c>
      <c r="U1826" s="4" t="s">
        <v>194</v>
      </c>
    </row>
    <row r="1827" spans="19:21" x14ac:dyDescent="0.25">
      <c r="S1827" s="6" t="s">
        <v>302</v>
      </c>
      <c r="T1827" s="6">
        <f t="shared" si="45"/>
        <v>1826</v>
      </c>
      <c r="U1827" s="4" t="s">
        <v>194</v>
      </c>
    </row>
    <row r="1828" spans="19:21" x14ac:dyDescent="0.25">
      <c r="S1828" s="6" t="s">
        <v>302</v>
      </c>
      <c r="T1828" s="6">
        <f t="shared" si="45"/>
        <v>1827</v>
      </c>
      <c r="U1828" s="4" t="s">
        <v>194</v>
      </c>
    </row>
    <row r="1829" spans="19:21" x14ac:dyDescent="0.25">
      <c r="S1829" s="6" t="s">
        <v>302</v>
      </c>
      <c r="T1829" s="6">
        <f t="shared" si="45"/>
        <v>1828</v>
      </c>
      <c r="U1829" s="4" t="s">
        <v>194</v>
      </c>
    </row>
    <row r="1830" spans="19:21" x14ac:dyDescent="0.25">
      <c r="S1830" s="6" t="s">
        <v>302</v>
      </c>
      <c r="T1830" s="6">
        <f t="shared" si="45"/>
        <v>1829</v>
      </c>
      <c r="U1830" s="4" t="s">
        <v>194</v>
      </c>
    </row>
    <row r="1831" spans="19:21" x14ac:dyDescent="0.25">
      <c r="S1831" s="6" t="s">
        <v>302</v>
      </c>
      <c r="T1831" s="6">
        <f t="shared" si="45"/>
        <v>1830</v>
      </c>
      <c r="U1831" s="4" t="s">
        <v>194</v>
      </c>
    </row>
    <row r="1832" spans="19:21" x14ac:dyDescent="0.25">
      <c r="S1832" s="6" t="s">
        <v>302</v>
      </c>
      <c r="T1832" s="6">
        <f t="shared" si="45"/>
        <v>1831</v>
      </c>
      <c r="U1832" s="4" t="s">
        <v>194</v>
      </c>
    </row>
    <row r="1833" spans="19:21" x14ac:dyDescent="0.25">
      <c r="S1833" s="6" t="s">
        <v>302</v>
      </c>
      <c r="T1833" s="6">
        <f t="shared" si="45"/>
        <v>1832</v>
      </c>
      <c r="U1833" s="4" t="s">
        <v>194</v>
      </c>
    </row>
    <row r="1834" spans="19:21" x14ac:dyDescent="0.25">
      <c r="S1834" s="6" t="s">
        <v>302</v>
      </c>
      <c r="T1834" s="6">
        <f t="shared" si="45"/>
        <v>1833</v>
      </c>
      <c r="U1834" s="4" t="s">
        <v>194</v>
      </c>
    </row>
    <row r="1835" spans="19:21" x14ac:dyDescent="0.25">
      <c r="S1835" s="6" t="s">
        <v>302</v>
      </c>
      <c r="T1835" s="6">
        <f t="shared" si="45"/>
        <v>1834</v>
      </c>
      <c r="U1835" s="4" t="s">
        <v>194</v>
      </c>
    </row>
    <row r="1836" spans="19:21" x14ac:dyDescent="0.25">
      <c r="S1836" s="6" t="s">
        <v>302</v>
      </c>
      <c r="T1836" s="6">
        <f t="shared" si="45"/>
        <v>1835</v>
      </c>
      <c r="U1836" s="4" t="s">
        <v>194</v>
      </c>
    </row>
    <row r="1837" spans="19:21" x14ac:dyDescent="0.25">
      <c r="S1837" s="6" t="s">
        <v>302</v>
      </c>
      <c r="T1837" s="6">
        <f t="shared" si="45"/>
        <v>1836</v>
      </c>
      <c r="U1837" s="4" t="s">
        <v>194</v>
      </c>
    </row>
    <row r="1838" spans="19:21" x14ac:dyDescent="0.25">
      <c r="S1838" s="6" t="s">
        <v>302</v>
      </c>
      <c r="T1838" s="6">
        <f t="shared" si="45"/>
        <v>1837</v>
      </c>
      <c r="U1838" s="4" t="s">
        <v>194</v>
      </c>
    </row>
    <row r="1839" spans="19:21" x14ac:dyDescent="0.25">
      <c r="S1839" s="6" t="s">
        <v>302</v>
      </c>
      <c r="T1839" s="6">
        <f t="shared" si="45"/>
        <v>1838</v>
      </c>
      <c r="U1839" s="4" t="s">
        <v>194</v>
      </c>
    </row>
    <row r="1840" spans="19:21" x14ac:dyDescent="0.25">
      <c r="S1840" s="6" t="s">
        <v>302</v>
      </c>
      <c r="T1840" s="6">
        <f t="shared" si="45"/>
        <v>1839</v>
      </c>
      <c r="U1840" s="4" t="s">
        <v>194</v>
      </c>
    </row>
    <row r="1841" spans="19:21" x14ac:dyDescent="0.25">
      <c r="S1841" s="6" t="s">
        <v>302</v>
      </c>
      <c r="T1841" s="6">
        <f t="shared" si="45"/>
        <v>1840</v>
      </c>
      <c r="U1841" s="4" t="s">
        <v>194</v>
      </c>
    </row>
    <row r="1842" spans="19:21" x14ac:dyDescent="0.25">
      <c r="S1842" s="6" t="s">
        <v>302</v>
      </c>
      <c r="T1842" s="6">
        <f t="shared" si="45"/>
        <v>1841</v>
      </c>
      <c r="U1842" s="4" t="s">
        <v>194</v>
      </c>
    </row>
    <row r="1843" spans="19:21" x14ac:dyDescent="0.25">
      <c r="S1843" s="6" t="s">
        <v>302</v>
      </c>
      <c r="T1843" s="6">
        <f t="shared" si="45"/>
        <v>1842</v>
      </c>
      <c r="U1843" s="4" t="s">
        <v>194</v>
      </c>
    </row>
    <row r="1844" spans="19:21" x14ac:dyDescent="0.25">
      <c r="S1844" s="6" t="s">
        <v>302</v>
      </c>
      <c r="T1844" s="6">
        <f t="shared" si="45"/>
        <v>1843</v>
      </c>
      <c r="U1844" s="4" t="s">
        <v>194</v>
      </c>
    </row>
    <row r="1845" spans="19:21" x14ac:dyDescent="0.25">
      <c r="S1845" s="6" t="s">
        <v>302</v>
      </c>
      <c r="T1845" s="6">
        <f t="shared" si="45"/>
        <v>1844</v>
      </c>
      <c r="U1845" s="4" t="s">
        <v>194</v>
      </c>
    </row>
    <row r="1846" spans="19:21" x14ac:dyDescent="0.25">
      <c r="S1846" s="6" t="s">
        <v>302</v>
      </c>
      <c r="T1846" s="6">
        <f t="shared" si="45"/>
        <v>1845</v>
      </c>
      <c r="U1846" s="4" t="s">
        <v>194</v>
      </c>
    </row>
    <row r="1847" spans="19:21" x14ac:dyDescent="0.25">
      <c r="S1847" s="6" t="s">
        <v>302</v>
      </c>
      <c r="T1847" s="6">
        <f t="shared" si="45"/>
        <v>1846</v>
      </c>
      <c r="U1847" s="4" t="s">
        <v>194</v>
      </c>
    </row>
    <row r="1848" spans="19:21" x14ac:dyDescent="0.25">
      <c r="S1848" s="6" t="s">
        <v>302</v>
      </c>
      <c r="T1848" s="6">
        <f t="shared" si="45"/>
        <v>1847</v>
      </c>
      <c r="U1848" s="4" t="s">
        <v>194</v>
      </c>
    </row>
    <row r="1849" spans="19:21" x14ac:dyDescent="0.25">
      <c r="S1849" s="6" t="s">
        <v>302</v>
      </c>
      <c r="T1849" s="6">
        <f t="shared" si="45"/>
        <v>1848</v>
      </c>
      <c r="U1849" s="4" t="s">
        <v>194</v>
      </c>
    </row>
    <row r="1850" spans="19:21" x14ac:dyDescent="0.25">
      <c r="S1850" s="6" t="s">
        <v>302</v>
      </c>
      <c r="T1850" s="6">
        <f t="shared" si="45"/>
        <v>1849</v>
      </c>
      <c r="U1850" s="4" t="s">
        <v>194</v>
      </c>
    </row>
    <row r="1851" spans="19:21" x14ac:dyDescent="0.25">
      <c r="S1851" s="6" t="s">
        <v>302</v>
      </c>
      <c r="T1851" s="6">
        <f t="shared" si="45"/>
        <v>1850</v>
      </c>
      <c r="U1851" s="4" t="s">
        <v>194</v>
      </c>
    </row>
    <row r="1852" spans="19:21" x14ac:dyDescent="0.25">
      <c r="S1852" s="6" t="s">
        <v>302</v>
      </c>
      <c r="T1852" s="6">
        <f t="shared" si="45"/>
        <v>1851</v>
      </c>
      <c r="U1852" s="4" t="s">
        <v>194</v>
      </c>
    </row>
    <row r="1853" spans="19:21" x14ac:dyDescent="0.25">
      <c r="S1853" s="6" t="s">
        <v>302</v>
      </c>
      <c r="T1853" s="6">
        <f t="shared" si="45"/>
        <v>1852</v>
      </c>
      <c r="U1853" s="4" t="s">
        <v>194</v>
      </c>
    </row>
    <row r="1854" spans="19:21" x14ac:dyDescent="0.25">
      <c r="S1854" s="6" t="s">
        <v>302</v>
      </c>
      <c r="T1854" s="6">
        <f t="shared" si="45"/>
        <v>1853</v>
      </c>
      <c r="U1854" s="4" t="s">
        <v>194</v>
      </c>
    </row>
    <row r="1855" spans="19:21" x14ac:dyDescent="0.25">
      <c r="S1855" s="6" t="s">
        <v>302</v>
      </c>
      <c r="T1855" s="6">
        <f t="shared" si="45"/>
        <v>1854</v>
      </c>
      <c r="U1855" s="4" t="s">
        <v>194</v>
      </c>
    </row>
    <row r="1856" spans="19:21" x14ac:dyDescent="0.25">
      <c r="S1856" s="6" t="s">
        <v>302</v>
      </c>
      <c r="T1856" s="6">
        <f t="shared" si="45"/>
        <v>1855</v>
      </c>
      <c r="U1856" s="4" t="s">
        <v>194</v>
      </c>
    </row>
    <row r="1857" spans="19:21" x14ac:dyDescent="0.25">
      <c r="S1857" s="6" t="s">
        <v>302</v>
      </c>
      <c r="T1857" s="6">
        <f t="shared" si="45"/>
        <v>1856</v>
      </c>
      <c r="U1857" s="4" t="s">
        <v>194</v>
      </c>
    </row>
    <row r="1858" spans="19:21" x14ac:dyDescent="0.25">
      <c r="S1858" s="6" t="s">
        <v>302</v>
      </c>
      <c r="T1858" s="6">
        <f t="shared" si="45"/>
        <v>1857</v>
      </c>
      <c r="U1858" s="4" t="s">
        <v>194</v>
      </c>
    </row>
    <row r="1859" spans="19:21" x14ac:dyDescent="0.25">
      <c r="S1859" s="6" t="s">
        <v>302</v>
      </c>
      <c r="T1859" s="6">
        <f t="shared" si="45"/>
        <v>1858</v>
      </c>
      <c r="U1859" s="4" t="s">
        <v>194</v>
      </c>
    </row>
    <row r="1860" spans="19:21" x14ac:dyDescent="0.25">
      <c r="S1860" s="6" t="s">
        <v>302</v>
      </c>
      <c r="T1860" s="6">
        <f t="shared" si="45"/>
        <v>1859</v>
      </c>
      <c r="U1860" s="4" t="s">
        <v>194</v>
      </c>
    </row>
    <row r="1861" spans="19:21" x14ac:dyDescent="0.25">
      <c r="S1861" s="6" t="s">
        <v>302</v>
      </c>
      <c r="T1861" s="6">
        <f t="shared" si="45"/>
        <v>1860</v>
      </c>
      <c r="U1861" s="4" t="s">
        <v>194</v>
      </c>
    </row>
    <row r="1862" spans="19:21" x14ac:dyDescent="0.25">
      <c r="S1862" s="6" t="s">
        <v>302</v>
      </c>
      <c r="T1862" s="6">
        <f t="shared" si="45"/>
        <v>1861</v>
      </c>
      <c r="U1862" s="4" t="s">
        <v>194</v>
      </c>
    </row>
    <row r="1863" spans="19:21" x14ac:dyDescent="0.25">
      <c r="S1863" s="6" t="s">
        <v>302</v>
      </c>
      <c r="T1863" s="6">
        <f t="shared" si="45"/>
        <v>1862</v>
      </c>
      <c r="U1863" s="4" t="s">
        <v>194</v>
      </c>
    </row>
    <row r="1864" spans="19:21" x14ac:dyDescent="0.25">
      <c r="S1864" s="6" t="s">
        <v>302</v>
      </c>
      <c r="T1864" s="6">
        <f t="shared" si="45"/>
        <v>1863</v>
      </c>
      <c r="U1864" s="4" t="s">
        <v>194</v>
      </c>
    </row>
    <row r="1865" spans="19:21" x14ac:dyDescent="0.25">
      <c r="S1865" s="6" t="s">
        <v>302</v>
      </c>
      <c r="T1865" s="6">
        <f t="shared" si="45"/>
        <v>1864</v>
      </c>
      <c r="U1865" s="4" t="s">
        <v>194</v>
      </c>
    </row>
    <row r="1866" spans="19:21" x14ac:dyDescent="0.25">
      <c r="S1866" s="6" t="s">
        <v>302</v>
      </c>
      <c r="T1866" s="6">
        <f t="shared" si="45"/>
        <v>1865</v>
      </c>
      <c r="U1866" s="4" t="s">
        <v>194</v>
      </c>
    </row>
    <row r="1867" spans="19:21" x14ac:dyDescent="0.25">
      <c r="S1867" s="6" t="s">
        <v>302</v>
      </c>
      <c r="T1867" s="6">
        <f t="shared" si="45"/>
        <v>1866</v>
      </c>
      <c r="U1867" s="4" t="s">
        <v>194</v>
      </c>
    </row>
    <row r="1868" spans="19:21" x14ac:dyDescent="0.25">
      <c r="S1868" s="6" t="s">
        <v>302</v>
      </c>
      <c r="T1868" s="6">
        <f t="shared" si="45"/>
        <v>1867</v>
      </c>
      <c r="U1868" s="4" t="s">
        <v>194</v>
      </c>
    </row>
    <row r="1869" spans="19:21" x14ac:dyDescent="0.25">
      <c r="S1869" s="6" t="s">
        <v>302</v>
      </c>
      <c r="T1869" s="6">
        <f t="shared" si="45"/>
        <v>1868</v>
      </c>
      <c r="U1869" s="4" t="s">
        <v>194</v>
      </c>
    </row>
    <row r="1870" spans="19:21" x14ac:dyDescent="0.25">
      <c r="S1870" s="6" t="s">
        <v>302</v>
      </c>
      <c r="T1870" s="6">
        <f t="shared" si="45"/>
        <v>1869</v>
      </c>
      <c r="U1870" s="4" t="s">
        <v>194</v>
      </c>
    </row>
    <row r="1871" spans="19:21" x14ac:dyDescent="0.25">
      <c r="S1871" s="6" t="s">
        <v>302</v>
      </c>
      <c r="T1871" s="6">
        <f t="shared" si="45"/>
        <v>1870</v>
      </c>
      <c r="U1871" s="4" t="s">
        <v>194</v>
      </c>
    </row>
    <row r="1872" spans="19:21" x14ac:dyDescent="0.25">
      <c r="S1872" s="6" t="s">
        <v>302</v>
      </c>
      <c r="T1872" s="6">
        <f t="shared" si="45"/>
        <v>1871</v>
      </c>
      <c r="U1872" s="4" t="s">
        <v>194</v>
      </c>
    </row>
    <row r="1873" spans="19:21" x14ac:dyDescent="0.25">
      <c r="S1873" s="6" t="s">
        <v>302</v>
      </c>
      <c r="T1873" s="6">
        <f t="shared" si="45"/>
        <v>1872</v>
      </c>
      <c r="U1873" s="4" t="s">
        <v>194</v>
      </c>
    </row>
    <row r="1874" spans="19:21" x14ac:dyDescent="0.25">
      <c r="S1874" s="6" t="s">
        <v>302</v>
      </c>
      <c r="T1874" s="6">
        <f t="shared" si="45"/>
        <v>1873</v>
      </c>
      <c r="U1874" s="4" t="s">
        <v>194</v>
      </c>
    </row>
    <row r="1875" spans="19:21" x14ac:dyDescent="0.25">
      <c r="S1875" s="6" t="s">
        <v>302</v>
      </c>
      <c r="T1875" s="6">
        <f t="shared" si="45"/>
        <v>1874</v>
      </c>
      <c r="U1875" s="4" t="s">
        <v>194</v>
      </c>
    </row>
    <row r="1876" spans="19:21" x14ac:dyDescent="0.25">
      <c r="S1876" s="6" t="s">
        <v>302</v>
      </c>
      <c r="T1876" s="6">
        <f t="shared" ref="T1876:T1939" si="46">T1875+1</f>
        <v>1875</v>
      </c>
      <c r="U1876" s="4" t="s">
        <v>194</v>
      </c>
    </row>
    <row r="1877" spans="19:21" x14ac:dyDescent="0.25">
      <c r="S1877" s="6" t="s">
        <v>302</v>
      </c>
      <c r="T1877" s="6">
        <f t="shared" si="46"/>
        <v>1876</v>
      </c>
      <c r="U1877" s="4" t="s">
        <v>194</v>
      </c>
    </row>
    <row r="1878" spans="19:21" x14ac:dyDescent="0.25">
      <c r="S1878" s="6" t="s">
        <v>302</v>
      </c>
      <c r="T1878" s="6">
        <f t="shared" si="46"/>
        <v>1877</v>
      </c>
      <c r="U1878" s="4" t="s">
        <v>194</v>
      </c>
    </row>
    <row r="1879" spans="19:21" x14ac:dyDescent="0.25">
      <c r="S1879" s="6" t="s">
        <v>302</v>
      </c>
      <c r="T1879" s="6">
        <f t="shared" si="46"/>
        <v>1878</v>
      </c>
      <c r="U1879" s="4" t="s">
        <v>194</v>
      </c>
    </row>
    <row r="1880" spans="19:21" x14ac:dyDescent="0.25">
      <c r="S1880" s="6" t="s">
        <v>302</v>
      </c>
      <c r="T1880" s="6">
        <f t="shared" si="46"/>
        <v>1879</v>
      </c>
      <c r="U1880" s="4" t="s">
        <v>194</v>
      </c>
    </row>
    <row r="1881" spans="19:21" x14ac:dyDescent="0.25">
      <c r="S1881" s="6" t="s">
        <v>302</v>
      </c>
      <c r="T1881" s="6">
        <f t="shared" si="46"/>
        <v>1880</v>
      </c>
      <c r="U1881" s="4" t="s">
        <v>194</v>
      </c>
    </row>
    <row r="1882" spans="19:21" x14ac:dyDescent="0.25">
      <c r="S1882" s="6" t="s">
        <v>302</v>
      </c>
      <c r="T1882" s="6">
        <f t="shared" si="46"/>
        <v>1881</v>
      </c>
      <c r="U1882" s="4" t="s">
        <v>194</v>
      </c>
    </row>
    <row r="1883" spans="19:21" x14ac:dyDescent="0.25">
      <c r="S1883" s="6" t="s">
        <v>302</v>
      </c>
      <c r="T1883" s="6">
        <f t="shared" si="46"/>
        <v>1882</v>
      </c>
      <c r="U1883" s="4" t="s">
        <v>194</v>
      </c>
    </row>
    <row r="1884" spans="19:21" x14ac:dyDescent="0.25">
      <c r="S1884" s="6" t="s">
        <v>302</v>
      </c>
      <c r="T1884" s="6">
        <f t="shared" si="46"/>
        <v>1883</v>
      </c>
      <c r="U1884" s="4" t="s">
        <v>194</v>
      </c>
    </row>
    <row r="1885" spans="19:21" x14ac:dyDescent="0.25">
      <c r="S1885" s="6" t="s">
        <v>302</v>
      </c>
      <c r="T1885" s="6">
        <f t="shared" si="46"/>
        <v>1884</v>
      </c>
      <c r="U1885" s="4" t="s">
        <v>194</v>
      </c>
    </row>
    <row r="1886" spans="19:21" x14ac:dyDescent="0.25">
      <c r="S1886" s="6" t="s">
        <v>302</v>
      </c>
      <c r="T1886" s="6">
        <f t="shared" si="46"/>
        <v>1885</v>
      </c>
      <c r="U1886" s="4" t="s">
        <v>194</v>
      </c>
    </row>
    <row r="1887" spans="19:21" x14ac:dyDescent="0.25">
      <c r="S1887" s="6" t="s">
        <v>302</v>
      </c>
      <c r="T1887" s="6">
        <f t="shared" si="46"/>
        <v>1886</v>
      </c>
      <c r="U1887" s="4" t="s">
        <v>194</v>
      </c>
    </row>
    <row r="1888" spans="19:21" x14ac:dyDescent="0.25">
      <c r="S1888" s="6" t="s">
        <v>302</v>
      </c>
      <c r="T1888" s="6">
        <f t="shared" si="46"/>
        <v>1887</v>
      </c>
      <c r="U1888" s="4" t="s">
        <v>194</v>
      </c>
    </row>
    <row r="1889" spans="19:21" x14ac:dyDescent="0.25">
      <c r="S1889" s="6" t="s">
        <v>302</v>
      </c>
      <c r="T1889" s="6">
        <f t="shared" si="46"/>
        <v>1888</v>
      </c>
      <c r="U1889" s="4" t="s">
        <v>194</v>
      </c>
    </row>
    <row r="1890" spans="19:21" x14ac:dyDescent="0.25">
      <c r="S1890" s="6" t="s">
        <v>302</v>
      </c>
      <c r="T1890" s="6">
        <f t="shared" si="46"/>
        <v>1889</v>
      </c>
      <c r="U1890" s="4" t="s">
        <v>194</v>
      </c>
    </row>
    <row r="1891" spans="19:21" x14ac:dyDescent="0.25">
      <c r="S1891" s="6" t="s">
        <v>302</v>
      </c>
      <c r="T1891" s="6">
        <f t="shared" si="46"/>
        <v>1890</v>
      </c>
      <c r="U1891" s="4" t="s">
        <v>194</v>
      </c>
    </row>
    <row r="1892" spans="19:21" x14ac:dyDescent="0.25">
      <c r="S1892" s="6" t="s">
        <v>302</v>
      </c>
      <c r="T1892" s="6">
        <f t="shared" si="46"/>
        <v>1891</v>
      </c>
      <c r="U1892" s="4" t="s">
        <v>194</v>
      </c>
    </row>
    <row r="1893" spans="19:21" x14ac:dyDescent="0.25">
      <c r="S1893" s="6" t="s">
        <v>302</v>
      </c>
      <c r="T1893" s="6">
        <f t="shared" si="46"/>
        <v>1892</v>
      </c>
      <c r="U1893" s="4" t="s">
        <v>194</v>
      </c>
    </row>
    <row r="1894" spans="19:21" x14ac:dyDescent="0.25">
      <c r="S1894" s="6" t="s">
        <v>302</v>
      </c>
      <c r="T1894" s="6">
        <f t="shared" si="46"/>
        <v>1893</v>
      </c>
      <c r="U1894" s="4" t="s">
        <v>194</v>
      </c>
    </row>
    <row r="1895" spans="19:21" x14ac:dyDescent="0.25">
      <c r="S1895" s="6" t="s">
        <v>302</v>
      </c>
      <c r="T1895" s="6">
        <f t="shared" si="46"/>
        <v>1894</v>
      </c>
      <c r="U1895" s="4" t="s">
        <v>194</v>
      </c>
    </row>
    <row r="1896" spans="19:21" x14ac:dyDescent="0.25">
      <c r="S1896" s="6" t="s">
        <v>302</v>
      </c>
      <c r="T1896" s="6">
        <f t="shared" si="46"/>
        <v>1895</v>
      </c>
      <c r="U1896" s="4" t="s">
        <v>194</v>
      </c>
    </row>
    <row r="1897" spans="19:21" x14ac:dyDescent="0.25">
      <c r="S1897" s="6" t="s">
        <v>302</v>
      </c>
      <c r="T1897" s="6">
        <f t="shared" si="46"/>
        <v>1896</v>
      </c>
      <c r="U1897" s="4" t="s">
        <v>194</v>
      </c>
    </row>
    <row r="1898" spans="19:21" x14ac:dyDescent="0.25">
      <c r="S1898" s="6" t="s">
        <v>302</v>
      </c>
      <c r="T1898" s="6">
        <f t="shared" si="46"/>
        <v>1897</v>
      </c>
      <c r="U1898" s="4" t="s">
        <v>194</v>
      </c>
    </row>
    <row r="1899" spans="19:21" x14ac:dyDescent="0.25">
      <c r="S1899" s="6" t="s">
        <v>302</v>
      </c>
      <c r="T1899" s="6">
        <f t="shared" si="46"/>
        <v>1898</v>
      </c>
      <c r="U1899" s="4" t="s">
        <v>194</v>
      </c>
    </row>
    <row r="1900" spans="19:21" x14ac:dyDescent="0.25">
      <c r="S1900" s="6" t="s">
        <v>302</v>
      </c>
      <c r="T1900" s="6">
        <f t="shared" si="46"/>
        <v>1899</v>
      </c>
      <c r="U1900" s="4" t="s">
        <v>194</v>
      </c>
    </row>
    <row r="1901" spans="19:21" x14ac:dyDescent="0.25">
      <c r="S1901" s="6" t="s">
        <v>302</v>
      </c>
      <c r="T1901" s="6">
        <f t="shared" si="46"/>
        <v>1900</v>
      </c>
      <c r="U1901" s="4" t="s">
        <v>194</v>
      </c>
    </row>
    <row r="1902" spans="19:21" x14ac:dyDescent="0.25">
      <c r="S1902" s="6" t="s">
        <v>302</v>
      </c>
      <c r="T1902" s="6">
        <f t="shared" si="46"/>
        <v>1901</v>
      </c>
      <c r="U1902" s="4" t="s">
        <v>194</v>
      </c>
    </row>
    <row r="1903" spans="19:21" x14ac:dyDescent="0.25">
      <c r="S1903" s="6" t="s">
        <v>302</v>
      </c>
      <c r="T1903" s="6">
        <f t="shared" si="46"/>
        <v>1902</v>
      </c>
      <c r="U1903" s="4" t="s">
        <v>194</v>
      </c>
    </row>
    <row r="1904" spans="19:21" x14ac:dyDescent="0.25">
      <c r="S1904" s="6" t="s">
        <v>302</v>
      </c>
      <c r="T1904" s="6">
        <f t="shared" si="46"/>
        <v>1903</v>
      </c>
      <c r="U1904" s="4" t="s">
        <v>194</v>
      </c>
    </row>
    <row r="1905" spans="19:21" x14ac:dyDescent="0.25">
      <c r="S1905" s="6" t="s">
        <v>302</v>
      </c>
      <c r="T1905" s="6">
        <f t="shared" si="46"/>
        <v>1904</v>
      </c>
      <c r="U1905" s="4" t="s">
        <v>194</v>
      </c>
    </row>
    <row r="1906" spans="19:21" x14ac:dyDescent="0.25">
      <c r="S1906" s="6" t="s">
        <v>302</v>
      </c>
      <c r="T1906" s="6">
        <f t="shared" si="46"/>
        <v>1905</v>
      </c>
      <c r="U1906" s="4" t="s">
        <v>194</v>
      </c>
    </row>
    <row r="1907" spans="19:21" x14ac:dyDescent="0.25">
      <c r="S1907" s="6" t="s">
        <v>302</v>
      </c>
      <c r="T1907" s="6">
        <f t="shared" si="46"/>
        <v>1906</v>
      </c>
      <c r="U1907" s="4" t="s">
        <v>194</v>
      </c>
    </row>
    <row r="1908" spans="19:21" x14ac:dyDescent="0.25">
      <c r="S1908" s="6" t="s">
        <v>302</v>
      </c>
      <c r="T1908" s="6">
        <f t="shared" si="46"/>
        <v>1907</v>
      </c>
      <c r="U1908" s="4" t="s">
        <v>194</v>
      </c>
    </row>
    <row r="1909" spans="19:21" x14ac:dyDescent="0.25">
      <c r="S1909" s="6" t="s">
        <v>302</v>
      </c>
      <c r="T1909" s="6">
        <f t="shared" si="46"/>
        <v>1908</v>
      </c>
      <c r="U1909" s="4" t="s">
        <v>194</v>
      </c>
    </row>
    <row r="1910" spans="19:21" x14ac:dyDescent="0.25">
      <c r="S1910" s="6" t="s">
        <v>302</v>
      </c>
      <c r="T1910" s="6">
        <f t="shared" si="46"/>
        <v>1909</v>
      </c>
      <c r="U1910" s="4" t="s">
        <v>194</v>
      </c>
    </row>
    <row r="1911" spans="19:21" x14ac:dyDescent="0.25">
      <c r="S1911" s="6" t="s">
        <v>302</v>
      </c>
      <c r="T1911" s="6">
        <f t="shared" si="46"/>
        <v>1910</v>
      </c>
      <c r="U1911" s="4" t="s">
        <v>194</v>
      </c>
    </row>
    <row r="1912" spans="19:21" x14ac:dyDescent="0.25">
      <c r="S1912" s="6" t="s">
        <v>302</v>
      </c>
      <c r="T1912" s="6">
        <f t="shared" si="46"/>
        <v>1911</v>
      </c>
      <c r="U1912" s="4" t="s">
        <v>194</v>
      </c>
    </row>
    <row r="1913" spans="19:21" x14ac:dyDescent="0.25">
      <c r="S1913" s="6" t="s">
        <v>302</v>
      </c>
      <c r="T1913" s="6">
        <f t="shared" si="46"/>
        <v>1912</v>
      </c>
      <c r="U1913" s="4" t="s">
        <v>194</v>
      </c>
    </row>
    <row r="1914" spans="19:21" x14ac:dyDescent="0.25">
      <c r="S1914" s="6" t="s">
        <v>302</v>
      </c>
      <c r="T1914" s="6">
        <f t="shared" si="46"/>
        <v>1913</v>
      </c>
      <c r="U1914" s="4" t="s">
        <v>194</v>
      </c>
    </row>
    <row r="1915" spans="19:21" x14ac:dyDescent="0.25">
      <c r="S1915" s="6" t="s">
        <v>302</v>
      </c>
      <c r="T1915" s="6">
        <f t="shared" si="46"/>
        <v>1914</v>
      </c>
      <c r="U1915" s="4" t="s">
        <v>194</v>
      </c>
    </row>
    <row r="1916" spans="19:21" x14ac:dyDescent="0.25">
      <c r="S1916" s="6" t="s">
        <v>302</v>
      </c>
      <c r="T1916" s="6">
        <f t="shared" si="46"/>
        <v>1915</v>
      </c>
      <c r="U1916" s="4" t="s">
        <v>194</v>
      </c>
    </row>
    <row r="1917" spans="19:21" x14ac:dyDescent="0.25">
      <c r="S1917" s="6" t="s">
        <v>302</v>
      </c>
      <c r="T1917" s="6">
        <f t="shared" si="46"/>
        <v>1916</v>
      </c>
      <c r="U1917" s="4" t="s">
        <v>194</v>
      </c>
    </row>
    <row r="1918" spans="19:21" x14ac:dyDescent="0.25">
      <c r="S1918" s="6" t="s">
        <v>302</v>
      </c>
      <c r="T1918" s="6">
        <f t="shared" si="46"/>
        <v>1917</v>
      </c>
      <c r="U1918" s="4" t="s">
        <v>194</v>
      </c>
    </row>
    <row r="1919" spans="19:21" x14ac:dyDescent="0.25">
      <c r="S1919" s="6" t="s">
        <v>302</v>
      </c>
      <c r="T1919" s="6">
        <f t="shared" si="46"/>
        <v>1918</v>
      </c>
      <c r="U1919" s="4" t="s">
        <v>194</v>
      </c>
    </row>
    <row r="1920" spans="19:21" x14ac:dyDescent="0.25">
      <c r="S1920" s="6" t="s">
        <v>302</v>
      </c>
      <c r="T1920" s="6">
        <f t="shared" si="46"/>
        <v>1919</v>
      </c>
      <c r="U1920" s="4" t="s">
        <v>194</v>
      </c>
    </row>
    <row r="1921" spans="19:21" x14ac:dyDescent="0.25">
      <c r="S1921" s="6" t="s">
        <v>302</v>
      </c>
      <c r="T1921" s="6">
        <f t="shared" si="46"/>
        <v>1920</v>
      </c>
      <c r="U1921" s="4" t="s">
        <v>194</v>
      </c>
    </row>
    <row r="1922" spans="19:21" x14ac:dyDescent="0.25">
      <c r="S1922" s="6" t="s">
        <v>302</v>
      </c>
      <c r="T1922" s="6">
        <f t="shared" si="46"/>
        <v>1921</v>
      </c>
      <c r="U1922" s="4" t="s">
        <v>194</v>
      </c>
    </row>
    <row r="1923" spans="19:21" x14ac:dyDescent="0.25">
      <c r="S1923" s="6" t="s">
        <v>302</v>
      </c>
      <c r="T1923" s="6">
        <f t="shared" si="46"/>
        <v>1922</v>
      </c>
      <c r="U1923" s="4" t="s">
        <v>194</v>
      </c>
    </row>
    <row r="1924" spans="19:21" x14ac:dyDescent="0.25">
      <c r="S1924" s="6" t="s">
        <v>302</v>
      </c>
      <c r="T1924" s="6">
        <f t="shared" si="46"/>
        <v>1923</v>
      </c>
      <c r="U1924" s="4" t="s">
        <v>194</v>
      </c>
    </row>
    <row r="1925" spans="19:21" x14ac:dyDescent="0.25">
      <c r="S1925" s="6" t="s">
        <v>302</v>
      </c>
      <c r="T1925" s="6">
        <f t="shared" si="46"/>
        <v>1924</v>
      </c>
      <c r="U1925" s="4" t="s">
        <v>194</v>
      </c>
    </row>
    <row r="1926" spans="19:21" x14ac:dyDescent="0.25">
      <c r="S1926" s="6" t="s">
        <v>302</v>
      </c>
      <c r="T1926" s="6">
        <f t="shared" si="46"/>
        <v>1925</v>
      </c>
      <c r="U1926" s="4" t="s">
        <v>194</v>
      </c>
    </row>
    <row r="1927" spans="19:21" x14ac:dyDescent="0.25">
      <c r="S1927" s="6" t="s">
        <v>302</v>
      </c>
      <c r="T1927" s="6">
        <f t="shared" si="46"/>
        <v>1926</v>
      </c>
      <c r="U1927" s="4" t="s">
        <v>194</v>
      </c>
    </row>
    <row r="1928" spans="19:21" x14ac:dyDescent="0.25">
      <c r="S1928" s="6" t="s">
        <v>302</v>
      </c>
      <c r="T1928" s="6">
        <f t="shared" si="46"/>
        <v>1927</v>
      </c>
      <c r="U1928" s="4" t="s">
        <v>194</v>
      </c>
    </row>
    <row r="1929" spans="19:21" x14ac:dyDescent="0.25">
      <c r="S1929" s="6" t="s">
        <v>302</v>
      </c>
      <c r="T1929" s="6">
        <f t="shared" si="46"/>
        <v>1928</v>
      </c>
      <c r="U1929" s="4" t="s">
        <v>194</v>
      </c>
    </row>
    <row r="1930" spans="19:21" x14ac:dyDescent="0.25">
      <c r="S1930" s="6" t="s">
        <v>302</v>
      </c>
      <c r="T1930" s="6">
        <f t="shared" si="46"/>
        <v>1929</v>
      </c>
      <c r="U1930" s="4" t="s">
        <v>194</v>
      </c>
    </row>
    <row r="1931" spans="19:21" x14ac:dyDescent="0.25">
      <c r="S1931" s="6" t="s">
        <v>302</v>
      </c>
      <c r="T1931" s="6">
        <f t="shared" si="46"/>
        <v>1930</v>
      </c>
      <c r="U1931" s="4" t="s">
        <v>194</v>
      </c>
    </row>
    <row r="1932" spans="19:21" x14ac:dyDescent="0.25">
      <c r="S1932" s="6" t="s">
        <v>302</v>
      </c>
      <c r="T1932" s="6">
        <f t="shared" si="46"/>
        <v>1931</v>
      </c>
      <c r="U1932" s="4" t="s">
        <v>194</v>
      </c>
    </row>
    <row r="1933" spans="19:21" x14ac:dyDescent="0.25">
      <c r="S1933" s="6" t="s">
        <v>302</v>
      </c>
      <c r="T1933" s="6">
        <f t="shared" si="46"/>
        <v>1932</v>
      </c>
      <c r="U1933" s="4" t="s">
        <v>194</v>
      </c>
    </row>
    <row r="1934" spans="19:21" x14ac:dyDescent="0.25">
      <c r="S1934" s="6" t="s">
        <v>302</v>
      </c>
      <c r="T1934" s="6">
        <f t="shared" si="46"/>
        <v>1933</v>
      </c>
      <c r="U1934" s="4" t="s">
        <v>194</v>
      </c>
    </row>
    <row r="1935" spans="19:21" x14ac:dyDescent="0.25">
      <c r="S1935" s="6" t="s">
        <v>302</v>
      </c>
      <c r="T1935" s="6">
        <f t="shared" si="46"/>
        <v>1934</v>
      </c>
      <c r="U1935" s="4" t="s">
        <v>194</v>
      </c>
    </row>
    <row r="1936" spans="19:21" x14ac:dyDescent="0.25">
      <c r="S1936" s="6" t="s">
        <v>302</v>
      </c>
      <c r="T1936" s="6">
        <f t="shared" si="46"/>
        <v>1935</v>
      </c>
      <c r="U1936" s="4" t="s">
        <v>194</v>
      </c>
    </row>
    <row r="1937" spans="19:21" x14ac:dyDescent="0.25">
      <c r="S1937" s="6" t="s">
        <v>302</v>
      </c>
      <c r="T1937" s="6">
        <f t="shared" si="46"/>
        <v>1936</v>
      </c>
      <c r="U1937" s="4" t="s">
        <v>194</v>
      </c>
    </row>
    <row r="1938" spans="19:21" x14ac:dyDescent="0.25">
      <c r="S1938" s="6" t="s">
        <v>302</v>
      </c>
      <c r="T1938" s="6">
        <f t="shared" si="46"/>
        <v>1937</v>
      </c>
      <c r="U1938" s="4" t="s">
        <v>194</v>
      </c>
    </row>
    <row r="1939" spans="19:21" x14ac:dyDescent="0.25">
      <c r="S1939" s="6" t="s">
        <v>302</v>
      </c>
      <c r="T1939" s="6">
        <f t="shared" si="46"/>
        <v>1938</v>
      </c>
      <c r="U1939" s="4" t="s">
        <v>194</v>
      </c>
    </row>
    <row r="1940" spans="19:21" x14ac:dyDescent="0.25">
      <c r="S1940" s="6" t="s">
        <v>302</v>
      </c>
      <c r="T1940" s="6">
        <f t="shared" ref="T1940:T2003" si="47">T1939+1</f>
        <v>1939</v>
      </c>
      <c r="U1940" s="4" t="s">
        <v>194</v>
      </c>
    </row>
    <row r="1941" spans="19:21" x14ac:dyDescent="0.25">
      <c r="S1941" s="6" t="s">
        <v>302</v>
      </c>
      <c r="T1941" s="6">
        <f t="shared" si="47"/>
        <v>1940</v>
      </c>
      <c r="U1941" s="4" t="s">
        <v>194</v>
      </c>
    </row>
    <row r="1942" spans="19:21" x14ac:dyDescent="0.25">
      <c r="S1942" s="6" t="s">
        <v>302</v>
      </c>
      <c r="T1942" s="6">
        <f t="shared" si="47"/>
        <v>1941</v>
      </c>
      <c r="U1942" s="4" t="s">
        <v>194</v>
      </c>
    </row>
    <row r="1943" spans="19:21" x14ac:dyDescent="0.25">
      <c r="S1943" s="6" t="s">
        <v>302</v>
      </c>
      <c r="T1943" s="6">
        <f t="shared" si="47"/>
        <v>1942</v>
      </c>
      <c r="U1943" s="4" t="s">
        <v>194</v>
      </c>
    </row>
    <row r="1944" spans="19:21" x14ac:dyDescent="0.25">
      <c r="S1944" s="6" t="s">
        <v>302</v>
      </c>
      <c r="T1944" s="6">
        <f t="shared" si="47"/>
        <v>1943</v>
      </c>
      <c r="U1944" s="4" t="s">
        <v>194</v>
      </c>
    </row>
    <row r="1945" spans="19:21" x14ac:dyDescent="0.25">
      <c r="S1945" s="6" t="s">
        <v>302</v>
      </c>
      <c r="T1945" s="6">
        <f t="shared" si="47"/>
        <v>1944</v>
      </c>
      <c r="U1945" s="4" t="s">
        <v>194</v>
      </c>
    </row>
    <row r="1946" spans="19:21" x14ac:dyDescent="0.25">
      <c r="S1946" s="6" t="s">
        <v>302</v>
      </c>
      <c r="T1946" s="6">
        <f t="shared" si="47"/>
        <v>1945</v>
      </c>
      <c r="U1946" s="4" t="s">
        <v>194</v>
      </c>
    </row>
    <row r="1947" spans="19:21" x14ac:dyDescent="0.25">
      <c r="S1947" s="6" t="s">
        <v>302</v>
      </c>
      <c r="T1947" s="6">
        <f t="shared" si="47"/>
        <v>1946</v>
      </c>
      <c r="U1947" s="4" t="s">
        <v>194</v>
      </c>
    </row>
    <row r="1948" spans="19:21" x14ac:dyDescent="0.25">
      <c r="S1948" s="6" t="s">
        <v>302</v>
      </c>
      <c r="T1948" s="6">
        <f t="shared" si="47"/>
        <v>1947</v>
      </c>
      <c r="U1948" s="4" t="s">
        <v>194</v>
      </c>
    </row>
    <row r="1949" spans="19:21" x14ac:dyDescent="0.25">
      <c r="S1949" s="6" t="s">
        <v>302</v>
      </c>
      <c r="T1949" s="6">
        <f t="shared" si="47"/>
        <v>1948</v>
      </c>
      <c r="U1949" s="4" t="s">
        <v>194</v>
      </c>
    </row>
    <row r="1950" spans="19:21" x14ac:dyDescent="0.25">
      <c r="S1950" s="6" t="s">
        <v>302</v>
      </c>
      <c r="T1950" s="6">
        <f t="shared" si="47"/>
        <v>1949</v>
      </c>
      <c r="U1950" s="4" t="s">
        <v>194</v>
      </c>
    </row>
    <row r="1951" spans="19:21" x14ac:dyDescent="0.25">
      <c r="S1951" s="6" t="s">
        <v>302</v>
      </c>
      <c r="T1951" s="6">
        <f t="shared" si="47"/>
        <v>1950</v>
      </c>
      <c r="U1951" s="4" t="s">
        <v>194</v>
      </c>
    </row>
    <row r="1952" spans="19:21" x14ac:dyDescent="0.25">
      <c r="S1952" s="6" t="s">
        <v>302</v>
      </c>
      <c r="T1952" s="6">
        <f t="shared" si="47"/>
        <v>1951</v>
      </c>
      <c r="U1952" s="4" t="s">
        <v>194</v>
      </c>
    </row>
    <row r="1953" spans="19:21" x14ac:dyDescent="0.25">
      <c r="S1953" s="6" t="s">
        <v>302</v>
      </c>
      <c r="T1953" s="6">
        <f t="shared" si="47"/>
        <v>1952</v>
      </c>
      <c r="U1953" s="4" t="s">
        <v>194</v>
      </c>
    </row>
    <row r="1954" spans="19:21" x14ac:dyDescent="0.25">
      <c r="S1954" s="6" t="s">
        <v>302</v>
      </c>
      <c r="T1954" s="6">
        <f t="shared" si="47"/>
        <v>1953</v>
      </c>
      <c r="U1954" s="4" t="s">
        <v>194</v>
      </c>
    </row>
    <row r="1955" spans="19:21" x14ac:dyDescent="0.25">
      <c r="S1955" s="6" t="s">
        <v>302</v>
      </c>
      <c r="T1955" s="6">
        <f t="shared" si="47"/>
        <v>1954</v>
      </c>
      <c r="U1955" s="4" t="s">
        <v>194</v>
      </c>
    </row>
    <row r="1956" spans="19:21" x14ac:dyDescent="0.25">
      <c r="S1956" s="6" t="s">
        <v>302</v>
      </c>
      <c r="T1956" s="6">
        <f t="shared" si="47"/>
        <v>1955</v>
      </c>
      <c r="U1956" s="4" t="s">
        <v>194</v>
      </c>
    </row>
    <row r="1957" spans="19:21" x14ac:dyDescent="0.25">
      <c r="S1957" s="6" t="s">
        <v>302</v>
      </c>
      <c r="T1957" s="6">
        <f t="shared" si="47"/>
        <v>1956</v>
      </c>
      <c r="U1957" s="4" t="s">
        <v>194</v>
      </c>
    </row>
    <row r="1958" spans="19:21" x14ac:dyDescent="0.25">
      <c r="S1958" s="6" t="s">
        <v>302</v>
      </c>
      <c r="T1958" s="6">
        <f t="shared" si="47"/>
        <v>1957</v>
      </c>
      <c r="U1958" s="4" t="s">
        <v>194</v>
      </c>
    </row>
    <row r="1959" spans="19:21" x14ac:dyDescent="0.25">
      <c r="S1959" s="6" t="s">
        <v>302</v>
      </c>
      <c r="T1959" s="6">
        <f t="shared" si="47"/>
        <v>1958</v>
      </c>
      <c r="U1959" s="4" t="s">
        <v>194</v>
      </c>
    </row>
    <row r="1960" spans="19:21" x14ac:dyDescent="0.25">
      <c r="S1960" s="6" t="s">
        <v>302</v>
      </c>
      <c r="T1960" s="6">
        <f t="shared" si="47"/>
        <v>1959</v>
      </c>
      <c r="U1960" s="4" t="s">
        <v>194</v>
      </c>
    </row>
    <row r="1961" spans="19:21" x14ac:dyDescent="0.25">
      <c r="S1961" s="6" t="s">
        <v>302</v>
      </c>
      <c r="T1961" s="6">
        <f t="shared" si="47"/>
        <v>1960</v>
      </c>
      <c r="U1961" s="4" t="s">
        <v>194</v>
      </c>
    </row>
    <row r="1962" spans="19:21" x14ac:dyDescent="0.25">
      <c r="S1962" s="6" t="s">
        <v>302</v>
      </c>
      <c r="T1962" s="6">
        <f t="shared" si="47"/>
        <v>1961</v>
      </c>
      <c r="U1962" s="4" t="s">
        <v>194</v>
      </c>
    </row>
    <row r="1963" spans="19:21" x14ac:dyDescent="0.25">
      <c r="S1963" s="6" t="s">
        <v>302</v>
      </c>
      <c r="T1963" s="6">
        <f t="shared" si="47"/>
        <v>1962</v>
      </c>
      <c r="U1963" s="4" t="s">
        <v>194</v>
      </c>
    </row>
    <row r="1964" spans="19:21" x14ac:dyDescent="0.25">
      <c r="S1964" s="6" t="s">
        <v>302</v>
      </c>
      <c r="T1964" s="6">
        <f t="shared" si="47"/>
        <v>1963</v>
      </c>
      <c r="U1964" s="4" t="s">
        <v>194</v>
      </c>
    </row>
    <row r="1965" spans="19:21" x14ac:dyDescent="0.25">
      <c r="S1965" s="6" t="s">
        <v>302</v>
      </c>
      <c r="T1965" s="6">
        <f t="shared" si="47"/>
        <v>1964</v>
      </c>
      <c r="U1965" s="4" t="s">
        <v>194</v>
      </c>
    </row>
    <row r="1966" spans="19:21" x14ac:dyDescent="0.25">
      <c r="S1966" s="6" t="s">
        <v>302</v>
      </c>
      <c r="T1966" s="6">
        <f t="shared" si="47"/>
        <v>1965</v>
      </c>
      <c r="U1966" s="4" t="s">
        <v>194</v>
      </c>
    </row>
    <row r="1967" spans="19:21" x14ac:dyDescent="0.25">
      <c r="S1967" s="6" t="s">
        <v>302</v>
      </c>
      <c r="T1967" s="6">
        <f t="shared" si="47"/>
        <v>1966</v>
      </c>
      <c r="U1967" s="4" t="s">
        <v>194</v>
      </c>
    </row>
    <row r="1968" spans="19:21" x14ac:dyDescent="0.25">
      <c r="S1968" s="6" t="s">
        <v>302</v>
      </c>
      <c r="T1968" s="6">
        <f t="shared" si="47"/>
        <v>1967</v>
      </c>
      <c r="U1968" s="4" t="s">
        <v>194</v>
      </c>
    </row>
    <row r="1969" spans="19:21" x14ac:dyDescent="0.25">
      <c r="S1969" s="6" t="s">
        <v>302</v>
      </c>
      <c r="T1969" s="6">
        <f t="shared" si="47"/>
        <v>1968</v>
      </c>
      <c r="U1969" s="4" t="s">
        <v>194</v>
      </c>
    </row>
    <row r="1970" spans="19:21" x14ac:dyDescent="0.25">
      <c r="S1970" s="6" t="s">
        <v>302</v>
      </c>
      <c r="T1970" s="6">
        <f t="shared" si="47"/>
        <v>1969</v>
      </c>
      <c r="U1970" s="4" t="s">
        <v>194</v>
      </c>
    </row>
    <row r="1971" spans="19:21" x14ac:dyDescent="0.25">
      <c r="S1971" s="6" t="s">
        <v>302</v>
      </c>
      <c r="T1971" s="6">
        <f t="shared" si="47"/>
        <v>1970</v>
      </c>
      <c r="U1971" s="4" t="s">
        <v>194</v>
      </c>
    </row>
    <row r="1972" spans="19:21" x14ac:dyDescent="0.25">
      <c r="S1972" s="6" t="s">
        <v>302</v>
      </c>
      <c r="T1972" s="6">
        <f t="shared" si="47"/>
        <v>1971</v>
      </c>
      <c r="U1972" s="4" t="s">
        <v>194</v>
      </c>
    </row>
    <row r="1973" spans="19:21" x14ac:dyDescent="0.25">
      <c r="S1973" s="6" t="s">
        <v>302</v>
      </c>
      <c r="T1973" s="6">
        <f t="shared" si="47"/>
        <v>1972</v>
      </c>
      <c r="U1973" s="4" t="s">
        <v>194</v>
      </c>
    </row>
    <row r="1974" spans="19:21" x14ac:dyDescent="0.25">
      <c r="S1974" s="6" t="s">
        <v>302</v>
      </c>
      <c r="T1974" s="6">
        <f t="shared" si="47"/>
        <v>1973</v>
      </c>
      <c r="U1974" s="4" t="s">
        <v>194</v>
      </c>
    </row>
    <row r="1975" spans="19:21" x14ac:dyDescent="0.25">
      <c r="S1975" s="6" t="s">
        <v>302</v>
      </c>
      <c r="T1975" s="6">
        <f t="shared" si="47"/>
        <v>1974</v>
      </c>
      <c r="U1975" s="4" t="s">
        <v>194</v>
      </c>
    </row>
    <row r="1976" spans="19:21" x14ac:dyDescent="0.25">
      <c r="S1976" s="6" t="s">
        <v>302</v>
      </c>
      <c r="T1976" s="6">
        <f t="shared" si="47"/>
        <v>1975</v>
      </c>
      <c r="U1976" s="4" t="s">
        <v>194</v>
      </c>
    </row>
    <row r="1977" spans="19:21" x14ac:dyDescent="0.25">
      <c r="S1977" s="6" t="s">
        <v>302</v>
      </c>
      <c r="T1977" s="6">
        <f t="shared" si="47"/>
        <v>1976</v>
      </c>
      <c r="U1977" s="4" t="s">
        <v>194</v>
      </c>
    </row>
    <row r="1978" spans="19:21" x14ac:dyDescent="0.25">
      <c r="S1978" s="6" t="s">
        <v>302</v>
      </c>
      <c r="T1978" s="6">
        <f t="shared" si="47"/>
        <v>1977</v>
      </c>
      <c r="U1978" s="4" t="s">
        <v>194</v>
      </c>
    </row>
    <row r="1979" spans="19:21" x14ac:dyDescent="0.25">
      <c r="S1979" s="6" t="s">
        <v>302</v>
      </c>
      <c r="T1979" s="6">
        <f t="shared" si="47"/>
        <v>1978</v>
      </c>
      <c r="U1979" s="4" t="s">
        <v>194</v>
      </c>
    </row>
    <row r="1980" spans="19:21" x14ac:dyDescent="0.25">
      <c r="S1980" s="6" t="s">
        <v>302</v>
      </c>
      <c r="T1980" s="6">
        <f t="shared" si="47"/>
        <v>1979</v>
      </c>
      <c r="U1980" s="4" t="s">
        <v>194</v>
      </c>
    </row>
    <row r="1981" spans="19:21" x14ac:dyDescent="0.25">
      <c r="S1981" s="6" t="s">
        <v>302</v>
      </c>
      <c r="T1981" s="6">
        <f t="shared" si="47"/>
        <v>1980</v>
      </c>
      <c r="U1981" s="4" t="s">
        <v>194</v>
      </c>
    </row>
    <row r="1982" spans="19:21" x14ac:dyDescent="0.25">
      <c r="S1982" s="6" t="s">
        <v>302</v>
      </c>
      <c r="T1982" s="6">
        <f t="shared" si="47"/>
        <v>1981</v>
      </c>
      <c r="U1982" s="4" t="s">
        <v>194</v>
      </c>
    </row>
    <row r="1983" spans="19:21" x14ac:dyDescent="0.25">
      <c r="S1983" s="6" t="s">
        <v>302</v>
      </c>
      <c r="T1983" s="6">
        <f t="shared" si="47"/>
        <v>1982</v>
      </c>
      <c r="U1983" s="4" t="s">
        <v>194</v>
      </c>
    </row>
    <row r="1984" spans="19:21" x14ac:dyDescent="0.25">
      <c r="S1984" s="6" t="s">
        <v>302</v>
      </c>
      <c r="T1984" s="6">
        <f t="shared" si="47"/>
        <v>1983</v>
      </c>
      <c r="U1984" s="4" t="s">
        <v>194</v>
      </c>
    </row>
    <row r="1985" spans="19:21" x14ac:dyDescent="0.25">
      <c r="S1985" s="6" t="s">
        <v>302</v>
      </c>
      <c r="T1985" s="6">
        <f t="shared" si="47"/>
        <v>1984</v>
      </c>
      <c r="U1985" s="4" t="s">
        <v>194</v>
      </c>
    </row>
    <row r="1986" spans="19:21" x14ac:dyDescent="0.25">
      <c r="S1986" s="6" t="s">
        <v>302</v>
      </c>
      <c r="T1986" s="6">
        <f t="shared" si="47"/>
        <v>1985</v>
      </c>
      <c r="U1986" s="4" t="s">
        <v>194</v>
      </c>
    </row>
    <row r="1987" spans="19:21" x14ac:dyDescent="0.25">
      <c r="S1987" s="6" t="s">
        <v>302</v>
      </c>
      <c r="T1987" s="6">
        <f t="shared" si="47"/>
        <v>1986</v>
      </c>
      <c r="U1987" s="4" t="s">
        <v>194</v>
      </c>
    </row>
    <row r="1988" spans="19:21" x14ac:dyDescent="0.25">
      <c r="S1988" s="6" t="s">
        <v>302</v>
      </c>
      <c r="T1988" s="6">
        <f t="shared" si="47"/>
        <v>1987</v>
      </c>
      <c r="U1988" s="4" t="s">
        <v>194</v>
      </c>
    </row>
    <row r="1989" spans="19:21" x14ac:dyDescent="0.25">
      <c r="S1989" s="6" t="s">
        <v>302</v>
      </c>
      <c r="T1989" s="6">
        <f t="shared" si="47"/>
        <v>1988</v>
      </c>
      <c r="U1989" s="4" t="s">
        <v>194</v>
      </c>
    </row>
    <row r="1990" spans="19:21" x14ac:dyDescent="0.25">
      <c r="S1990" s="6" t="s">
        <v>302</v>
      </c>
      <c r="T1990" s="6">
        <f t="shared" si="47"/>
        <v>1989</v>
      </c>
      <c r="U1990" s="4" t="s">
        <v>194</v>
      </c>
    </row>
    <row r="1991" spans="19:21" x14ac:dyDescent="0.25">
      <c r="S1991" s="6" t="s">
        <v>302</v>
      </c>
      <c r="T1991" s="6">
        <f t="shared" si="47"/>
        <v>1990</v>
      </c>
      <c r="U1991" s="4" t="s">
        <v>194</v>
      </c>
    </row>
    <row r="1992" spans="19:21" x14ac:dyDescent="0.25">
      <c r="S1992" s="6" t="s">
        <v>302</v>
      </c>
      <c r="T1992" s="6">
        <f t="shared" si="47"/>
        <v>1991</v>
      </c>
      <c r="U1992" s="4" t="s">
        <v>194</v>
      </c>
    </row>
    <row r="1993" spans="19:21" x14ac:dyDescent="0.25">
      <c r="S1993" s="6" t="s">
        <v>302</v>
      </c>
      <c r="T1993" s="6">
        <f t="shared" si="47"/>
        <v>1992</v>
      </c>
      <c r="U1993" s="4" t="s">
        <v>194</v>
      </c>
    </row>
    <row r="1994" spans="19:21" x14ac:dyDescent="0.25">
      <c r="S1994" s="6" t="s">
        <v>302</v>
      </c>
      <c r="T1994" s="6">
        <f t="shared" si="47"/>
        <v>1993</v>
      </c>
      <c r="U1994" s="4" t="s">
        <v>194</v>
      </c>
    </row>
    <row r="1995" spans="19:21" x14ac:dyDescent="0.25">
      <c r="S1995" s="6" t="s">
        <v>302</v>
      </c>
      <c r="T1995" s="6">
        <f t="shared" si="47"/>
        <v>1994</v>
      </c>
      <c r="U1995" s="4" t="s">
        <v>194</v>
      </c>
    </row>
    <row r="1996" spans="19:21" x14ac:dyDescent="0.25">
      <c r="S1996" s="6" t="s">
        <v>302</v>
      </c>
      <c r="T1996" s="6">
        <f t="shared" si="47"/>
        <v>1995</v>
      </c>
      <c r="U1996" s="4" t="s">
        <v>194</v>
      </c>
    </row>
    <row r="1997" spans="19:21" x14ac:dyDescent="0.25">
      <c r="S1997" s="6" t="s">
        <v>302</v>
      </c>
      <c r="T1997" s="6">
        <f t="shared" si="47"/>
        <v>1996</v>
      </c>
      <c r="U1997" s="4" t="s">
        <v>194</v>
      </c>
    </row>
    <row r="1998" spans="19:21" x14ac:dyDescent="0.25">
      <c r="S1998" s="6" t="s">
        <v>302</v>
      </c>
      <c r="T1998" s="6">
        <f t="shared" si="47"/>
        <v>1997</v>
      </c>
      <c r="U1998" s="4" t="s">
        <v>194</v>
      </c>
    </row>
    <row r="1999" spans="19:21" x14ac:dyDescent="0.25">
      <c r="S1999" s="6" t="s">
        <v>302</v>
      </c>
      <c r="T1999" s="6">
        <f t="shared" si="47"/>
        <v>1998</v>
      </c>
      <c r="U1999" s="4" t="s">
        <v>194</v>
      </c>
    </row>
    <row r="2000" spans="19:21" x14ac:dyDescent="0.25">
      <c r="S2000" s="6" t="s">
        <v>302</v>
      </c>
      <c r="T2000" s="6">
        <f t="shared" si="47"/>
        <v>1999</v>
      </c>
      <c r="U2000" s="4" t="s">
        <v>194</v>
      </c>
    </row>
    <row r="2001" spans="19:21" x14ac:dyDescent="0.25">
      <c r="S2001" s="6" t="s">
        <v>302</v>
      </c>
      <c r="T2001" s="6">
        <f t="shared" si="47"/>
        <v>2000</v>
      </c>
      <c r="U2001" s="4" t="s">
        <v>194</v>
      </c>
    </row>
    <row r="2002" spans="19:21" x14ac:dyDescent="0.25">
      <c r="S2002" s="6" t="s">
        <v>302</v>
      </c>
      <c r="T2002" s="6">
        <f t="shared" si="47"/>
        <v>2001</v>
      </c>
      <c r="U2002" s="4" t="s">
        <v>194</v>
      </c>
    </row>
    <row r="2003" spans="19:21" x14ac:dyDescent="0.25">
      <c r="S2003" s="6" t="s">
        <v>302</v>
      </c>
      <c r="T2003" s="6">
        <f t="shared" si="47"/>
        <v>2002</v>
      </c>
      <c r="U2003" s="4" t="s">
        <v>194</v>
      </c>
    </row>
    <row r="2004" spans="19:21" x14ac:dyDescent="0.25">
      <c r="S2004" s="6" t="s">
        <v>302</v>
      </c>
      <c r="T2004" s="6">
        <f t="shared" ref="T2004:T2067" si="48">T2003+1</f>
        <v>2003</v>
      </c>
      <c r="U2004" s="4" t="s">
        <v>194</v>
      </c>
    </row>
    <row r="2005" spans="19:21" x14ac:dyDescent="0.25">
      <c r="S2005" s="6" t="s">
        <v>302</v>
      </c>
      <c r="T2005" s="6">
        <f t="shared" si="48"/>
        <v>2004</v>
      </c>
      <c r="U2005" s="4" t="s">
        <v>194</v>
      </c>
    </row>
    <row r="2006" spans="19:21" x14ac:dyDescent="0.25">
      <c r="S2006" s="6" t="s">
        <v>302</v>
      </c>
      <c r="T2006" s="6">
        <f t="shared" si="48"/>
        <v>2005</v>
      </c>
      <c r="U2006" s="4" t="s">
        <v>194</v>
      </c>
    </row>
    <row r="2007" spans="19:21" x14ac:dyDescent="0.25">
      <c r="S2007" s="6" t="s">
        <v>302</v>
      </c>
      <c r="T2007" s="6">
        <f t="shared" si="48"/>
        <v>2006</v>
      </c>
      <c r="U2007" s="4" t="s">
        <v>194</v>
      </c>
    </row>
    <row r="2008" spans="19:21" x14ac:dyDescent="0.25">
      <c r="S2008" s="6" t="s">
        <v>302</v>
      </c>
      <c r="T2008" s="6">
        <f t="shared" si="48"/>
        <v>2007</v>
      </c>
      <c r="U2008" s="4" t="s">
        <v>194</v>
      </c>
    </row>
    <row r="2009" spans="19:21" x14ac:dyDescent="0.25">
      <c r="S2009" s="6" t="s">
        <v>302</v>
      </c>
      <c r="T2009" s="6">
        <f t="shared" si="48"/>
        <v>2008</v>
      </c>
      <c r="U2009" s="4" t="s">
        <v>194</v>
      </c>
    </row>
    <row r="2010" spans="19:21" x14ac:dyDescent="0.25">
      <c r="S2010" s="6" t="s">
        <v>302</v>
      </c>
      <c r="T2010" s="6">
        <f t="shared" si="48"/>
        <v>2009</v>
      </c>
      <c r="U2010" s="4" t="s">
        <v>194</v>
      </c>
    </row>
    <row r="2011" spans="19:21" x14ac:dyDescent="0.25">
      <c r="S2011" s="6" t="s">
        <v>302</v>
      </c>
      <c r="T2011" s="6">
        <f t="shared" si="48"/>
        <v>2010</v>
      </c>
      <c r="U2011" s="4" t="s">
        <v>194</v>
      </c>
    </row>
    <row r="2012" spans="19:21" x14ac:dyDescent="0.25">
      <c r="S2012" s="6" t="s">
        <v>302</v>
      </c>
      <c r="T2012" s="6">
        <f t="shared" si="48"/>
        <v>2011</v>
      </c>
      <c r="U2012" s="4" t="s">
        <v>194</v>
      </c>
    </row>
    <row r="2013" spans="19:21" x14ac:dyDescent="0.25">
      <c r="S2013" s="6" t="s">
        <v>302</v>
      </c>
      <c r="T2013" s="6">
        <f t="shared" si="48"/>
        <v>2012</v>
      </c>
      <c r="U2013" s="4" t="s">
        <v>194</v>
      </c>
    </row>
    <row r="2014" spans="19:21" x14ac:dyDescent="0.25">
      <c r="S2014" s="6" t="s">
        <v>302</v>
      </c>
      <c r="T2014" s="6">
        <f t="shared" si="48"/>
        <v>2013</v>
      </c>
      <c r="U2014" s="4" t="s">
        <v>194</v>
      </c>
    </row>
    <row r="2015" spans="19:21" x14ac:dyDescent="0.25">
      <c r="S2015" s="6" t="s">
        <v>302</v>
      </c>
      <c r="T2015" s="6">
        <f t="shared" si="48"/>
        <v>2014</v>
      </c>
      <c r="U2015" s="4" t="s">
        <v>194</v>
      </c>
    </row>
    <row r="2016" spans="19:21" x14ac:dyDescent="0.25">
      <c r="S2016" s="6" t="s">
        <v>302</v>
      </c>
      <c r="T2016" s="6">
        <f t="shared" si="48"/>
        <v>2015</v>
      </c>
      <c r="U2016" s="4" t="s">
        <v>194</v>
      </c>
    </row>
    <row r="2017" spans="19:21" x14ac:dyDescent="0.25">
      <c r="S2017" s="6" t="s">
        <v>302</v>
      </c>
      <c r="T2017" s="6">
        <f t="shared" si="48"/>
        <v>2016</v>
      </c>
      <c r="U2017" s="4" t="s">
        <v>194</v>
      </c>
    </row>
    <row r="2018" spans="19:21" x14ac:dyDescent="0.25">
      <c r="S2018" s="6" t="s">
        <v>302</v>
      </c>
      <c r="T2018" s="6">
        <f t="shared" si="48"/>
        <v>2017</v>
      </c>
      <c r="U2018" s="4" t="s">
        <v>194</v>
      </c>
    </row>
    <row r="2019" spans="19:21" x14ac:dyDescent="0.25">
      <c r="S2019" s="6" t="s">
        <v>302</v>
      </c>
      <c r="T2019" s="6">
        <f t="shared" si="48"/>
        <v>2018</v>
      </c>
      <c r="U2019" s="4" t="s">
        <v>194</v>
      </c>
    </row>
    <row r="2020" spans="19:21" x14ac:dyDescent="0.25">
      <c r="S2020" s="6" t="s">
        <v>302</v>
      </c>
      <c r="T2020" s="6">
        <f t="shared" si="48"/>
        <v>2019</v>
      </c>
      <c r="U2020" s="4" t="s">
        <v>194</v>
      </c>
    </row>
    <row r="2021" spans="19:21" x14ac:dyDescent="0.25">
      <c r="S2021" s="6" t="s">
        <v>302</v>
      </c>
      <c r="T2021" s="6">
        <f t="shared" si="48"/>
        <v>2020</v>
      </c>
      <c r="U2021" s="4" t="s">
        <v>194</v>
      </c>
    </row>
    <row r="2022" spans="19:21" x14ac:dyDescent="0.25">
      <c r="S2022" s="6" t="s">
        <v>302</v>
      </c>
      <c r="T2022" s="6">
        <f t="shared" si="48"/>
        <v>2021</v>
      </c>
      <c r="U2022" s="4" t="s">
        <v>194</v>
      </c>
    </row>
    <row r="2023" spans="19:21" x14ac:dyDescent="0.25">
      <c r="S2023" s="6" t="s">
        <v>302</v>
      </c>
      <c r="T2023" s="6">
        <f t="shared" si="48"/>
        <v>2022</v>
      </c>
      <c r="U2023" s="4" t="s">
        <v>194</v>
      </c>
    </row>
    <row r="2024" spans="19:21" x14ac:dyDescent="0.25">
      <c r="S2024" s="6" t="s">
        <v>302</v>
      </c>
      <c r="T2024" s="6">
        <f t="shared" si="48"/>
        <v>2023</v>
      </c>
      <c r="U2024" s="4" t="s">
        <v>194</v>
      </c>
    </row>
    <row r="2025" spans="19:21" x14ac:dyDescent="0.25">
      <c r="S2025" s="6" t="s">
        <v>302</v>
      </c>
      <c r="T2025" s="6">
        <f t="shared" si="48"/>
        <v>2024</v>
      </c>
      <c r="U2025" s="4" t="s">
        <v>194</v>
      </c>
    </row>
    <row r="2026" spans="19:21" x14ac:dyDescent="0.25">
      <c r="S2026" s="6" t="s">
        <v>302</v>
      </c>
      <c r="T2026" s="6">
        <f t="shared" si="48"/>
        <v>2025</v>
      </c>
      <c r="U2026" s="4" t="s">
        <v>194</v>
      </c>
    </row>
    <row r="2027" spans="19:21" x14ac:dyDescent="0.25">
      <c r="S2027" s="6" t="s">
        <v>302</v>
      </c>
      <c r="T2027" s="6">
        <f t="shared" si="48"/>
        <v>2026</v>
      </c>
      <c r="U2027" s="4" t="s">
        <v>194</v>
      </c>
    </row>
    <row r="2028" spans="19:21" x14ac:dyDescent="0.25">
      <c r="S2028" s="6" t="s">
        <v>302</v>
      </c>
      <c r="T2028" s="6">
        <f t="shared" si="48"/>
        <v>2027</v>
      </c>
      <c r="U2028" s="4" t="s">
        <v>194</v>
      </c>
    </row>
    <row r="2029" spans="19:21" x14ac:dyDescent="0.25">
      <c r="S2029" s="6" t="s">
        <v>302</v>
      </c>
      <c r="T2029" s="6">
        <f t="shared" si="48"/>
        <v>2028</v>
      </c>
      <c r="U2029" s="4" t="s">
        <v>194</v>
      </c>
    </row>
    <row r="2030" spans="19:21" x14ac:dyDescent="0.25">
      <c r="S2030" s="6" t="s">
        <v>302</v>
      </c>
      <c r="T2030" s="6">
        <f t="shared" si="48"/>
        <v>2029</v>
      </c>
      <c r="U2030" s="4" t="s">
        <v>194</v>
      </c>
    </row>
    <row r="2031" spans="19:21" x14ac:dyDescent="0.25">
      <c r="S2031" s="6" t="s">
        <v>302</v>
      </c>
      <c r="T2031" s="6">
        <f t="shared" si="48"/>
        <v>2030</v>
      </c>
      <c r="U2031" s="4" t="s">
        <v>194</v>
      </c>
    </row>
    <row r="2032" spans="19:21" x14ac:dyDescent="0.25">
      <c r="S2032" s="6" t="s">
        <v>302</v>
      </c>
      <c r="T2032" s="6">
        <f t="shared" si="48"/>
        <v>2031</v>
      </c>
      <c r="U2032" s="4" t="s">
        <v>194</v>
      </c>
    </row>
    <row r="2033" spans="19:21" x14ac:dyDescent="0.25">
      <c r="S2033" s="6" t="s">
        <v>302</v>
      </c>
      <c r="T2033" s="6">
        <f t="shared" si="48"/>
        <v>2032</v>
      </c>
      <c r="U2033" s="4" t="s">
        <v>194</v>
      </c>
    </row>
    <row r="2034" spans="19:21" x14ac:dyDescent="0.25">
      <c r="S2034" s="6" t="s">
        <v>302</v>
      </c>
      <c r="T2034" s="6">
        <f t="shared" si="48"/>
        <v>2033</v>
      </c>
      <c r="U2034" s="4" t="s">
        <v>194</v>
      </c>
    </row>
    <row r="2035" spans="19:21" x14ac:dyDescent="0.25">
      <c r="S2035" s="6" t="s">
        <v>302</v>
      </c>
      <c r="T2035" s="6">
        <f t="shared" si="48"/>
        <v>2034</v>
      </c>
      <c r="U2035" s="4" t="s">
        <v>194</v>
      </c>
    </row>
    <row r="2036" spans="19:21" x14ac:dyDescent="0.25">
      <c r="S2036" s="6" t="s">
        <v>302</v>
      </c>
      <c r="T2036" s="6">
        <f t="shared" si="48"/>
        <v>2035</v>
      </c>
      <c r="U2036" s="4" t="s">
        <v>194</v>
      </c>
    </row>
    <row r="2037" spans="19:21" x14ac:dyDescent="0.25">
      <c r="S2037" s="6" t="s">
        <v>302</v>
      </c>
      <c r="T2037" s="6">
        <f t="shared" si="48"/>
        <v>2036</v>
      </c>
      <c r="U2037" s="4" t="s">
        <v>194</v>
      </c>
    </row>
    <row r="2038" spans="19:21" x14ac:dyDescent="0.25">
      <c r="S2038" s="6" t="s">
        <v>302</v>
      </c>
      <c r="T2038" s="6">
        <f t="shared" si="48"/>
        <v>2037</v>
      </c>
      <c r="U2038" s="4" t="s">
        <v>194</v>
      </c>
    </row>
    <row r="2039" spans="19:21" x14ac:dyDescent="0.25">
      <c r="S2039" s="6" t="s">
        <v>302</v>
      </c>
      <c r="T2039" s="6">
        <f t="shared" si="48"/>
        <v>2038</v>
      </c>
      <c r="U2039" s="4" t="s">
        <v>194</v>
      </c>
    </row>
    <row r="2040" spans="19:21" x14ac:dyDescent="0.25">
      <c r="S2040" s="6" t="s">
        <v>302</v>
      </c>
      <c r="T2040" s="6">
        <f t="shared" si="48"/>
        <v>2039</v>
      </c>
      <c r="U2040" s="4" t="s">
        <v>194</v>
      </c>
    </row>
    <row r="2041" spans="19:21" x14ac:dyDescent="0.25">
      <c r="S2041" s="6" t="s">
        <v>302</v>
      </c>
      <c r="T2041" s="6">
        <f t="shared" si="48"/>
        <v>2040</v>
      </c>
      <c r="U2041" s="4" t="s">
        <v>194</v>
      </c>
    </row>
    <row r="2042" spans="19:21" x14ac:dyDescent="0.25">
      <c r="S2042" s="6" t="s">
        <v>302</v>
      </c>
      <c r="T2042" s="6">
        <f t="shared" si="48"/>
        <v>2041</v>
      </c>
      <c r="U2042" s="4" t="s">
        <v>194</v>
      </c>
    </row>
    <row r="2043" spans="19:21" x14ac:dyDescent="0.25">
      <c r="S2043" s="6" t="s">
        <v>302</v>
      </c>
      <c r="T2043" s="6">
        <f t="shared" si="48"/>
        <v>2042</v>
      </c>
      <c r="U2043" s="4" t="s">
        <v>194</v>
      </c>
    </row>
    <row r="2044" spans="19:21" x14ac:dyDescent="0.25">
      <c r="S2044" s="6" t="s">
        <v>302</v>
      </c>
      <c r="T2044" s="6">
        <f t="shared" si="48"/>
        <v>2043</v>
      </c>
      <c r="U2044" s="4" t="s">
        <v>194</v>
      </c>
    </row>
    <row r="2045" spans="19:21" x14ac:dyDescent="0.25">
      <c r="S2045" s="6" t="s">
        <v>302</v>
      </c>
      <c r="T2045" s="6">
        <f t="shared" si="48"/>
        <v>2044</v>
      </c>
      <c r="U2045" s="4" t="s">
        <v>194</v>
      </c>
    </row>
    <row r="2046" spans="19:21" x14ac:dyDescent="0.25">
      <c r="S2046" s="6" t="s">
        <v>302</v>
      </c>
      <c r="T2046" s="6">
        <f t="shared" si="48"/>
        <v>2045</v>
      </c>
      <c r="U2046" s="4" t="s">
        <v>194</v>
      </c>
    </row>
    <row r="2047" spans="19:21" x14ac:dyDescent="0.25">
      <c r="S2047" s="6" t="s">
        <v>302</v>
      </c>
      <c r="T2047" s="6">
        <f t="shared" si="48"/>
        <v>2046</v>
      </c>
      <c r="U2047" s="4" t="s">
        <v>194</v>
      </c>
    </row>
    <row r="2048" spans="19:21" x14ac:dyDescent="0.25">
      <c r="S2048" s="6" t="s">
        <v>302</v>
      </c>
      <c r="T2048" s="6">
        <f t="shared" si="48"/>
        <v>2047</v>
      </c>
      <c r="U2048" s="4" t="s">
        <v>194</v>
      </c>
    </row>
    <row r="2049" spans="19:21" x14ac:dyDescent="0.25">
      <c r="S2049" s="6" t="s">
        <v>302</v>
      </c>
      <c r="T2049" s="6">
        <f t="shared" si="48"/>
        <v>2048</v>
      </c>
      <c r="U2049" s="4" t="s">
        <v>194</v>
      </c>
    </row>
    <row r="2050" spans="19:21" x14ac:dyDescent="0.25">
      <c r="S2050" s="6" t="s">
        <v>302</v>
      </c>
      <c r="T2050" s="6">
        <f t="shared" si="48"/>
        <v>2049</v>
      </c>
      <c r="U2050" s="4" t="s">
        <v>194</v>
      </c>
    </row>
    <row r="2051" spans="19:21" x14ac:dyDescent="0.25">
      <c r="S2051" s="6" t="s">
        <v>302</v>
      </c>
      <c r="T2051" s="6">
        <f t="shared" si="48"/>
        <v>2050</v>
      </c>
      <c r="U2051" s="4" t="s">
        <v>194</v>
      </c>
    </row>
    <row r="2052" spans="19:21" x14ac:dyDescent="0.25">
      <c r="S2052" s="6" t="s">
        <v>302</v>
      </c>
      <c r="T2052" s="6">
        <f t="shared" si="48"/>
        <v>2051</v>
      </c>
      <c r="U2052" s="4" t="s">
        <v>194</v>
      </c>
    </row>
    <row r="2053" spans="19:21" x14ac:dyDescent="0.25">
      <c r="S2053" s="6" t="s">
        <v>302</v>
      </c>
      <c r="T2053" s="6">
        <f t="shared" si="48"/>
        <v>2052</v>
      </c>
      <c r="U2053" s="4" t="s">
        <v>194</v>
      </c>
    </row>
    <row r="2054" spans="19:21" x14ac:dyDescent="0.25">
      <c r="S2054" s="6" t="s">
        <v>302</v>
      </c>
      <c r="T2054" s="6">
        <f t="shared" si="48"/>
        <v>2053</v>
      </c>
      <c r="U2054" s="4" t="s">
        <v>194</v>
      </c>
    </row>
    <row r="2055" spans="19:21" x14ac:dyDescent="0.25">
      <c r="S2055" s="6" t="s">
        <v>302</v>
      </c>
      <c r="T2055" s="6">
        <f t="shared" si="48"/>
        <v>2054</v>
      </c>
      <c r="U2055" s="4" t="s">
        <v>194</v>
      </c>
    </row>
    <row r="2056" spans="19:21" x14ac:dyDescent="0.25">
      <c r="S2056" s="6" t="s">
        <v>302</v>
      </c>
      <c r="T2056" s="6">
        <f t="shared" si="48"/>
        <v>2055</v>
      </c>
      <c r="U2056" s="4" t="s">
        <v>194</v>
      </c>
    </row>
    <row r="2057" spans="19:21" x14ac:dyDescent="0.25">
      <c r="S2057" s="6" t="s">
        <v>302</v>
      </c>
      <c r="T2057" s="6">
        <f t="shared" si="48"/>
        <v>2056</v>
      </c>
      <c r="U2057" s="4" t="s">
        <v>194</v>
      </c>
    </row>
    <row r="2058" spans="19:21" x14ac:dyDescent="0.25">
      <c r="S2058" s="6" t="s">
        <v>302</v>
      </c>
      <c r="T2058" s="6">
        <f t="shared" si="48"/>
        <v>2057</v>
      </c>
      <c r="U2058" s="4" t="s">
        <v>194</v>
      </c>
    </row>
    <row r="2059" spans="19:21" x14ac:dyDescent="0.25">
      <c r="S2059" s="6" t="s">
        <v>302</v>
      </c>
      <c r="T2059" s="6">
        <f t="shared" si="48"/>
        <v>2058</v>
      </c>
      <c r="U2059" s="4" t="s">
        <v>194</v>
      </c>
    </row>
    <row r="2060" spans="19:21" x14ac:dyDescent="0.25">
      <c r="S2060" s="6" t="s">
        <v>302</v>
      </c>
      <c r="T2060" s="6">
        <f t="shared" si="48"/>
        <v>2059</v>
      </c>
      <c r="U2060" s="4" t="s">
        <v>194</v>
      </c>
    </row>
    <row r="2061" spans="19:21" x14ac:dyDescent="0.25">
      <c r="S2061" s="6" t="s">
        <v>302</v>
      </c>
      <c r="T2061" s="6">
        <f t="shared" si="48"/>
        <v>2060</v>
      </c>
      <c r="U2061" s="4" t="s">
        <v>194</v>
      </c>
    </row>
    <row r="2062" spans="19:21" x14ac:dyDescent="0.25">
      <c r="S2062" s="6" t="s">
        <v>302</v>
      </c>
      <c r="T2062" s="6">
        <f t="shared" si="48"/>
        <v>2061</v>
      </c>
      <c r="U2062" s="4" t="s">
        <v>194</v>
      </c>
    </row>
    <row r="2063" spans="19:21" x14ac:dyDescent="0.25">
      <c r="S2063" s="6" t="s">
        <v>302</v>
      </c>
      <c r="T2063" s="6">
        <f t="shared" si="48"/>
        <v>2062</v>
      </c>
      <c r="U2063" s="4" t="s">
        <v>194</v>
      </c>
    </row>
    <row r="2064" spans="19:21" x14ac:dyDescent="0.25">
      <c r="S2064" s="6" t="s">
        <v>302</v>
      </c>
      <c r="T2064" s="6">
        <f t="shared" si="48"/>
        <v>2063</v>
      </c>
      <c r="U2064" s="4" t="s">
        <v>194</v>
      </c>
    </row>
    <row r="2065" spans="19:21" x14ac:dyDescent="0.25">
      <c r="S2065" s="6" t="s">
        <v>302</v>
      </c>
      <c r="T2065" s="6">
        <f t="shared" si="48"/>
        <v>2064</v>
      </c>
      <c r="U2065" s="4" t="s">
        <v>194</v>
      </c>
    </row>
    <row r="2066" spans="19:21" x14ac:dyDescent="0.25">
      <c r="S2066" s="6" t="s">
        <v>302</v>
      </c>
      <c r="T2066" s="6">
        <f t="shared" si="48"/>
        <v>2065</v>
      </c>
      <c r="U2066" s="4" t="s">
        <v>194</v>
      </c>
    </row>
    <row r="2067" spans="19:21" x14ac:dyDescent="0.25">
      <c r="S2067" s="6" t="s">
        <v>302</v>
      </c>
      <c r="T2067" s="6">
        <f t="shared" si="48"/>
        <v>2066</v>
      </c>
      <c r="U2067" s="4" t="s">
        <v>194</v>
      </c>
    </row>
    <row r="2068" spans="19:21" x14ac:dyDescent="0.25">
      <c r="S2068" s="6" t="s">
        <v>302</v>
      </c>
      <c r="T2068" s="6">
        <f t="shared" ref="T2068:T2131" si="49">T2067+1</f>
        <v>2067</v>
      </c>
      <c r="U2068" s="4" t="s">
        <v>194</v>
      </c>
    </row>
    <row r="2069" spans="19:21" x14ac:dyDescent="0.25">
      <c r="S2069" s="6" t="s">
        <v>302</v>
      </c>
      <c r="T2069" s="6">
        <f t="shared" si="49"/>
        <v>2068</v>
      </c>
      <c r="U2069" s="4" t="s">
        <v>194</v>
      </c>
    </row>
    <row r="2070" spans="19:21" x14ac:dyDescent="0.25">
      <c r="S2070" s="6" t="s">
        <v>302</v>
      </c>
      <c r="T2070" s="6">
        <f t="shared" si="49"/>
        <v>2069</v>
      </c>
      <c r="U2070" s="4" t="s">
        <v>194</v>
      </c>
    </row>
    <row r="2071" spans="19:21" x14ac:dyDescent="0.25">
      <c r="S2071" s="6" t="s">
        <v>302</v>
      </c>
      <c r="T2071" s="6">
        <f t="shared" si="49"/>
        <v>2070</v>
      </c>
      <c r="U2071" s="4" t="s">
        <v>194</v>
      </c>
    </row>
    <row r="2072" spans="19:21" x14ac:dyDescent="0.25">
      <c r="S2072" s="6" t="s">
        <v>302</v>
      </c>
      <c r="T2072" s="6">
        <f t="shared" si="49"/>
        <v>2071</v>
      </c>
      <c r="U2072" s="4" t="s">
        <v>194</v>
      </c>
    </row>
    <row r="2073" spans="19:21" x14ac:dyDescent="0.25">
      <c r="S2073" s="6" t="s">
        <v>302</v>
      </c>
      <c r="T2073" s="6">
        <f t="shared" si="49"/>
        <v>2072</v>
      </c>
      <c r="U2073" s="4" t="s">
        <v>194</v>
      </c>
    </row>
    <row r="2074" spans="19:21" x14ac:dyDescent="0.25">
      <c r="S2074" s="6" t="s">
        <v>302</v>
      </c>
      <c r="T2074" s="6">
        <f t="shared" si="49"/>
        <v>2073</v>
      </c>
      <c r="U2074" s="4" t="s">
        <v>194</v>
      </c>
    </row>
    <row r="2075" spans="19:21" x14ac:dyDescent="0.25">
      <c r="S2075" s="6" t="s">
        <v>302</v>
      </c>
      <c r="T2075" s="6">
        <f t="shared" si="49"/>
        <v>2074</v>
      </c>
      <c r="U2075" s="4" t="s">
        <v>194</v>
      </c>
    </row>
    <row r="2076" spans="19:21" x14ac:dyDescent="0.25">
      <c r="S2076" s="6" t="s">
        <v>302</v>
      </c>
      <c r="T2076" s="6">
        <f t="shared" si="49"/>
        <v>2075</v>
      </c>
      <c r="U2076" s="4" t="s">
        <v>194</v>
      </c>
    </row>
    <row r="2077" spans="19:21" x14ac:dyDescent="0.25">
      <c r="S2077" s="6" t="s">
        <v>302</v>
      </c>
      <c r="T2077" s="6">
        <f t="shared" si="49"/>
        <v>2076</v>
      </c>
      <c r="U2077" s="4" t="s">
        <v>194</v>
      </c>
    </row>
    <row r="2078" spans="19:21" x14ac:dyDescent="0.25">
      <c r="S2078" s="6" t="s">
        <v>302</v>
      </c>
      <c r="T2078" s="6">
        <f t="shared" si="49"/>
        <v>2077</v>
      </c>
      <c r="U2078" s="4" t="s">
        <v>194</v>
      </c>
    </row>
    <row r="2079" spans="19:21" x14ac:dyDescent="0.25">
      <c r="S2079" s="6" t="s">
        <v>302</v>
      </c>
      <c r="T2079" s="6">
        <f t="shared" si="49"/>
        <v>2078</v>
      </c>
      <c r="U2079" s="4" t="s">
        <v>194</v>
      </c>
    </row>
    <row r="2080" spans="19:21" x14ac:dyDescent="0.25">
      <c r="S2080" s="6" t="s">
        <v>302</v>
      </c>
      <c r="T2080" s="6">
        <f t="shared" si="49"/>
        <v>2079</v>
      </c>
      <c r="U2080" s="4" t="s">
        <v>194</v>
      </c>
    </row>
    <row r="2081" spans="19:21" x14ac:dyDescent="0.25">
      <c r="S2081" s="6" t="s">
        <v>302</v>
      </c>
      <c r="T2081" s="6">
        <f t="shared" si="49"/>
        <v>2080</v>
      </c>
      <c r="U2081" s="4" t="s">
        <v>194</v>
      </c>
    </row>
    <row r="2082" spans="19:21" x14ac:dyDescent="0.25">
      <c r="S2082" s="6" t="s">
        <v>302</v>
      </c>
      <c r="T2082" s="6">
        <f t="shared" si="49"/>
        <v>2081</v>
      </c>
      <c r="U2082" s="4" t="s">
        <v>194</v>
      </c>
    </row>
    <row r="2083" spans="19:21" x14ac:dyDescent="0.25">
      <c r="S2083" s="6" t="s">
        <v>302</v>
      </c>
      <c r="T2083" s="6">
        <f t="shared" si="49"/>
        <v>2082</v>
      </c>
      <c r="U2083" s="4" t="s">
        <v>194</v>
      </c>
    </row>
    <row r="2084" spans="19:21" x14ac:dyDescent="0.25">
      <c r="S2084" s="6" t="s">
        <v>302</v>
      </c>
      <c r="T2084" s="6">
        <f t="shared" si="49"/>
        <v>2083</v>
      </c>
      <c r="U2084" s="4" t="s">
        <v>194</v>
      </c>
    </row>
    <row r="2085" spans="19:21" x14ac:dyDescent="0.25">
      <c r="S2085" s="6" t="s">
        <v>302</v>
      </c>
      <c r="T2085" s="6">
        <f t="shared" si="49"/>
        <v>2084</v>
      </c>
      <c r="U2085" s="4" t="s">
        <v>194</v>
      </c>
    </row>
    <row r="2086" spans="19:21" x14ac:dyDescent="0.25">
      <c r="S2086" s="6" t="s">
        <v>302</v>
      </c>
      <c r="T2086" s="6">
        <f t="shared" si="49"/>
        <v>2085</v>
      </c>
      <c r="U2086" s="4" t="s">
        <v>194</v>
      </c>
    </row>
    <row r="2087" spans="19:21" x14ac:dyDescent="0.25">
      <c r="S2087" s="6" t="s">
        <v>302</v>
      </c>
      <c r="T2087" s="6">
        <f t="shared" si="49"/>
        <v>2086</v>
      </c>
      <c r="U2087" s="4" t="s">
        <v>194</v>
      </c>
    </row>
    <row r="2088" spans="19:21" x14ac:dyDescent="0.25">
      <c r="S2088" s="6" t="s">
        <v>302</v>
      </c>
      <c r="T2088" s="6">
        <f t="shared" si="49"/>
        <v>2087</v>
      </c>
      <c r="U2088" s="4" t="s">
        <v>194</v>
      </c>
    </row>
    <row r="2089" spans="19:21" x14ac:dyDescent="0.25">
      <c r="S2089" s="6" t="s">
        <v>302</v>
      </c>
      <c r="T2089" s="6">
        <f t="shared" si="49"/>
        <v>2088</v>
      </c>
      <c r="U2089" s="4" t="s">
        <v>194</v>
      </c>
    </row>
    <row r="2090" spans="19:21" x14ac:dyDescent="0.25">
      <c r="S2090" s="6" t="s">
        <v>302</v>
      </c>
      <c r="T2090" s="6">
        <f t="shared" si="49"/>
        <v>2089</v>
      </c>
      <c r="U2090" s="4" t="s">
        <v>194</v>
      </c>
    </row>
    <row r="2091" spans="19:21" x14ac:dyDescent="0.25">
      <c r="S2091" s="6" t="s">
        <v>302</v>
      </c>
      <c r="T2091" s="6">
        <f t="shared" si="49"/>
        <v>2090</v>
      </c>
      <c r="U2091" s="4" t="s">
        <v>194</v>
      </c>
    </row>
    <row r="2092" spans="19:21" x14ac:dyDescent="0.25">
      <c r="S2092" s="6" t="s">
        <v>302</v>
      </c>
      <c r="T2092" s="6">
        <f t="shared" si="49"/>
        <v>2091</v>
      </c>
      <c r="U2092" s="4" t="s">
        <v>194</v>
      </c>
    </row>
    <row r="2093" spans="19:21" x14ac:dyDescent="0.25">
      <c r="S2093" s="6" t="s">
        <v>302</v>
      </c>
      <c r="T2093" s="6">
        <f t="shared" si="49"/>
        <v>2092</v>
      </c>
      <c r="U2093" s="4" t="s">
        <v>194</v>
      </c>
    </row>
    <row r="2094" spans="19:21" x14ac:dyDescent="0.25">
      <c r="S2094" s="6" t="s">
        <v>302</v>
      </c>
      <c r="T2094" s="6">
        <f t="shared" si="49"/>
        <v>2093</v>
      </c>
      <c r="U2094" s="4" t="s">
        <v>194</v>
      </c>
    </row>
    <row r="2095" spans="19:21" x14ac:dyDescent="0.25">
      <c r="S2095" s="6" t="s">
        <v>302</v>
      </c>
      <c r="T2095" s="6">
        <f t="shared" si="49"/>
        <v>2094</v>
      </c>
      <c r="U2095" s="4" t="s">
        <v>194</v>
      </c>
    </row>
    <row r="2096" spans="19:21" x14ac:dyDescent="0.25">
      <c r="S2096" s="6" t="s">
        <v>302</v>
      </c>
      <c r="T2096" s="6">
        <f t="shared" si="49"/>
        <v>2095</v>
      </c>
      <c r="U2096" s="4" t="s">
        <v>194</v>
      </c>
    </row>
    <row r="2097" spans="19:21" x14ac:dyDescent="0.25">
      <c r="S2097" s="6" t="s">
        <v>302</v>
      </c>
      <c r="T2097" s="6">
        <f t="shared" si="49"/>
        <v>2096</v>
      </c>
      <c r="U2097" s="4" t="s">
        <v>194</v>
      </c>
    </row>
    <row r="2098" spans="19:21" x14ac:dyDescent="0.25">
      <c r="S2098" s="6" t="s">
        <v>302</v>
      </c>
      <c r="T2098" s="6">
        <f t="shared" si="49"/>
        <v>2097</v>
      </c>
      <c r="U2098" s="4" t="s">
        <v>194</v>
      </c>
    </row>
    <row r="2099" spans="19:21" x14ac:dyDescent="0.25">
      <c r="S2099" s="6" t="s">
        <v>302</v>
      </c>
      <c r="T2099" s="6">
        <f t="shared" si="49"/>
        <v>2098</v>
      </c>
      <c r="U2099" s="4" t="s">
        <v>194</v>
      </c>
    </row>
    <row r="2100" spans="19:21" x14ac:dyDescent="0.25">
      <c r="S2100" s="6" t="s">
        <v>302</v>
      </c>
      <c r="T2100" s="6">
        <f t="shared" si="49"/>
        <v>2099</v>
      </c>
      <c r="U2100" s="4" t="s">
        <v>194</v>
      </c>
    </row>
    <row r="2101" spans="19:21" x14ac:dyDescent="0.25">
      <c r="S2101" s="6" t="s">
        <v>302</v>
      </c>
      <c r="T2101" s="6">
        <f t="shared" si="49"/>
        <v>2100</v>
      </c>
      <c r="U2101" s="4" t="s">
        <v>194</v>
      </c>
    </row>
    <row r="2102" spans="19:21" x14ac:dyDescent="0.25">
      <c r="S2102" s="6" t="s">
        <v>302</v>
      </c>
      <c r="T2102" s="6">
        <f t="shared" si="49"/>
        <v>2101</v>
      </c>
      <c r="U2102" s="4" t="s">
        <v>194</v>
      </c>
    </row>
    <row r="2103" spans="19:21" x14ac:dyDescent="0.25">
      <c r="S2103" s="6" t="s">
        <v>302</v>
      </c>
      <c r="T2103" s="6">
        <f t="shared" si="49"/>
        <v>2102</v>
      </c>
      <c r="U2103" s="4" t="s">
        <v>194</v>
      </c>
    </row>
    <row r="2104" spans="19:21" x14ac:dyDescent="0.25">
      <c r="S2104" s="6" t="s">
        <v>302</v>
      </c>
      <c r="T2104" s="6">
        <f t="shared" si="49"/>
        <v>2103</v>
      </c>
      <c r="U2104" s="4" t="s">
        <v>194</v>
      </c>
    </row>
    <row r="2105" spans="19:21" x14ac:dyDescent="0.25">
      <c r="S2105" s="6" t="s">
        <v>302</v>
      </c>
      <c r="T2105" s="6">
        <f t="shared" si="49"/>
        <v>2104</v>
      </c>
      <c r="U2105" s="4" t="s">
        <v>194</v>
      </c>
    </row>
    <row r="2106" spans="19:21" x14ac:dyDescent="0.25">
      <c r="S2106" s="6" t="s">
        <v>302</v>
      </c>
      <c r="T2106" s="6">
        <f t="shared" si="49"/>
        <v>2105</v>
      </c>
      <c r="U2106" s="4" t="s">
        <v>194</v>
      </c>
    </row>
    <row r="2107" spans="19:21" x14ac:dyDescent="0.25">
      <c r="S2107" s="6" t="s">
        <v>302</v>
      </c>
      <c r="T2107" s="6">
        <f t="shared" si="49"/>
        <v>2106</v>
      </c>
      <c r="U2107" s="4" t="s">
        <v>194</v>
      </c>
    </row>
    <row r="2108" spans="19:21" x14ac:dyDescent="0.25">
      <c r="S2108" s="6" t="s">
        <v>302</v>
      </c>
      <c r="T2108" s="6">
        <f t="shared" si="49"/>
        <v>2107</v>
      </c>
      <c r="U2108" s="4" t="s">
        <v>194</v>
      </c>
    </row>
    <row r="2109" spans="19:21" x14ac:dyDescent="0.25">
      <c r="S2109" s="6" t="s">
        <v>302</v>
      </c>
      <c r="T2109" s="6">
        <f t="shared" si="49"/>
        <v>2108</v>
      </c>
      <c r="U2109" s="4" t="s">
        <v>194</v>
      </c>
    </row>
    <row r="2110" spans="19:21" x14ac:dyDescent="0.25">
      <c r="S2110" s="6" t="s">
        <v>302</v>
      </c>
      <c r="T2110" s="6">
        <f t="shared" si="49"/>
        <v>2109</v>
      </c>
      <c r="U2110" s="4" t="s">
        <v>194</v>
      </c>
    </row>
    <row r="2111" spans="19:21" x14ac:dyDescent="0.25">
      <c r="S2111" s="6" t="s">
        <v>302</v>
      </c>
      <c r="T2111" s="6">
        <f t="shared" si="49"/>
        <v>2110</v>
      </c>
      <c r="U2111" s="4" t="s">
        <v>194</v>
      </c>
    </row>
    <row r="2112" spans="19:21" x14ac:dyDescent="0.25">
      <c r="S2112" s="6" t="s">
        <v>302</v>
      </c>
      <c r="T2112" s="6">
        <f t="shared" si="49"/>
        <v>2111</v>
      </c>
      <c r="U2112" s="4" t="s">
        <v>194</v>
      </c>
    </row>
    <row r="2113" spans="19:21" x14ac:dyDescent="0.25">
      <c r="S2113" s="6" t="s">
        <v>302</v>
      </c>
      <c r="T2113" s="6">
        <f t="shared" si="49"/>
        <v>2112</v>
      </c>
      <c r="U2113" s="4" t="s">
        <v>194</v>
      </c>
    </row>
    <row r="2114" spans="19:21" x14ac:dyDescent="0.25">
      <c r="S2114" s="6" t="s">
        <v>302</v>
      </c>
      <c r="T2114" s="6">
        <f t="shared" si="49"/>
        <v>2113</v>
      </c>
      <c r="U2114" s="4" t="s">
        <v>194</v>
      </c>
    </row>
    <row r="2115" spans="19:21" x14ac:dyDescent="0.25">
      <c r="S2115" s="6" t="s">
        <v>302</v>
      </c>
      <c r="T2115" s="6">
        <f t="shared" si="49"/>
        <v>2114</v>
      </c>
      <c r="U2115" s="4" t="s">
        <v>194</v>
      </c>
    </row>
    <row r="2116" spans="19:21" x14ac:dyDescent="0.25">
      <c r="S2116" s="6" t="s">
        <v>302</v>
      </c>
      <c r="T2116" s="6">
        <f t="shared" si="49"/>
        <v>2115</v>
      </c>
      <c r="U2116" s="4" t="s">
        <v>194</v>
      </c>
    </row>
    <row r="2117" spans="19:21" x14ac:dyDescent="0.25">
      <c r="S2117" s="6" t="s">
        <v>302</v>
      </c>
      <c r="T2117" s="6">
        <f t="shared" si="49"/>
        <v>2116</v>
      </c>
      <c r="U2117" s="4" t="s">
        <v>194</v>
      </c>
    </row>
    <row r="2118" spans="19:21" x14ac:dyDescent="0.25">
      <c r="S2118" s="6" t="s">
        <v>302</v>
      </c>
      <c r="T2118" s="6">
        <f t="shared" si="49"/>
        <v>2117</v>
      </c>
      <c r="U2118" s="4" t="s">
        <v>194</v>
      </c>
    </row>
    <row r="2119" spans="19:21" x14ac:dyDescent="0.25">
      <c r="S2119" s="6" t="s">
        <v>302</v>
      </c>
      <c r="T2119" s="6">
        <f t="shared" si="49"/>
        <v>2118</v>
      </c>
      <c r="U2119" s="4" t="s">
        <v>194</v>
      </c>
    </row>
    <row r="2120" spans="19:21" x14ac:dyDescent="0.25">
      <c r="S2120" s="6" t="s">
        <v>302</v>
      </c>
      <c r="T2120" s="6">
        <f t="shared" si="49"/>
        <v>2119</v>
      </c>
      <c r="U2120" s="4" t="s">
        <v>194</v>
      </c>
    </row>
    <row r="2121" spans="19:21" x14ac:dyDescent="0.25">
      <c r="S2121" s="6" t="s">
        <v>302</v>
      </c>
      <c r="T2121" s="6">
        <f t="shared" si="49"/>
        <v>2120</v>
      </c>
      <c r="U2121" s="4" t="s">
        <v>194</v>
      </c>
    </row>
    <row r="2122" spans="19:21" x14ac:dyDescent="0.25">
      <c r="S2122" s="6" t="s">
        <v>302</v>
      </c>
      <c r="T2122" s="6">
        <f t="shared" si="49"/>
        <v>2121</v>
      </c>
      <c r="U2122" s="4" t="s">
        <v>194</v>
      </c>
    </row>
    <row r="2123" spans="19:21" x14ac:dyDescent="0.25">
      <c r="S2123" s="6" t="s">
        <v>302</v>
      </c>
      <c r="T2123" s="6">
        <f t="shared" si="49"/>
        <v>2122</v>
      </c>
      <c r="U2123" s="4" t="s">
        <v>194</v>
      </c>
    </row>
    <row r="2124" spans="19:21" x14ac:dyDescent="0.25">
      <c r="S2124" s="6" t="s">
        <v>302</v>
      </c>
      <c r="T2124" s="6">
        <f t="shared" si="49"/>
        <v>2123</v>
      </c>
      <c r="U2124" s="4" t="s">
        <v>194</v>
      </c>
    </row>
    <row r="2125" spans="19:21" x14ac:dyDescent="0.25">
      <c r="S2125" s="6" t="s">
        <v>302</v>
      </c>
      <c r="T2125" s="6">
        <f t="shared" si="49"/>
        <v>2124</v>
      </c>
      <c r="U2125" s="4" t="s">
        <v>194</v>
      </c>
    </row>
    <row r="2126" spans="19:21" x14ac:dyDescent="0.25">
      <c r="S2126" s="6" t="s">
        <v>302</v>
      </c>
      <c r="T2126" s="6">
        <f t="shared" si="49"/>
        <v>2125</v>
      </c>
      <c r="U2126" s="4" t="s">
        <v>194</v>
      </c>
    </row>
    <row r="2127" spans="19:21" x14ac:dyDescent="0.25">
      <c r="S2127" s="6" t="s">
        <v>302</v>
      </c>
      <c r="T2127" s="6">
        <f t="shared" si="49"/>
        <v>2126</v>
      </c>
      <c r="U2127" s="4" t="s">
        <v>194</v>
      </c>
    </row>
    <row r="2128" spans="19:21" x14ac:dyDescent="0.25">
      <c r="S2128" s="6" t="s">
        <v>302</v>
      </c>
      <c r="T2128" s="6">
        <f t="shared" si="49"/>
        <v>2127</v>
      </c>
      <c r="U2128" s="4" t="s">
        <v>194</v>
      </c>
    </row>
    <row r="2129" spans="19:21" x14ac:dyDescent="0.25">
      <c r="S2129" s="6" t="s">
        <v>302</v>
      </c>
      <c r="T2129" s="6">
        <f t="shared" si="49"/>
        <v>2128</v>
      </c>
      <c r="U2129" s="4" t="s">
        <v>194</v>
      </c>
    </row>
    <row r="2130" spans="19:21" x14ac:dyDescent="0.25">
      <c r="S2130" s="6" t="s">
        <v>302</v>
      </c>
      <c r="T2130" s="6">
        <f t="shared" si="49"/>
        <v>2129</v>
      </c>
      <c r="U2130" s="4" t="s">
        <v>194</v>
      </c>
    </row>
    <row r="2131" spans="19:21" x14ac:dyDescent="0.25">
      <c r="S2131" s="6" t="s">
        <v>302</v>
      </c>
      <c r="T2131" s="6">
        <f t="shared" si="49"/>
        <v>2130</v>
      </c>
      <c r="U2131" s="4" t="s">
        <v>194</v>
      </c>
    </row>
    <row r="2132" spans="19:21" x14ac:dyDescent="0.25">
      <c r="S2132" s="6" t="s">
        <v>302</v>
      </c>
      <c r="T2132" s="6">
        <f t="shared" ref="T2132:T2195" si="50">T2131+1</f>
        <v>2131</v>
      </c>
      <c r="U2132" s="4" t="s">
        <v>194</v>
      </c>
    </row>
    <row r="2133" spans="19:21" x14ac:dyDescent="0.25">
      <c r="S2133" s="6" t="s">
        <v>302</v>
      </c>
      <c r="T2133" s="6">
        <f t="shared" si="50"/>
        <v>2132</v>
      </c>
      <c r="U2133" s="4" t="s">
        <v>194</v>
      </c>
    </row>
    <row r="2134" spans="19:21" x14ac:dyDescent="0.25">
      <c r="S2134" s="6" t="s">
        <v>302</v>
      </c>
      <c r="T2134" s="6">
        <f t="shared" si="50"/>
        <v>2133</v>
      </c>
      <c r="U2134" s="4" t="s">
        <v>194</v>
      </c>
    </row>
    <row r="2135" spans="19:21" x14ac:dyDescent="0.25">
      <c r="S2135" s="6" t="s">
        <v>302</v>
      </c>
      <c r="T2135" s="6">
        <f t="shared" si="50"/>
        <v>2134</v>
      </c>
      <c r="U2135" s="4" t="s">
        <v>194</v>
      </c>
    </row>
    <row r="2136" spans="19:21" x14ac:dyDescent="0.25">
      <c r="S2136" s="6" t="s">
        <v>302</v>
      </c>
      <c r="T2136" s="6">
        <f t="shared" si="50"/>
        <v>2135</v>
      </c>
      <c r="U2136" s="4" t="s">
        <v>194</v>
      </c>
    </row>
    <row r="2137" spans="19:21" x14ac:dyDescent="0.25">
      <c r="S2137" s="6" t="s">
        <v>302</v>
      </c>
      <c r="T2137" s="6">
        <f t="shared" si="50"/>
        <v>2136</v>
      </c>
      <c r="U2137" s="4" t="s">
        <v>194</v>
      </c>
    </row>
    <row r="2138" spans="19:21" x14ac:dyDescent="0.25">
      <c r="S2138" s="6" t="s">
        <v>302</v>
      </c>
      <c r="T2138" s="6">
        <f t="shared" si="50"/>
        <v>2137</v>
      </c>
      <c r="U2138" s="4" t="s">
        <v>194</v>
      </c>
    </row>
    <row r="2139" spans="19:21" x14ac:dyDescent="0.25">
      <c r="S2139" s="6" t="s">
        <v>302</v>
      </c>
      <c r="T2139" s="6">
        <f t="shared" si="50"/>
        <v>2138</v>
      </c>
      <c r="U2139" s="4" t="s">
        <v>194</v>
      </c>
    </row>
    <row r="2140" spans="19:21" x14ac:dyDescent="0.25">
      <c r="S2140" s="6" t="s">
        <v>302</v>
      </c>
      <c r="T2140" s="6">
        <f t="shared" si="50"/>
        <v>2139</v>
      </c>
      <c r="U2140" s="4" t="s">
        <v>194</v>
      </c>
    </row>
    <row r="2141" spans="19:21" x14ac:dyDescent="0.25">
      <c r="S2141" s="6" t="s">
        <v>302</v>
      </c>
      <c r="T2141" s="6">
        <f t="shared" si="50"/>
        <v>2140</v>
      </c>
      <c r="U2141" s="4" t="s">
        <v>194</v>
      </c>
    </row>
    <row r="2142" spans="19:21" x14ac:dyDescent="0.25">
      <c r="S2142" s="6" t="s">
        <v>302</v>
      </c>
      <c r="T2142" s="6">
        <f t="shared" si="50"/>
        <v>2141</v>
      </c>
      <c r="U2142" s="4" t="s">
        <v>194</v>
      </c>
    </row>
    <row r="2143" spans="19:21" x14ac:dyDescent="0.25">
      <c r="S2143" s="6" t="s">
        <v>302</v>
      </c>
      <c r="T2143" s="6">
        <f t="shared" si="50"/>
        <v>2142</v>
      </c>
      <c r="U2143" s="4" t="s">
        <v>194</v>
      </c>
    </row>
    <row r="2144" spans="19:21" x14ac:dyDescent="0.25">
      <c r="S2144" s="6" t="s">
        <v>302</v>
      </c>
      <c r="T2144" s="6">
        <f t="shared" si="50"/>
        <v>2143</v>
      </c>
      <c r="U2144" s="4" t="s">
        <v>194</v>
      </c>
    </row>
    <row r="2145" spans="19:21" x14ac:dyDescent="0.25">
      <c r="S2145" s="6" t="s">
        <v>302</v>
      </c>
      <c r="T2145" s="6">
        <f t="shared" si="50"/>
        <v>2144</v>
      </c>
      <c r="U2145" s="4" t="s">
        <v>194</v>
      </c>
    </row>
    <row r="2146" spans="19:21" x14ac:dyDescent="0.25">
      <c r="S2146" s="6" t="s">
        <v>302</v>
      </c>
      <c r="T2146" s="6">
        <f t="shared" si="50"/>
        <v>2145</v>
      </c>
      <c r="U2146" s="4" t="s">
        <v>194</v>
      </c>
    </row>
    <row r="2147" spans="19:21" x14ac:dyDescent="0.25">
      <c r="S2147" s="6" t="s">
        <v>302</v>
      </c>
      <c r="T2147" s="6">
        <f t="shared" si="50"/>
        <v>2146</v>
      </c>
      <c r="U2147" s="4" t="s">
        <v>194</v>
      </c>
    </row>
    <row r="2148" spans="19:21" x14ac:dyDescent="0.25">
      <c r="S2148" s="6" t="s">
        <v>302</v>
      </c>
      <c r="T2148" s="6">
        <f t="shared" si="50"/>
        <v>2147</v>
      </c>
      <c r="U2148" s="4" t="s">
        <v>194</v>
      </c>
    </row>
    <row r="2149" spans="19:21" x14ac:dyDescent="0.25">
      <c r="S2149" s="6" t="s">
        <v>302</v>
      </c>
      <c r="T2149" s="6">
        <f t="shared" si="50"/>
        <v>2148</v>
      </c>
      <c r="U2149" s="4" t="s">
        <v>194</v>
      </c>
    </row>
    <row r="2150" spans="19:21" x14ac:dyDescent="0.25">
      <c r="S2150" s="6" t="s">
        <v>302</v>
      </c>
      <c r="T2150" s="6">
        <f t="shared" si="50"/>
        <v>2149</v>
      </c>
      <c r="U2150" s="4" t="s">
        <v>194</v>
      </c>
    </row>
    <row r="2151" spans="19:21" x14ac:dyDescent="0.25">
      <c r="S2151" s="6" t="s">
        <v>302</v>
      </c>
      <c r="T2151" s="6">
        <f t="shared" si="50"/>
        <v>2150</v>
      </c>
      <c r="U2151" s="4" t="s">
        <v>194</v>
      </c>
    </row>
    <row r="2152" spans="19:21" x14ac:dyDescent="0.25">
      <c r="S2152" s="6" t="s">
        <v>302</v>
      </c>
      <c r="T2152" s="6">
        <f t="shared" si="50"/>
        <v>2151</v>
      </c>
      <c r="U2152" s="4" t="s">
        <v>194</v>
      </c>
    </row>
    <row r="2153" spans="19:21" x14ac:dyDescent="0.25">
      <c r="S2153" s="6" t="s">
        <v>302</v>
      </c>
      <c r="T2153" s="6">
        <f t="shared" si="50"/>
        <v>2152</v>
      </c>
      <c r="U2153" s="4" t="s">
        <v>194</v>
      </c>
    </row>
    <row r="2154" spans="19:21" x14ac:dyDescent="0.25">
      <c r="S2154" s="6" t="s">
        <v>302</v>
      </c>
      <c r="T2154" s="6">
        <f t="shared" si="50"/>
        <v>2153</v>
      </c>
      <c r="U2154" s="4" t="s">
        <v>194</v>
      </c>
    </row>
    <row r="2155" spans="19:21" x14ac:dyDescent="0.25">
      <c r="S2155" s="6" t="s">
        <v>302</v>
      </c>
      <c r="T2155" s="6">
        <f t="shared" si="50"/>
        <v>2154</v>
      </c>
      <c r="U2155" s="4" t="s">
        <v>194</v>
      </c>
    </row>
    <row r="2156" spans="19:21" x14ac:dyDescent="0.25">
      <c r="S2156" s="6" t="s">
        <v>302</v>
      </c>
      <c r="T2156" s="6">
        <f t="shared" si="50"/>
        <v>2155</v>
      </c>
      <c r="U2156" s="4" t="s">
        <v>194</v>
      </c>
    </row>
    <row r="2157" spans="19:21" x14ac:dyDescent="0.25">
      <c r="S2157" s="6" t="s">
        <v>302</v>
      </c>
      <c r="T2157" s="6">
        <f t="shared" si="50"/>
        <v>2156</v>
      </c>
      <c r="U2157" s="4" t="s">
        <v>194</v>
      </c>
    </row>
    <row r="2158" spans="19:21" x14ac:dyDescent="0.25">
      <c r="S2158" s="6" t="s">
        <v>302</v>
      </c>
      <c r="T2158" s="6">
        <f t="shared" si="50"/>
        <v>2157</v>
      </c>
      <c r="U2158" s="4" t="s">
        <v>194</v>
      </c>
    </row>
    <row r="2159" spans="19:21" x14ac:dyDescent="0.25">
      <c r="S2159" s="6" t="s">
        <v>302</v>
      </c>
      <c r="T2159" s="6">
        <f t="shared" si="50"/>
        <v>2158</v>
      </c>
      <c r="U2159" s="4" t="s">
        <v>194</v>
      </c>
    </row>
    <row r="2160" spans="19:21" x14ac:dyDescent="0.25">
      <c r="S2160" s="6" t="s">
        <v>302</v>
      </c>
      <c r="T2160" s="6">
        <f t="shared" si="50"/>
        <v>2159</v>
      </c>
      <c r="U2160" s="4" t="s">
        <v>194</v>
      </c>
    </row>
    <row r="2161" spans="19:21" x14ac:dyDescent="0.25">
      <c r="S2161" s="6" t="s">
        <v>302</v>
      </c>
      <c r="T2161" s="6">
        <f t="shared" si="50"/>
        <v>2160</v>
      </c>
      <c r="U2161" s="4" t="s">
        <v>194</v>
      </c>
    </row>
    <row r="2162" spans="19:21" x14ac:dyDescent="0.25">
      <c r="S2162" s="6" t="s">
        <v>302</v>
      </c>
      <c r="T2162" s="6">
        <f t="shared" si="50"/>
        <v>2161</v>
      </c>
      <c r="U2162" s="4" t="s">
        <v>194</v>
      </c>
    </row>
    <row r="2163" spans="19:21" x14ac:dyDescent="0.25">
      <c r="S2163" s="6" t="s">
        <v>302</v>
      </c>
      <c r="T2163" s="6">
        <f t="shared" si="50"/>
        <v>2162</v>
      </c>
      <c r="U2163" s="4" t="s">
        <v>194</v>
      </c>
    </row>
    <row r="2164" spans="19:21" x14ac:dyDescent="0.25">
      <c r="S2164" s="6" t="s">
        <v>302</v>
      </c>
      <c r="T2164" s="6">
        <f t="shared" si="50"/>
        <v>2163</v>
      </c>
      <c r="U2164" s="4" t="s">
        <v>194</v>
      </c>
    </row>
    <row r="2165" spans="19:21" x14ac:dyDescent="0.25">
      <c r="S2165" s="6" t="s">
        <v>302</v>
      </c>
      <c r="T2165" s="6">
        <f t="shared" si="50"/>
        <v>2164</v>
      </c>
      <c r="U2165" s="4" t="s">
        <v>194</v>
      </c>
    </row>
    <row r="2166" spans="19:21" x14ac:dyDescent="0.25">
      <c r="S2166" s="6" t="s">
        <v>302</v>
      </c>
      <c r="T2166" s="6">
        <f t="shared" si="50"/>
        <v>2165</v>
      </c>
      <c r="U2166" s="4" t="s">
        <v>194</v>
      </c>
    </row>
    <row r="2167" spans="19:21" x14ac:dyDescent="0.25">
      <c r="S2167" s="6" t="s">
        <v>302</v>
      </c>
      <c r="T2167" s="6">
        <f t="shared" si="50"/>
        <v>2166</v>
      </c>
      <c r="U2167" s="4" t="s">
        <v>194</v>
      </c>
    </row>
    <row r="2168" spans="19:21" x14ac:dyDescent="0.25">
      <c r="S2168" s="6" t="s">
        <v>302</v>
      </c>
      <c r="T2168" s="6">
        <f t="shared" si="50"/>
        <v>2167</v>
      </c>
      <c r="U2168" s="4" t="s">
        <v>194</v>
      </c>
    </row>
    <row r="2169" spans="19:21" x14ac:dyDescent="0.25">
      <c r="S2169" s="6" t="s">
        <v>302</v>
      </c>
      <c r="T2169" s="6">
        <f t="shared" si="50"/>
        <v>2168</v>
      </c>
      <c r="U2169" s="4" t="s">
        <v>194</v>
      </c>
    </row>
    <row r="2170" spans="19:21" x14ac:dyDescent="0.25">
      <c r="S2170" s="6" t="s">
        <v>302</v>
      </c>
      <c r="T2170" s="6">
        <f t="shared" si="50"/>
        <v>2169</v>
      </c>
      <c r="U2170" s="4" t="s">
        <v>194</v>
      </c>
    </row>
    <row r="2171" spans="19:21" x14ac:dyDescent="0.25">
      <c r="S2171" s="6" t="s">
        <v>302</v>
      </c>
      <c r="T2171" s="6">
        <f t="shared" si="50"/>
        <v>2170</v>
      </c>
      <c r="U2171" s="4" t="s">
        <v>194</v>
      </c>
    </row>
    <row r="2172" spans="19:21" x14ac:dyDescent="0.25">
      <c r="S2172" s="6" t="s">
        <v>302</v>
      </c>
      <c r="T2172" s="6">
        <f t="shared" si="50"/>
        <v>2171</v>
      </c>
      <c r="U2172" s="4" t="s">
        <v>194</v>
      </c>
    </row>
    <row r="2173" spans="19:21" x14ac:dyDescent="0.25">
      <c r="S2173" s="6" t="s">
        <v>302</v>
      </c>
      <c r="T2173" s="6">
        <f t="shared" si="50"/>
        <v>2172</v>
      </c>
      <c r="U2173" s="4" t="s">
        <v>194</v>
      </c>
    </row>
    <row r="2174" spans="19:21" x14ac:dyDescent="0.25">
      <c r="S2174" s="6" t="s">
        <v>302</v>
      </c>
      <c r="T2174" s="6">
        <f t="shared" si="50"/>
        <v>2173</v>
      </c>
      <c r="U2174" s="4" t="s">
        <v>194</v>
      </c>
    </row>
    <row r="2175" spans="19:21" x14ac:dyDescent="0.25">
      <c r="S2175" s="6" t="s">
        <v>302</v>
      </c>
      <c r="T2175" s="6">
        <f t="shared" si="50"/>
        <v>2174</v>
      </c>
      <c r="U2175" s="4" t="s">
        <v>194</v>
      </c>
    </row>
    <row r="2176" spans="19:21" x14ac:dyDescent="0.25">
      <c r="S2176" s="6" t="s">
        <v>302</v>
      </c>
      <c r="T2176" s="6">
        <f t="shared" si="50"/>
        <v>2175</v>
      </c>
      <c r="U2176" s="4" t="s">
        <v>194</v>
      </c>
    </row>
    <row r="2177" spans="19:21" x14ac:dyDescent="0.25">
      <c r="S2177" s="6" t="s">
        <v>302</v>
      </c>
      <c r="T2177" s="6">
        <f t="shared" si="50"/>
        <v>2176</v>
      </c>
      <c r="U2177" s="4" t="s">
        <v>194</v>
      </c>
    </row>
    <row r="2178" spans="19:21" x14ac:dyDescent="0.25">
      <c r="S2178" s="6" t="s">
        <v>302</v>
      </c>
      <c r="T2178" s="6">
        <f t="shared" si="50"/>
        <v>2177</v>
      </c>
      <c r="U2178" s="4" t="s">
        <v>194</v>
      </c>
    </row>
    <row r="2179" spans="19:21" x14ac:dyDescent="0.25">
      <c r="S2179" s="6" t="s">
        <v>302</v>
      </c>
      <c r="T2179" s="6">
        <f t="shared" si="50"/>
        <v>2178</v>
      </c>
      <c r="U2179" s="4" t="s">
        <v>194</v>
      </c>
    </row>
    <row r="2180" spans="19:21" x14ac:dyDescent="0.25">
      <c r="S2180" s="6" t="s">
        <v>302</v>
      </c>
      <c r="T2180" s="6">
        <f t="shared" si="50"/>
        <v>2179</v>
      </c>
      <c r="U2180" s="4" t="s">
        <v>194</v>
      </c>
    </row>
    <row r="2181" spans="19:21" x14ac:dyDescent="0.25">
      <c r="S2181" s="6" t="s">
        <v>302</v>
      </c>
      <c r="T2181" s="6">
        <f t="shared" si="50"/>
        <v>2180</v>
      </c>
      <c r="U2181" s="4" t="s">
        <v>194</v>
      </c>
    </row>
    <row r="2182" spans="19:21" x14ac:dyDescent="0.25">
      <c r="S2182" s="6" t="s">
        <v>302</v>
      </c>
      <c r="T2182" s="6">
        <f t="shared" si="50"/>
        <v>2181</v>
      </c>
      <c r="U2182" s="4" t="s">
        <v>194</v>
      </c>
    </row>
    <row r="2183" spans="19:21" x14ac:dyDescent="0.25">
      <c r="S2183" s="6" t="s">
        <v>302</v>
      </c>
      <c r="T2183" s="6">
        <f t="shared" si="50"/>
        <v>2182</v>
      </c>
      <c r="U2183" s="4" t="s">
        <v>194</v>
      </c>
    </row>
    <row r="2184" spans="19:21" x14ac:dyDescent="0.25">
      <c r="S2184" s="6" t="s">
        <v>302</v>
      </c>
      <c r="T2184" s="6">
        <f t="shared" si="50"/>
        <v>2183</v>
      </c>
      <c r="U2184" s="4" t="s">
        <v>194</v>
      </c>
    </row>
    <row r="2185" spans="19:21" x14ac:dyDescent="0.25">
      <c r="S2185" s="6" t="s">
        <v>302</v>
      </c>
      <c r="T2185" s="6">
        <f t="shared" si="50"/>
        <v>2184</v>
      </c>
      <c r="U2185" s="4" t="s">
        <v>194</v>
      </c>
    </row>
    <row r="2186" spans="19:21" x14ac:dyDescent="0.25">
      <c r="S2186" s="6" t="s">
        <v>302</v>
      </c>
      <c r="T2186" s="6">
        <f t="shared" si="50"/>
        <v>2185</v>
      </c>
      <c r="U2186" s="4" t="s">
        <v>194</v>
      </c>
    </row>
    <row r="2187" spans="19:21" x14ac:dyDescent="0.25">
      <c r="S2187" s="6" t="s">
        <v>302</v>
      </c>
      <c r="T2187" s="6">
        <f t="shared" si="50"/>
        <v>2186</v>
      </c>
      <c r="U2187" s="4" t="s">
        <v>194</v>
      </c>
    </row>
    <row r="2188" spans="19:21" x14ac:dyDescent="0.25">
      <c r="S2188" s="6" t="s">
        <v>302</v>
      </c>
      <c r="T2188" s="6">
        <f t="shared" si="50"/>
        <v>2187</v>
      </c>
      <c r="U2188" s="4" t="s">
        <v>194</v>
      </c>
    </row>
    <row r="2189" spans="19:21" x14ac:dyDescent="0.25">
      <c r="S2189" s="6" t="s">
        <v>302</v>
      </c>
      <c r="T2189" s="6">
        <f t="shared" si="50"/>
        <v>2188</v>
      </c>
      <c r="U2189" s="4" t="s">
        <v>194</v>
      </c>
    </row>
    <row r="2190" spans="19:21" x14ac:dyDescent="0.25">
      <c r="S2190" s="6" t="s">
        <v>302</v>
      </c>
      <c r="T2190" s="6">
        <f t="shared" si="50"/>
        <v>2189</v>
      </c>
      <c r="U2190" s="4" t="s">
        <v>194</v>
      </c>
    </row>
    <row r="2191" spans="19:21" x14ac:dyDescent="0.25">
      <c r="S2191" s="6" t="s">
        <v>302</v>
      </c>
      <c r="T2191" s="6">
        <f t="shared" si="50"/>
        <v>2190</v>
      </c>
      <c r="U2191" s="4" t="s">
        <v>194</v>
      </c>
    </row>
    <row r="2192" spans="19:21" x14ac:dyDescent="0.25">
      <c r="S2192" s="6" t="s">
        <v>302</v>
      </c>
      <c r="T2192" s="6">
        <f t="shared" si="50"/>
        <v>2191</v>
      </c>
      <c r="U2192" s="4" t="s">
        <v>194</v>
      </c>
    </row>
    <row r="2193" spans="19:21" x14ac:dyDescent="0.25">
      <c r="S2193" s="6" t="s">
        <v>302</v>
      </c>
      <c r="T2193" s="6">
        <f t="shared" si="50"/>
        <v>2192</v>
      </c>
      <c r="U2193" s="4" t="s">
        <v>194</v>
      </c>
    </row>
    <row r="2194" spans="19:21" x14ac:dyDescent="0.25">
      <c r="S2194" s="6" t="s">
        <v>302</v>
      </c>
      <c r="T2194" s="6">
        <f t="shared" si="50"/>
        <v>2193</v>
      </c>
      <c r="U2194" s="4" t="s">
        <v>194</v>
      </c>
    </row>
    <row r="2195" spans="19:21" x14ac:dyDescent="0.25">
      <c r="S2195" s="6" t="s">
        <v>302</v>
      </c>
      <c r="T2195" s="6">
        <f t="shared" si="50"/>
        <v>2194</v>
      </c>
      <c r="U2195" s="4" t="s">
        <v>194</v>
      </c>
    </row>
    <row r="2196" spans="19:21" x14ac:dyDescent="0.25">
      <c r="S2196" s="6" t="s">
        <v>302</v>
      </c>
      <c r="T2196" s="6">
        <f t="shared" ref="T2196:T2259" si="51">T2195+1</f>
        <v>2195</v>
      </c>
      <c r="U2196" s="4" t="s">
        <v>194</v>
      </c>
    </row>
    <row r="2197" spans="19:21" x14ac:dyDescent="0.25">
      <c r="S2197" s="6" t="s">
        <v>302</v>
      </c>
      <c r="T2197" s="6">
        <f t="shared" si="51"/>
        <v>2196</v>
      </c>
      <c r="U2197" s="4" t="s">
        <v>194</v>
      </c>
    </row>
    <row r="2198" spans="19:21" x14ac:dyDescent="0.25">
      <c r="S2198" s="6" t="s">
        <v>302</v>
      </c>
      <c r="T2198" s="6">
        <f t="shared" si="51"/>
        <v>2197</v>
      </c>
      <c r="U2198" s="4" t="s">
        <v>194</v>
      </c>
    </row>
    <row r="2199" spans="19:21" x14ac:dyDescent="0.25">
      <c r="S2199" s="6" t="s">
        <v>302</v>
      </c>
      <c r="T2199" s="6">
        <f t="shared" si="51"/>
        <v>2198</v>
      </c>
      <c r="U2199" s="4" t="s">
        <v>194</v>
      </c>
    </row>
    <row r="2200" spans="19:21" x14ac:dyDescent="0.25">
      <c r="S2200" s="6" t="s">
        <v>302</v>
      </c>
      <c r="T2200" s="6">
        <f t="shared" si="51"/>
        <v>2199</v>
      </c>
      <c r="U2200" s="4" t="s">
        <v>194</v>
      </c>
    </row>
    <row r="2201" spans="19:21" x14ac:dyDescent="0.25">
      <c r="S2201" s="6" t="s">
        <v>302</v>
      </c>
      <c r="T2201" s="6">
        <f t="shared" si="51"/>
        <v>2200</v>
      </c>
      <c r="U2201" s="4" t="s">
        <v>194</v>
      </c>
    </row>
    <row r="2202" spans="19:21" x14ac:dyDescent="0.25">
      <c r="S2202" s="6" t="s">
        <v>302</v>
      </c>
      <c r="T2202" s="6">
        <f t="shared" si="51"/>
        <v>2201</v>
      </c>
      <c r="U2202" s="4" t="s">
        <v>194</v>
      </c>
    </row>
    <row r="2203" spans="19:21" x14ac:dyDescent="0.25">
      <c r="S2203" s="6" t="s">
        <v>302</v>
      </c>
      <c r="T2203" s="6">
        <f t="shared" si="51"/>
        <v>2202</v>
      </c>
      <c r="U2203" s="4" t="s">
        <v>194</v>
      </c>
    </row>
    <row r="2204" spans="19:21" x14ac:dyDescent="0.25">
      <c r="S2204" s="6" t="s">
        <v>302</v>
      </c>
      <c r="T2204" s="6">
        <f t="shared" si="51"/>
        <v>2203</v>
      </c>
      <c r="U2204" s="4" t="s">
        <v>194</v>
      </c>
    </row>
    <row r="2205" spans="19:21" x14ac:dyDescent="0.25">
      <c r="S2205" s="6" t="s">
        <v>302</v>
      </c>
      <c r="T2205" s="6">
        <f t="shared" si="51"/>
        <v>2204</v>
      </c>
      <c r="U2205" s="4" t="s">
        <v>194</v>
      </c>
    </row>
    <row r="2206" spans="19:21" x14ac:dyDescent="0.25">
      <c r="S2206" s="6" t="s">
        <v>302</v>
      </c>
      <c r="T2206" s="6">
        <f t="shared" si="51"/>
        <v>2205</v>
      </c>
      <c r="U2206" s="4" t="s">
        <v>194</v>
      </c>
    </row>
    <row r="2207" spans="19:21" x14ac:dyDescent="0.25">
      <c r="S2207" s="6" t="s">
        <v>302</v>
      </c>
      <c r="T2207" s="6">
        <f t="shared" si="51"/>
        <v>2206</v>
      </c>
      <c r="U2207" s="4" t="s">
        <v>194</v>
      </c>
    </row>
    <row r="2208" spans="19:21" x14ac:dyDescent="0.25">
      <c r="S2208" s="6" t="s">
        <v>302</v>
      </c>
      <c r="T2208" s="6">
        <f t="shared" si="51"/>
        <v>2207</v>
      </c>
      <c r="U2208" s="4" t="s">
        <v>194</v>
      </c>
    </row>
    <row r="2209" spans="19:21" x14ac:dyDescent="0.25">
      <c r="S2209" s="6" t="s">
        <v>302</v>
      </c>
      <c r="T2209" s="6">
        <f t="shared" si="51"/>
        <v>2208</v>
      </c>
      <c r="U2209" s="4" t="s">
        <v>194</v>
      </c>
    </row>
    <row r="2210" spans="19:21" x14ac:dyDescent="0.25">
      <c r="S2210" s="6" t="s">
        <v>302</v>
      </c>
      <c r="T2210" s="6">
        <f t="shared" si="51"/>
        <v>2209</v>
      </c>
      <c r="U2210" s="4" t="s">
        <v>194</v>
      </c>
    </row>
    <row r="2211" spans="19:21" x14ac:dyDescent="0.25">
      <c r="S2211" s="6" t="s">
        <v>302</v>
      </c>
      <c r="T2211" s="6">
        <f t="shared" si="51"/>
        <v>2210</v>
      </c>
      <c r="U2211" s="4" t="s">
        <v>194</v>
      </c>
    </row>
    <row r="2212" spans="19:21" x14ac:dyDescent="0.25">
      <c r="S2212" s="6" t="s">
        <v>302</v>
      </c>
      <c r="T2212" s="6">
        <f t="shared" si="51"/>
        <v>2211</v>
      </c>
      <c r="U2212" s="4" t="s">
        <v>194</v>
      </c>
    </row>
    <row r="2213" spans="19:21" x14ac:dyDescent="0.25">
      <c r="S2213" s="6" t="s">
        <v>302</v>
      </c>
      <c r="T2213" s="6">
        <f t="shared" si="51"/>
        <v>2212</v>
      </c>
      <c r="U2213" s="4" t="s">
        <v>194</v>
      </c>
    </row>
    <row r="2214" spans="19:21" x14ac:dyDescent="0.25">
      <c r="S2214" s="6" t="s">
        <v>302</v>
      </c>
      <c r="T2214" s="6">
        <f t="shared" si="51"/>
        <v>2213</v>
      </c>
      <c r="U2214" s="4" t="s">
        <v>194</v>
      </c>
    </row>
    <row r="2215" spans="19:21" x14ac:dyDescent="0.25">
      <c r="S2215" s="6" t="s">
        <v>302</v>
      </c>
      <c r="T2215" s="6">
        <f t="shared" si="51"/>
        <v>2214</v>
      </c>
      <c r="U2215" s="4" t="s">
        <v>194</v>
      </c>
    </row>
    <row r="2216" spans="19:21" x14ac:dyDescent="0.25">
      <c r="S2216" s="6" t="s">
        <v>302</v>
      </c>
      <c r="T2216" s="6">
        <f t="shared" si="51"/>
        <v>2215</v>
      </c>
      <c r="U2216" s="4" t="s">
        <v>194</v>
      </c>
    </row>
    <row r="2217" spans="19:21" x14ac:dyDescent="0.25">
      <c r="S2217" s="6" t="s">
        <v>302</v>
      </c>
      <c r="T2217" s="6">
        <f t="shared" si="51"/>
        <v>2216</v>
      </c>
      <c r="U2217" s="4" t="s">
        <v>194</v>
      </c>
    </row>
    <row r="2218" spans="19:21" x14ac:dyDescent="0.25">
      <c r="S2218" s="6" t="s">
        <v>302</v>
      </c>
      <c r="T2218" s="6">
        <f t="shared" si="51"/>
        <v>2217</v>
      </c>
      <c r="U2218" s="4" t="s">
        <v>194</v>
      </c>
    </row>
    <row r="2219" spans="19:21" x14ac:dyDescent="0.25">
      <c r="S2219" s="6" t="s">
        <v>302</v>
      </c>
      <c r="T2219" s="6">
        <f t="shared" si="51"/>
        <v>2218</v>
      </c>
      <c r="U2219" s="4" t="s">
        <v>194</v>
      </c>
    </row>
    <row r="2220" spans="19:21" x14ac:dyDescent="0.25">
      <c r="S2220" s="6" t="s">
        <v>302</v>
      </c>
      <c r="T2220" s="6">
        <f t="shared" si="51"/>
        <v>2219</v>
      </c>
      <c r="U2220" s="4" t="s">
        <v>194</v>
      </c>
    </row>
    <row r="2221" spans="19:21" x14ac:dyDescent="0.25">
      <c r="S2221" s="6" t="s">
        <v>302</v>
      </c>
      <c r="T2221" s="6">
        <f t="shared" si="51"/>
        <v>2220</v>
      </c>
      <c r="U2221" s="4" t="s">
        <v>194</v>
      </c>
    </row>
    <row r="2222" spans="19:21" x14ac:dyDescent="0.25">
      <c r="S2222" s="6" t="s">
        <v>302</v>
      </c>
      <c r="T2222" s="6">
        <f t="shared" si="51"/>
        <v>2221</v>
      </c>
      <c r="U2222" s="4" t="s">
        <v>194</v>
      </c>
    </row>
    <row r="2223" spans="19:21" x14ac:dyDescent="0.25">
      <c r="S2223" s="6" t="s">
        <v>302</v>
      </c>
      <c r="T2223" s="6">
        <f t="shared" si="51"/>
        <v>2222</v>
      </c>
      <c r="U2223" s="4" t="s">
        <v>194</v>
      </c>
    </row>
    <row r="2224" spans="19:21" x14ac:dyDescent="0.25">
      <c r="S2224" s="6" t="s">
        <v>302</v>
      </c>
      <c r="T2224" s="6">
        <f t="shared" si="51"/>
        <v>2223</v>
      </c>
      <c r="U2224" s="4" t="s">
        <v>194</v>
      </c>
    </row>
    <row r="2225" spans="19:21" x14ac:dyDescent="0.25">
      <c r="S2225" s="6" t="s">
        <v>302</v>
      </c>
      <c r="T2225" s="6">
        <f t="shared" si="51"/>
        <v>2224</v>
      </c>
      <c r="U2225" s="4" t="s">
        <v>194</v>
      </c>
    </row>
    <row r="2226" spans="19:21" x14ac:dyDescent="0.25">
      <c r="S2226" s="6" t="s">
        <v>302</v>
      </c>
      <c r="T2226" s="6">
        <f t="shared" si="51"/>
        <v>2225</v>
      </c>
      <c r="U2226" s="4" t="s">
        <v>194</v>
      </c>
    </row>
    <row r="2227" spans="19:21" x14ac:dyDescent="0.25">
      <c r="S2227" s="6" t="s">
        <v>302</v>
      </c>
      <c r="T2227" s="6">
        <f t="shared" si="51"/>
        <v>2226</v>
      </c>
      <c r="U2227" s="4" t="s">
        <v>194</v>
      </c>
    </row>
    <row r="2228" spans="19:21" x14ac:dyDescent="0.25">
      <c r="S2228" s="6" t="s">
        <v>302</v>
      </c>
      <c r="T2228" s="6">
        <f t="shared" si="51"/>
        <v>2227</v>
      </c>
      <c r="U2228" s="4" t="s">
        <v>194</v>
      </c>
    </row>
    <row r="2229" spans="19:21" x14ac:dyDescent="0.25">
      <c r="S2229" s="6" t="s">
        <v>302</v>
      </c>
      <c r="T2229" s="6">
        <f t="shared" si="51"/>
        <v>2228</v>
      </c>
      <c r="U2229" s="4" t="s">
        <v>194</v>
      </c>
    </row>
    <row r="2230" spans="19:21" x14ac:dyDescent="0.25">
      <c r="S2230" s="6" t="s">
        <v>302</v>
      </c>
      <c r="T2230" s="6">
        <f t="shared" si="51"/>
        <v>2229</v>
      </c>
      <c r="U2230" s="4" t="s">
        <v>194</v>
      </c>
    </row>
    <row r="2231" spans="19:21" x14ac:dyDescent="0.25">
      <c r="S2231" s="6" t="s">
        <v>302</v>
      </c>
      <c r="T2231" s="6">
        <f t="shared" si="51"/>
        <v>2230</v>
      </c>
      <c r="U2231" s="4" t="s">
        <v>194</v>
      </c>
    </row>
    <row r="2232" spans="19:21" x14ac:dyDescent="0.25">
      <c r="S2232" s="6" t="s">
        <v>302</v>
      </c>
      <c r="T2232" s="6">
        <f t="shared" si="51"/>
        <v>2231</v>
      </c>
      <c r="U2232" s="4" t="s">
        <v>194</v>
      </c>
    </row>
    <row r="2233" spans="19:21" x14ac:dyDescent="0.25">
      <c r="S2233" s="6" t="s">
        <v>302</v>
      </c>
      <c r="T2233" s="6">
        <f t="shared" si="51"/>
        <v>2232</v>
      </c>
      <c r="U2233" s="4" t="s">
        <v>194</v>
      </c>
    </row>
    <row r="2234" spans="19:21" x14ac:dyDescent="0.25">
      <c r="S2234" s="6" t="s">
        <v>302</v>
      </c>
      <c r="T2234" s="6">
        <f t="shared" si="51"/>
        <v>2233</v>
      </c>
      <c r="U2234" s="4" t="s">
        <v>194</v>
      </c>
    </row>
    <row r="2235" spans="19:21" x14ac:dyDescent="0.25">
      <c r="S2235" s="6" t="s">
        <v>302</v>
      </c>
      <c r="T2235" s="6">
        <f t="shared" si="51"/>
        <v>2234</v>
      </c>
      <c r="U2235" s="4" t="s">
        <v>194</v>
      </c>
    </row>
    <row r="2236" spans="19:21" x14ac:dyDescent="0.25">
      <c r="S2236" s="6" t="s">
        <v>302</v>
      </c>
      <c r="T2236" s="6">
        <f t="shared" si="51"/>
        <v>2235</v>
      </c>
      <c r="U2236" s="4" t="s">
        <v>194</v>
      </c>
    </row>
    <row r="2237" spans="19:21" x14ac:dyDescent="0.25">
      <c r="S2237" s="6" t="s">
        <v>302</v>
      </c>
      <c r="T2237" s="6">
        <f t="shared" si="51"/>
        <v>2236</v>
      </c>
      <c r="U2237" s="4" t="s">
        <v>194</v>
      </c>
    </row>
    <row r="2238" spans="19:21" x14ac:dyDescent="0.25">
      <c r="S2238" s="6" t="s">
        <v>302</v>
      </c>
      <c r="T2238" s="6">
        <f t="shared" si="51"/>
        <v>2237</v>
      </c>
      <c r="U2238" s="4" t="s">
        <v>194</v>
      </c>
    </row>
    <row r="2239" spans="19:21" x14ac:dyDescent="0.25">
      <c r="S2239" s="6" t="s">
        <v>302</v>
      </c>
      <c r="T2239" s="6">
        <f t="shared" si="51"/>
        <v>2238</v>
      </c>
      <c r="U2239" s="4" t="s">
        <v>194</v>
      </c>
    </row>
    <row r="2240" spans="19:21" x14ac:dyDescent="0.25">
      <c r="S2240" s="6" t="s">
        <v>302</v>
      </c>
      <c r="T2240" s="6">
        <f t="shared" si="51"/>
        <v>2239</v>
      </c>
      <c r="U2240" s="4" t="s">
        <v>194</v>
      </c>
    </row>
    <row r="2241" spans="19:21" x14ac:dyDescent="0.25">
      <c r="S2241" s="6" t="s">
        <v>302</v>
      </c>
      <c r="T2241" s="6">
        <f t="shared" si="51"/>
        <v>2240</v>
      </c>
      <c r="U2241" s="4" t="s">
        <v>194</v>
      </c>
    </row>
    <row r="2242" spans="19:21" x14ac:dyDescent="0.25">
      <c r="S2242" s="6" t="s">
        <v>302</v>
      </c>
      <c r="T2242" s="6">
        <f t="shared" si="51"/>
        <v>2241</v>
      </c>
      <c r="U2242" s="4" t="s">
        <v>194</v>
      </c>
    </row>
    <row r="2243" spans="19:21" x14ac:dyDescent="0.25">
      <c r="S2243" s="6" t="s">
        <v>302</v>
      </c>
      <c r="T2243" s="6">
        <f t="shared" si="51"/>
        <v>2242</v>
      </c>
      <c r="U2243" s="4" t="s">
        <v>194</v>
      </c>
    </row>
    <row r="2244" spans="19:21" x14ac:dyDescent="0.25">
      <c r="S2244" s="6" t="s">
        <v>302</v>
      </c>
      <c r="T2244" s="6">
        <f t="shared" si="51"/>
        <v>2243</v>
      </c>
      <c r="U2244" s="4" t="s">
        <v>194</v>
      </c>
    </row>
    <row r="2245" spans="19:21" x14ac:dyDescent="0.25">
      <c r="S2245" s="6" t="s">
        <v>302</v>
      </c>
      <c r="T2245" s="6">
        <f t="shared" si="51"/>
        <v>2244</v>
      </c>
      <c r="U2245" s="4" t="s">
        <v>194</v>
      </c>
    </row>
    <row r="2246" spans="19:21" x14ac:dyDescent="0.25">
      <c r="S2246" s="6" t="s">
        <v>302</v>
      </c>
      <c r="T2246" s="6">
        <f t="shared" si="51"/>
        <v>2245</v>
      </c>
      <c r="U2246" s="4" t="s">
        <v>194</v>
      </c>
    </row>
    <row r="2247" spans="19:21" x14ac:dyDescent="0.25">
      <c r="S2247" s="6" t="s">
        <v>302</v>
      </c>
      <c r="T2247" s="6">
        <f t="shared" si="51"/>
        <v>2246</v>
      </c>
      <c r="U2247" s="4" t="s">
        <v>194</v>
      </c>
    </row>
    <row r="2248" spans="19:21" x14ac:dyDescent="0.25">
      <c r="S2248" s="6" t="s">
        <v>302</v>
      </c>
      <c r="T2248" s="6">
        <f t="shared" si="51"/>
        <v>2247</v>
      </c>
      <c r="U2248" s="4" t="s">
        <v>194</v>
      </c>
    </row>
    <row r="2249" spans="19:21" x14ac:dyDescent="0.25">
      <c r="S2249" s="6" t="s">
        <v>302</v>
      </c>
      <c r="T2249" s="6">
        <f t="shared" si="51"/>
        <v>2248</v>
      </c>
      <c r="U2249" s="4" t="s">
        <v>194</v>
      </c>
    </row>
    <row r="2250" spans="19:21" x14ac:dyDescent="0.25">
      <c r="S2250" s="6" t="s">
        <v>302</v>
      </c>
      <c r="T2250" s="6">
        <f t="shared" si="51"/>
        <v>2249</v>
      </c>
      <c r="U2250" s="4" t="s">
        <v>194</v>
      </c>
    </row>
    <row r="2251" spans="19:21" x14ac:dyDescent="0.25">
      <c r="S2251" s="6" t="s">
        <v>302</v>
      </c>
      <c r="T2251" s="6">
        <f t="shared" si="51"/>
        <v>2250</v>
      </c>
      <c r="U2251" s="4" t="s">
        <v>194</v>
      </c>
    </row>
    <row r="2252" spans="19:21" x14ac:dyDescent="0.25">
      <c r="S2252" s="6" t="s">
        <v>302</v>
      </c>
      <c r="T2252" s="6">
        <f t="shared" si="51"/>
        <v>2251</v>
      </c>
      <c r="U2252" s="4" t="s">
        <v>194</v>
      </c>
    </row>
    <row r="2253" spans="19:21" x14ac:dyDescent="0.25">
      <c r="S2253" s="6" t="s">
        <v>302</v>
      </c>
      <c r="T2253" s="6">
        <f t="shared" si="51"/>
        <v>2252</v>
      </c>
      <c r="U2253" s="4" t="s">
        <v>194</v>
      </c>
    </row>
    <row r="2254" spans="19:21" x14ac:dyDescent="0.25">
      <c r="S2254" s="6" t="s">
        <v>302</v>
      </c>
      <c r="T2254" s="6">
        <f t="shared" si="51"/>
        <v>2253</v>
      </c>
      <c r="U2254" s="4" t="s">
        <v>194</v>
      </c>
    </row>
    <row r="2255" spans="19:21" x14ac:dyDescent="0.25">
      <c r="S2255" s="6" t="s">
        <v>302</v>
      </c>
      <c r="T2255" s="6">
        <f t="shared" si="51"/>
        <v>2254</v>
      </c>
      <c r="U2255" s="4" t="s">
        <v>194</v>
      </c>
    </row>
    <row r="2256" spans="19:21" x14ac:dyDescent="0.25">
      <c r="S2256" s="6" t="s">
        <v>302</v>
      </c>
      <c r="T2256" s="6">
        <f t="shared" si="51"/>
        <v>2255</v>
      </c>
      <c r="U2256" s="4" t="s">
        <v>194</v>
      </c>
    </row>
    <row r="2257" spans="19:21" x14ac:dyDescent="0.25">
      <c r="S2257" s="6" t="s">
        <v>302</v>
      </c>
      <c r="T2257" s="6">
        <f t="shared" si="51"/>
        <v>2256</v>
      </c>
      <c r="U2257" s="4" t="s">
        <v>194</v>
      </c>
    </row>
    <row r="2258" spans="19:21" x14ac:dyDescent="0.25">
      <c r="S2258" s="6" t="s">
        <v>302</v>
      </c>
      <c r="T2258" s="6">
        <f t="shared" si="51"/>
        <v>2257</v>
      </c>
      <c r="U2258" s="4" t="s">
        <v>194</v>
      </c>
    </row>
    <row r="2259" spans="19:21" x14ac:dyDescent="0.25">
      <c r="S2259" s="6" t="s">
        <v>302</v>
      </c>
      <c r="T2259" s="6">
        <f t="shared" si="51"/>
        <v>2258</v>
      </c>
      <c r="U2259" s="4" t="s">
        <v>194</v>
      </c>
    </row>
    <row r="2260" spans="19:21" x14ac:dyDescent="0.25">
      <c r="S2260" s="6" t="s">
        <v>302</v>
      </c>
      <c r="T2260" s="6">
        <f t="shared" ref="T2260:T2323" si="52">T2259+1</f>
        <v>2259</v>
      </c>
      <c r="U2260" s="4" t="s">
        <v>194</v>
      </c>
    </row>
    <row r="2261" spans="19:21" x14ac:dyDescent="0.25">
      <c r="S2261" s="6" t="s">
        <v>302</v>
      </c>
      <c r="T2261" s="6">
        <f t="shared" si="52"/>
        <v>2260</v>
      </c>
      <c r="U2261" s="4" t="s">
        <v>194</v>
      </c>
    </row>
    <row r="2262" spans="19:21" x14ac:dyDescent="0.25">
      <c r="S2262" s="6" t="s">
        <v>302</v>
      </c>
      <c r="T2262" s="6">
        <f t="shared" si="52"/>
        <v>2261</v>
      </c>
      <c r="U2262" s="4" t="s">
        <v>194</v>
      </c>
    </row>
    <row r="2263" spans="19:21" x14ac:dyDescent="0.25">
      <c r="S2263" s="6" t="s">
        <v>302</v>
      </c>
      <c r="T2263" s="6">
        <f t="shared" si="52"/>
        <v>2262</v>
      </c>
      <c r="U2263" s="4" t="s">
        <v>194</v>
      </c>
    </row>
    <row r="2264" spans="19:21" x14ac:dyDescent="0.25">
      <c r="S2264" s="6" t="s">
        <v>302</v>
      </c>
      <c r="T2264" s="6">
        <f t="shared" si="52"/>
        <v>2263</v>
      </c>
      <c r="U2264" s="4" t="s">
        <v>194</v>
      </c>
    </row>
    <row r="2265" spans="19:21" x14ac:dyDescent="0.25">
      <c r="S2265" s="6" t="s">
        <v>302</v>
      </c>
      <c r="T2265" s="6">
        <f t="shared" si="52"/>
        <v>2264</v>
      </c>
      <c r="U2265" s="4" t="s">
        <v>194</v>
      </c>
    </row>
    <row r="2266" spans="19:21" x14ac:dyDescent="0.25">
      <c r="S2266" s="6" t="s">
        <v>302</v>
      </c>
      <c r="T2266" s="6">
        <f t="shared" si="52"/>
        <v>2265</v>
      </c>
      <c r="U2266" s="4" t="s">
        <v>194</v>
      </c>
    </row>
    <row r="2267" spans="19:21" x14ac:dyDescent="0.25">
      <c r="S2267" s="6" t="s">
        <v>302</v>
      </c>
      <c r="T2267" s="6">
        <f t="shared" si="52"/>
        <v>2266</v>
      </c>
      <c r="U2267" s="4" t="s">
        <v>194</v>
      </c>
    </row>
    <row r="2268" spans="19:21" x14ac:dyDescent="0.25">
      <c r="S2268" s="6" t="s">
        <v>302</v>
      </c>
      <c r="T2268" s="6">
        <f t="shared" si="52"/>
        <v>2267</v>
      </c>
      <c r="U2268" s="4" t="s">
        <v>194</v>
      </c>
    </row>
    <row r="2269" spans="19:21" x14ac:dyDescent="0.25">
      <c r="S2269" s="6" t="s">
        <v>302</v>
      </c>
      <c r="T2269" s="6">
        <f t="shared" si="52"/>
        <v>2268</v>
      </c>
      <c r="U2269" s="4" t="s">
        <v>194</v>
      </c>
    </row>
    <row r="2270" spans="19:21" x14ac:dyDescent="0.25">
      <c r="S2270" s="6" t="s">
        <v>302</v>
      </c>
      <c r="T2270" s="6">
        <f t="shared" si="52"/>
        <v>2269</v>
      </c>
      <c r="U2270" s="4" t="s">
        <v>194</v>
      </c>
    </row>
    <row r="2271" spans="19:21" x14ac:dyDescent="0.25">
      <c r="S2271" s="6" t="s">
        <v>302</v>
      </c>
      <c r="T2271" s="6">
        <f t="shared" si="52"/>
        <v>2270</v>
      </c>
      <c r="U2271" s="4" t="s">
        <v>194</v>
      </c>
    </row>
    <row r="2272" spans="19:21" x14ac:dyDescent="0.25">
      <c r="S2272" s="6" t="s">
        <v>302</v>
      </c>
      <c r="T2272" s="6">
        <f t="shared" si="52"/>
        <v>2271</v>
      </c>
      <c r="U2272" s="4" t="s">
        <v>194</v>
      </c>
    </row>
    <row r="2273" spans="19:21" x14ac:dyDescent="0.25">
      <c r="S2273" s="6" t="s">
        <v>302</v>
      </c>
      <c r="T2273" s="6">
        <f t="shared" si="52"/>
        <v>2272</v>
      </c>
      <c r="U2273" s="4" t="s">
        <v>194</v>
      </c>
    </row>
    <row r="2274" spans="19:21" x14ac:dyDescent="0.25">
      <c r="S2274" s="6" t="s">
        <v>302</v>
      </c>
      <c r="T2274" s="6">
        <f t="shared" si="52"/>
        <v>2273</v>
      </c>
      <c r="U2274" s="4" t="s">
        <v>194</v>
      </c>
    </row>
    <row r="2275" spans="19:21" x14ac:dyDescent="0.25">
      <c r="S2275" s="6" t="s">
        <v>302</v>
      </c>
      <c r="T2275" s="6">
        <f t="shared" si="52"/>
        <v>2274</v>
      </c>
      <c r="U2275" s="4" t="s">
        <v>194</v>
      </c>
    </row>
    <row r="2276" spans="19:21" x14ac:dyDescent="0.25">
      <c r="S2276" s="6" t="s">
        <v>302</v>
      </c>
      <c r="T2276" s="6">
        <f t="shared" si="52"/>
        <v>2275</v>
      </c>
      <c r="U2276" s="4" t="s">
        <v>194</v>
      </c>
    </row>
    <row r="2277" spans="19:21" x14ac:dyDescent="0.25">
      <c r="S2277" s="6" t="s">
        <v>302</v>
      </c>
      <c r="T2277" s="6">
        <f t="shared" si="52"/>
        <v>2276</v>
      </c>
      <c r="U2277" s="4" t="s">
        <v>194</v>
      </c>
    </row>
    <row r="2278" spans="19:21" x14ac:dyDescent="0.25">
      <c r="S2278" s="6" t="s">
        <v>302</v>
      </c>
      <c r="T2278" s="6">
        <f t="shared" si="52"/>
        <v>2277</v>
      </c>
      <c r="U2278" s="4" t="s">
        <v>194</v>
      </c>
    </row>
    <row r="2279" spans="19:21" x14ac:dyDescent="0.25">
      <c r="S2279" s="6" t="s">
        <v>302</v>
      </c>
      <c r="T2279" s="6">
        <f t="shared" si="52"/>
        <v>2278</v>
      </c>
      <c r="U2279" s="4" t="s">
        <v>194</v>
      </c>
    </row>
    <row r="2280" spans="19:21" x14ac:dyDescent="0.25">
      <c r="S2280" s="6" t="s">
        <v>302</v>
      </c>
      <c r="T2280" s="6">
        <f t="shared" si="52"/>
        <v>2279</v>
      </c>
      <c r="U2280" s="4" t="s">
        <v>194</v>
      </c>
    </row>
    <row r="2281" spans="19:21" x14ac:dyDescent="0.25">
      <c r="S2281" s="6" t="s">
        <v>302</v>
      </c>
      <c r="T2281" s="6">
        <f t="shared" si="52"/>
        <v>2280</v>
      </c>
      <c r="U2281" s="4" t="s">
        <v>194</v>
      </c>
    </row>
    <row r="2282" spans="19:21" x14ac:dyDescent="0.25">
      <c r="S2282" s="6" t="s">
        <v>302</v>
      </c>
      <c r="T2282" s="6">
        <f t="shared" si="52"/>
        <v>2281</v>
      </c>
      <c r="U2282" s="4" t="s">
        <v>194</v>
      </c>
    </row>
    <row r="2283" spans="19:21" x14ac:dyDescent="0.25">
      <c r="S2283" s="6" t="s">
        <v>302</v>
      </c>
      <c r="T2283" s="6">
        <f t="shared" si="52"/>
        <v>2282</v>
      </c>
      <c r="U2283" s="4" t="s">
        <v>194</v>
      </c>
    </row>
    <row r="2284" spans="19:21" x14ac:dyDescent="0.25">
      <c r="S2284" s="6" t="s">
        <v>302</v>
      </c>
      <c r="T2284" s="6">
        <f t="shared" si="52"/>
        <v>2283</v>
      </c>
      <c r="U2284" s="4" t="s">
        <v>194</v>
      </c>
    </row>
    <row r="2285" spans="19:21" x14ac:dyDescent="0.25">
      <c r="S2285" s="6" t="s">
        <v>302</v>
      </c>
      <c r="T2285" s="6">
        <f t="shared" si="52"/>
        <v>2284</v>
      </c>
      <c r="U2285" s="4" t="s">
        <v>194</v>
      </c>
    </row>
    <row r="2286" spans="19:21" x14ac:dyDescent="0.25">
      <c r="S2286" s="6" t="s">
        <v>302</v>
      </c>
      <c r="T2286" s="6">
        <f t="shared" si="52"/>
        <v>2285</v>
      </c>
      <c r="U2286" s="4" t="s">
        <v>194</v>
      </c>
    </row>
    <row r="2287" spans="19:21" x14ac:dyDescent="0.25">
      <c r="S2287" s="6" t="s">
        <v>302</v>
      </c>
      <c r="T2287" s="6">
        <f t="shared" si="52"/>
        <v>2286</v>
      </c>
      <c r="U2287" s="4" t="s">
        <v>194</v>
      </c>
    </row>
    <row r="2288" spans="19:21" x14ac:dyDescent="0.25">
      <c r="S2288" s="6" t="s">
        <v>302</v>
      </c>
      <c r="T2288" s="6">
        <f t="shared" si="52"/>
        <v>2287</v>
      </c>
      <c r="U2288" s="4" t="s">
        <v>194</v>
      </c>
    </row>
    <row r="2289" spans="19:21" x14ac:dyDescent="0.25">
      <c r="S2289" s="6" t="s">
        <v>302</v>
      </c>
      <c r="T2289" s="6">
        <f t="shared" si="52"/>
        <v>2288</v>
      </c>
      <c r="U2289" s="4" t="s">
        <v>194</v>
      </c>
    </row>
    <row r="2290" spans="19:21" x14ac:dyDescent="0.25">
      <c r="S2290" s="6" t="s">
        <v>302</v>
      </c>
      <c r="T2290" s="6">
        <f t="shared" si="52"/>
        <v>2289</v>
      </c>
      <c r="U2290" s="4" t="s">
        <v>194</v>
      </c>
    </row>
    <row r="2291" spans="19:21" x14ac:dyDescent="0.25">
      <c r="S2291" s="6" t="s">
        <v>302</v>
      </c>
      <c r="T2291" s="6">
        <f t="shared" si="52"/>
        <v>2290</v>
      </c>
      <c r="U2291" s="4" t="s">
        <v>194</v>
      </c>
    </row>
    <row r="2292" spans="19:21" x14ac:dyDescent="0.25">
      <c r="S2292" s="6" t="s">
        <v>302</v>
      </c>
      <c r="T2292" s="6">
        <f t="shared" si="52"/>
        <v>2291</v>
      </c>
      <c r="U2292" s="4" t="s">
        <v>194</v>
      </c>
    </row>
    <row r="2293" spans="19:21" x14ac:dyDescent="0.25">
      <c r="S2293" s="6" t="s">
        <v>302</v>
      </c>
      <c r="T2293" s="6">
        <f t="shared" si="52"/>
        <v>2292</v>
      </c>
      <c r="U2293" s="4" t="s">
        <v>194</v>
      </c>
    </row>
    <row r="2294" spans="19:21" x14ac:dyDescent="0.25">
      <c r="S2294" s="6" t="s">
        <v>302</v>
      </c>
      <c r="T2294" s="6">
        <f t="shared" si="52"/>
        <v>2293</v>
      </c>
      <c r="U2294" s="4" t="s">
        <v>194</v>
      </c>
    </row>
    <row r="2295" spans="19:21" x14ac:dyDescent="0.25">
      <c r="S2295" s="6" t="s">
        <v>302</v>
      </c>
      <c r="T2295" s="6">
        <f t="shared" si="52"/>
        <v>2294</v>
      </c>
      <c r="U2295" s="4" t="s">
        <v>194</v>
      </c>
    </row>
    <row r="2296" spans="19:21" x14ac:dyDescent="0.25">
      <c r="S2296" s="6" t="s">
        <v>302</v>
      </c>
      <c r="T2296" s="6">
        <f t="shared" si="52"/>
        <v>2295</v>
      </c>
      <c r="U2296" s="4" t="s">
        <v>194</v>
      </c>
    </row>
    <row r="2297" spans="19:21" x14ac:dyDescent="0.25">
      <c r="S2297" s="6" t="s">
        <v>302</v>
      </c>
      <c r="T2297" s="6">
        <f t="shared" si="52"/>
        <v>2296</v>
      </c>
      <c r="U2297" s="4" t="s">
        <v>194</v>
      </c>
    </row>
    <row r="2298" spans="19:21" x14ac:dyDescent="0.25">
      <c r="S2298" s="6" t="s">
        <v>302</v>
      </c>
      <c r="T2298" s="6">
        <f t="shared" si="52"/>
        <v>2297</v>
      </c>
      <c r="U2298" s="4" t="s">
        <v>194</v>
      </c>
    </row>
    <row r="2299" spans="19:21" x14ac:dyDescent="0.25">
      <c r="S2299" s="6" t="s">
        <v>302</v>
      </c>
      <c r="T2299" s="6">
        <f t="shared" si="52"/>
        <v>2298</v>
      </c>
      <c r="U2299" s="4" t="s">
        <v>194</v>
      </c>
    </row>
    <row r="2300" spans="19:21" x14ac:dyDescent="0.25">
      <c r="S2300" s="6" t="s">
        <v>302</v>
      </c>
      <c r="T2300" s="6">
        <f t="shared" si="52"/>
        <v>2299</v>
      </c>
      <c r="U2300" s="4" t="s">
        <v>194</v>
      </c>
    </row>
    <row r="2301" spans="19:21" x14ac:dyDescent="0.25">
      <c r="S2301" s="6" t="s">
        <v>302</v>
      </c>
      <c r="T2301" s="6">
        <f t="shared" si="52"/>
        <v>2300</v>
      </c>
      <c r="U2301" s="4" t="s">
        <v>194</v>
      </c>
    </row>
    <row r="2302" spans="19:21" x14ac:dyDescent="0.25">
      <c r="S2302" s="6" t="s">
        <v>302</v>
      </c>
      <c r="T2302" s="6">
        <f t="shared" si="52"/>
        <v>2301</v>
      </c>
      <c r="U2302" s="4" t="s">
        <v>194</v>
      </c>
    </row>
    <row r="2303" spans="19:21" x14ac:dyDescent="0.25">
      <c r="S2303" s="6" t="s">
        <v>302</v>
      </c>
      <c r="T2303" s="6">
        <f t="shared" si="52"/>
        <v>2302</v>
      </c>
      <c r="U2303" s="4" t="s">
        <v>194</v>
      </c>
    </row>
    <row r="2304" spans="19:21" x14ac:dyDescent="0.25">
      <c r="S2304" s="6" t="s">
        <v>302</v>
      </c>
      <c r="T2304" s="6">
        <f t="shared" si="52"/>
        <v>2303</v>
      </c>
      <c r="U2304" s="4" t="s">
        <v>194</v>
      </c>
    </row>
    <row r="2305" spans="19:21" x14ac:dyDescent="0.25">
      <c r="S2305" s="6" t="s">
        <v>302</v>
      </c>
      <c r="T2305" s="6">
        <f t="shared" si="52"/>
        <v>2304</v>
      </c>
      <c r="U2305" s="4" t="s">
        <v>194</v>
      </c>
    </row>
    <row r="2306" spans="19:21" x14ac:dyDescent="0.25">
      <c r="S2306" s="6" t="s">
        <v>302</v>
      </c>
      <c r="T2306" s="6">
        <f t="shared" si="52"/>
        <v>2305</v>
      </c>
      <c r="U2306" s="4" t="s">
        <v>194</v>
      </c>
    </row>
    <row r="2307" spans="19:21" x14ac:dyDescent="0.25">
      <c r="S2307" s="6" t="s">
        <v>302</v>
      </c>
      <c r="T2307" s="6">
        <f t="shared" si="52"/>
        <v>2306</v>
      </c>
      <c r="U2307" s="4" t="s">
        <v>194</v>
      </c>
    </row>
    <row r="2308" spans="19:21" x14ac:dyDescent="0.25">
      <c r="S2308" s="6" t="s">
        <v>302</v>
      </c>
      <c r="T2308" s="6">
        <f t="shared" si="52"/>
        <v>2307</v>
      </c>
      <c r="U2308" s="4" t="s">
        <v>194</v>
      </c>
    </row>
    <row r="2309" spans="19:21" x14ac:dyDescent="0.25">
      <c r="S2309" s="6" t="s">
        <v>302</v>
      </c>
      <c r="T2309" s="6">
        <f t="shared" si="52"/>
        <v>2308</v>
      </c>
      <c r="U2309" s="4" t="s">
        <v>194</v>
      </c>
    </row>
    <row r="2310" spans="19:21" x14ac:dyDescent="0.25">
      <c r="S2310" s="6" t="s">
        <v>302</v>
      </c>
      <c r="T2310" s="6">
        <f t="shared" si="52"/>
        <v>2309</v>
      </c>
      <c r="U2310" s="4" t="s">
        <v>194</v>
      </c>
    </row>
    <row r="2311" spans="19:21" x14ac:dyDescent="0.25">
      <c r="S2311" s="6" t="s">
        <v>302</v>
      </c>
      <c r="T2311" s="6">
        <f t="shared" si="52"/>
        <v>2310</v>
      </c>
      <c r="U2311" s="4" t="s">
        <v>194</v>
      </c>
    </row>
    <row r="2312" spans="19:21" x14ac:dyDescent="0.25">
      <c r="S2312" s="6" t="s">
        <v>302</v>
      </c>
      <c r="T2312" s="6">
        <f t="shared" si="52"/>
        <v>2311</v>
      </c>
      <c r="U2312" s="4" t="s">
        <v>194</v>
      </c>
    </row>
    <row r="2313" spans="19:21" x14ac:dyDescent="0.25">
      <c r="S2313" s="6" t="s">
        <v>302</v>
      </c>
      <c r="T2313" s="6">
        <f t="shared" si="52"/>
        <v>2312</v>
      </c>
      <c r="U2313" s="4" t="s">
        <v>194</v>
      </c>
    </row>
    <row r="2314" spans="19:21" x14ac:dyDescent="0.25">
      <c r="S2314" s="6" t="s">
        <v>302</v>
      </c>
      <c r="T2314" s="6">
        <f t="shared" si="52"/>
        <v>2313</v>
      </c>
      <c r="U2314" s="4" t="s">
        <v>194</v>
      </c>
    </row>
    <row r="2315" spans="19:21" x14ac:dyDescent="0.25">
      <c r="S2315" s="6" t="s">
        <v>302</v>
      </c>
      <c r="T2315" s="6">
        <f t="shared" si="52"/>
        <v>2314</v>
      </c>
      <c r="U2315" s="4" t="s">
        <v>194</v>
      </c>
    </row>
    <row r="2316" spans="19:21" x14ac:dyDescent="0.25">
      <c r="S2316" s="6" t="s">
        <v>302</v>
      </c>
      <c r="T2316" s="6">
        <f t="shared" si="52"/>
        <v>2315</v>
      </c>
      <c r="U2316" s="4" t="s">
        <v>194</v>
      </c>
    </row>
    <row r="2317" spans="19:21" x14ac:dyDescent="0.25">
      <c r="S2317" s="6" t="s">
        <v>302</v>
      </c>
      <c r="T2317" s="6">
        <f t="shared" si="52"/>
        <v>2316</v>
      </c>
      <c r="U2317" s="4" t="s">
        <v>194</v>
      </c>
    </row>
    <row r="2318" spans="19:21" x14ac:dyDescent="0.25">
      <c r="S2318" s="6" t="s">
        <v>302</v>
      </c>
      <c r="T2318" s="6">
        <f t="shared" si="52"/>
        <v>2317</v>
      </c>
      <c r="U2318" s="4" t="s">
        <v>194</v>
      </c>
    </row>
    <row r="2319" spans="19:21" x14ac:dyDescent="0.25">
      <c r="S2319" s="6" t="s">
        <v>302</v>
      </c>
      <c r="T2319" s="6">
        <f t="shared" si="52"/>
        <v>2318</v>
      </c>
      <c r="U2319" s="4" t="s">
        <v>194</v>
      </c>
    </row>
    <row r="2320" spans="19:21" x14ac:dyDescent="0.25">
      <c r="S2320" s="6" t="s">
        <v>302</v>
      </c>
      <c r="T2320" s="6">
        <f t="shared" si="52"/>
        <v>2319</v>
      </c>
      <c r="U2320" s="4" t="s">
        <v>194</v>
      </c>
    </row>
    <row r="2321" spans="19:21" x14ac:dyDescent="0.25">
      <c r="S2321" s="6" t="s">
        <v>302</v>
      </c>
      <c r="T2321" s="6">
        <f t="shared" si="52"/>
        <v>2320</v>
      </c>
      <c r="U2321" s="4" t="s">
        <v>194</v>
      </c>
    </row>
    <row r="2322" spans="19:21" x14ac:dyDescent="0.25">
      <c r="S2322" s="6" t="s">
        <v>302</v>
      </c>
      <c r="T2322" s="6">
        <f t="shared" si="52"/>
        <v>2321</v>
      </c>
      <c r="U2322" s="4" t="s">
        <v>194</v>
      </c>
    </row>
    <row r="2323" spans="19:21" x14ac:dyDescent="0.25">
      <c r="S2323" s="6" t="s">
        <v>302</v>
      </c>
      <c r="T2323" s="6">
        <f t="shared" si="52"/>
        <v>2322</v>
      </c>
      <c r="U2323" s="4" t="s">
        <v>194</v>
      </c>
    </row>
    <row r="2324" spans="19:21" x14ac:dyDescent="0.25">
      <c r="S2324" s="6" t="s">
        <v>302</v>
      </c>
      <c r="T2324" s="6">
        <f t="shared" ref="T2324:T2387" si="53">T2323+1</f>
        <v>2323</v>
      </c>
      <c r="U2324" s="4" t="s">
        <v>194</v>
      </c>
    </row>
    <row r="2325" spans="19:21" x14ac:dyDescent="0.25">
      <c r="S2325" s="6" t="s">
        <v>302</v>
      </c>
      <c r="T2325" s="6">
        <f t="shared" si="53"/>
        <v>2324</v>
      </c>
      <c r="U2325" s="4" t="s">
        <v>194</v>
      </c>
    </row>
    <row r="2326" spans="19:21" x14ac:dyDescent="0.25">
      <c r="S2326" s="6" t="s">
        <v>302</v>
      </c>
      <c r="T2326" s="6">
        <f t="shared" si="53"/>
        <v>2325</v>
      </c>
      <c r="U2326" s="4" t="s">
        <v>194</v>
      </c>
    </row>
    <row r="2327" spans="19:21" x14ac:dyDescent="0.25">
      <c r="S2327" s="6" t="s">
        <v>302</v>
      </c>
      <c r="T2327" s="6">
        <f t="shared" si="53"/>
        <v>2326</v>
      </c>
      <c r="U2327" s="4" t="s">
        <v>194</v>
      </c>
    </row>
    <row r="2328" spans="19:21" x14ac:dyDescent="0.25">
      <c r="S2328" s="6" t="s">
        <v>302</v>
      </c>
      <c r="T2328" s="6">
        <f t="shared" si="53"/>
        <v>2327</v>
      </c>
      <c r="U2328" s="4" t="s">
        <v>194</v>
      </c>
    </row>
    <row r="2329" spans="19:21" x14ac:dyDescent="0.25">
      <c r="S2329" s="6" t="s">
        <v>302</v>
      </c>
      <c r="T2329" s="6">
        <f t="shared" si="53"/>
        <v>2328</v>
      </c>
      <c r="U2329" s="4" t="s">
        <v>194</v>
      </c>
    </row>
    <row r="2330" spans="19:21" x14ac:dyDescent="0.25">
      <c r="S2330" s="6" t="s">
        <v>302</v>
      </c>
      <c r="T2330" s="6">
        <f t="shared" si="53"/>
        <v>2329</v>
      </c>
      <c r="U2330" s="4" t="s">
        <v>194</v>
      </c>
    </row>
    <row r="2331" spans="19:21" x14ac:dyDescent="0.25">
      <c r="S2331" s="6" t="s">
        <v>302</v>
      </c>
      <c r="T2331" s="6">
        <f t="shared" si="53"/>
        <v>2330</v>
      </c>
      <c r="U2331" s="4" t="s">
        <v>194</v>
      </c>
    </row>
    <row r="2332" spans="19:21" x14ac:dyDescent="0.25">
      <c r="S2332" s="6" t="s">
        <v>302</v>
      </c>
      <c r="T2332" s="6">
        <f t="shared" si="53"/>
        <v>2331</v>
      </c>
      <c r="U2332" s="4" t="s">
        <v>194</v>
      </c>
    </row>
    <row r="2333" spans="19:21" x14ac:dyDescent="0.25">
      <c r="S2333" s="6" t="s">
        <v>302</v>
      </c>
      <c r="T2333" s="6">
        <f t="shared" si="53"/>
        <v>2332</v>
      </c>
      <c r="U2333" s="4" t="s">
        <v>194</v>
      </c>
    </row>
    <row r="2334" spans="19:21" x14ac:dyDescent="0.25">
      <c r="S2334" s="6" t="s">
        <v>302</v>
      </c>
      <c r="T2334" s="6">
        <f t="shared" si="53"/>
        <v>2333</v>
      </c>
      <c r="U2334" s="4" t="s">
        <v>194</v>
      </c>
    </row>
    <row r="2335" spans="19:21" x14ac:dyDescent="0.25">
      <c r="S2335" s="6" t="s">
        <v>302</v>
      </c>
      <c r="T2335" s="6">
        <f t="shared" si="53"/>
        <v>2334</v>
      </c>
      <c r="U2335" s="4" t="s">
        <v>194</v>
      </c>
    </row>
    <row r="2336" spans="19:21" x14ac:dyDescent="0.25">
      <c r="S2336" s="6" t="s">
        <v>302</v>
      </c>
      <c r="T2336" s="6">
        <f t="shared" si="53"/>
        <v>2335</v>
      </c>
      <c r="U2336" s="4" t="s">
        <v>194</v>
      </c>
    </row>
    <row r="2337" spans="19:21" x14ac:dyDescent="0.25">
      <c r="S2337" s="6" t="s">
        <v>302</v>
      </c>
      <c r="T2337" s="6">
        <f t="shared" si="53"/>
        <v>2336</v>
      </c>
      <c r="U2337" s="4" t="s">
        <v>194</v>
      </c>
    </row>
    <row r="2338" spans="19:21" x14ac:dyDescent="0.25">
      <c r="S2338" s="6" t="s">
        <v>302</v>
      </c>
      <c r="T2338" s="6">
        <f t="shared" si="53"/>
        <v>2337</v>
      </c>
      <c r="U2338" s="4" t="s">
        <v>194</v>
      </c>
    </row>
    <row r="2339" spans="19:21" x14ac:dyDescent="0.25">
      <c r="S2339" s="6" t="s">
        <v>302</v>
      </c>
      <c r="T2339" s="6">
        <f t="shared" si="53"/>
        <v>2338</v>
      </c>
      <c r="U2339" s="4" t="s">
        <v>194</v>
      </c>
    </row>
    <row r="2340" spans="19:21" x14ac:dyDescent="0.25">
      <c r="S2340" s="6" t="s">
        <v>302</v>
      </c>
      <c r="T2340" s="6">
        <f t="shared" si="53"/>
        <v>2339</v>
      </c>
      <c r="U2340" s="4" t="s">
        <v>194</v>
      </c>
    </row>
    <row r="2341" spans="19:21" x14ac:dyDescent="0.25">
      <c r="S2341" s="6" t="s">
        <v>302</v>
      </c>
      <c r="T2341" s="6">
        <f t="shared" si="53"/>
        <v>2340</v>
      </c>
      <c r="U2341" s="4" t="s">
        <v>194</v>
      </c>
    </row>
    <row r="2342" spans="19:21" x14ac:dyDescent="0.25">
      <c r="S2342" s="6" t="s">
        <v>302</v>
      </c>
      <c r="T2342" s="6">
        <f t="shared" si="53"/>
        <v>2341</v>
      </c>
      <c r="U2342" s="4" t="s">
        <v>194</v>
      </c>
    </row>
    <row r="2343" spans="19:21" x14ac:dyDescent="0.25">
      <c r="S2343" s="6" t="s">
        <v>302</v>
      </c>
      <c r="T2343" s="6">
        <f t="shared" si="53"/>
        <v>2342</v>
      </c>
      <c r="U2343" s="4" t="s">
        <v>194</v>
      </c>
    </row>
    <row r="2344" spans="19:21" x14ac:dyDescent="0.25">
      <c r="S2344" s="6" t="s">
        <v>302</v>
      </c>
      <c r="T2344" s="6">
        <f t="shared" si="53"/>
        <v>2343</v>
      </c>
      <c r="U2344" s="4" t="s">
        <v>194</v>
      </c>
    </row>
    <row r="2345" spans="19:21" x14ac:dyDescent="0.25">
      <c r="S2345" s="6" t="s">
        <v>302</v>
      </c>
      <c r="T2345" s="6">
        <f t="shared" si="53"/>
        <v>2344</v>
      </c>
      <c r="U2345" s="4" t="s">
        <v>194</v>
      </c>
    </row>
    <row r="2346" spans="19:21" x14ac:dyDescent="0.25">
      <c r="S2346" s="6" t="s">
        <v>302</v>
      </c>
      <c r="T2346" s="6">
        <f t="shared" si="53"/>
        <v>2345</v>
      </c>
      <c r="U2346" s="4" t="s">
        <v>194</v>
      </c>
    </row>
    <row r="2347" spans="19:21" x14ac:dyDescent="0.25">
      <c r="S2347" s="6" t="s">
        <v>302</v>
      </c>
      <c r="T2347" s="6">
        <f t="shared" si="53"/>
        <v>2346</v>
      </c>
      <c r="U2347" s="4" t="s">
        <v>194</v>
      </c>
    </row>
    <row r="2348" spans="19:21" x14ac:dyDescent="0.25">
      <c r="S2348" s="6" t="s">
        <v>302</v>
      </c>
      <c r="T2348" s="6">
        <f t="shared" si="53"/>
        <v>2347</v>
      </c>
      <c r="U2348" s="4" t="s">
        <v>194</v>
      </c>
    </row>
    <row r="2349" spans="19:21" x14ac:dyDescent="0.25">
      <c r="S2349" s="6" t="s">
        <v>302</v>
      </c>
      <c r="T2349" s="6">
        <f t="shared" si="53"/>
        <v>2348</v>
      </c>
      <c r="U2349" s="4" t="s">
        <v>194</v>
      </c>
    </row>
    <row r="2350" spans="19:21" x14ac:dyDescent="0.25">
      <c r="S2350" s="6" t="s">
        <v>302</v>
      </c>
      <c r="T2350" s="6">
        <f t="shared" si="53"/>
        <v>2349</v>
      </c>
      <c r="U2350" s="4" t="s">
        <v>194</v>
      </c>
    </row>
    <row r="2351" spans="19:21" x14ac:dyDescent="0.25">
      <c r="S2351" s="6" t="s">
        <v>302</v>
      </c>
      <c r="T2351" s="6">
        <f t="shared" si="53"/>
        <v>2350</v>
      </c>
      <c r="U2351" s="4" t="s">
        <v>194</v>
      </c>
    </row>
    <row r="2352" spans="19:21" x14ac:dyDescent="0.25">
      <c r="S2352" s="6" t="s">
        <v>302</v>
      </c>
      <c r="T2352" s="6">
        <f t="shared" si="53"/>
        <v>2351</v>
      </c>
      <c r="U2352" s="4" t="s">
        <v>194</v>
      </c>
    </row>
    <row r="2353" spans="19:21" x14ac:dyDescent="0.25">
      <c r="S2353" s="6" t="s">
        <v>302</v>
      </c>
      <c r="T2353" s="6">
        <f t="shared" si="53"/>
        <v>2352</v>
      </c>
      <c r="U2353" s="4" t="s">
        <v>194</v>
      </c>
    </row>
    <row r="2354" spans="19:21" x14ac:dyDescent="0.25">
      <c r="S2354" s="6" t="s">
        <v>302</v>
      </c>
      <c r="T2354" s="6">
        <f t="shared" si="53"/>
        <v>2353</v>
      </c>
      <c r="U2354" s="4" t="s">
        <v>194</v>
      </c>
    </row>
    <row r="2355" spans="19:21" x14ac:dyDescent="0.25">
      <c r="S2355" s="6" t="s">
        <v>302</v>
      </c>
      <c r="T2355" s="6">
        <f t="shared" si="53"/>
        <v>2354</v>
      </c>
      <c r="U2355" s="4" t="s">
        <v>194</v>
      </c>
    </row>
    <row r="2356" spans="19:21" x14ac:dyDescent="0.25">
      <c r="S2356" s="6" t="s">
        <v>302</v>
      </c>
      <c r="T2356" s="6">
        <f t="shared" si="53"/>
        <v>2355</v>
      </c>
      <c r="U2356" s="4" t="s">
        <v>194</v>
      </c>
    </row>
    <row r="2357" spans="19:21" x14ac:dyDescent="0.25">
      <c r="S2357" s="6" t="s">
        <v>302</v>
      </c>
      <c r="T2357" s="6">
        <f t="shared" si="53"/>
        <v>2356</v>
      </c>
      <c r="U2357" s="4" t="s">
        <v>194</v>
      </c>
    </row>
    <row r="2358" spans="19:21" x14ac:dyDescent="0.25">
      <c r="S2358" s="6" t="s">
        <v>302</v>
      </c>
      <c r="T2358" s="6">
        <f t="shared" si="53"/>
        <v>2357</v>
      </c>
      <c r="U2358" s="4" t="s">
        <v>194</v>
      </c>
    </row>
    <row r="2359" spans="19:21" x14ac:dyDescent="0.25">
      <c r="S2359" s="6" t="s">
        <v>302</v>
      </c>
      <c r="T2359" s="6">
        <f t="shared" si="53"/>
        <v>2358</v>
      </c>
      <c r="U2359" s="4" t="s">
        <v>194</v>
      </c>
    </row>
    <row r="2360" spans="19:21" x14ac:dyDescent="0.25">
      <c r="S2360" s="6" t="s">
        <v>302</v>
      </c>
      <c r="T2360" s="6">
        <f t="shared" si="53"/>
        <v>2359</v>
      </c>
      <c r="U2360" s="4" t="s">
        <v>194</v>
      </c>
    </row>
    <row r="2361" spans="19:21" x14ac:dyDescent="0.25">
      <c r="S2361" s="6" t="s">
        <v>302</v>
      </c>
      <c r="T2361" s="6">
        <f t="shared" si="53"/>
        <v>2360</v>
      </c>
      <c r="U2361" s="4" t="s">
        <v>194</v>
      </c>
    </row>
    <row r="2362" spans="19:21" x14ac:dyDescent="0.25">
      <c r="S2362" s="6" t="s">
        <v>302</v>
      </c>
      <c r="T2362" s="6">
        <f t="shared" si="53"/>
        <v>2361</v>
      </c>
      <c r="U2362" s="4" t="s">
        <v>194</v>
      </c>
    </row>
    <row r="2363" spans="19:21" x14ac:dyDescent="0.25">
      <c r="S2363" s="6" t="s">
        <v>302</v>
      </c>
      <c r="T2363" s="6">
        <f t="shared" si="53"/>
        <v>2362</v>
      </c>
      <c r="U2363" s="4" t="s">
        <v>194</v>
      </c>
    </row>
    <row r="2364" spans="19:21" x14ac:dyDescent="0.25">
      <c r="S2364" s="6" t="s">
        <v>302</v>
      </c>
      <c r="T2364" s="6">
        <f t="shared" si="53"/>
        <v>2363</v>
      </c>
      <c r="U2364" s="4" t="s">
        <v>194</v>
      </c>
    </row>
    <row r="2365" spans="19:21" x14ac:dyDescent="0.25">
      <c r="S2365" s="6" t="s">
        <v>302</v>
      </c>
      <c r="T2365" s="6">
        <f t="shared" si="53"/>
        <v>2364</v>
      </c>
      <c r="U2365" s="4" t="s">
        <v>194</v>
      </c>
    </row>
    <row r="2366" spans="19:21" x14ac:dyDescent="0.25">
      <c r="S2366" s="6" t="s">
        <v>302</v>
      </c>
      <c r="T2366" s="6">
        <f t="shared" si="53"/>
        <v>2365</v>
      </c>
      <c r="U2366" s="4" t="s">
        <v>194</v>
      </c>
    </row>
    <row r="2367" spans="19:21" x14ac:dyDescent="0.25">
      <c r="S2367" s="6" t="s">
        <v>302</v>
      </c>
      <c r="T2367" s="6">
        <f t="shared" si="53"/>
        <v>2366</v>
      </c>
      <c r="U2367" s="4" t="s">
        <v>194</v>
      </c>
    </row>
    <row r="2368" spans="19:21" x14ac:dyDescent="0.25">
      <c r="S2368" s="6" t="s">
        <v>302</v>
      </c>
      <c r="T2368" s="6">
        <f t="shared" si="53"/>
        <v>2367</v>
      </c>
      <c r="U2368" s="4" t="s">
        <v>194</v>
      </c>
    </row>
    <row r="2369" spans="19:21" x14ac:dyDescent="0.25">
      <c r="S2369" s="6" t="s">
        <v>302</v>
      </c>
      <c r="T2369" s="6">
        <f t="shared" si="53"/>
        <v>2368</v>
      </c>
      <c r="U2369" s="4" t="s">
        <v>194</v>
      </c>
    </row>
    <row r="2370" spans="19:21" x14ac:dyDescent="0.25">
      <c r="S2370" s="6" t="s">
        <v>302</v>
      </c>
      <c r="T2370" s="6">
        <f t="shared" si="53"/>
        <v>2369</v>
      </c>
      <c r="U2370" s="4" t="s">
        <v>194</v>
      </c>
    </row>
    <row r="2371" spans="19:21" x14ac:dyDescent="0.25">
      <c r="S2371" s="6" t="s">
        <v>302</v>
      </c>
      <c r="T2371" s="6">
        <f t="shared" si="53"/>
        <v>2370</v>
      </c>
      <c r="U2371" s="4" t="s">
        <v>194</v>
      </c>
    </row>
    <row r="2372" spans="19:21" x14ac:dyDescent="0.25">
      <c r="S2372" s="6" t="s">
        <v>302</v>
      </c>
      <c r="T2372" s="6">
        <f t="shared" si="53"/>
        <v>2371</v>
      </c>
      <c r="U2372" s="4" t="s">
        <v>194</v>
      </c>
    </row>
    <row r="2373" spans="19:21" x14ac:dyDescent="0.25">
      <c r="S2373" s="6" t="s">
        <v>302</v>
      </c>
      <c r="T2373" s="6">
        <f t="shared" si="53"/>
        <v>2372</v>
      </c>
      <c r="U2373" s="4" t="s">
        <v>194</v>
      </c>
    </row>
    <row r="2374" spans="19:21" x14ac:dyDescent="0.25">
      <c r="S2374" s="6" t="s">
        <v>302</v>
      </c>
      <c r="T2374" s="6">
        <f t="shared" si="53"/>
        <v>2373</v>
      </c>
      <c r="U2374" s="4" t="s">
        <v>194</v>
      </c>
    </row>
    <row r="2375" spans="19:21" x14ac:dyDescent="0.25">
      <c r="S2375" s="6" t="s">
        <v>302</v>
      </c>
      <c r="T2375" s="6">
        <f t="shared" si="53"/>
        <v>2374</v>
      </c>
      <c r="U2375" s="4" t="s">
        <v>194</v>
      </c>
    </row>
    <row r="2376" spans="19:21" x14ac:dyDescent="0.25">
      <c r="S2376" s="6" t="s">
        <v>302</v>
      </c>
      <c r="T2376" s="6">
        <f t="shared" si="53"/>
        <v>2375</v>
      </c>
      <c r="U2376" s="4" t="s">
        <v>194</v>
      </c>
    </row>
    <row r="2377" spans="19:21" x14ac:dyDescent="0.25">
      <c r="S2377" s="6" t="s">
        <v>302</v>
      </c>
      <c r="T2377" s="6">
        <f t="shared" si="53"/>
        <v>2376</v>
      </c>
      <c r="U2377" s="4" t="s">
        <v>194</v>
      </c>
    </row>
    <row r="2378" spans="19:21" x14ac:dyDescent="0.25">
      <c r="S2378" s="6" t="s">
        <v>302</v>
      </c>
      <c r="T2378" s="6">
        <f t="shared" si="53"/>
        <v>2377</v>
      </c>
      <c r="U2378" s="4" t="s">
        <v>194</v>
      </c>
    </row>
    <row r="2379" spans="19:21" x14ac:dyDescent="0.25">
      <c r="S2379" s="6" t="s">
        <v>302</v>
      </c>
      <c r="T2379" s="6">
        <f t="shared" si="53"/>
        <v>2378</v>
      </c>
      <c r="U2379" s="4" t="s">
        <v>194</v>
      </c>
    </row>
    <row r="2380" spans="19:21" x14ac:dyDescent="0.25">
      <c r="S2380" s="6" t="s">
        <v>302</v>
      </c>
      <c r="T2380" s="6">
        <f t="shared" si="53"/>
        <v>2379</v>
      </c>
      <c r="U2380" s="4" t="s">
        <v>194</v>
      </c>
    </row>
    <row r="2381" spans="19:21" x14ac:dyDescent="0.25">
      <c r="S2381" s="6" t="s">
        <v>302</v>
      </c>
      <c r="T2381" s="6">
        <f t="shared" si="53"/>
        <v>2380</v>
      </c>
      <c r="U2381" s="4" t="s">
        <v>194</v>
      </c>
    </row>
    <row r="2382" spans="19:21" x14ac:dyDescent="0.25">
      <c r="S2382" s="6" t="s">
        <v>302</v>
      </c>
      <c r="T2382" s="6">
        <f t="shared" si="53"/>
        <v>2381</v>
      </c>
      <c r="U2382" s="4" t="s">
        <v>194</v>
      </c>
    </row>
    <row r="2383" spans="19:21" x14ac:dyDescent="0.25">
      <c r="S2383" s="6" t="s">
        <v>302</v>
      </c>
      <c r="T2383" s="6">
        <f t="shared" si="53"/>
        <v>2382</v>
      </c>
      <c r="U2383" s="4" t="s">
        <v>194</v>
      </c>
    </row>
    <row r="2384" spans="19:21" x14ac:dyDescent="0.25">
      <c r="S2384" s="6" t="s">
        <v>302</v>
      </c>
      <c r="T2384" s="6">
        <f t="shared" si="53"/>
        <v>2383</v>
      </c>
      <c r="U2384" s="4" t="s">
        <v>194</v>
      </c>
    </row>
    <row r="2385" spans="19:21" x14ac:dyDescent="0.25">
      <c r="S2385" s="6" t="s">
        <v>302</v>
      </c>
      <c r="T2385" s="6">
        <f t="shared" si="53"/>
        <v>2384</v>
      </c>
      <c r="U2385" s="4" t="s">
        <v>194</v>
      </c>
    </row>
    <row r="2386" spans="19:21" x14ac:dyDescent="0.25">
      <c r="S2386" s="6" t="s">
        <v>302</v>
      </c>
      <c r="T2386" s="6">
        <f t="shared" si="53"/>
        <v>2385</v>
      </c>
      <c r="U2386" s="4" t="s">
        <v>194</v>
      </c>
    </row>
    <row r="2387" spans="19:21" x14ac:dyDescent="0.25">
      <c r="S2387" s="6" t="s">
        <v>302</v>
      </c>
      <c r="T2387" s="6">
        <f t="shared" si="53"/>
        <v>2386</v>
      </c>
      <c r="U2387" s="4" t="s">
        <v>194</v>
      </c>
    </row>
    <row r="2388" spans="19:21" x14ac:dyDescent="0.25">
      <c r="S2388" s="6" t="s">
        <v>302</v>
      </c>
      <c r="T2388" s="6">
        <f t="shared" ref="T2388:T2451" si="54">T2387+1</f>
        <v>2387</v>
      </c>
      <c r="U2388" s="4" t="s">
        <v>194</v>
      </c>
    </row>
    <row r="2389" spans="19:21" x14ac:dyDescent="0.25">
      <c r="S2389" s="6" t="s">
        <v>302</v>
      </c>
      <c r="T2389" s="6">
        <f t="shared" si="54"/>
        <v>2388</v>
      </c>
      <c r="U2389" s="4" t="s">
        <v>194</v>
      </c>
    </row>
    <row r="2390" spans="19:21" x14ac:dyDescent="0.25">
      <c r="S2390" s="6" t="s">
        <v>302</v>
      </c>
      <c r="T2390" s="6">
        <f t="shared" si="54"/>
        <v>2389</v>
      </c>
      <c r="U2390" s="4" t="s">
        <v>194</v>
      </c>
    </row>
    <row r="2391" spans="19:21" x14ac:dyDescent="0.25">
      <c r="S2391" s="6" t="s">
        <v>302</v>
      </c>
      <c r="T2391" s="6">
        <f t="shared" si="54"/>
        <v>2390</v>
      </c>
      <c r="U2391" s="4" t="s">
        <v>194</v>
      </c>
    </row>
    <row r="2392" spans="19:21" x14ac:dyDescent="0.25">
      <c r="S2392" s="6" t="s">
        <v>302</v>
      </c>
      <c r="T2392" s="6">
        <f t="shared" si="54"/>
        <v>2391</v>
      </c>
      <c r="U2392" s="4" t="s">
        <v>194</v>
      </c>
    </row>
    <row r="2393" spans="19:21" x14ac:dyDescent="0.25">
      <c r="S2393" s="6" t="s">
        <v>302</v>
      </c>
      <c r="T2393" s="6">
        <f t="shared" si="54"/>
        <v>2392</v>
      </c>
      <c r="U2393" s="4" t="s">
        <v>194</v>
      </c>
    </row>
    <row r="2394" spans="19:21" x14ac:dyDescent="0.25">
      <c r="S2394" s="6" t="s">
        <v>302</v>
      </c>
      <c r="T2394" s="6">
        <f t="shared" si="54"/>
        <v>2393</v>
      </c>
      <c r="U2394" s="4" t="s">
        <v>194</v>
      </c>
    </row>
    <row r="2395" spans="19:21" x14ac:dyDescent="0.25">
      <c r="S2395" s="6" t="s">
        <v>302</v>
      </c>
      <c r="T2395" s="6">
        <f t="shared" si="54"/>
        <v>2394</v>
      </c>
      <c r="U2395" s="4" t="s">
        <v>194</v>
      </c>
    </row>
    <row r="2396" spans="19:21" x14ac:dyDescent="0.25">
      <c r="S2396" s="6" t="s">
        <v>302</v>
      </c>
      <c r="T2396" s="6">
        <f t="shared" si="54"/>
        <v>2395</v>
      </c>
      <c r="U2396" s="4" t="s">
        <v>194</v>
      </c>
    </row>
    <row r="2397" spans="19:21" x14ac:dyDescent="0.25">
      <c r="S2397" s="6" t="s">
        <v>302</v>
      </c>
      <c r="T2397" s="6">
        <f t="shared" si="54"/>
        <v>2396</v>
      </c>
      <c r="U2397" s="4" t="s">
        <v>194</v>
      </c>
    </row>
    <row r="2398" spans="19:21" x14ac:dyDescent="0.25">
      <c r="S2398" s="6" t="s">
        <v>302</v>
      </c>
      <c r="T2398" s="6">
        <f t="shared" si="54"/>
        <v>2397</v>
      </c>
      <c r="U2398" s="4" t="s">
        <v>194</v>
      </c>
    </row>
    <row r="2399" spans="19:21" x14ac:dyDescent="0.25">
      <c r="S2399" s="6" t="s">
        <v>302</v>
      </c>
      <c r="T2399" s="6">
        <f t="shared" si="54"/>
        <v>2398</v>
      </c>
      <c r="U2399" s="4" t="s">
        <v>194</v>
      </c>
    </row>
    <row r="2400" spans="19:21" x14ac:dyDescent="0.25">
      <c r="S2400" s="6" t="s">
        <v>302</v>
      </c>
      <c r="T2400" s="6">
        <f t="shared" si="54"/>
        <v>2399</v>
      </c>
      <c r="U2400" s="4" t="s">
        <v>194</v>
      </c>
    </row>
    <row r="2401" spans="19:21" x14ac:dyDescent="0.25">
      <c r="S2401" s="6" t="s">
        <v>302</v>
      </c>
      <c r="T2401" s="6">
        <f t="shared" si="54"/>
        <v>2400</v>
      </c>
      <c r="U2401" s="4" t="s">
        <v>194</v>
      </c>
    </row>
    <row r="2402" spans="19:21" x14ac:dyDescent="0.25">
      <c r="S2402" s="6" t="s">
        <v>302</v>
      </c>
      <c r="T2402" s="6">
        <f t="shared" si="54"/>
        <v>2401</v>
      </c>
      <c r="U2402" s="4" t="s">
        <v>194</v>
      </c>
    </row>
    <row r="2403" spans="19:21" x14ac:dyDescent="0.25">
      <c r="S2403" s="6" t="s">
        <v>302</v>
      </c>
      <c r="T2403" s="6">
        <f t="shared" si="54"/>
        <v>2402</v>
      </c>
      <c r="U2403" s="4" t="s">
        <v>194</v>
      </c>
    </row>
    <row r="2404" spans="19:21" x14ac:dyDescent="0.25">
      <c r="S2404" s="6" t="s">
        <v>302</v>
      </c>
      <c r="T2404" s="6">
        <f t="shared" si="54"/>
        <v>2403</v>
      </c>
      <c r="U2404" s="4" t="s">
        <v>194</v>
      </c>
    </row>
    <row r="2405" spans="19:21" x14ac:dyDescent="0.25">
      <c r="S2405" s="6" t="s">
        <v>302</v>
      </c>
      <c r="T2405" s="6">
        <f t="shared" si="54"/>
        <v>2404</v>
      </c>
      <c r="U2405" s="4" t="s">
        <v>194</v>
      </c>
    </row>
    <row r="2406" spans="19:21" x14ac:dyDescent="0.25">
      <c r="S2406" s="6" t="s">
        <v>302</v>
      </c>
      <c r="T2406" s="6">
        <f t="shared" si="54"/>
        <v>2405</v>
      </c>
      <c r="U2406" s="4" t="s">
        <v>194</v>
      </c>
    </row>
    <row r="2407" spans="19:21" x14ac:dyDescent="0.25">
      <c r="S2407" s="6" t="s">
        <v>302</v>
      </c>
      <c r="T2407" s="6">
        <f t="shared" si="54"/>
        <v>2406</v>
      </c>
      <c r="U2407" s="4" t="s">
        <v>194</v>
      </c>
    </row>
    <row r="2408" spans="19:21" x14ac:dyDescent="0.25">
      <c r="S2408" s="6" t="s">
        <v>302</v>
      </c>
      <c r="T2408" s="6">
        <f t="shared" si="54"/>
        <v>2407</v>
      </c>
      <c r="U2408" s="4" t="s">
        <v>194</v>
      </c>
    </row>
    <row r="2409" spans="19:21" x14ac:dyDescent="0.25">
      <c r="S2409" s="6" t="s">
        <v>302</v>
      </c>
      <c r="T2409" s="6">
        <f t="shared" si="54"/>
        <v>2408</v>
      </c>
      <c r="U2409" s="4" t="s">
        <v>194</v>
      </c>
    </row>
    <row r="2410" spans="19:21" x14ac:dyDescent="0.25">
      <c r="S2410" s="6" t="s">
        <v>302</v>
      </c>
      <c r="T2410" s="6">
        <f t="shared" si="54"/>
        <v>2409</v>
      </c>
      <c r="U2410" s="4" t="s">
        <v>194</v>
      </c>
    </row>
    <row r="2411" spans="19:21" x14ac:dyDescent="0.25">
      <c r="S2411" s="6" t="s">
        <v>302</v>
      </c>
      <c r="T2411" s="6">
        <f t="shared" si="54"/>
        <v>2410</v>
      </c>
      <c r="U2411" s="4" t="s">
        <v>194</v>
      </c>
    </row>
    <row r="2412" spans="19:21" x14ac:dyDescent="0.25">
      <c r="S2412" s="6" t="s">
        <v>302</v>
      </c>
      <c r="T2412" s="6">
        <f t="shared" si="54"/>
        <v>2411</v>
      </c>
      <c r="U2412" s="4" t="s">
        <v>194</v>
      </c>
    </row>
    <row r="2413" spans="19:21" x14ac:dyDescent="0.25">
      <c r="S2413" s="6" t="s">
        <v>302</v>
      </c>
      <c r="T2413" s="6">
        <f t="shared" si="54"/>
        <v>2412</v>
      </c>
      <c r="U2413" s="4" t="s">
        <v>194</v>
      </c>
    </row>
    <row r="2414" spans="19:21" x14ac:dyDescent="0.25">
      <c r="S2414" s="6" t="s">
        <v>302</v>
      </c>
      <c r="T2414" s="6">
        <f t="shared" si="54"/>
        <v>2413</v>
      </c>
      <c r="U2414" s="4" t="s">
        <v>194</v>
      </c>
    </row>
    <row r="2415" spans="19:21" x14ac:dyDescent="0.25">
      <c r="S2415" s="6" t="s">
        <v>302</v>
      </c>
      <c r="T2415" s="6">
        <f t="shared" si="54"/>
        <v>2414</v>
      </c>
      <c r="U2415" s="4" t="s">
        <v>194</v>
      </c>
    </row>
    <row r="2416" spans="19:21" x14ac:dyDescent="0.25">
      <c r="S2416" s="6" t="s">
        <v>302</v>
      </c>
      <c r="T2416" s="6">
        <f t="shared" si="54"/>
        <v>2415</v>
      </c>
      <c r="U2416" s="4" t="s">
        <v>194</v>
      </c>
    </row>
    <row r="2417" spans="19:21" x14ac:dyDescent="0.25">
      <c r="S2417" s="6" t="s">
        <v>302</v>
      </c>
      <c r="T2417" s="6">
        <f t="shared" si="54"/>
        <v>2416</v>
      </c>
      <c r="U2417" s="4" t="s">
        <v>194</v>
      </c>
    </row>
    <row r="2418" spans="19:21" x14ac:dyDescent="0.25">
      <c r="S2418" s="6" t="s">
        <v>302</v>
      </c>
      <c r="T2418" s="6">
        <f t="shared" si="54"/>
        <v>2417</v>
      </c>
      <c r="U2418" s="4" t="s">
        <v>194</v>
      </c>
    </row>
    <row r="2419" spans="19:21" x14ac:dyDescent="0.25">
      <c r="S2419" s="6" t="s">
        <v>302</v>
      </c>
      <c r="T2419" s="6">
        <f t="shared" si="54"/>
        <v>2418</v>
      </c>
      <c r="U2419" s="4" t="s">
        <v>194</v>
      </c>
    </row>
    <row r="2420" spans="19:21" x14ac:dyDescent="0.25">
      <c r="S2420" s="6" t="s">
        <v>302</v>
      </c>
      <c r="T2420" s="6">
        <f t="shared" si="54"/>
        <v>2419</v>
      </c>
      <c r="U2420" s="4" t="s">
        <v>194</v>
      </c>
    </row>
    <row r="2421" spans="19:21" x14ac:dyDescent="0.25">
      <c r="S2421" s="6" t="s">
        <v>302</v>
      </c>
      <c r="T2421" s="6">
        <f t="shared" si="54"/>
        <v>2420</v>
      </c>
      <c r="U2421" s="4" t="s">
        <v>194</v>
      </c>
    </row>
    <row r="2422" spans="19:21" x14ac:dyDescent="0.25">
      <c r="S2422" s="6" t="s">
        <v>302</v>
      </c>
      <c r="T2422" s="6">
        <f t="shared" si="54"/>
        <v>2421</v>
      </c>
      <c r="U2422" s="4" t="s">
        <v>194</v>
      </c>
    </row>
    <row r="2423" spans="19:21" x14ac:dyDescent="0.25">
      <c r="S2423" s="6" t="s">
        <v>302</v>
      </c>
      <c r="T2423" s="6">
        <f t="shared" si="54"/>
        <v>2422</v>
      </c>
      <c r="U2423" s="4" t="s">
        <v>194</v>
      </c>
    </row>
    <row r="2424" spans="19:21" x14ac:dyDescent="0.25">
      <c r="S2424" s="6" t="s">
        <v>302</v>
      </c>
      <c r="T2424" s="6">
        <f t="shared" si="54"/>
        <v>2423</v>
      </c>
      <c r="U2424" s="4" t="s">
        <v>194</v>
      </c>
    </row>
    <row r="2425" spans="19:21" x14ac:dyDescent="0.25">
      <c r="S2425" s="6" t="s">
        <v>302</v>
      </c>
      <c r="T2425" s="6">
        <f t="shared" si="54"/>
        <v>2424</v>
      </c>
      <c r="U2425" s="4" t="s">
        <v>194</v>
      </c>
    </row>
    <row r="2426" spans="19:21" x14ac:dyDescent="0.25">
      <c r="S2426" s="6" t="s">
        <v>302</v>
      </c>
      <c r="T2426" s="6">
        <f t="shared" si="54"/>
        <v>2425</v>
      </c>
      <c r="U2426" s="4" t="s">
        <v>194</v>
      </c>
    </row>
    <row r="2427" spans="19:21" x14ac:dyDescent="0.25">
      <c r="S2427" s="6" t="s">
        <v>302</v>
      </c>
      <c r="T2427" s="6">
        <f t="shared" si="54"/>
        <v>2426</v>
      </c>
      <c r="U2427" s="4" t="s">
        <v>194</v>
      </c>
    </row>
    <row r="2428" spans="19:21" x14ac:dyDescent="0.25">
      <c r="S2428" s="6" t="s">
        <v>302</v>
      </c>
      <c r="T2428" s="6">
        <f t="shared" si="54"/>
        <v>2427</v>
      </c>
      <c r="U2428" s="4" t="s">
        <v>194</v>
      </c>
    </row>
    <row r="2429" spans="19:21" x14ac:dyDescent="0.25">
      <c r="S2429" s="6" t="s">
        <v>302</v>
      </c>
      <c r="T2429" s="6">
        <f t="shared" si="54"/>
        <v>2428</v>
      </c>
      <c r="U2429" s="4" t="s">
        <v>194</v>
      </c>
    </row>
    <row r="2430" spans="19:21" x14ac:dyDescent="0.25">
      <c r="S2430" s="6" t="s">
        <v>302</v>
      </c>
      <c r="T2430" s="6">
        <f t="shared" si="54"/>
        <v>2429</v>
      </c>
      <c r="U2430" s="4" t="s">
        <v>194</v>
      </c>
    </row>
    <row r="2431" spans="19:21" x14ac:dyDescent="0.25">
      <c r="S2431" s="6" t="s">
        <v>302</v>
      </c>
      <c r="T2431" s="6">
        <f t="shared" si="54"/>
        <v>2430</v>
      </c>
      <c r="U2431" s="4" t="s">
        <v>194</v>
      </c>
    </row>
    <row r="2432" spans="19:21" x14ac:dyDescent="0.25">
      <c r="S2432" s="6" t="s">
        <v>302</v>
      </c>
      <c r="T2432" s="6">
        <f t="shared" si="54"/>
        <v>2431</v>
      </c>
      <c r="U2432" s="4" t="s">
        <v>194</v>
      </c>
    </row>
    <row r="2433" spans="19:21" x14ac:dyDescent="0.25">
      <c r="S2433" s="6" t="s">
        <v>302</v>
      </c>
      <c r="T2433" s="6">
        <f t="shared" si="54"/>
        <v>2432</v>
      </c>
      <c r="U2433" s="4" t="s">
        <v>194</v>
      </c>
    </row>
    <row r="2434" spans="19:21" x14ac:dyDescent="0.25">
      <c r="S2434" s="6" t="s">
        <v>302</v>
      </c>
      <c r="T2434" s="6">
        <f t="shared" si="54"/>
        <v>2433</v>
      </c>
      <c r="U2434" s="4" t="s">
        <v>194</v>
      </c>
    </row>
    <row r="2435" spans="19:21" x14ac:dyDescent="0.25">
      <c r="S2435" s="6" t="s">
        <v>302</v>
      </c>
      <c r="T2435" s="6">
        <f t="shared" si="54"/>
        <v>2434</v>
      </c>
      <c r="U2435" s="4" t="s">
        <v>194</v>
      </c>
    </row>
    <row r="2436" spans="19:21" x14ac:dyDescent="0.25">
      <c r="S2436" s="6" t="s">
        <v>302</v>
      </c>
      <c r="T2436" s="6">
        <f t="shared" si="54"/>
        <v>2435</v>
      </c>
      <c r="U2436" s="4" t="s">
        <v>194</v>
      </c>
    </row>
    <row r="2437" spans="19:21" x14ac:dyDescent="0.25">
      <c r="S2437" s="6" t="s">
        <v>302</v>
      </c>
      <c r="T2437" s="6">
        <f t="shared" si="54"/>
        <v>2436</v>
      </c>
      <c r="U2437" s="4" t="s">
        <v>194</v>
      </c>
    </row>
    <row r="2438" spans="19:21" x14ac:dyDescent="0.25">
      <c r="S2438" s="6" t="s">
        <v>302</v>
      </c>
      <c r="T2438" s="6">
        <f t="shared" si="54"/>
        <v>2437</v>
      </c>
      <c r="U2438" s="4" t="s">
        <v>194</v>
      </c>
    </row>
    <row r="2439" spans="19:21" x14ac:dyDescent="0.25">
      <c r="S2439" s="6" t="s">
        <v>302</v>
      </c>
      <c r="T2439" s="6">
        <f t="shared" si="54"/>
        <v>2438</v>
      </c>
      <c r="U2439" s="4" t="s">
        <v>194</v>
      </c>
    </row>
    <row r="2440" spans="19:21" x14ac:dyDescent="0.25">
      <c r="S2440" s="6" t="s">
        <v>302</v>
      </c>
      <c r="T2440" s="6">
        <f t="shared" si="54"/>
        <v>2439</v>
      </c>
      <c r="U2440" s="4" t="s">
        <v>194</v>
      </c>
    </row>
    <row r="2441" spans="19:21" x14ac:dyDescent="0.25">
      <c r="S2441" s="6" t="s">
        <v>302</v>
      </c>
      <c r="T2441" s="6">
        <f t="shared" si="54"/>
        <v>2440</v>
      </c>
      <c r="U2441" s="4" t="s">
        <v>194</v>
      </c>
    </row>
    <row r="2442" spans="19:21" x14ac:dyDescent="0.25">
      <c r="S2442" s="6" t="s">
        <v>302</v>
      </c>
      <c r="T2442" s="6">
        <f t="shared" si="54"/>
        <v>2441</v>
      </c>
      <c r="U2442" s="4" t="s">
        <v>194</v>
      </c>
    </row>
    <row r="2443" spans="19:21" x14ac:dyDescent="0.25">
      <c r="S2443" s="6" t="s">
        <v>302</v>
      </c>
      <c r="T2443" s="6">
        <f t="shared" si="54"/>
        <v>2442</v>
      </c>
      <c r="U2443" s="4" t="s">
        <v>194</v>
      </c>
    </row>
    <row r="2444" spans="19:21" x14ac:dyDescent="0.25">
      <c r="S2444" s="6" t="s">
        <v>302</v>
      </c>
      <c r="T2444" s="6">
        <f t="shared" si="54"/>
        <v>2443</v>
      </c>
      <c r="U2444" s="4" t="s">
        <v>194</v>
      </c>
    </row>
    <row r="2445" spans="19:21" x14ac:dyDescent="0.25">
      <c r="S2445" s="6" t="s">
        <v>302</v>
      </c>
      <c r="T2445" s="6">
        <f t="shared" si="54"/>
        <v>2444</v>
      </c>
      <c r="U2445" s="4" t="s">
        <v>194</v>
      </c>
    </row>
    <row r="2446" spans="19:21" x14ac:dyDescent="0.25">
      <c r="S2446" s="6" t="s">
        <v>302</v>
      </c>
      <c r="T2446" s="6">
        <f t="shared" si="54"/>
        <v>2445</v>
      </c>
      <c r="U2446" s="4" t="s">
        <v>194</v>
      </c>
    </row>
    <row r="2447" spans="19:21" x14ac:dyDescent="0.25">
      <c r="S2447" s="6" t="s">
        <v>302</v>
      </c>
      <c r="T2447" s="6">
        <f t="shared" si="54"/>
        <v>2446</v>
      </c>
      <c r="U2447" s="4" t="s">
        <v>194</v>
      </c>
    </row>
    <row r="2448" spans="19:21" x14ac:dyDescent="0.25">
      <c r="S2448" s="6" t="s">
        <v>302</v>
      </c>
      <c r="T2448" s="6">
        <f t="shared" si="54"/>
        <v>2447</v>
      </c>
      <c r="U2448" s="4" t="s">
        <v>194</v>
      </c>
    </row>
    <row r="2449" spans="19:21" x14ac:dyDescent="0.25">
      <c r="S2449" s="6" t="s">
        <v>302</v>
      </c>
      <c r="T2449" s="6">
        <f t="shared" si="54"/>
        <v>2448</v>
      </c>
      <c r="U2449" s="4" t="s">
        <v>194</v>
      </c>
    </row>
    <row r="2450" spans="19:21" x14ac:dyDescent="0.25">
      <c r="S2450" s="6" t="s">
        <v>302</v>
      </c>
      <c r="T2450" s="6">
        <f t="shared" si="54"/>
        <v>2449</v>
      </c>
      <c r="U2450" s="4" t="s">
        <v>194</v>
      </c>
    </row>
    <row r="2451" spans="19:21" x14ac:dyDescent="0.25">
      <c r="S2451" s="6" t="s">
        <v>302</v>
      </c>
      <c r="T2451" s="6">
        <f t="shared" si="54"/>
        <v>2450</v>
      </c>
      <c r="U2451" s="4" t="s">
        <v>194</v>
      </c>
    </row>
    <row r="2452" spans="19:21" x14ac:dyDescent="0.25">
      <c r="S2452" s="6" t="s">
        <v>302</v>
      </c>
      <c r="T2452" s="6">
        <f t="shared" ref="T2452:T2515" si="55">T2451+1</f>
        <v>2451</v>
      </c>
      <c r="U2452" s="4" t="s">
        <v>194</v>
      </c>
    </row>
    <row r="2453" spans="19:21" x14ac:dyDescent="0.25">
      <c r="S2453" s="6" t="s">
        <v>302</v>
      </c>
      <c r="T2453" s="6">
        <f t="shared" si="55"/>
        <v>2452</v>
      </c>
      <c r="U2453" s="4" t="s">
        <v>194</v>
      </c>
    </row>
    <row r="2454" spans="19:21" x14ac:dyDescent="0.25">
      <c r="S2454" s="6" t="s">
        <v>302</v>
      </c>
      <c r="T2454" s="6">
        <f t="shared" si="55"/>
        <v>2453</v>
      </c>
      <c r="U2454" s="4" t="s">
        <v>194</v>
      </c>
    </row>
    <row r="2455" spans="19:21" x14ac:dyDescent="0.25">
      <c r="S2455" s="6" t="s">
        <v>302</v>
      </c>
      <c r="T2455" s="6">
        <f t="shared" si="55"/>
        <v>2454</v>
      </c>
      <c r="U2455" s="4" t="s">
        <v>194</v>
      </c>
    </row>
    <row r="2456" spans="19:21" x14ac:dyDescent="0.25">
      <c r="S2456" s="6" t="s">
        <v>302</v>
      </c>
      <c r="T2456" s="6">
        <f t="shared" si="55"/>
        <v>2455</v>
      </c>
      <c r="U2456" s="4" t="s">
        <v>194</v>
      </c>
    </row>
    <row r="2457" spans="19:21" x14ac:dyDescent="0.25">
      <c r="S2457" s="6" t="s">
        <v>302</v>
      </c>
      <c r="T2457" s="6">
        <f t="shared" si="55"/>
        <v>2456</v>
      </c>
      <c r="U2457" s="4" t="s">
        <v>194</v>
      </c>
    </row>
    <row r="2458" spans="19:21" x14ac:dyDescent="0.25">
      <c r="S2458" s="6" t="s">
        <v>302</v>
      </c>
      <c r="T2458" s="6">
        <f t="shared" si="55"/>
        <v>2457</v>
      </c>
      <c r="U2458" s="4" t="s">
        <v>194</v>
      </c>
    </row>
    <row r="2459" spans="19:21" x14ac:dyDescent="0.25">
      <c r="S2459" s="6" t="s">
        <v>302</v>
      </c>
      <c r="T2459" s="6">
        <f t="shared" si="55"/>
        <v>2458</v>
      </c>
      <c r="U2459" s="4" t="s">
        <v>194</v>
      </c>
    </row>
    <row r="2460" spans="19:21" x14ac:dyDescent="0.25">
      <c r="S2460" s="6" t="s">
        <v>302</v>
      </c>
      <c r="T2460" s="6">
        <f t="shared" si="55"/>
        <v>2459</v>
      </c>
      <c r="U2460" s="4" t="s">
        <v>194</v>
      </c>
    </row>
    <row r="2461" spans="19:21" x14ac:dyDescent="0.25">
      <c r="S2461" s="6" t="s">
        <v>302</v>
      </c>
      <c r="T2461" s="6">
        <f t="shared" si="55"/>
        <v>2460</v>
      </c>
      <c r="U2461" s="4" t="s">
        <v>194</v>
      </c>
    </row>
    <row r="2462" spans="19:21" x14ac:dyDescent="0.25">
      <c r="S2462" s="6" t="s">
        <v>302</v>
      </c>
      <c r="T2462" s="6">
        <f t="shared" si="55"/>
        <v>2461</v>
      </c>
      <c r="U2462" s="4" t="s">
        <v>194</v>
      </c>
    </row>
    <row r="2463" spans="19:21" x14ac:dyDescent="0.25">
      <c r="S2463" s="6" t="s">
        <v>302</v>
      </c>
      <c r="T2463" s="6">
        <f t="shared" si="55"/>
        <v>2462</v>
      </c>
      <c r="U2463" s="4" t="s">
        <v>194</v>
      </c>
    </row>
    <row r="2464" spans="19:21" x14ac:dyDescent="0.25">
      <c r="S2464" s="6" t="s">
        <v>302</v>
      </c>
      <c r="T2464" s="6">
        <f t="shared" si="55"/>
        <v>2463</v>
      </c>
      <c r="U2464" s="4" t="s">
        <v>194</v>
      </c>
    </row>
    <row r="2465" spans="19:21" x14ac:dyDescent="0.25">
      <c r="S2465" s="6" t="s">
        <v>302</v>
      </c>
      <c r="T2465" s="6">
        <f t="shared" si="55"/>
        <v>2464</v>
      </c>
      <c r="U2465" s="4" t="s">
        <v>194</v>
      </c>
    </row>
    <row r="2466" spans="19:21" x14ac:dyDescent="0.25">
      <c r="S2466" s="6" t="s">
        <v>302</v>
      </c>
      <c r="T2466" s="6">
        <f t="shared" si="55"/>
        <v>2465</v>
      </c>
      <c r="U2466" s="4" t="s">
        <v>194</v>
      </c>
    </row>
    <row r="2467" spans="19:21" x14ac:dyDescent="0.25">
      <c r="S2467" s="6" t="s">
        <v>302</v>
      </c>
      <c r="T2467" s="6">
        <f t="shared" si="55"/>
        <v>2466</v>
      </c>
      <c r="U2467" s="4" t="s">
        <v>194</v>
      </c>
    </row>
    <row r="2468" spans="19:21" x14ac:dyDescent="0.25">
      <c r="S2468" s="6" t="s">
        <v>302</v>
      </c>
      <c r="T2468" s="6">
        <f t="shared" si="55"/>
        <v>2467</v>
      </c>
      <c r="U2468" s="4" t="s">
        <v>194</v>
      </c>
    </row>
    <row r="2469" spans="19:21" x14ac:dyDescent="0.25">
      <c r="S2469" s="6" t="s">
        <v>302</v>
      </c>
      <c r="T2469" s="6">
        <f t="shared" si="55"/>
        <v>2468</v>
      </c>
      <c r="U2469" s="4" t="s">
        <v>194</v>
      </c>
    </row>
    <row r="2470" spans="19:21" x14ac:dyDescent="0.25">
      <c r="S2470" s="6" t="s">
        <v>302</v>
      </c>
      <c r="T2470" s="6">
        <f t="shared" si="55"/>
        <v>2469</v>
      </c>
      <c r="U2470" s="4" t="s">
        <v>194</v>
      </c>
    </row>
    <row r="2471" spans="19:21" x14ac:dyDescent="0.25">
      <c r="S2471" s="6" t="s">
        <v>302</v>
      </c>
      <c r="T2471" s="6">
        <f t="shared" si="55"/>
        <v>2470</v>
      </c>
      <c r="U2471" s="4" t="s">
        <v>194</v>
      </c>
    </row>
    <row r="2472" spans="19:21" x14ac:dyDescent="0.25">
      <c r="S2472" s="6" t="s">
        <v>302</v>
      </c>
      <c r="T2472" s="6">
        <f t="shared" si="55"/>
        <v>2471</v>
      </c>
      <c r="U2472" s="4" t="s">
        <v>194</v>
      </c>
    </row>
    <row r="2473" spans="19:21" x14ac:dyDescent="0.25">
      <c r="S2473" s="6" t="s">
        <v>302</v>
      </c>
      <c r="T2473" s="6">
        <f t="shared" si="55"/>
        <v>2472</v>
      </c>
      <c r="U2473" s="4" t="s">
        <v>194</v>
      </c>
    </row>
    <row r="2474" spans="19:21" x14ac:dyDescent="0.25">
      <c r="S2474" s="6" t="s">
        <v>302</v>
      </c>
      <c r="T2474" s="6">
        <f t="shared" si="55"/>
        <v>2473</v>
      </c>
      <c r="U2474" s="4" t="s">
        <v>194</v>
      </c>
    </row>
    <row r="2475" spans="19:21" x14ac:dyDescent="0.25">
      <c r="S2475" s="6" t="s">
        <v>302</v>
      </c>
      <c r="T2475" s="6">
        <f t="shared" si="55"/>
        <v>2474</v>
      </c>
      <c r="U2475" s="4" t="s">
        <v>194</v>
      </c>
    </row>
    <row r="2476" spans="19:21" x14ac:dyDescent="0.25">
      <c r="S2476" s="6" t="s">
        <v>302</v>
      </c>
      <c r="T2476" s="6">
        <f t="shared" si="55"/>
        <v>2475</v>
      </c>
      <c r="U2476" s="4" t="s">
        <v>194</v>
      </c>
    </row>
    <row r="2477" spans="19:21" x14ac:dyDescent="0.25">
      <c r="S2477" s="6" t="s">
        <v>302</v>
      </c>
      <c r="T2477" s="6">
        <f t="shared" si="55"/>
        <v>2476</v>
      </c>
      <c r="U2477" s="4" t="s">
        <v>194</v>
      </c>
    </row>
    <row r="2478" spans="19:21" x14ac:dyDescent="0.25">
      <c r="S2478" s="6" t="s">
        <v>302</v>
      </c>
      <c r="T2478" s="6">
        <f t="shared" si="55"/>
        <v>2477</v>
      </c>
      <c r="U2478" s="4" t="s">
        <v>194</v>
      </c>
    </row>
    <row r="2479" spans="19:21" x14ac:dyDescent="0.25">
      <c r="S2479" s="6" t="s">
        <v>302</v>
      </c>
      <c r="T2479" s="6">
        <f t="shared" si="55"/>
        <v>2478</v>
      </c>
      <c r="U2479" s="4" t="s">
        <v>194</v>
      </c>
    </row>
    <row r="2480" spans="19:21" x14ac:dyDescent="0.25">
      <c r="S2480" s="6" t="s">
        <v>302</v>
      </c>
      <c r="T2480" s="6">
        <f t="shared" si="55"/>
        <v>2479</v>
      </c>
      <c r="U2480" s="4" t="s">
        <v>194</v>
      </c>
    </row>
    <row r="2481" spans="19:21" x14ac:dyDescent="0.25">
      <c r="S2481" s="6" t="s">
        <v>302</v>
      </c>
      <c r="T2481" s="6">
        <f t="shared" si="55"/>
        <v>2480</v>
      </c>
      <c r="U2481" s="4" t="s">
        <v>194</v>
      </c>
    </row>
    <row r="2482" spans="19:21" x14ac:dyDescent="0.25">
      <c r="S2482" s="6" t="s">
        <v>302</v>
      </c>
      <c r="T2482" s="6">
        <f t="shared" si="55"/>
        <v>2481</v>
      </c>
      <c r="U2482" s="4" t="s">
        <v>194</v>
      </c>
    </row>
    <row r="2483" spans="19:21" x14ac:dyDescent="0.25">
      <c r="S2483" s="6" t="s">
        <v>302</v>
      </c>
      <c r="T2483" s="6">
        <f t="shared" si="55"/>
        <v>2482</v>
      </c>
      <c r="U2483" s="4" t="s">
        <v>194</v>
      </c>
    </row>
    <row r="2484" spans="19:21" x14ac:dyDescent="0.25">
      <c r="S2484" s="6" t="s">
        <v>302</v>
      </c>
      <c r="T2484" s="6">
        <f t="shared" si="55"/>
        <v>2483</v>
      </c>
      <c r="U2484" s="4" t="s">
        <v>194</v>
      </c>
    </row>
    <row r="2485" spans="19:21" x14ac:dyDescent="0.25">
      <c r="S2485" s="6" t="s">
        <v>302</v>
      </c>
      <c r="T2485" s="6">
        <f t="shared" si="55"/>
        <v>2484</v>
      </c>
      <c r="U2485" s="4" t="s">
        <v>194</v>
      </c>
    </row>
    <row r="2486" spans="19:21" x14ac:dyDescent="0.25">
      <c r="S2486" s="6" t="s">
        <v>302</v>
      </c>
      <c r="T2486" s="6">
        <f t="shared" si="55"/>
        <v>2485</v>
      </c>
      <c r="U2486" s="4" t="s">
        <v>194</v>
      </c>
    </row>
    <row r="2487" spans="19:21" x14ac:dyDescent="0.25">
      <c r="S2487" s="6" t="s">
        <v>302</v>
      </c>
      <c r="T2487" s="6">
        <f t="shared" si="55"/>
        <v>2486</v>
      </c>
      <c r="U2487" s="4" t="s">
        <v>194</v>
      </c>
    </row>
    <row r="2488" spans="19:21" x14ac:dyDescent="0.25">
      <c r="S2488" s="6" t="s">
        <v>302</v>
      </c>
      <c r="T2488" s="6">
        <f t="shared" si="55"/>
        <v>2487</v>
      </c>
      <c r="U2488" s="4" t="s">
        <v>194</v>
      </c>
    </row>
    <row r="2489" spans="19:21" x14ac:dyDescent="0.25">
      <c r="S2489" s="6" t="s">
        <v>302</v>
      </c>
      <c r="T2489" s="6">
        <f t="shared" si="55"/>
        <v>2488</v>
      </c>
      <c r="U2489" s="4" t="s">
        <v>194</v>
      </c>
    </row>
    <row r="2490" spans="19:21" x14ac:dyDescent="0.25">
      <c r="S2490" s="6" t="s">
        <v>302</v>
      </c>
      <c r="T2490" s="6">
        <f t="shared" si="55"/>
        <v>2489</v>
      </c>
      <c r="U2490" s="4" t="s">
        <v>194</v>
      </c>
    </row>
    <row r="2491" spans="19:21" x14ac:dyDescent="0.25">
      <c r="S2491" s="6" t="s">
        <v>302</v>
      </c>
      <c r="T2491" s="6">
        <f t="shared" si="55"/>
        <v>2490</v>
      </c>
      <c r="U2491" s="4" t="s">
        <v>194</v>
      </c>
    </row>
    <row r="2492" spans="19:21" x14ac:dyDescent="0.25">
      <c r="S2492" s="6" t="s">
        <v>302</v>
      </c>
      <c r="T2492" s="6">
        <f t="shared" si="55"/>
        <v>2491</v>
      </c>
      <c r="U2492" s="4" t="s">
        <v>194</v>
      </c>
    </row>
    <row r="2493" spans="19:21" x14ac:dyDescent="0.25">
      <c r="S2493" s="6" t="s">
        <v>302</v>
      </c>
      <c r="T2493" s="6">
        <f t="shared" si="55"/>
        <v>2492</v>
      </c>
      <c r="U2493" s="4" t="s">
        <v>194</v>
      </c>
    </row>
    <row r="2494" spans="19:21" x14ac:dyDescent="0.25">
      <c r="S2494" s="6" t="s">
        <v>302</v>
      </c>
      <c r="T2494" s="6">
        <f t="shared" si="55"/>
        <v>2493</v>
      </c>
      <c r="U2494" s="4" t="s">
        <v>194</v>
      </c>
    </row>
    <row r="2495" spans="19:21" x14ac:dyDescent="0.25">
      <c r="S2495" s="6" t="s">
        <v>302</v>
      </c>
      <c r="T2495" s="6">
        <f t="shared" si="55"/>
        <v>2494</v>
      </c>
      <c r="U2495" s="4" t="s">
        <v>194</v>
      </c>
    </row>
    <row r="2496" spans="19:21" x14ac:dyDescent="0.25">
      <c r="S2496" s="6" t="s">
        <v>302</v>
      </c>
      <c r="T2496" s="6">
        <f t="shared" si="55"/>
        <v>2495</v>
      </c>
      <c r="U2496" s="4" t="s">
        <v>194</v>
      </c>
    </row>
    <row r="2497" spans="19:21" x14ac:dyDescent="0.25">
      <c r="S2497" s="6" t="s">
        <v>302</v>
      </c>
      <c r="T2497" s="6">
        <f t="shared" si="55"/>
        <v>2496</v>
      </c>
      <c r="U2497" s="4" t="s">
        <v>194</v>
      </c>
    </row>
    <row r="2498" spans="19:21" x14ac:dyDescent="0.25">
      <c r="S2498" s="6" t="s">
        <v>302</v>
      </c>
      <c r="T2498" s="6">
        <f t="shared" si="55"/>
        <v>2497</v>
      </c>
      <c r="U2498" s="4" t="s">
        <v>194</v>
      </c>
    </row>
    <row r="2499" spans="19:21" x14ac:dyDescent="0.25">
      <c r="S2499" s="6" t="s">
        <v>302</v>
      </c>
      <c r="T2499" s="6">
        <f t="shared" si="55"/>
        <v>2498</v>
      </c>
      <c r="U2499" s="4" t="s">
        <v>194</v>
      </c>
    </row>
    <row r="2500" spans="19:21" x14ac:dyDescent="0.25">
      <c r="S2500" s="6" t="s">
        <v>302</v>
      </c>
      <c r="T2500" s="6">
        <f t="shared" si="55"/>
        <v>2499</v>
      </c>
      <c r="U2500" s="4" t="s">
        <v>194</v>
      </c>
    </row>
    <row r="2501" spans="19:21" x14ac:dyDescent="0.25">
      <c r="S2501" s="6" t="s">
        <v>302</v>
      </c>
      <c r="T2501" s="6">
        <f t="shared" si="55"/>
        <v>2500</v>
      </c>
      <c r="U2501" s="4" t="s">
        <v>194</v>
      </c>
    </row>
    <row r="2502" spans="19:21" x14ac:dyDescent="0.25">
      <c r="S2502" s="6" t="s">
        <v>302</v>
      </c>
      <c r="T2502" s="6">
        <f t="shared" si="55"/>
        <v>2501</v>
      </c>
      <c r="U2502" s="4" t="s">
        <v>194</v>
      </c>
    </row>
    <row r="2503" spans="19:21" x14ac:dyDescent="0.25">
      <c r="S2503" s="6" t="s">
        <v>302</v>
      </c>
      <c r="T2503" s="6">
        <f t="shared" si="55"/>
        <v>2502</v>
      </c>
      <c r="U2503" s="4" t="s">
        <v>194</v>
      </c>
    </row>
    <row r="2504" spans="19:21" x14ac:dyDescent="0.25">
      <c r="S2504" s="6" t="s">
        <v>302</v>
      </c>
      <c r="T2504" s="6">
        <f t="shared" si="55"/>
        <v>2503</v>
      </c>
      <c r="U2504" s="4" t="s">
        <v>194</v>
      </c>
    </row>
    <row r="2505" spans="19:21" x14ac:dyDescent="0.25">
      <c r="S2505" s="6" t="s">
        <v>302</v>
      </c>
      <c r="T2505" s="6">
        <f t="shared" si="55"/>
        <v>2504</v>
      </c>
      <c r="U2505" s="4" t="s">
        <v>194</v>
      </c>
    </row>
    <row r="2506" spans="19:21" x14ac:dyDescent="0.25">
      <c r="S2506" s="6" t="s">
        <v>302</v>
      </c>
      <c r="T2506" s="6">
        <f t="shared" si="55"/>
        <v>2505</v>
      </c>
      <c r="U2506" s="4" t="s">
        <v>194</v>
      </c>
    </row>
    <row r="2507" spans="19:21" x14ac:dyDescent="0.25">
      <c r="S2507" s="6" t="s">
        <v>302</v>
      </c>
      <c r="T2507" s="6">
        <f t="shared" si="55"/>
        <v>2506</v>
      </c>
      <c r="U2507" s="4" t="s">
        <v>194</v>
      </c>
    </row>
    <row r="2508" spans="19:21" x14ac:dyDescent="0.25">
      <c r="S2508" s="6" t="s">
        <v>302</v>
      </c>
      <c r="T2508" s="6">
        <f t="shared" si="55"/>
        <v>2507</v>
      </c>
      <c r="U2508" s="4" t="s">
        <v>194</v>
      </c>
    </row>
    <row r="2509" spans="19:21" x14ac:dyDescent="0.25">
      <c r="S2509" s="6" t="s">
        <v>302</v>
      </c>
      <c r="T2509" s="6">
        <f t="shared" si="55"/>
        <v>2508</v>
      </c>
      <c r="U2509" s="4" t="s">
        <v>194</v>
      </c>
    </row>
    <row r="2510" spans="19:21" x14ac:dyDescent="0.25">
      <c r="S2510" s="6" t="s">
        <v>302</v>
      </c>
      <c r="T2510" s="6">
        <f t="shared" si="55"/>
        <v>2509</v>
      </c>
      <c r="U2510" s="4" t="s">
        <v>194</v>
      </c>
    </row>
    <row r="2511" spans="19:21" x14ac:dyDescent="0.25">
      <c r="S2511" s="6" t="s">
        <v>302</v>
      </c>
      <c r="T2511" s="6">
        <f t="shared" si="55"/>
        <v>2510</v>
      </c>
      <c r="U2511" s="4" t="s">
        <v>194</v>
      </c>
    </row>
    <row r="2512" spans="19:21" x14ac:dyDescent="0.25">
      <c r="S2512" s="6" t="s">
        <v>302</v>
      </c>
      <c r="T2512" s="6">
        <f t="shared" si="55"/>
        <v>2511</v>
      </c>
      <c r="U2512" s="4" t="s">
        <v>194</v>
      </c>
    </row>
    <row r="2513" spans="19:21" x14ac:dyDescent="0.25">
      <c r="S2513" s="6" t="s">
        <v>302</v>
      </c>
      <c r="T2513" s="6">
        <f t="shared" si="55"/>
        <v>2512</v>
      </c>
      <c r="U2513" s="4" t="s">
        <v>194</v>
      </c>
    </row>
    <row r="2514" spans="19:21" x14ac:dyDescent="0.25">
      <c r="S2514" s="6" t="s">
        <v>302</v>
      </c>
      <c r="T2514" s="6">
        <f t="shared" si="55"/>
        <v>2513</v>
      </c>
      <c r="U2514" s="4" t="s">
        <v>194</v>
      </c>
    </row>
    <row r="2515" spans="19:21" x14ac:dyDescent="0.25">
      <c r="S2515" s="6" t="s">
        <v>302</v>
      </c>
      <c r="T2515" s="6">
        <f t="shared" si="55"/>
        <v>2514</v>
      </c>
      <c r="U2515" s="4" t="s">
        <v>194</v>
      </c>
    </row>
    <row r="2516" spans="19:21" x14ac:dyDescent="0.25">
      <c r="S2516" s="6" t="s">
        <v>302</v>
      </c>
      <c r="T2516" s="6">
        <f t="shared" ref="T2516:T2579" si="56">T2515+1</f>
        <v>2515</v>
      </c>
      <c r="U2516" s="4" t="s">
        <v>194</v>
      </c>
    </row>
    <row r="2517" spans="19:21" x14ac:dyDescent="0.25">
      <c r="S2517" s="6" t="s">
        <v>302</v>
      </c>
      <c r="T2517" s="6">
        <f t="shared" si="56"/>
        <v>2516</v>
      </c>
      <c r="U2517" s="4" t="s">
        <v>194</v>
      </c>
    </row>
    <row r="2518" spans="19:21" x14ac:dyDescent="0.25">
      <c r="S2518" s="6" t="s">
        <v>302</v>
      </c>
      <c r="T2518" s="6">
        <f t="shared" si="56"/>
        <v>2517</v>
      </c>
      <c r="U2518" s="4" t="s">
        <v>194</v>
      </c>
    </row>
    <row r="2519" spans="19:21" x14ac:dyDescent="0.25">
      <c r="S2519" s="6" t="s">
        <v>302</v>
      </c>
      <c r="T2519" s="6">
        <f t="shared" si="56"/>
        <v>2518</v>
      </c>
      <c r="U2519" s="4" t="s">
        <v>194</v>
      </c>
    </row>
    <row r="2520" spans="19:21" x14ac:dyDescent="0.25">
      <c r="S2520" s="6" t="s">
        <v>302</v>
      </c>
      <c r="T2520" s="6">
        <f t="shared" si="56"/>
        <v>2519</v>
      </c>
      <c r="U2520" s="4" t="s">
        <v>194</v>
      </c>
    </row>
    <row r="2521" spans="19:21" x14ac:dyDescent="0.25">
      <c r="S2521" s="6" t="s">
        <v>302</v>
      </c>
      <c r="T2521" s="6">
        <f t="shared" si="56"/>
        <v>2520</v>
      </c>
      <c r="U2521" s="4" t="s">
        <v>194</v>
      </c>
    </row>
    <row r="2522" spans="19:21" x14ac:dyDescent="0.25">
      <c r="S2522" s="6" t="s">
        <v>302</v>
      </c>
      <c r="T2522" s="6">
        <f t="shared" si="56"/>
        <v>2521</v>
      </c>
      <c r="U2522" s="4" t="s">
        <v>194</v>
      </c>
    </row>
    <row r="2523" spans="19:21" x14ac:dyDescent="0.25">
      <c r="S2523" s="6" t="s">
        <v>302</v>
      </c>
      <c r="T2523" s="6">
        <f t="shared" si="56"/>
        <v>2522</v>
      </c>
      <c r="U2523" s="4" t="s">
        <v>194</v>
      </c>
    </row>
    <row r="2524" spans="19:21" x14ac:dyDescent="0.25">
      <c r="S2524" s="6" t="s">
        <v>302</v>
      </c>
      <c r="T2524" s="6">
        <f t="shared" si="56"/>
        <v>2523</v>
      </c>
      <c r="U2524" s="4" t="s">
        <v>194</v>
      </c>
    </row>
    <row r="2525" spans="19:21" x14ac:dyDescent="0.25">
      <c r="S2525" s="6" t="s">
        <v>302</v>
      </c>
      <c r="T2525" s="6">
        <f t="shared" si="56"/>
        <v>2524</v>
      </c>
      <c r="U2525" s="4" t="s">
        <v>194</v>
      </c>
    </row>
    <row r="2526" spans="19:21" x14ac:dyDescent="0.25">
      <c r="S2526" s="6" t="s">
        <v>302</v>
      </c>
      <c r="T2526" s="6">
        <f t="shared" si="56"/>
        <v>2525</v>
      </c>
      <c r="U2526" s="4" t="s">
        <v>194</v>
      </c>
    </row>
    <row r="2527" spans="19:21" x14ac:dyDescent="0.25">
      <c r="S2527" s="6" t="s">
        <v>302</v>
      </c>
      <c r="T2527" s="6">
        <f t="shared" si="56"/>
        <v>2526</v>
      </c>
      <c r="U2527" s="4" t="s">
        <v>194</v>
      </c>
    </row>
    <row r="2528" spans="19:21" x14ac:dyDescent="0.25">
      <c r="S2528" s="6" t="s">
        <v>302</v>
      </c>
      <c r="T2528" s="6">
        <f t="shared" si="56"/>
        <v>2527</v>
      </c>
      <c r="U2528" s="4" t="s">
        <v>194</v>
      </c>
    </row>
    <row r="2529" spans="19:21" x14ac:dyDescent="0.25">
      <c r="S2529" s="6" t="s">
        <v>302</v>
      </c>
      <c r="T2529" s="6">
        <f t="shared" si="56"/>
        <v>2528</v>
      </c>
      <c r="U2529" s="4" t="s">
        <v>194</v>
      </c>
    </row>
    <row r="2530" spans="19:21" x14ac:dyDescent="0.25">
      <c r="S2530" s="6" t="s">
        <v>302</v>
      </c>
      <c r="T2530" s="6">
        <f t="shared" si="56"/>
        <v>2529</v>
      </c>
      <c r="U2530" s="4" t="s">
        <v>194</v>
      </c>
    </row>
    <row r="2531" spans="19:21" x14ac:dyDescent="0.25">
      <c r="S2531" s="6" t="s">
        <v>302</v>
      </c>
      <c r="T2531" s="6">
        <f t="shared" si="56"/>
        <v>2530</v>
      </c>
      <c r="U2531" s="4" t="s">
        <v>194</v>
      </c>
    </row>
    <row r="2532" spans="19:21" x14ac:dyDescent="0.25">
      <c r="S2532" s="6" t="s">
        <v>302</v>
      </c>
      <c r="T2532" s="6">
        <f t="shared" si="56"/>
        <v>2531</v>
      </c>
      <c r="U2532" s="4" t="s">
        <v>194</v>
      </c>
    </row>
    <row r="2533" spans="19:21" x14ac:dyDescent="0.25">
      <c r="S2533" s="6" t="s">
        <v>302</v>
      </c>
      <c r="T2533" s="6">
        <f t="shared" si="56"/>
        <v>2532</v>
      </c>
      <c r="U2533" s="4" t="s">
        <v>194</v>
      </c>
    </row>
    <row r="2534" spans="19:21" x14ac:dyDescent="0.25">
      <c r="S2534" s="6" t="s">
        <v>302</v>
      </c>
      <c r="T2534" s="6">
        <f t="shared" si="56"/>
        <v>2533</v>
      </c>
      <c r="U2534" s="4" t="s">
        <v>194</v>
      </c>
    </row>
    <row r="2535" spans="19:21" x14ac:dyDescent="0.25">
      <c r="S2535" s="6" t="s">
        <v>302</v>
      </c>
      <c r="T2535" s="6">
        <f t="shared" si="56"/>
        <v>2534</v>
      </c>
      <c r="U2535" s="4" t="s">
        <v>194</v>
      </c>
    </row>
    <row r="2536" spans="19:21" x14ac:dyDescent="0.25">
      <c r="S2536" s="6" t="s">
        <v>302</v>
      </c>
      <c r="T2536" s="6">
        <f t="shared" si="56"/>
        <v>2535</v>
      </c>
      <c r="U2536" s="4" t="s">
        <v>194</v>
      </c>
    </row>
    <row r="2537" spans="19:21" x14ac:dyDescent="0.25">
      <c r="S2537" s="6" t="s">
        <v>302</v>
      </c>
      <c r="T2537" s="6">
        <f t="shared" si="56"/>
        <v>2536</v>
      </c>
      <c r="U2537" s="4" t="s">
        <v>194</v>
      </c>
    </row>
    <row r="2538" spans="19:21" x14ac:dyDescent="0.25">
      <c r="S2538" s="6" t="s">
        <v>302</v>
      </c>
      <c r="T2538" s="6">
        <f t="shared" si="56"/>
        <v>2537</v>
      </c>
      <c r="U2538" s="4" t="s">
        <v>194</v>
      </c>
    </row>
    <row r="2539" spans="19:21" x14ac:dyDescent="0.25">
      <c r="S2539" s="6" t="s">
        <v>302</v>
      </c>
      <c r="T2539" s="6">
        <f t="shared" si="56"/>
        <v>2538</v>
      </c>
      <c r="U2539" s="4" t="s">
        <v>194</v>
      </c>
    </row>
    <row r="2540" spans="19:21" x14ac:dyDescent="0.25">
      <c r="S2540" s="6" t="s">
        <v>302</v>
      </c>
      <c r="T2540" s="6">
        <f t="shared" si="56"/>
        <v>2539</v>
      </c>
      <c r="U2540" s="4" t="s">
        <v>194</v>
      </c>
    </row>
    <row r="2541" spans="19:21" x14ac:dyDescent="0.25">
      <c r="S2541" s="6" t="s">
        <v>302</v>
      </c>
      <c r="T2541" s="6">
        <f t="shared" si="56"/>
        <v>2540</v>
      </c>
      <c r="U2541" s="4" t="s">
        <v>194</v>
      </c>
    </row>
    <row r="2542" spans="19:21" x14ac:dyDescent="0.25">
      <c r="S2542" s="6" t="s">
        <v>302</v>
      </c>
      <c r="T2542" s="6">
        <f t="shared" si="56"/>
        <v>2541</v>
      </c>
      <c r="U2542" s="4" t="s">
        <v>194</v>
      </c>
    </row>
    <row r="2543" spans="19:21" x14ac:dyDescent="0.25">
      <c r="S2543" s="6" t="s">
        <v>302</v>
      </c>
      <c r="T2543" s="6">
        <f t="shared" si="56"/>
        <v>2542</v>
      </c>
      <c r="U2543" s="4" t="s">
        <v>194</v>
      </c>
    </row>
    <row r="2544" spans="19:21" x14ac:dyDescent="0.25">
      <c r="S2544" s="6" t="s">
        <v>302</v>
      </c>
      <c r="T2544" s="6">
        <f t="shared" si="56"/>
        <v>2543</v>
      </c>
      <c r="U2544" s="4" t="s">
        <v>194</v>
      </c>
    </row>
    <row r="2545" spans="19:21" x14ac:dyDescent="0.25">
      <c r="S2545" s="6" t="s">
        <v>302</v>
      </c>
      <c r="T2545" s="6">
        <f t="shared" si="56"/>
        <v>2544</v>
      </c>
      <c r="U2545" s="4" t="s">
        <v>194</v>
      </c>
    </row>
    <row r="2546" spans="19:21" x14ac:dyDescent="0.25">
      <c r="S2546" s="6" t="s">
        <v>302</v>
      </c>
      <c r="T2546" s="6">
        <f t="shared" si="56"/>
        <v>2545</v>
      </c>
      <c r="U2546" s="4" t="s">
        <v>194</v>
      </c>
    </row>
    <row r="2547" spans="19:21" x14ac:dyDescent="0.25">
      <c r="S2547" s="6" t="s">
        <v>302</v>
      </c>
      <c r="T2547" s="6">
        <f t="shared" si="56"/>
        <v>2546</v>
      </c>
      <c r="U2547" s="4" t="s">
        <v>194</v>
      </c>
    </row>
    <row r="2548" spans="19:21" x14ac:dyDescent="0.25">
      <c r="S2548" s="6" t="s">
        <v>302</v>
      </c>
      <c r="T2548" s="6">
        <f t="shared" si="56"/>
        <v>2547</v>
      </c>
      <c r="U2548" s="4" t="s">
        <v>194</v>
      </c>
    </row>
    <row r="2549" spans="19:21" x14ac:dyDescent="0.25">
      <c r="S2549" s="6" t="s">
        <v>302</v>
      </c>
      <c r="T2549" s="6">
        <f t="shared" si="56"/>
        <v>2548</v>
      </c>
      <c r="U2549" s="4" t="s">
        <v>194</v>
      </c>
    </row>
    <row r="2550" spans="19:21" x14ac:dyDescent="0.25">
      <c r="S2550" s="6" t="s">
        <v>302</v>
      </c>
      <c r="T2550" s="6">
        <f t="shared" si="56"/>
        <v>2549</v>
      </c>
      <c r="U2550" s="4" t="s">
        <v>194</v>
      </c>
    </row>
    <row r="2551" spans="19:21" x14ac:dyDescent="0.25">
      <c r="S2551" s="6" t="s">
        <v>302</v>
      </c>
      <c r="T2551" s="6">
        <f t="shared" si="56"/>
        <v>2550</v>
      </c>
      <c r="U2551" s="4" t="s">
        <v>194</v>
      </c>
    </row>
    <row r="2552" spans="19:21" x14ac:dyDescent="0.25">
      <c r="S2552" s="6" t="s">
        <v>302</v>
      </c>
      <c r="T2552" s="6">
        <f t="shared" si="56"/>
        <v>2551</v>
      </c>
      <c r="U2552" s="4" t="s">
        <v>194</v>
      </c>
    </row>
    <row r="2553" spans="19:21" x14ac:dyDescent="0.25">
      <c r="S2553" s="6" t="s">
        <v>302</v>
      </c>
      <c r="T2553" s="6">
        <f t="shared" si="56"/>
        <v>2552</v>
      </c>
      <c r="U2553" s="4" t="s">
        <v>194</v>
      </c>
    </row>
    <row r="2554" spans="19:21" x14ac:dyDescent="0.25">
      <c r="S2554" s="6" t="s">
        <v>302</v>
      </c>
      <c r="T2554" s="6">
        <f t="shared" si="56"/>
        <v>2553</v>
      </c>
      <c r="U2554" s="4" t="s">
        <v>194</v>
      </c>
    </row>
    <row r="2555" spans="19:21" x14ac:dyDescent="0.25">
      <c r="S2555" s="6" t="s">
        <v>302</v>
      </c>
      <c r="T2555" s="6">
        <f t="shared" si="56"/>
        <v>2554</v>
      </c>
      <c r="U2555" s="4" t="s">
        <v>194</v>
      </c>
    </row>
    <row r="2556" spans="19:21" x14ac:dyDescent="0.25">
      <c r="S2556" s="6" t="s">
        <v>302</v>
      </c>
      <c r="T2556" s="6">
        <f t="shared" si="56"/>
        <v>2555</v>
      </c>
      <c r="U2556" s="4" t="s">
        <v>194</v>
      </c>
    </row>
    <row r="2557" spans="19:21" x14ac:dyDescent="0.25">
      <c r="S2557" s="6" t="s">
        <v>302</v>
      </c>
      <c r="T2557" s="6">
        <f t="shared" si="56"/>
        <v>2556</v>
      </c>
      <c r="U2557" s="4" t="s">
        <v>194</v>
      </c>
    </row>
    <row r="2558" spans="19:21" x14ac:dyDescent="0.25">
      <c r="S2558" s="6" t="s">
        <v>302</v>
      </c>
      <c r="T2558" s="6">
        <f t="shared" si="56"/>
        <v>2557</v>
      </c>
      <c r="U2558" s="4" t="s">
        <v>194</v>
      </c>
    </row>
    <row r="2559" spans="19:21" x14ac:dyDescent="0.25">
      <c r="S2559" s="6" t="s">
        <v>302</v>
      </c>
      <c r="T2559" s="6">
        <f t="shared" si="56"/>
        <v>2558</v>
      </c>
      <c r="U2559" s="4" t="s">
        <v>194</v>
      </c>
    </row>
    <row r="2560" spans="19:21" x14ac:dyDescent="0.25">
      <c r="S2560" s="6" t="s">
        <v>302</v>
      </c>
      <c r="T2560" s="6">
        <f t="shared" si="56"/>
        <v>2559</v>
      </c>
      <c r="U2560" s="4" t="s">
        <v>194</v>
      </c>
    </row>
    <row r="2561" spans="19:21" x14ac:dyDescent="0.25">
      <c r="S2561" s="6" t="s">
        <v>302</v>
      </c>
      <c r="T2561" s="6">
        <f t="shared" si="56"/>
        <v>2560</v>
      </c>
      <c r="U2561" s="4" t="s">
        <v>194</v>
      </c>
    </row>
    <row r="2562" spans="19:21" x14ac:dyDescent="0.25">
      <c r="S2562" s="6" t="s">
        <v>302</v>
      </c>
      <c r="T2562" s="6">
        <f t="shared" si="56"/>
        <v>2561</v>
      </c>
      <c r="U2562" s="4" t="s">
        <v>194</v>
      </c>
    </row>
    <row r="2563" spans="19:21" x14ac:dyDescent="0.25">
      <c r="S2563" s="6" t="s">
        <v>302</v>
      </c>
      <c r="T2563" s="6">
        <f t="shared" si="56"/>
        <v>2562</v>
      </c>
      <c r="U2563" s="4" t="s">
        <v>194</v>
      </c>
    </row>
    <row r="2564" spans="19:21" x14ac:dyDescent="0.25">
      <c r="S2564" s="6" t="s">
        <v>302</v>
      </c>
      <c r="T2564" s="6">
        <f t="shared" si="56"/>
        <v>2563</v>
      </c>
      <c r="U2564" s="4" t="s">
        <v>194</v>
      </c>
    </row>
    <row r="2565" spans="19:21" x14ac:dyDescent="0.25">
      <c r="S2565" s="6" t="s">
        <v>302</v>
      </c>
      <c r="T2565" s="6">
        <f t="shared" si="56"/>
        <v>2564</v>
      </c>
      <c r="U2565" s="4" t="s">
        <v>194</v>
      </c>
    </row>
    <row r="2566" spans="19:21" x14ac:dyDescent="0.25">
      <c r="S2566" s="6" t="s">
        <v>302</v>
      </c>
      <c r="T2566" s="6">
        <f t="shared" si="56"/>
        <v>2565</v>
      </c>
      <c r="U2566" s="4" t="s">
        <v>194</v>
      </c>
    </row>
    <row r="2567" spans="19:21" x14ac:dyDescent="0.25">
      <c r="S2567" s="6" t="s">
        <v>302</v>
      </c>
      <c r="T2567" s="6">
        <f t="shared" si="56"/>
        <v>2566</v>
      </c>
      <c r="U2567" s="4" t="s">
        <v>194</v>
      </c>
    </row>
    <row r="2568" spans="19:21" x14ac:dyDescent="0.25">
      <c r="S2568" s="6" t="s">
        <v>302</v>
      </c>
      <c r="T2568" s="6">
        <f t="shared" si="56"/>
        <v>2567</v>
      </c>
      <c r="U2568" s="4" t="s">
        <v>194</v>
      </c>
    </row>
    <row r="2569" spans="19:21" x14ac:dyDescent="0.25">
      <c r="S2569" s="6" t="s">
        <v>302</v>
      </c>
      <c r="T2569" s="6">
        <f t="shared" si="56"/>
        <v>2568</v>
      </c>
      <c r="U2569" s="4" t="s">
        <v>194</v>
      </c>
    </row>
    <row r="2570" spans="19:21" x14ac:dyDescent="0.25">
      <c r="S2570" s="6" t="s">
        <v>302</v>
      </c>
      <c r="T2570" s="6">
        <f t="shared" si="56"/>
        <v>2569</v>
      </c>
      <c r="U2570" s="4" t="s">
        <v>194</v>
      </c>
    </row>
    <row r="2571" spans="19:21" x14ac:dyDescent="0.25">
      <c r="S2571" s="6" t="s">
        <v>302</v>
      </c>
      <c r="T2571" s="6">
        <f t="shared" si="56"/>
        <v>2570</v>
      </c>
      <c r="U2571" s="4" t="s">
        <v>194</v>
      </c>
    </row>
    <row r="2572" spans="19:21" x14ac:dyDescent="0.25">
      <c r="S2572" s="6" t="s">
        <v>302</v>
      </c>
      <c r="T2572" s="6">
        <f t="shared" si="56"/>
        <v>2571</v>
      </c>
      <c r="U2572" s="4" t="s">
        <v>194</v>
      </c>
    </row>
    <row r="2573" spans="19:21" x14ac:dyDescent="0.25">
      <c r="S2573" s="6" t="s">
        <v>302</v>
      </c>
      <c r="T2573" s="6">
        <f t="shared" si="56"/>
        <v>2572</v>
      </c>
      <c r="U2573" s="4" t="s">
        <v>194</v>
      </c>
    </row>
    <row r="2574" spans="19:21" x14ac:dyDescent="0.25">
      <c r="S2574" s="6" t="s">
        <v>302</v>
      </c>
      <c r="T2574" s="6">
        <f t="shared" si="56"/>
        <v>2573</v>
      </c>
      <c r="U2574" s="4" t="s">
        <v>194</v>
      </c>
    </row>
    <row r="2575" spans="19:21" x14ac:dyDescent="0.25">
      <c r="S2575" s="6" t="s">
        <v>302</v>
      </c>
      <c r="T2575" s="6">
        <f t="shared" si="56"/>
        <v>2574</v>
      </c>
      <c r="U2575" s="4" t="s">
        <v>194</v>
      </c>
    </row>
    <row r="2576" spans="19:21" x14ac:dyDescent="0.25">
      <c r="S2576" s="6" t="s">
        <v>302</v>
      </c>
      <c r="T2576" s="6">
        <f t="shared" si="56"/>
        <v>2575</v>
      </c>
      <c r="U2576" s="4" t="s">
        <v>194</v>
      </c>
    </row>
    <row r="2577" spans="19:21" x14ac:dyDescent="0.25">
      <c r="S2577" s="6" t="s">
        <v>302</v>
      </c>
      <c r="T2577" s="6">
        <f t="shared" si="56"/>
        <v>2576</v>
      </c>
      <c r="U2577" s="4" t="s">
        <v>194</v>
      </c>
    </row>
    <row r="2578" spans="19:21" x14ac:dyDescent="0.25">
      <c r="S2578" s="6" t="s">
        <v>302</v>
      </c>
      <c r="T2578" s="6">
        <f t="shared" si="56"/>
        <v>2577</v>
      </c>
      <c r="U2578" s="4" t="s">
        <v>194</v>
      </c>
    </row>
    <row r="2579" spans="19:21" x14ac:dyDescent="0.25">
      <c r="S2579" s="6" t="s">
        <v>302</v>
      </c>
      <c r="T2579" s="6">
        <f t="shared" si="56"/>
        <v>2578</v>
      </c>
      <c r="U2579" s="4" t="s">
        <v>194</v>
      </c>
    </row>
    <row r="2580" spans="19:21" x14ac:dyDescent="0.25">
      <c r="S2580" s="6" t="s">
        <v>302</v>
      </c>
      <c r="T2580" s="6">
        <f t="shared" ref="T2580:T2643" si="57">T2579+1</f>
        <v>2579</v>
      </c>
      <c r="U2580" s="4" t="s">
        <v>194</v>
      </c>
    </row>
    <row r="2581" spans="19:21" x14ac:dyDescent="0.25">
      <c r="S2581" s="6" t="s">
        <v>302</v>
      </c>
      <c r="T2581" s="6">
        <f t="shared" si="57"/>
        <v>2580</v>
      </c>
      <c r="U2581" s="4" t="s">
        <v>194</v>
      </c>
    </row>
    <row r="2582" spans="19:21" x14ac:dyDescent="0.25">
      <c r="S2582" s="6" t="s">
        <v>302</v>
      </c>
      <c r="T2582" s="6">
        <f t="shared" si="57"/>
        <v>2581</v>
      </c>
      <c r="U2582" s="4" t="s">
        <v>194</v>
      </c>
    </row>
    <row r="2583" spans="19:21" x14ac:dyDescent="0.25">
      <c r="S2583" s="6" t="s">
        <v>302</v>
      </c>
      <c r="T2583" s="6">
        <f t="shared" si="57"/>
        <v>2582</v>
      </c>
      <c r="U2583" s="4" t="s">
        <v>194</v>
      </c>
    </row>
    <row r="2584" spans="19:21" x14ac:dyDescent="0.25">
      <c r="S2584" s="6" t="s">
        <v>302</v>
      </c>
      <c r="T2584" s="6">
        <f t="shared" si="57"/>
        <v>2583</v>
      </c>
      <c r="U2584" s="4" t="s">
        <v>194</v>
      </c>
    </row>
    <row r="2585" spans="19:21" x14ac:dyDescent="0.25">
      <c r="S2585" s="6" t="s">
        <v>302</v>
      </c>
      <c r="T2585" s="6">
        <f t="shared" si="57"/>
        <v>2584</v>
      </c>
      <c r="U2585" s="4" t="s">
        <v>194</v>
      </c>
    </row>
    <row r="2586" spans="19:21" x14ac:dyDescent="0.25">
      <c r="S2586" s="6" t="s">
        <v>302</v>
      </c>
      <c r="T2586" s="6">
        <f t="shared" si="57"/>
        <v>2585</v>
      </c>
      <c r="U2586" s="4" t="s">
        <v>194</v>
      </c>
    </row>
    <row r="2587" spans="19:21" x14ac:dyDescent="0.25">
      <c r="S2587" s="6" t="s">
        <v>302</v>
      </c>
      <c r="T2587" s="6">
        <f t="shared" si="57"/>
        <v>2586</v>
      </c>
      <c r="U2587" s="4" t="s">
        <v>194</v>
      </c>
    </row>
    <row r="2588" spans="19:21" x14ac:dyDescent="0.25">
      <c r="S2588" s="6" t="s">
        <v>302</v>
      </c>
      <c r="T2588" s="6">
        <f t="shared" si="57"/>
        <v>2587</v>
      </c>
      <c r="U2588" s="4" t="s">
        <v>194</v>
      </c>
    </row>
    <row r="2589" spans="19:21" x14ac:dyDescent="0.25">
      <c r="S2589" s="6" t="s">
        <v>302</v>
      </c>
      <c r="T2589" s="6">
        <f t="shared" si="57"/>
        <v>2588</v>
      </c>
      <c r="U2589" s="4" t="s">
        <v>194</v>
      </c>
    </row>
    <row r="2590" spans="19:21" x14ac:dyDescent="0.25">
      <c r="S2590" s="6" t="s">
        <v>302</v>
      </c>
      <c r="T2590" s="6">
        <f t="shared" si="57"/>
        <v>2589</v>
      </c>
      <c r="U2590" s="4" t="s">
        <v>194</v>
      </c>
    </row>
    <row r="2591" spans="19:21" x14ac:dyDescent="0.25">
      <c r="S2591" s="6" t="s">
        <v>302</v>
      </c>
      <c r="T2591" s="6">
        <f t="shared" si="57"/>
        <v>2590</v>
      </c>
      <c r="U2591" s="4" t="s">
        <v>194</v>
      </c>
    </row>
    <row r="2592" spans="19:21" x14ac:dyDescent="0.25">
      <c r="S2592" s="6" t="s">
        <v>302</v>
      </c>
      <c r="T2592" s="6">
        <f t="shared" si="57"/>
        <v>2591</v>
      </c>
      <c r="U2592" s="4" t="s">
        <v>194</v>
      </c>
    </row>
    <row r="2593" spans="19:21" x14ac:dyDescent="0.25">
      <c r="S2593" s="6" t="s">
        <v>302</v>
      </c>
      <c r="T2593" s="6">
        <f t="shared" si="57"/>
        <v>2592</v>
      </c>
      <c r="U2593" s="4" t="s">
        <v>194</v>
      </c>
    </row>
    <row r="2594" spans="19:21" x14ac:dyDescent="0.25">
      <c r="S2594" s="6" t="s">
        <v>302</v>
      </c>
      <c r="T2594" s="6">
        <f t="shared" si="57"/>
        <v>2593</v>
      </c>
      <c r="U2594" s="4" t="s">
        <v>194</v>
      </c>
    </row>
    <row r="2595" spans="19:21" x14ac:dyDescent="0.25">
      <c r="S2595" s="6" t="s">
        <v>302</v>
      </c>
      <c r="T2595" s="6">
        <f t="shared" si="57"/>
        <v>2594</v>
      </c>
      <c r="U2595" s="4" t="s">
        <v>194</v>
      </c>
    </row>
    <row r="2596" spans="19:21" x14ac:dyDescent="0.25">
      <c r="S2596" s="6" t="s">
        <v>302</v>
      </c>
      <c r="T2596" s="6">
        <f t="shared" si="57"/>
        <v>2595</v>
      </c>
      <c r="U2596" s="4" t="s">
        <v>194</v>
      </c>
    </row>
    <row r="2597" spans="19:21" x14ac:dyDescent="0.25">
      <c r="S2597" s="6" t="s">
        <v>302</v>
      </c>
      <c r="T2597" s="6">
        <f t="shared" si="57"/>
        <v>2596</v>
      </c>
      <c r="U2597" s="4" t="s">
        <v>194</v>
      </c>
    </row>
    <row r="2598" spans="19:21" x14ac:dyDescent="0.25">
      <c r="S2598" s="6" t="s">
        <v>302</v>
      </c>
      <c r="T2598" s="6">
        <f t="shared" si="57"/>
        <v>2597</v>
      </c>
      <c r="U2598" s="4" t="s">
        <v>194</v>
      </c>
    </row>
    <row r="2599" spans="19:21" x14ac:dyDescent="0.25">
      <c r="S2599" s="6" t="s">
        <v>302</v>
      </c>
      <c r="T2599" s="6">
        <f t="shared" si="57"/>
        <v>2598</v>
      </c>
      <c r="U2599" s="4" t="s">
        <v>194</v>
      </c>
    </row>
    <row r="2600" spans="19:21" x14ac:dyDescent="0.25">
      <c r="S2600" s="6" t="s">
        <v>302</v>
      </c>
      <c r="T2600" s="6">
        <f t="shared" si="57"/>
        <v>2599</v>
      </c>
      <c r="U2600" s="4" t="s">
        <v>194</v>
      </c>
    </row>
    <row r="2601" spans="19:21" x14ac:dyDescent="0.25">
      <c r="S2601" s="6" t="s">
        <v>302</v>
      </c>
      <c r="T2601" s="6">
        <f t="shared" si="57"/>
        <v>2600</v>
      </c>
      <c r="U2601" s="4" t="s">
        <v>194</v>
      </c>
    </row>
    <row r="2602" spans="19:21" x14ac:dyDescent="0.25">
      <c r="S2602" s="6" t="s">
        <v>302</v>
      </c>
      <c r="T2602" s="6">
        <f t="shared" si="57"/>
        <v>2601</v>
      </c>
      <c r="U2602" s="4" t="s">
        <v>194</v>
      </c>
    </row>
    <row r="2603" spans="19:21" x14ac:dyDescent="0.25">
      <c r="S2603" s="6" t="s">
        <v>302</v>
      </c>
      <c r="T2603" s="6">
        <f t="shared" si="57"/>
        <v>2602</v>
      </c>
      <c r="U2603" s="4" t="s">
        <v>194</v>
      </c>
    </row>
    <row r="2604" spans="19:21" x14ac:dyDescent="0.25">
      <c r="S2604" s="6" t="s">
        <v>302</v>
      </c>
      <c r="T2604" s="6">
        <f t="shared" si="57"/>
        <v>2603</v>
      </c>
      <c r="U2604" s="4" t="s">
        <v>194</v>
      </c>
    </row>
    <row r="2605" spans="19:21" x14ac:dyDescent="0.25">
      <c r="S2605" s="6" t="s">
        <v>302</v>
      </c>
      <c r="T2605" s="6">
        <f t="shared" si="57"/>
        <v>2604</v>
      </c>
      <c r="U2605" s="4" t="s">
        <v>194</v>
      </c>
    </row>
    <row r="2606" spans="19:21" x14ac:dyDescent="0.25">
      <c r="S2606" s="6" t="s">
        <v>302</v>
      </c>
      <c r="T2606" s="6">
        <f t="shared" si="57"/>
        <v>2605</v>
      </c>
      <c r="U2606" s="4" t="s">
        <v>194</v>
      </c>
    </row>
    <row r="2607" spans="19:21" x14ac:dyDescent="0.25">
      <c r="S2607" s="6" t="s">
        <v>302</v>
      </c>
      <c r="T2607" s="6">
        <f t="shared" si="57"/>
        <v>2606</v>
      </c>
      <c r="U2607" s="4" t="s">
        <v>194</v>
      </c>
    </row>
    <row r="2608" spans="19:21" x14ac:dyDescent="0.25">
      <c r="S2608" s="6" t="s">
        <v>302</v>
      </c>
      <c r="T2608" s="6">
        <f t="shared" si="57"/>
        <v>2607</v>
      </c>
      <c r="U2608" s="4" t="s">
        <v>194</v>
      </c>
    </row>
    <row r="2609" spans="19:21" x14ac:dyDescent="0.25">
      <c r="S2609" s="6" t="s">
        <v>302</v>
      </c>
      <c r="T2609" s="6">
        <f t="shared" si="57"/>
        <v>2608</v>
      </c>
      <c r="U2609" s="4" t="s">
        <v>194</v>
      </c>
    </row>
    <row r="2610" spans="19:21" x14ac:dyDescent="0.25">
      <c r="S2610" s="6" t="s">
        <v>302</v>
      </c>
      <c r="T2610" s="6">
        <f t="shared" si="57"/>
        <v>2609</v>
      </c>
      <c r="U2610" s="4" t="s">
        <v>194</v>
      </c>
    </row>
    <row r="2611" spans="19:21" x14ac:dyDescent="0.25">
      <c r="S2611" s="6" t="s">
        <v>302</v>
      </c>
      <c r="T2611" s="6">
        <f t="shared" si="57"/>
        <v>2610</v>
      </c>
      <c r="U2611" s="4" t="s">
        <v>194</v>
      </c>
    </row>
    <row r="2612" spans="19:21" x14ac:dyDescent="0.25">
      <c r="S2612" s="6" t="s">
        <v>302</v>
      </c>
      <c r="T2612" s="6">
        <f t="shared" si="57"/>
        <v>2611</v>
      </c>
      <c r="U2612" s="4" t="s">
        <v>194</v>
      </c>
    </row>
    <row r="2613" spans="19:21" x14ac:dyDescent="0.25">
      <c r="S2613" s="6" t="s">
        <v>302</v>
      </c>
      <c r="T2613" s="6">
        <f t="shared" si="57"/>
        <v>2612</v>
      </c>
      <c r="U2613" s="4" t="s">
        <v>194</v>
      </c>
    </row>
    <row r="2614" spans="19:21" x14ac:dyDescent="0.25">
      <c r="S2614" s="6" t="s">
        <v>302</v>
      </c>
      <c r="T2614" s="6">
        <f t="shared" si="57"/>
        <v>2613</v>
      </c>
      <c r="U2614" s="4" t="s">
        <v>194</v>
      </c>
    </row>
    <row r="2615" spans="19:21" x14ac:dyDescent="0.25">
      <c r="S2615" s="6" t="s">
        <v>302</v>
      </c>
      <c r="T2615" s="6">
        <f t="shared" si="57"/>
        <v>2614</v>
      </c>
      <c r="U2615" s="4" t="s">
        <v>194</v>
      </c>
    </row>
    <row r="2616" spans="19:21" x14ac:dyDescent="0.25">
      <c r="S2616" s="6" t="s">
        <v>302</v>
      </c>
      <c r="T2616" s="6">
        <f t="shared" si="57"/>
        <v>2615</v>
      </c>
      <c r="U2616" s="4" t="s">
        <v>194</v>
      </c>
    </row>
    <row r="2617" spans="19:21" x14ac:dyDescent="0.25">
      <c r="S2617" s="6" t="s">
        <v>302</v>
      </c>
      <c r="T2617" s="6">
        <f t="shared" si="57"/>
        <v>2616</v>
      </c>
      <c r="U2617" s="4" t="s">
        <v>194</v>
      </c>
    </row>
    <row r="2618" spans="19:21" x14ac:dyDescent="0.25">
      <c r="S2618" s="6" t="s">
        <v>302</v>
      </c>
      <c r="T2618" s="6">
        <f t="shared" si="57"/>
        <v>2617</v>
      </c>
      <c r="U2618" s="4" t="s">
        <v>194</v>
      </c>
    </row>
    <row r="2619" spans="19:21" x14ac:dyDescent="0.25">
      <c r="S2619" s="6" t="s">
        <v>302</v>
      </c>
      <c r="T2619" s="6">
        <f t="shared" si="57"/>
        <v>2618</v>
      </c>
      <c r="U2619" s="4" t="s">
        <v>194</v>
      </c>
    </row>
    <row r="2620" spans="19:21" x14ac:dyDescent="0.25">
      <c r="S2620" s="6" t="s">
        <v>302</v>
      </c>
      <c r="T2620" s="6">
        <f t="shared" si="57"/>
        <v>2619</v>
      </c>
      <c r="U2620" s="4" t="s">
        <v>194</v>
      </c>
    </row>
    <row r="2621" spans="19:21" x14ac:dyDescent="0.25">
      <c r="S2621" s="6" t="s">
        <v>302</v>
      </c>
      <c r="T2621" s="6">
        <f t="shared" si="57"/>
        <v>2620</v>
      </c>
      <c r="U2621" s="4" t="s">
        <v>194</v>
      </c>
    </row>
    <row r="2622" spans="19:21" x14ac:dyDescent="0.25">
      <c r="S2622" s="6" t="s">
        <v>302</v>
      </c>
      <c r="T2622" s="6">
        <f t="shared" si="57"/>
        <v>2621</v>
      </c>
      <c r="U2622" s="4" t="s">
        <v>194</v>
      </c>
    </row>
    <row r="2623" spans="19:21" x14ac:dyDescent="0.25">
      <c r="S2623" s="6" t="s">
        <v>302</v>
      </c>
      <c r="T2623" s="6">
        <f t="shared" si="57"/>
        <v>2622</v>
      </c>
      <c r="U2623" s="4" t="s">
        <v>194</v>
      </c>
    </row>
    <row r="2624" spans="19:21" x14ac:dyDescent="0.25">
      <c r="S2624" s="6" t="s">
        <v>302</v>
      </c>
      <c r="T2624" s="6">
        <f t="shared" si="57"/>
        <v>2623</v>
      </c>
      <c r="U2624" s="4" t="s">
        <v>194</v>
      </c>
    </row>
    <row r="2625" spans="19:21" x14ac:dyDescent="0.25">
      <c r="S2625" s="6" t="s">
        <v>302</v>
      </c>
      <c r="T2625" s="6">
        <f t="shared" si="57"/>
        <v>2624</v>
      </c>
      <c r="U2625" s="4" t="s">
        <v>194</v>
      </c>
    </row>
    <row r="2626" spans="19:21" x14ac:dyDescent="0.25">
      <c r="S2626" s="6" t="s">
        <v>302</v>
      </c>
      <c r="T2626" s="6">
        <f t="shared" si="57"/>
        <v>2625</v>
      </c>
      <c r="U2626" s="4" t="s">
        <v>194</v>
      </c>
    </row>
    <row r="2627" spans="19:21" x14ac:dyDescent="0.25">
      <c r="S2627" s="6" t="s">
        <v>302</v>
      </c>
      <c r="T2627" s="6">
        <f t="shared" si="57"/>
        <v>2626</v>
      </c>
      <c r="U2627" s="4" t="s">
        <v>194</v>
      </c>
    </row>
    <row r="2628" spans="19:21" x14ac:dyDescent="0.25">
      <c r="S2628" s="6" t="s">
        <v>302</v>
      </c>
      <c r="T2628" s="6">
        <f t="shared" si="57"/>
        <v>2627</v>
      </c>
      <c r="U2628" s="4" t="s">
        <v>194</v>
      </c>
    </row>
    <row r="2629" spans="19:21" x14ac:dyDescent="0.25">
      <c r="S2629" s="6" t="s">
        <v>302</v>
      </c>
      <c r="T2629" s="6">
        <f t="shared" si="57"/>
        <v>2628</v>
      </c>
      <c r="U2629" s="4" t="s">
        <v>194</v>
      </c>
    </row>
    <row r="2630" spans="19:21" x14ac:dyDescent="0.25">
      <c r="S2630" s="6" t="s">
        <v>302</v>
      </c>
      <c r="T2630" s="6">
        <f t="shared" si="57"/>
        <v>2629</v>
      </c>
      <c r="U2630" s="4" t="s">
        <v>194</v>
      </c>
    </row>
    <row r="2631" spans="19:21" x14ac:dyDescent="0.25">
      <c r="S2631" s="6" t="s">
        <v>302</v>
      </c>
      <c r="T2631" s="6">
        <f t="shared" si="57"/>
        <v>2630</v>
      </c>
      <c r="U2631" s="4" t="s">
        <v>194</v>
      </c>
    </row>
    <row r="2632" spans="19:21" x14ac:dyDescent="0.25">
      <c r="S2632" s="6" t="s">
        <v>302</v>
      </c>
      <c r="T2632" s="6">
        <f t="shared" si="57"/>
        <v>2631</v>
      </c>
      <c r="U2632" s="4" t="s">
        <v>194</v>
      </c>
    </row>
    <row r="2633" spans="19:21" x14ac:dyDescent="0.25">
      <c r="S2633" s="6" t="s">
        <v>302</v>
      </c>
      <c r="T2633" s="6">
        <f t="shared" si="57"/>
        <v>2632</v>
      </c>
      <c r="U2633" s="4" t="s">
        <v>194</v>
      </c>
    </row>
    <row r="2634" spans="19:21" x14ac:dyDescent="0.25">
      <c r="S2634" s="6" t="s">
        <v>302</v>
      </c>
      <c r="T2634" s="6">
        <f t="shared" si="57"/>
        <v>2633</v>
      </c>
      <c r="U2634" s="4" t="s">
        <v>194</v>
      </c>
    </row>
    <row r="2635" spans="19:21" x14ac:dyDescent="0.25">
      <c r="S2635" s="6" t="s">
        <v>302</v>
      </c>
      <c r="T2635" s="6">
        <f t="shared" si="57"/>
        <v>2634</v>
      </c>
      <c r="U2635" s="4" t="s">
        <v>194</v>
      </c>
    </row>
    <row r="2636" spans="19:21" x14ac:dyDescent="0.25">
      <c r="S2636" s="6" t="s">
        <v>302</v>
      </c>
      <c r="T2636" s="6">
        <f t="shared" si="57"/>
        <v>2635</v>
      </c>
      <c r="U2636" s="4" t="s">
        <v>194</v>
      </c>
    </row>
    <row r="2637" spans="19:21" x14ac:dyDescent="0.25">
      <c r="S2637" s="6" t="s">
        <v>302</v>
      </c>
      <c r="T2637" s="6">
        <f t="shared" si="57"/>
        <v>2636</v>
      </c>
      <c r="U2637" s="4" t="s">
        <v>194</v>
      </c>
    </row>
    <row r="2638" spans="19:21" x14ac:dyDescent="0.25">
      <c r="S2638" s="6" t="s">
        <v>302</v>
      </c>
      <c r="T2638" s="6">
        <f t="shared" si="57"/>
        <v>2637</v>
      </c>
      <c r="U2638" s="4" t="s">
        <v>194</v>
      </c>
    </row>
    <row r="2639" spans="19:21" x14ac:dyDescent="0.25">
      <c r="S2639" s="6" t="s">
        <v>302</v>
      </c>
      <c r="T2639" s="6">
        <f t="shared" si="57"/>
        <v>2638</v>
      </c>
      <c r="U2639" s="4" t="s">
        <v>194</v>
      </c>
    </row>
    <row r="2640" spans="19:21" x14ac:dyDescent="0.25">
      <c r="S2640" s="6" t="s">
        <v>302</v>
      </c>
      <c r="T2640" s="6">
        <f t="shared" si="57"/>
        <v>2639</v>
      </c>
      <c r="U2640" s="4" t="s">
        <v>194</v>
      </c>
    </row>
    <row r="2641" spans="19:21" x14ac:dyDescent="0.25">
      <c r="S2641" s="6" t="s">
        <v>302</v>
      </c>
      <c r="T2641" s="6">
        <f t="shared" si="57"/>
        <v>2640</v>
      </c>
      <c r="U2641" s="4" t="s">
        <v>194</v>
      </c>
    </row>
    <row r="2642" spans="19:21" x14ac:dyDescent="0.25">
      <c r="S2642" s="6" t="s">
        <v>302</v>
      </c>
      <c r="T2642" s="6">
        <f t="shared" si="57"/>
        <v>2641</v>
      </c>
      <c r="U2642" s="4" t="s">
        <v>194</v>
      </c>
    </row>
    <row r="2643" spans="19:21" x14ac:dyDescent="0.25">
      <c r="S2643" s="6" t="s">
        <v>302</v>
      </c>
      <c r="T2643" s="6">
        <f t="shared" si="57"/>
        <v>2642</v>
      </c>
      <c r="U2643" s="4" t="s">
        <v>194</v>
      </c>
    </row>
    <row r="2644" spans="19:21" x14ac:dyDescent="0.25">
      <c r="S2644" s="6" t="s">
        <v>302</v>
      </c>
      <c r="T2644" s="6">
        <f t="shared" ref="T2644:T2707" si="58">T2643+1</f>
        <v>2643</v>
      </c>
      <c r="U2644" s="4" t="s">
        <v>194</v>
      </c>
    </row>
    <row r="2645" spans="19:21" x14ac:dyDescent="0.25">
      <c r="S2645" s="6" t="s">
        <v>302</v>
      </c>
      <c r="T2645" s="6">
        <f t="shared" si="58"/>
        <v>2644</v>
      </c>
      <c r="U2645" s="4" t="s">
        <v>194</v>
      </c>
    </row>
    <row r="2646" spans="19:21" x14ac:dyDescent="0.25">
      <c r="S2646" s="6" t="s">
        <v>302</v>
      </c>
      <c r="T2646" s="6">
        <f t="shared" si="58"/>
        <v>2645</v>
      </c>
      <c r="U2646" s="4" t="s">
        <v>194</v>
      </c>
    </row>
    <row r="2647" spans="19:21" x14ac:dyDescent="0.25">
      <c r="S2647" s="6" t="s">
        <v>302</v>
      </c>
      <c r="T2647" s="6">
        <f t="shared" si="58"/>
        <v>2646</v>
      </c>
      <c r="U2647" s="4" t="s">
        <v>194</v>
      </c>
    </row>
    <row r="2648" spans="19:21" x14ac:dyDescent="0.25">
      <c r="S2648" s="6" t="s">
        <v>302</v>
      </c>
      <c r="T2648" s="6">
        <f t="shared" si="58"/>
        <v>2647</v>
      </c>
      <c r="U2648" s="4" t="s">
        <v>194</v>
      </c>
    </row>
    <row r="2649" spans="19:21" x14ac:dyDescent="0.25">
      <c r="S2649" s="6" t="s">
        <v>302</v>
      </c>
      <c r="T2649" s="6">
        <f t="shared" si="58"/>
        <v>2648</v>
      </c>
      <c r="U2649" s="4" t="s">
        <v>194</v>
      </c>
    </row>
    <row r="2650" spans="19:21" x14ac:dyDescent="0.25">
      <c r="S2650" s="6" t="s">
        <v>302</v>
      </c>
      <c r="T2650" s="6">
        <f t="shared" si="58"/>
        <v>2649</v>
      </c>
      <c r="U2650" s="4" t="s">
        <v>194</v>
      </c>
    </row>
    <row r="2651" spans="19:21" x14ac:dyDescent="0.25">
      <c r="S2651" s="6" t="s">
        <v>302</v>
      </c>
      <c r="T2651" s="6">
        <f t="shared" si="58"/>
        <v>2650</v>
      </c>
      <c r="U2651" s="4" t="s">
        <v>194</v>
      </c>
    </row>
    <row r="2652" spans="19:21" x14ac:dyDescent="0.25">
      <c r="S2652" s="6" t="s">
        <v>302</v>
      </c>
      <c r="T2652" s="6">
        <f t="shared" si="58"/>
        <v>2651</v>
      </c>
      <c r="U2652" s="4" t="s">
        <v>194</v>
      </c>
    </row>
    <row r="2653" spans="19:21" x14ac:dyDescent="0.25">
      <c r="S2653" s="6" t="s">
        <v>302</v>
      </c>
      <c r="T2653" s="6">
        <f t="shared" si="58"/>
        <v>2652</v>
      </c>
      <c r="U2653" s="4" t="s">
        <v>194</v>
      </c>
    </row>
    <row r="2654" spans="19:21" x14ac:dyDescent="0.25">
      <c r="S2654" s="6" t="s">
        <v>302</v>
      </c>
      <c r="T2654" s="6">
        <f t="shared" si="58"/>
        <v>2653</v>
      </c>
      <c r="U2654" s="4" t="s">
        <v>194</v>
      </c>
    </row>
    <row r="2655" spans="19:21" x14ac:dyDescent="0.25">
      <c r="S2655" s="6" t="s">
        <v>302</v>
      </c>
      <c r="T2655" s="6">
        <f t="shared" si="58"/>
        <v>2654</v>
      </c>
      <c r="U2655" s="4" t="s">
        <v>194</v>
      </c>
    </row>
    <row r="2656" spans="19:21" x14ac:dyDescent="0.25">
      <c r="S2656" s="6" t="s">
        <v>302</v>
      </c>
      <c r="T2656" s="6">
        <f t="shared" si="58"/>
        <v>2655</v>
      </c>
      <c r="U2656" s="4" t="s">
        <v>194</v>
      </c>
    </row>
    <row r="2657" spans="19:21" x14ac:dyDescent="0.25">
      <c r="S2657" s="6" t="s">
        <v>302</v>
      </c>
      <c r="T2657" s="6">
        <f t="shared" si="58"/>
        <v>2656</v>
      </c>
      <c r="U2657" s="4" t="s">
        <v>194</v>
      </c>
    </row>
    <row r="2658" spans="19:21" x14ac:dyDescent="0.25">
      <c r="S2658" s="6" t="s">
        <v>302</v>
      </c>
      <c r="T2658" s="6">
        <f t="shared" si="58"/>
        <v>2657</v>
      </c>
      <c r="U2658" s="4" t="s">
        <v>194</v>
      </c>
    </row>
    <row r="2659" spans="19:21" x14ac:dyDescent="0.25">
      <c r="S2659" s="6" t="s">
        <v>302</v>
      </c>
      <c r="T2659" s="6">
        <f t="shared" si="58"/>
        <v>2658</v>
      </c>
      <c r="U2659" s="4" t="s">
        <v>194</v>
      </c>
    </row>
    <row r="2660" spans="19:21" x14ac:dyDescent="0.25">
      <c r="S2660" s="6" t="s">
        <v>302</v>
      </c>
      <c r="T2660" s="6">
        <f t="shared" si="58"/>
        <v>2659</v>
      </c>
      <c r="U2660" s="4" t="s">
        <v>194</v>
      </c>
    </row>
    <row r="2661" spans="19:21" x14ac:dyDescent="0.25">
      <c r="S2661" s="6" t="s">
        <v>302</v>
      </c>
      <c r="T2661" s="6">
        <f t="shared" si="58"/>
        <v>2660</v>
      </c>
      <c r="U2661" s="4" t="s">
        <v>194</v>
      </c>
    </row>
    <row r="2662" spans="19:21" x14ac:dyDescent="0.25">
      <c r="S2662" s="6" t="s">
        <v>302</v>
      </c>
      <c r="T2662" s="6">
        <f t="shared" si="58"/>
        <v>2661</v>
      </c>
      <c r="U2662" s="4" t="s">
        <v>194</v>
      </c>
    </row>
    <row r="2663" spans="19:21" x14ac:dyDescent="0.25">
      <c r="S2663" s="6" t="s">
        <v>302</v>
      </c>
      <c r="T2663" s="6">
        <f t="shared" si="58"/>
        <v>2662</v>
      </c>
      <c r="U2663" s="4" t="s">
        <v>194</v>
      </c>
    </row>
    <row r="2664" spans="19:21" x14ac:dyDescent="0.25">
      <c r="S2664" s="6" t="s">
        <v>302</v>
      </c>
      <c r="T2664" s="6">
        <f t="shared" si="58"/>
        <v>2663</v>
      </c>
      <c r="U2664" s="4" t="s">
        <v>194</v>
      </c>
    </row>
    <row r="2665" spans="19:21" x14ac:dyDescent="0.25">
      <c r="S2665" s="6" t="s">
        <v>302</v>
      </c>
      <c r="T2665" s="6">
        <f t="shared" si="58"/>
        <v>2664</v>
      </c>
      <c r="U2665" s="4" t="s">
        <v>194</v>
      </c>
    </row>
    <row r="2666" spans="19:21" x14ac:dyDescent="0.25">
      <c r="S2666" s="6" t="s">
        <v>302</v>
      </c>
      <c r="T2666" s="6">
        <f t="shared" si="58"/>
        <v>2665</v>
      </c>
      <c r="U2666" s="4" t="s">
        <v>194</v>
      </c>
    </row>
    <row r="2667" spans="19:21" x14ac:dyDescent="0.25">
      <c r="S2667" s="6" t="s">
        <v>302</v>
      </c>
      <c r="T2667" s="6">
        <f t="shared" si="58"/>
        <v>2666</v>
      </c>
      <c r="U2667" s="4" t="s">
        <v>194</v>
      </c>
    </row>
    <row r="2668" spans="19:21" x14ac:dyDescent="0.25">
      <c r="S2668" s="6" t="s">
        <v>302</v>
      </c>
      <c r="T2668" s="6">
        <f t="shared" si="58"/>
        <v>2667</v>
      </c>
      <c r="U2668" s="4" t="s">
        <v>194</v>
      </c>
    </row>
    <row r="2669" spans="19:21" x14ac:dyDescent="0.25">
      <c r="S2669" s="6" t="s">
        <v>302</v>
      </c>
      <c r="T2669" s="6">
        <f t="shared" si="58"/>
        <v>2668</v>
      </c>
      <c r="U2669" s="4" t="s">
        <v>194</v>
      </c>
    </row>
    <row r="2670" spans="19:21" x14ac:dyDescent="0.25">
      <c r="S2670" s="6" t="s">
        <v>302</v>
      </c>
      <c r="T2670" s="6">
        <f t="shared" si="58"/>
        <v>2669</v>
      </c>
      <c r="U2670" s="4" t="s">
        <v>194</v>
      </c>
    </row>
    <row r="2671" spans="19:21" x14ac:dyDescent="0.25">
      <c r="S2671" s="6" t="s">
        <v>302</v>
      </c>
      <c r="T2671" s="6">
        <f t="shared" si="58"/>
        <v>2670</v>
      </c>
      <c r="U2671" s="4" t="s">
        <v>194</v>
      </c>
    </row>
    <row r="2672" spans="19:21" x14ac:dyDescent="0.25">
      <c r="S2672" s="6" t="s">
        <v>302</v>
      </c>
      <c r="T2672" s="6">
        <f t="shared" si="58"/>
        <v>2671</v>
      </c>
      <c r="U2672" s="4" t="s">
        <v>194</v>
      </c>
    </row>
    <row r="2673" spans="19:21" x14ac:dyDescent="0.25">
      <c r="S2673" s="6" t="s">
        <v>302</v>
      </c>
      <c r="T2673" s="6">
        <f t="shared" si="58"/>
        <v>2672</v>
      </c>
      <c r="U2673" s="4" t="s">
        <v>194</v>
      </c>
    </row>
    <row r="2674" spans="19:21" x14ac:dyDescent="0.25">
      <c r="S2674" s="6" t="s">
        <v>302</v>
      </c>
      <c r="T2674" s="6">
        <f t="shared" si="58"/>
        <v>2673</v>
      </c>
      <c r="U2674" s="4" t="s">
        <v>194</v>
      </c>
    </row>
    <row r="2675" spans="19:21" x14ac:dyDescent="0.25">
      <c r="S2675" s="6" t="s">
        <v>302</v>
      </c>
      <c r="T2675" s="6">
        <f t="shared" si="58"/>
        <v>2674</v>
      </c>
      <c r="U2675" s="4" t="s">
        <v>194</v>
      </c>
    </row>
    <row r="2676" spans="19:21" x14ac:dyDescent="0.25">
      <c r="S2676" s="6" t="s">
        <v>302</v>
      </c>
      <c r="T2676" s="6">
        <f t="shared" si="58"/>
        <v>2675</v>
      </c>
      <c r="U2676" s="4" t="s">
        <v>194</v>
      </c>
    </row>
    <row r="2677" spans="19:21" x14ac:dyDescent="0.25">
      <c r="S2677" s="6" t="s">
        <v>302</v>
      </c>
      <c r="T2677" s="6">
        <f t="shared" si="58"/>
        <v>2676</v>
      </c>
      <c r="U2677" s="4" t="s">
        <v>194</v>
      </c>
    </row>
    <row r="2678" spans="19:21" x14ac:dyDescent="0.25">
      <c r="S2678" s="6" t="s">
        <v>302</v>
      </c>
      <c r="T2678" s="6">
        <f t="shared" si="58"/>
        <v>2677</v>
      </c>
      <c r="U2678" s="4" t="s">
        <v>194</v>
      </c>
    </row>
    <row r="2679" spans="19:21" x14ac:dyDescent="0.25">
      <c r="S2679" s="6" t="s">
        <v>302</v>
      </c>
      <c r="T2679" s="6">
        <f t="shared" si="58"/>
        <v>2678</v>
      </c>
      <c r="U2679" s="4" t="s">
        <v>194</v>
      </c>
    </row>
    <row r="2680" spans="19:21" x14ac:dyDescent="0.25">
      <c r="S2680" s="6" t="s">
        <v>302</v>
      </c>
      <c r="T2680" s="6">
        <f t="shared" si="58"/>
        <v>2679</v>
      </c>
      <c r="U2680" s="4" t="s">
        <v>194</v>
      </c>
    </row>
    <row r="2681" spans="19:21" x14ac:dyDescent="0.25">
      <c r="S2681" s="6" t="s">
        <v>302</v>
      </c>
      <c r="T2681" s="6">
        <f t="shared" si="58"/>
        <v>2680</v>
      </c>
      <c r="U2681" s="4" t="s">
        <v>194</v>
      </c>
    </row>
    <row r="2682" spans="19:21" x14ac:dyDescent="0.25">
      <c r="S2682" s="6" t="s">
        <v>302</v>
      </c>
      <c r="T2682" s="6">
        <f t="shared" si="58"/>
        <v>2681</v>
      </c>
      <c r="U2682" s="4" t="s">
        <v>194</v>
      </c>
    </row>
    <row r="2683" spans="19:21" x14ac:dyDescent="0.25">
      <c r="S2683" s="6" t="s">
        <v>302</v>
      </c>
      <c r="T2683" s="6">
        <f t="shared" si="58"/>
        <v>2682</v>
      </c>
      <c r="U2683" s="4" t="s">
        <v>194</v>
      </c>
    </row>
    <row r="2684" spans="19:21" x14ac:dyDescent="0.25">
      <c r="S2684" s="6" t="s">
        <v>302</v>
      </c>
      <c r="T2684" s="6">
        <f t="shared" si="58"/>
        <v>2683</v>
      </c>
      <c r="U2684" s="4" t="s">
        <v>194</v>
      </c>
    </row>
    <row r="2685" spans="19:21" x14ac:dyDescent="0.25">
      <c r="S2685" s="6" t="s">
        <v>302</v>
      </c>
      <c r="T2685" s="6">
        <f t="shared" si="58"/>
        <v>2684</v>
      </c>
      <c r="U2685" s="4" t="s">
        <v>194</v>
      </c>
    </row>
    <row r="2686" spans="19:21" x14ac:dyDescent="0.25">
      <c r="S2686" s="6" t="s">
        <v>302</v>
      </c>
      <c r="T2686" s="6">
        <f t="shared" si="58"/>
        <v>2685</v>
      </c>
      <c r="U2686" s="4" t="s">
        <v>194</v>
      </c>
    </row>
    <row r="2687" spans="19:21" x14ac:dyDescent="0.25">
      <c r="S2687" s="6" t="s">
        <v>302</v>
      </c>
      <c r="T2687" s="6">
        <f t="shared" si="58"/>
        <v>2686</v>
      </c>
      <c r="U2687" s="4" t="s">
        <v>194</v>
      </c>
    </row>
    <row r="2688" spans="19:21" x14ac:dyDescent="0.25">
      <c r="S2688" s="6" t="s">
        <v>302</v>
      </c>
      <c r="T2688" s="6">
        <f t="shared" si="58"/>
        <v>2687</v>
      </c>
      <c r="U2688" s="4" t="s">
        <v>194</v>
      </c>
    </row>
    <row r="2689" spans="19:21" x14ac:dyDescent="0.25">
      <c r="S2689" s="6" t="s">
        <v>302</v>
      </c>
      <c r="T2689" s="6">
        <f t="shared" si="58"/>
        <v>2688</v>
      </c>
      <c r="U2689" s="4" t="s">
        <v>194</v>
      </c>
    </row>
    <row r="2690" spans="19:21" x14ac:dyDescent="0.25">
      <c r="S2690" s="6" t="s">
        <v>302</v>
      </c>
      <c r="T2690" s="6">
        <f t="shared" si="58"/>
        <v>2689</v>
      </c>
      <c r="U2690" s="4" t="s">
        <v>194</v>
      </c>
    </row>
    <row r="2691" spans="19:21" x14ac:dyDescent="0.25">
      <c r="S2691" s="6" t="s">
        <v>302</v>
      </c>
      <c r="T2691" s="6">
        <f t="shared" si="58"/>
        <v>2690</v>
      </c>
      <c r="U2691" s="4" t="s">
        <v>194</v>
      </c>
    </row>
    <row r="2692" spans="19:21" x14ac:dyDescent="0.25">
      <c r="S2692" s="6" t="s">
        <v>302</v>
      </c>
      <c r="T2692" s="6">
        <f t="shared" si="58"/>
        <v>2691</v>
      </c>
      <c r="U2692" s="4" t="s">
        <v>194</v>
      </c>
    </row>
    <row r="2693" spans="19:21" x14ac:dyDescent="0.25">
      <c r="S2693" s="6" t="s">
        <v>302</v>
      </c>
      <c r="T2693" s="6">
        <f t="shared" si="58"/>
        <v>2692</v>
      </c>
      <c r="U2693" s="4" t="s">
        <v>194</v>
      </c>
    </row>
    <row r="2694" spans="19:21" x14ac:dyDescent="0.25">
      <c r="S2694" s="6" t="s">
        <v>302</v>
      </c>
      <c r="T2694" s="6">
        <f t="shared" si="58"/>
        <v>2693</v>
      </c>
      <c r="U2694" s="4" t="s">
        <v>194</v>
      </c>
    </row>
    <row r="2695" spans="19:21" x14ac:dyDescent="0.25">
      <c r="S2695" s="6" t="s">
        <v>302</v>
      </c>
      <c r="T2695" s="6">
        <f t="shared" si="58"/>
        <v>2694</v>
      </c>
      <c r="U2695" s="4" t="s">
        <v>194</v>
      </c>
    </row>
    <row r="2696" spans="19:21" x14ac:dyDescent="0.25">
      <c r="S2696" s="6" t="s">
        <v>302</v>
      </c>
      <c r="T2696" s="6">
        <f t="shared" si="58"/>
        <v>2695</v>
      </c>
      <c r="U2696" s="4" t="s">
        <v>194</v>
      </c>
    </row>
    <row r="2697" spans="19:21" x14ac:dyDescent="0.25">
      <c r="S2697" s="6" t="s">
        <v>302</v>
      </c>
      <c r="T2697" s="6">
        <f t="shared" si="58"/>
        <v>2696</v>
      </c>
      <c r="U2697" s="4" t="s">
        <v>194</v>
      </c>
    </row>
    <row r="2698" spans="19:21" x14ac:dyDescent="0.25">
      <c r="S2698" s="6" t="s">
        <v>302</v>
      </c>
      <c r="T2698" s="6">
        <f t="shared" si="58"/>
        <v>2697</v>
      </c>
      <c r="U2698" s="4" t="s">
        <v>194</v>
      </c>
    </row>
    <row r="2699" spans="19:21" x14ac:dyDescent="0.25">
      <c r="S2699" s="6" t="s">
        <v>302</v>
      </c>
      <c r="T2699" s="6">
        <f t="shared" si="58"/>
        <v>2698</v>
      </c>
      <c r="U2699" s="4" t="s">
        <v>194</v>
      </c>
    </row>
    <row r="2700" spans="19:21" x14ac:dyDescent="0.25">
      <c r="S2700" s="6" t="s">
        <v>302</v>
      </c>
      <c r="T2700" s="6">
        <f t="shared" si="58"/>
        <v>2699</v>
      </c>
      <c r="U2700" s="4" t="s">
        <v>194</v>
      </c>
    </row>
    <row r="2701" spans="19:21" x14ac:dyDescent="0.25">
      <c r="S2701" s="6" t="s">
        <v>302</v>
      </c>
      <c r="T2701" s="6">
        <f t="shared" si="58"/>
        <v>2700</v>
      </c>
      <c r="U2701" s="4" t="s">
        <v>194</v>
      </c>
    </row>
    <row r="2702" spans="19:21" x14ac:dyDescent="0.25">
      <c r="S2702" s="6" t="s">
        <v>302</v>
      </c>
      <c r="T2702" s="6">
        <f t="shared" si="58"/>
        <v>2701</v>
      </c>
      <c r="U2702" s="4" t="s">
        <v>194</v>
      </c>
    </row>
    <row r="2703" spans="19:21" x14ac:dyDescent="0.25">
      <c r="S2703" s="6" t="s">
        <v>302</v>
      </c>
      <c r="T2703" s="6">
        <f t="shared" si="58"/>
        <v>2702</v>
      </c>
      <c r="U2703" s="4" t="s">
        <v>194</v>
      </c>
    </row>
    <row r="2704" spans="19:21" x14ac:dyDescent="0.25">
      <c r="S2704" s="6" t="s">
        <v>302</v>
      </c>
      <c r="T2704" s="6">
        <f t="shared" si="58"/>
        <v>2703</v>
      </c>
      <c r="U2704" s="4" t="s">
        <v>194</v>
      </c>
    </row>
    <row r="2705" spans="19:21" x14ac:dyDescent="0.25">
      <c r="S2705" s="6" t="s">
        <v>302</v>
      </c>
      <c r="T2705" s="6">
        <f t="shared" si="58"/>
        <v>2704</v>
      </c>
      <c r="U2705" s="4" t="s">
        <v>194</v>
      </c>
    </row>
    <row r="2706" spans="19:21" x14ac:dyDescent="0.25">
      <c r="S2706" s="6" t="s">
        <v>302</v>
      </c>
      <c r="T2706" s="6">
        <f t="shared" si="58"/>
        <v>2705</v>
      </c>
      <c r="U2706" s="4" t="s">
        <v>194</v>
      </c>
    </row>
    <row r="2707" spans="19:21" x14ac:dyDescent="0.25">
      <c r="S2707" s="6" t="s">
        <v>302</v>
      </c>
      <c r="T2707" s="6">
        <f t="shared" si="58"/>
        <v>2706</v>
      </c>
      <c r="U2707" s="4" t="s">
        <v>194</v>
      </c>
    </row>
    <row r="2708" spans="19:21" x14ac:dyDescent="0.25">
      <c r="S2708" s="6" t="s">
        <v>302</v>
      </c>
      <c r="T2708" s="6">
        <f t="shared" ref="T2708:T2771" si="59">T2707+1</f>
        <v>2707</v>
      </c>
      <c r="U2708" s="4" t="s">
        <v>194</v>
      </c>
    </row>
    <row r="2709" spans="19:21" x14ac:dyDescent="0.25">
      <c r="S2709" s="6" t="s">
        <v>302</v>
      </c>
      <c r="T2709" s="6">
        <f t="shared" si="59"/>
        <v>2708</v>
      </c>
      <c r="U2709" s="4" t="s">
        <v>194</v>
      </c>
    </row>
    <row r="2710" spans="19:21" x14ac:dyDescent="0.25">
      <c r="S2710" s="6" t="s">
        <v>302</v>
      </c>
      <c r="T2710" s="6">
        <f t="shared" si="59"/>
        <v>2709</v>
      </c>
      <c r="U2710" s="4" t="s">
        <v>194</v>
      </c>
    </row>
    <row r="2711" spans="19:21" x14ac:dyDescent="0.25">
      <c r="S2711" s="6" t="s">
        <v>302</v>
      </c>
      <c r="T2711" s="6">
        <f t="shared" si="59"/>
        <v>2710</v>
      </c>
      <c r="U2711" s="4" t="s">
        <v>194</v>
      </c>
    </row>
    <row r="2712" spans="19:21" x14ac:dyDescent="0.25">
      <c r="S2712" s="6" t="s">
        <v>302</v>
      </c>
      <c r="T2712" s="6">
        <f t="shared" si="59"/>
        <v>2711</v>
      </c>
      <c r="U2712" s="4" t="s">
        <v>194</v>
      </c>
    </row>
    <row r="2713" spans="19:21" x14ac:dyDescent="0.25">
      <c r="S2713" s="6" t="s">
        <v>302</v>
      </c>
      <c r="T2713" s="6">
        <f t="shared" si="59"/>
        <v>2712</v>
      </c>
      <c r="U2713" s="4" t="s">
        <v>194</v>
      </c>
    </row>
    <row r="2714" spans="19:21" x14ac:dyDescent="0.25">
      <c r="S2714" s="6" t="s">
        <v>302</v>
      </c>
      <c r="T2714" s="6">
        <f t="shared" si="59"/>
        <v>2713</v>
      </c>
      <c r="U2714" s="4" t="s">
        <v>194</v>
      </c>
    </row>
    <row r="2715" spans="19:21" x14ac:dyDescent="0.25">
      <c r="S2715" s="6" t="s">
        <v>302</v>
      </c>
      <c r="T2715" s="6">
        <f t="shared" si="59"/>
        <v>2714</v>
      </c>
      <c r="U2715" s="4" t="s">
        <v>194</v>
      </c>
    </row>
    <row r="2716" spans="19:21" x14ac:dyDescent="0.25">
      <c r="S2716" s="6" t="s">
        <v>302</v>
      </c>
      <c r="T2716" s="6">
        <f t="shared" si="59"/>
        <v>2715</v>
      </c>
      <c r="U2716" s="4" t="s">
        <v>194</v>
      </c>
    </row>
    <row r="2717" spans="19:21" x14ac:dyDescent="0.25">
      <c r="S2717" s="6" t="s">
        <v>302</v>
      </c>
      <c r="T2717" s="6">
        <f t="shared" si="59"/>
        <v>2716</v>
      </c>
      <c r="U2717" s="4" t="s">
        <v>194</v>
      </c>
    </row>
    <row r="2718" spans="19:21" x14ac:dyDescent="0.25">
      <c r="S2718" s="6" t="s">
        <v>302</v>
      </c>
      <c r="T2718" s="6">
        <f t="shared" si="59"/>
        <v>2717</v>
      </c>
      <c r="U2718" s="4" t="s">
        <v>194</v>
      </c>
    </row>
    <row r="2719" spans="19:21" x14ac:dyDescent="0.25">
      <c r="S2719" s="6" t="s">
        <v>302</v>
      </c>
      <c r="T2719" s="6">
        <f t="shared" si="59"/>
        <v>2718</v>
      </c>
      <c r="U2719" s="4" t="s">
        <v>194</v>
      </c>
    </row>
    <row r="2720" spans="19:21" x14ac:dyDescent="0.25">
      <c r="S2720" s="6" t="s">
        <v>302</v>
      </c>
      <c r="T2720" s="6">
        <f t="shared" si="59"/>
        <v>2719</v>
      </c>
      <c r="U2720" s="4" t="s">
        <v>194</v>
      </c>
    </row>
    <row r="2721" spans="19:21" x14ac:dyDescent="0.25">
      <c r="S2721" s="6" t="s">
        <v>302</v>
      </c>
      <c r="T2721" s="6">
        <f t="shared" si="59"/>
        <v>2720</v>
      </c>
      <c r="U2721" s="4" t="s">
        <v>194</v>
      </c>
    </row>
    <row r="2722" spans="19:21" x14ac:dyDescent="0.25">
      <c r="S2722" s="6" t="s">
        <v>302</v>
      </c>
      <c r="T2722" s="6">
        <f t="shared" si="59"/>
        <v>2721</v>
      </c>
      <c r="U2722" s="4" t="s">
        <v>194</v>
      </c>
    </row>
    <row r="2723" spans="19:21" x14ac:dyDescent="0.25">
      <c r="S2723" s="6" t="s">
        <v>302</v>
      </c>
      <c r="T2723" s="6">
        <f t="shared" si="59"/>
        <v>2722</v>
      </c>
      <c r="U2723" s="4" t="s">
        <v>194</v>
      </c>
    </row>
    <row r="2724" spans="19:21" x14ac:dyDescent="0.25">
      <c r="S2724" s="6" t="s">
        <v>302</v>
      </c>
      <c r="T2724" s="6">
        <f t="shared" si="59"/>
        <v>2723</v>
      </c>
      <c r="U2724" s="4" t="s">
        <v>194</v>
      </c>
    </row>
    <row r="2725" spans="19:21" x14ac:dyDescent="0.25">
      <c r="S2725" s="6" t="s">
        <v>302</v>
      </c>
      <c r="T2725" s="6">
        <f t="shared" si="59"/>
        <v>2724</v>
      </c>
      <c r="U2725" s="4" t="s">
        <v>194</v>
      </c>
    </row>
    <row r="2726" spans="19:21" x14ac:dyDescent="0.25">
      <c r="S2726" s="6" t="s">
        <v>302</v>
      </c>
      <c r="T2726" s="6">
        <f t="shared" si="59"/>
        <v>2725</v>
      </c>
      <c r="U2726" s="4" t="s">
        <v>194</v>
      </c>
    </row>
    <row r="2727" spans="19:21" x14ac:dyDescent="0.25">
      <c r="S2727" s="6" t="s">
        <v>302</v>
      </c>
      <c r="T2727" s="6">
        <f t="shared" si="59"/>
        <v>2726</v>
      </c>
      <c r="U2727" s="4" t="s">
        <v>194</v>
      </c>
    </row>
    <row r="2728" spans="19:21" x14ac:dyDescent="0.25">
      <c r="S2728" s="6" t="s">
        <v>302</v>
      </c>
      <c r="T2728" s="6">
        <f t="shared" si="59"/>
        <v>2727</v>
      </c>
      <c r="U2728" s="4" t="s">
        <v>194</v>
      </c>
    </row>
    <row r="2729" spans="19:21" x14ac:dyDescent="0.25">
      <c r="S2729" s="6" t="s">
        <v>302</v>
      </c>
      <c r="T2729" s="6">
        <f t="shared" si="59"/>
        <v>2728</v>
      </c>
      <c r="U2729" s="4" t="s">
        <v>194</v>
      </c>
    </row>
    <row r="2730" spans="19:21" x14ac:dyDescent="0.25">
      <c r="S2730" s="6" t="s">
        <v>302</v>
      </c>
      <c r="T2730" s="6">
        <f t="shared" si="59"/>
        <v>2729</v>
      </c>
      <c r="U2730" s="4" t="s">
        <v>194</v>
      </c>
    </row>
    <row r="2731" spans="19:21" x14ac:dyDescent="0.25">
      <c r="S2731" s="6" t="s">
        <v>302</v>
      </c>
      <c r="T2731" s="6">
        <f t="shared" si="59"/>
        <v>2730</v>
      </c>
      <c r="U2731" s="4" t="s">
        <v>194</v>
      </c>
    </row>
    <row r="2732" spans="19:21" x14ac:dyDescent="0.25">
      <c r="S2732" s="6" t="s">
        <v>302</v>
      </c>
      <c r="T2732" s="6">
        <f t="shared" si="59"/>
        <v>2731</v>
      </c>
      <c r="U2732" s="4" t="s">
        <v>194</v>
      </c>
    </row>
    <row r="2733" spans="19:21" x14ac:dyDescent="0.25">
      <c r="S2733" s="6" t="s">
        <v>302</v>
      </c>
      <c r="T2733" s="6">
        <f t="shared" si="59"/>
        <v>2732</v>
      </c>
      <c r="U2733" s="4" t="s">
        <v>194</v>
      </c>
    </row>
    <row r="2734" spans="19:21" x14ac:dyDescent="0.25">
      <c r="S2734" s="6" t="s">
        <v>302</v>
      </c>
      <c r="T2734" s="6">
        <f t="shared" si="59"/>
        <v>2733</v>
      </c>
      <c r="U2734" s="4" t="s">
        <v>194</v>
      </c>
    </row>
    <row r="2735" spans="19:21" x14ac:dyDescent="0.25">
      <c r="S2735" s="6" t="s">
        <v>302</v>
      </c>
      <c r="T2735" s="6">
        <f t="shared" si="59"/>
        <v>2734</v>
      </c>
      <c r="U2735" s="4" t="s">
        <v>194</v>
      </c>
    </row>
    <row r="2736" spans="19:21" x14ac:dyDescent="0.25">
      <c r="S2736" s="6" t="s">
        <v>302</v>
      </c>
      <c r="T2736" s="6">
        <f t="shared" si="59"/>
        <v>2735</v>
      </c>
      <c r="U2736" s="4" t="s">
        <v>194</v>
      </c>
    </row>
    <row r="2737" spans="19:21" x14ac:dyDescent="0.25">
      <c r="S2737" s="6" t="s">
        <v>302</v>
      </c>
      <c r="T2737" s="6">
        <f t="shared" si="59"/>
        <v>2736</v>
      </c>
      <c r="U2737" s="4" t="s">
        <v>194</v>
      </c>
    </row>
    <row r="2738" spans="19:21" x14ac:dyDescent="0.25">
      <c r="S2738" s="6" t="s">
        <v>302</v>
      </c>
      <c r="T2738" s="6">
        <f t="shared" si="59"/>
        <v>2737</v>
      </c>
      <c r="U2738" s="4" t="s">
        <v>194</v>
      </c>
    </row>
    <row r="2739" spans="19:21" x14ac:dyDescent="0.25">
      <c r="S2739" s="6" t="s">
        <v>302</v>
      </c>
      <c r="T2739" s="6">
        <f t="shared" si="59"/>
        <v>2738</v>
      </c>
      <c r="U2739" s="4" t="s">
        <v>194</v>
      </c>
    </row>
    <row r="2740" spans="19:21" x14ac:dyDescent="0.25">
      <c r="S2740" s="6" t="s">
        <v>302</v>
      </c>
      <c r="T2740" s="6">
        <f t="shared" si="59"/>
        <v>2739</v>
      </c>
      <c r="U2740" s="4" t="s">
        <v>194</v>
      </c>
    </row>
    <row r="2741" spans="19:21" x14ac:dyDescent="0.25">
      <c r="S2741" s="6" t="s">
        <v>302</v>
      </c>
      <c r="T2741" s="6">
        <f t="shared" si="59"/>
        <v>2740</v>
      </c>
      <c r="U2741" s="4" t="s">
        <v>194</v>
      </c>
    </row>
    <row r="2742" spans="19:21" x14ac:dyDescent="0.25">
      <c r="S2742" s="6" t="s">
        <v>302</v>
      </c>
      <c r="T2742" s="6">
        <f t="shared" si="59"/>
        <v>2741</v>
      </c>
      <c r="U2742" s="4" t="s">
        <v>194</v>
      </c>
    </row>
    <row r="2743" spans="19:21" x14ac:dyDescent="0.25">
      <c r="S2743" s="6" t="s">
        <v>302</v>
      </c>
      <c r="T2743" s="6">
        <f t="shared" si="59"/>
        <v>2742</v>
      </c>
      <c r="U2743" s="4" t="s">
        <v>194</v>
      </c>
    </row>
    <row r="2744" spans="19:21" x14ac:dyDescent="0.25">
      <c r="S2744" s="6" t="s">
        <v>302</v>
      </c>
      <c r="T2744" s="6">
        <f t="shared" si="59"/>
        <v>2743</v>
      </c>
      <c r="U2744" s="4" t="s">
        <v>194</v>
      </c>
    </row>
    <row r="2745" spans="19:21" x14ac:dyDescent="0.25">
      <c r="S2745" s="6" t="s">
        <v>302</v>
      </c>
      <c r="T2745" s="6">
        <f t="shared" si="59"/>
        <v>2744</v>
      </c>
      <c r="U2745" s="4" t="s">
        <v>194</v>
      </c>
    </row>
    <row r="2746" spans="19:21" x14ac:dyDescent="0.25">
      <c r="S2746" s="6" t="s">
        <v>302</v>
      </c>
      <c r="T2746" s="6">
        <f t="shared" si="59"/>
        <v>2745</v>
      </c>
      <c r="U2746" s="4" t="s">
        <v>194</v>
      </c>
    </row>
    <row r="2747" spans="19:21" x14ac:dyDescent="0.25">
      <c r="S2747" s="6" t="s">
        <v>302</v>
      </c>
      <c r="T2747" s="6">
        <f t="shared" si="59"/>
        <v>2746</v>
      </c>
      <c r="U2747" s="4" t="s">
        <v>194</v>
      </c>
    </row>
    <row r="2748" spans="19:21" x14ac:dyDescent="0.25">
      <c r="S2748" s="6" t="s">
        <v>302</v>
      </c>
      <c r="T2748" s="6">
        <f t="shared" si="59"/>
        <v>2747</v>
      </c>
      <c r="U2748" s="4" t="s">
        <v>194</v>
      </c>
    </row>
    <row r="2749" spans="19:21" x14ac:dyDescent="0.25">
      <c r="S2749" s="6" t="s">
        <v>302</v>
      </c>
      <c r="T2749" s="6">
        <f t="shared" si="59"/>
        <v>2748</v>
      </c>
      <c r="U2749" s="4" t="s">
        <v>194</v>
      </c>
    </row>
    <row r="2750" spans="19:21" x14ac:dyDescent="0.25">
      <c r="S2750" s="6" t="s">
        <v>302</v>
      </c>
      <c r="T2750" s="6">
        <f t="shared" si="59"/>
        <v>2749</v>
      </c>
      <c r="U2750" s="4" t="s">
        <v>194</v>
      </c>
    </row>
    <row r="2751" spans="19:21" x14ac:dyDescent="0.25">
      <c r="S2751" s="6" t="s">
        <v>302</v>
      </c>
      <c r="T2751" s="6">
        <f t="shared" si="59"/>
        <v>2750</v>
      </c>
      <c r="U2751" s="4" t="s">
        <v>194</v>
      </c>
    </row>
    <row r="2752" spans="19:21" x14ac:dyDescent="0.25">
      <c r="S2752" s="6" t="s">
        <v>302</v>
      </c>
      <c r="T2752" s="6">
        <f t="shared" si="59"/>
        <v>2751</v>
      </c>
      <c r="U2752" s="4" t="s">
        <v>194</v>
      </c>
    </row>
    <row r="2753" spans="19:21" x14ac:dyDescent="0.25">
      <c r="S2753" s="6" t="s">
        <v>302</v>
      </c>
      <c r="T2753" s="6">
        <f t="shared" si="59"/>
        <v>2752</v>
      </c>
      <c r="U2753" s="4" t="s">
        <v>194</v>
      </c>
    </row>
    <row r="2754" spans="19:21" x14ac:dyDescent="0.25">
      <c r="S2754" s="6" t="s">
        <v>302</v>
      </c>
      <c r="T2754" s="6">
        <f t="shared" si="59"/>
        <v>2753</v>
      </c>
      <c r="U2754" s="4" t="s">
        <v>194</v>
      </c>
    </row>
    <row r="2755" spans="19:21" x14ac:dyDescent="0.25">
      <c r="S2755" s="6" t="s">
        <v>302</v>
      </c>
      <c r="T2755" s="6">
        <f t="shared" si="59"/>
        <v>2754</v>
      </c>
      <c r="U2755" s="4" t="s">
        <v>194</v>
      </c>
    </row>
    <row r="2756" spans="19:21" x14ac:dyDescent="0.25">
      <c r="S2756" s="6" t="s">
        <v>302</v>
      </c>
      <c r="T2756" s="6">
        <f t="shared" si="59"/>
        <v>2755</v>
      </c>
      <c r="U2756" s="4" t="s">
        <v>194</v>
      </c>
    </row>
    <row r="2757" spans="19:21" x14ac:dyDescent="0.25">
      <c r="S2757" s="6" t="s">
        <v>302</v>
      </c>
      <c r="T2757" s="6">
        <f t="shared" si="59"/>
        <v>2756</v>
      </c>
      <c r="U2757" s="4" t="s">
        <v>194</v>
      </c>
    </row>
    <row r="2758" spans="19:21" x14ac:dyDescent="0.25">
      <c r="S2758" s="6" t="s">
        <v>302</v>
      </c>
      <c r="T2758" s="6">
        <f t="shared" si="59"/>
        <v>2757</v>
      </c>
      <c r="U2758" s="4" t="s">
        <v>194</v>
      </c>
    </row>
    <row r="2759" spans="19:21" x14ac:dyDescent="0.25">
      <c r="S2759" s="6" t="s">
        <v>302</v>
      </c>
      <c r="T2759" s="6">
        <f t="shared" si="59"/>
        <v>2758</v>
      </c>
      <c r="U2759" s="4" t="s">
        <v>194</v>
      </c>
    </row>
    <row r="2760" spans="19:21" x14ac:dyDescent="0.25">
      <c r="S2760" s="6" t="s">
        <v>302</v>
      </c>
      <c r="T2760" s="6">
        <f t="shared" si="59"/>
        <v>2759</v>
      </c>
      <c r="U2760" s="4" t="s">
        <v>194</v>
      </c>
    </row>
    <row r="2761" spans="19:21" x14ac:dyDescent="0.25">
      <c r="S2761" s="6" t="s">
        <v>302</v>
      </c>
      <c r="T2761" s="6">
        <f t="shared" si="59"/>
        <v>2760</v>
      </c>
      <c r="U2761" s="4" t="s">
        <v>194</v>
      </c>
    </row>
    <row r="2762" spans="19:21" x14ac:dyDescent="0.25">
      <c r="S2762" s="6" t="s">
        <v>302</v>
      </c>
      <c r="T2762" s="6">
        <f t="shared" si="59"/>
        <v>2761</v>
      </c>
      <c r="U2762" s="4" t="s">
        <v>194</v>
      </c>
    </row>
    <row r="2763" spans="19:21" x14ac:dyDescent="0.25">
      <c r="S2763" s="6" t="s">
        <v>302</v>
      </c>
      <c r="T2763" s="6">
        <f t="shared" si="59"/>
        <v>2762</v>
      </c>
      <c r="U2763" s="4" t="s">
        <v>194</v>
      </c>
    </row>
    <row r="2764" spans="19:21" x14ac:dyDescent="0.25">
      <c r="S2764" s="6" t="s">
        <v>302</v>
      </c>
      <c r="T2764" s="6">
        <f t="shared" si="59"/>
        <v>2763</v>
      </c>
      <c r="U2764" s="4" t="s">
        <v>194</v>
      </c>
    </row>
    <row r="2765" spans="19:21" x14ac:dyDescent="0.25">
      <c r="S2765" s="6" t="s">
        <v>302</v>
      </c>
      <c r="T2765" s="6">
        <f t="shared" si="59"/>
        <v>2764</v>
      </c>
      <c r="U2765" s="4" t="s">
        <v>194</v>
      </c>
    </row>
    <row r="2766" spans="19:21" x14ac:dyDescent="0.25">
      <c r="S2766" s="6" t="s">
        <v>302</v>
      </c>
      <c r="T2766" s="6">
        <f t="shared" si="59"/>
        <v>2765</v>
      </c>
      <c r="U2766" s="4" t="s">
        <v>194</v>
      </c>
    </row>
    <row r="2767" spans="19:21" x14ac:dyDescent="0.25">
      <c r="S2767" s="6" t="s">
        <v>302</v>
      </c>
      <c r="T2767" s="6">
        <f t="shared" si="59"/>
        <v>2766</v>
      </c>
      <c r="U2767" s="4" t="s">
        <v>194</v>
      </c>
    </row>
    <row r="2768" spans="19:21" x14ac:dyDescent="0.25">
      <c r="S2768" s="6" t="s">
        <v>302</v>
      </c>
      <c r="T2768" s="6">
        <f t="shared" si="59"/>
        <v>2767</v>
      </c>
      <c r="U2768" s="4" t="s">
        <v>194</v>
      </c>
    </row>
    <row r="2769" spans="19:21" x14ac:dyDescent="0.25">
      <c r="S2769" s="6" t="s">
        <v>302</v>
      </c>
      <c r="T2769" s="6">
        <f t="shared" si="59"/>
        <v>2768</v>
      </c>
      <c r="U2769" s="4" t="s">
        <v>194</v>
      </c>
    </row>
    <row r="2770" spans="19:21" x14ac:dyDescent="0.25">
      <c r="S2770" s="6" t="s">
        <v>302</v>
      </c>
      <c r="T2770" s="6">
        <f t="shared" si="59"/>
        <v>2769</v>
      </c>
      <c r="U2770" s="4" t="s">
        <v>194</v>
      </c>
    </row>
    <row r="2771" spans="19:21" x14ac:dyDescent="0.25">
      <c r="S2771" s="6" t="s">
        <v>302</v>
      </c>
      <c r="T2771" s="6">
        <f t="shared" si="59"/>
        <v>2770</v>
      </c>
      <c r="U2771" s="4" t="s">
        <v>194</v>
      </c>
    </row>
    <row r="2772" spans="19:21" x14ac:dyDescent="0.25">
      <c r="S2772" s="6" t="s">
        <v>302</v>
      </c>
      <c r="T2772" s="6">
        <f t="shared" ref="T2772:T2781" si="60">T2771+1</f>
        <v>2771</v>
      </c>
      <c r="U2772" s="4" t="s">
        <v>194</v>
      </c>
    </row>
    <row r="2773" spans="19:21" x14ac:dyDescent="0.25">
      <c r="S2773" s="6" t="s">
        <v>302</v>
      </c>
      <c r="T2773" s="6">
        <f t="shared" si="60"/>
        <v>2772</v>
      </c>
      <c r="U2773" s="4" t="s">
        <v>194</v>
      </c>
    </row>
    <row r="2774" spans="19:21" x14ac:dyDescent="0.25">
      <c r="S2774" s="6" t="s">
        <v>302</v>
      </c>
      <c r="T2774" s="6">
        <f t="shared" si="60"/>
        <v>2773</v>
      </c>
      <c r="U2774" s="4" t="s">
        <v>194</v>
      </c>
    </row>
    <row r="2775" spans="19:21" x14ac:dyDescent="0.25">
      <c r="S2775" s="6" t="s">
        <v>302</v>
      </c>
      <c r="T2775" s="6">
        <f t="shared" si="60"/>
        <v>2774</v>
      </c>
      <c r="U2775" s="4" t="s">
        <v>194</v>
      </c>
    </row>
    <row r="2776" spans="19:21" x14ac:dyDescent="0.25">
      <c r="S2776" s="6" t="s">
        <v>302</v>
      </c>
      <c r="T2776" s="6">
        <f t="shared" si="60"/>
        <v>2775</v>
      </c>
      <c r="U2776" s="4" t="s">
        <v>194</v>
      </c>
    </row>
    <row r="2777" spans="19:21" x14ac:dyDescent="0.25">
      <c r="S2777" s="6" t="s">
        <v>302</v>
      </c>
      <c r="T2777" s="6">
        <f t="shared" si="60"/>
        <v>2776</v>
      </c>
      <c r="U2777" s="4" t="s">
        <v>194</v>
      </c>
    </row>
    <row r="2778" spans="19:21" x14ac:dyDescent="0.25">
      <c r="S2778" s="6" t="s">
        <v>302</v>
      </c>
      <c r="T2778" s="6">
        <f t="shared" si="60"/>
        <v>2777</v>
      </c>
      <c r="U2778" s="4" t="s">
        <v>194</v>
      </c>
    </row>
    <row r="2779" spans="19:21" x14ac:dyDescent="0.25">
      <c r="S2779" s="6" t="s">
        <v>302</v>
      </c>
      <c r="T2779" s="6">
        <f t="shared" si="60"/>
        <v>2778</v>
      </c>
      <c r="U2779" s="4" t="s">
        <v>194</v>
      </c>
    </row>
    <row r="2780" spans="19:21" x14ac:dyDescent="0.25">
      <c r="S2780" s="6" t="s">
        <v>302</v>
      </c>
      <c r="T2780" s="6">
        <f t="shared" si="60"/>
        <v>2779</v>
      </c>
      <c r="U2780" s="4" t="s">
        <v>194</v>
      </c>
    </row>
    <row r="2781" spans="19:21" x14ac:dyDescent="0.25">
      <c r="S2781" s="6" t="s">
        <v>302</v>
      </c>
      <c r="T2781" s="6">
        <f t="shared" si="60"/>
        <v>2780</v>
      </c>
      <c r="U2781" s="4" t="s">
        <v>194</v>
      </c>
    </row>
    <row r="2782" spans="19:21" x14ac:dyDescent="0.25">
      <c r="S2782" s="6" t="s">
        <v>302</v>
      </c>
      <c r="T2782" s="6">
        <f t="shared" ref="T2782:T2845" si="61">T2781+1</f>
        <v>2781</v>
      </c>
      <c r="U2782" s="4" t="s">
        <v>194</v>
      </c>
    </row>
    <row r="2783" spans="19:21" x14ac:dyDescent="0.25">
      <c r="S2783" s="6" t="s">
        <v>302</v>
      </c>
      <c r="T2783" s="6">
        <f t="shared" si="61"/>
        <v>2782</v>
      </c>
      <c r="U2783" s="4" t="s">
        <v>194</v>
      </c>
    </row>
    <row r="2784" spans="19:21" x14ac:dyDescent="0.25">
      <c r="S2784" s="6" t="s">
        <v>302</v>
      </c>
      <c r="T2784" s="6">
        <f t="shared" si="61"/>
        <v>2783</v>
      </c>
      <c r="U2784" s="4" t="s">
        <v>194</v>
      </c>
    </row>
    <row r="2785" spans="19:21" x14ac:dyDescent="0.25">
      <c r="S2785" s="6" t="s">
        <v>302</v>
      </c>
      <c r="T2785" s="6">
        <f t="shared" si="61"/>
        <v>2784</v>
      </c>
      <c r="U2785" s="4" t="s">
        <v>194</v>
      </c>
    </row>
    <row r="2786" spans="19:21" x14ac:dyDescent="0.25">
      <c r="S2786" s="6" t="s">
        <v>302</v>
      </c>
      <c r="T2786" s="6">
        <f t="shared" si="61"/>
        <v>2785</v>
      </c>
      <c r="U2786" s="4" t="s">
        <v>194</v>
      </c>
    </row>
    <row r="2787" spans="19:21" x14ac:dyDescent="0.25">
      <c r="S2787" s="6" t="s">
        <v>302</v>
      </c>
      <c r="T2787" s="6">
        <f t="shared" si="61"/>
        <v>2786</v>
      </c>
      <c r="U2787" s="4" t="s">
        <v>194</v>
      </c>
    </row>
    <row r="2788" spans="19:21" x14ac:dyDescent="0.25">
      <c r="S2788" s="6" t="s">
        <v>302</v>
      </c>
      <c r="T2788" s="6">
        <f t="shared" si="61"/>
        <v>2787</v>
      </c>
      <c r="U2788" s="4" t="s">
        <v>194</v>
      </c>
    </row>
    <row r="2789" spans="19:21" x14ac:dyDescent="0.25">
      <c r="S2789" s="6" t="s">
        <v>302</v>
      </c>
      <c r="T2789" s="6">
        <f t="shared" si="61"/>
        <v>2788</v>
      </c>
      <c r="U2789" s="4" t="s">
        <v>194</v>
      </c>
    </row>
    <row r="2790" spans="19:21" x14ac:dyDescent="0.25">
      <c r="S2790" s="6" t="s">
        <v>302</v>
      </c>
      <c r="T2790" s="6">
        <f t="shared" si="61"/>
        <v>2789</v>
      </c>
      <c r="U2790" s="4" t="s">
        <v>194</v>
      </c>
    </row>
    <row r="2791" spans="19:21" x14ac:dyDescent="0.25">
      <c r="S2791" s="6" t="s">
        <v>302</v>
      </c>
      <c r="T2791" s="6">
        <f t="shared" si="61"/>
        <v>2790</v>
      </c>
      <c r="U2791" s="4" t="s">
        <v>194</v>
      </c>
    </row>
    <row r="2792" spans="19:21" x14ac:dyDescent="0.25">
      <c r="S2792" s="6" t="s">
        <v>302</v>
      </c>
      <c r="T2792" s="6">
        <f t="shared" si="61"/>
        <v>2791</v>
      </c>
      <c r="U2792" s="4" t="s">
        <v>194</v>
      </c>
    </row>
    <row r="2793" spans="19:21" x14ac:dyDescent="0.25">
      <c r="S2793" s="6" t="s">
        <v>302</v>
      </c>
      <c r="T2793" s="6">
        <f t="shared" si="61"/>
        <v>2792</v>
      </c>
      <c r="U2793" s="4" t="s">
        <v>194</v>
      </c>
    </row>
    <row r="2794" spans="19:21" x14ac:dyDescent="0.25">
      <c r="S2794" s="6" t="s">
        <v>302</v>
      </c>
      <c r="T2794" s="6">
        <f t="shared" si="61"/>
        <v>2793</v>
      </c>
      <c r="U2794" s="4" t="s">
        <v>194</v>
      </c>
    </row>
    <row r="2795" spans="19:21" x14ac:dyDescent="0.25">
      <c r="S2795" s="6" t="s">
        <v>302</v>
      </c>
      <c r="T2795" s="6">
        <f t="shared" si="61"/>
        <v>2794</v>
      </c>
      <c r="U2795" s="4" t="s">
        <v>194</v>
      </c>
    </row>
    <row r="2796" spans="19:21" x14ac:dyDescent="0.25">
      <c r="S2796" s="6" t="s">
        <v>302</v>
      </c>
      <c r="T2796" s="6">
        <f t="shared" si="61"/>
        <v>2795</v>
      </c>
      <c r="U2796" s="4" t="s">
        <v>194</v>
      </c>
    </row>
    <row r="2797" spans="19:21" x14ac:dyDescent="0.25">
      <c r="S2797" s="6" t="s">
        <v>302</v>
      </c>
      <c r="T2797" s="6">
        <f t="shared" si="61"/>
        <v>2796</v>
      </c>
      <c r="U2797" s="4" t="s">
        <v>194</v>
      </c>
    </row>
    <row r="2798" spans="19:21" x14ac:dyDescent="0.25">
      <c r="S2798" s="6" t="s">
        <v>302</v>
      </c>
      <c r="T2798" s="6">
        <f t="shared" si="61"/>
        <v>2797</v>
      </c>
      <c r="U2798" s="4" t="s">
        <v>194</v>
      </c>
    </row>
    <row r="2799" spans="19:21" x14ac:dyDescent="0.25">
      <c r="S2799" s="6" t="s">
        <v>302</v>
      </c>
      <c r="T2799" s="6">
        <f t="shared" si="61"/>
        <v>2798</v>
      </c>
      <c r="U2799" s="4" t="s">
        <v>194</v>
      </c>
    </row>
    <row r="2800" spans="19:21" x14ac:dyDescent="0.25">
      <c r="S2800" s="6" t="s">
        <v>302</v>
      </c>
      <c r="T2800" s="6">
        <f t="shared" si="61"/>
        <v>2799</v>
      </c>
      <c r="U2800" s="4" t="s">
        <v>194</v>
      </c>
    </row>
    <row r="2801" spans="19:21" x14ac:dyDescent="0.25">
      <c r="S2801" s="6" t="s">
        <v>302</v>
      </c>
      <c r="T2801" s="6">
        <f t="shared" si="61"/>
        <v>2800</v>
      </c>
      <c r="U2801" s="4" t="s">
        <v>194</v>
      </c>
    </row>
    <row r="2802" spans="19:21" x14ac:dyDescent="0.25">
      <c r="S2802" s="6" t="s">
        <v>302</v>
      </c>
      <c r="T2802" s="6">
        <f t="shared" si="61"/>
        <v>2801</v>
      </c>
      <c r="U2802" s="4" t="s">
        <v>194</v>
      </c>
    </row>
    <row r="2803" spans="19:21" x14ac:dyDescent="0.25">
      <c r="S2803" s="6" t="s">
        <v>302</v>
      </c>
      <c r="T2803" s="6">
        <f t="shared" si="61"/>
        <v>2802</v>
      </c>
      <c r="U2803" s="4" t="s">
        <v>194</v>
      </c>
    </row>
    <row r="2804" spans="19:21" x14ac:dyDescent="0.25">
      <c r="S2804" s="6" t="s">
        <v>302</v>
      </c>
      <c r="T2804" s="6">
        <f t="shared" si="61"/>
        <v>2803</v>
      </c>
      <c r="U2804" s="4" t="s">
        <v>194</v>
      </c>
    </row>
    <row r="2805" spans="19:21" x14ac:dyDescent="0.25">
      <c r="S2805" s="6" t="s">
        <v>302</v>
      </c>
      <c r="T2805" s="6">
        <f t="shared" si="61"/>
        <v>2804</v>
      </c>
      <c r="U2805" s="4" t="s">
        <v>194</v>
      </c>
    </row>
    <row r="2806" spans="19:21" x14ac:dyDescent="0.25">
      <c r="S2806" s="6" t="s">
        <v>302</v>
      </c>
      <c r="T2806" s="6">
        <f t="shared" si="61"/>
        <v>2805</v>
      </c>
      <c r="U2806" s="4" t="s">
        <v>194</v>
      </c>
    </row>
    <row r="2807" spans="19:21" x14ac:dyDescent="0.25">
      <c r="S2807" s="6" t="s">
        <v>302</v>
      </c>
      <c r="T2807" s="6">
        <f t="shared" si="61"/>
        <v>2806</v>
      </c>
      <c r="U2807" s="4" t="s">
        <v>194</v>
      </c>
    </row>
    <row r="2808" spans="19:21" x14ac:dyDescent="0.25">
      <c r="S2808" s="6" t="s">
        <v>302</v>
      </c>
      <c r="T2808" s="6">
        <f t="shared" si="61"/>
        <v>2807</v>
      </c>
      <c r="U2808" s="4" t="s">
        <v>194</v>
      </c>
    </row>
    <row r="2809" spans="19:21" x14ac:dyDescent="0.25">
      <c r="S2809" s="6" t="s">
        <v>302</v>
      </c>
      <c r="T2809" s="6">
        <f t="shared" si="61"/>
        <v>2808</v>
      </c>
      <c r="U2809" s="4" t="s">
        <v>194</v>
      </c>
    </row>
    <row r="2810" spans="19:21" x14ac:dyDescent="0.25">
      <c r="S2810" s="6" t="s">
        <v>302</v>
      </c>
      <c r="T2810" s="6">
        <f t="shared" si="61"/>
        <v>2809</v>
      </c>
      <c r="U2810" s="4" t="s">
        <v>194</v>
      </c>
    </row>
    <row r="2811" spans="19:21" x14ac:dyDescent="0.25">
      <c r="S2811" s="6" t="s">
        <v>302</v>
      </c>
      <c r="T2811" s="6">
        <f t="shared" si="61"/>
        <v>2810</v>
      </c>
      <c r="U2811" s="4" t="s">
        <v>194</v>
      </c>
    </row>
    <row r="2812" spans="19:21" x14ac:dyDescent="0.25">
      <c r="S2812" s="6" t="s">
        <v>302</v>
      </c>
      <c r="T2812" s="6">
        <f t="shared" si="61"/>
        <v>2811</v>
      </c>
      <c r="U2812" s="4" t="s">
        <v>194</v>
      </c>
    </row>
    <row r="2813" spans="19:21" x14ac:dyDescent="0.25">
      <c r="S2813" s="6" t="s">
        <v>302</v>
      </c>
      <c r="T2813" s="6">
        <f t="shared" si="61"/>
        <v>2812</v>
      </c>
      <c r="U2813" s="4" t="s">
        <v>194</v>
      </c>
    </row>
    <row r="2814" spans="19:21" x14ac:dyDescent="0.25">
      <c r="S2814" s="6" t="s">
        <v>302</v>
      </c>
      <c r="T2814" s="6">
        <f t="shared" si="61"/>
        <v>2813</v>
      </c>
      <c r="U2814" s="4" t="s">
        <v>194</v>
      </c>
    </row>
    <row r="2815" spans="19:21" x14ac:dyDescent="0.25">
      <c r="S2815" s="6" t="s">
        <v>302</v>
      </c>
      <c r="T2815" s="6">
        <f t="shared" si="61"/>
        <v>2814</v>
      </c>
      <c r="U2815" s="4" t="s">
        <v>194</v>
      </c>
    </row>
    <row r="2816" spans="19:21" x14ac:dyDescent="0.25">
      <c r="S2816" s="6" t="s">
        <v>302</v>
      </c>
      <c r="T2816" s="6">
        <f t="shared" si="61"/>
        <v>2815</v>
      </c>
      <c r="U2816" s="4" t="s">
        <v>194</v>
      </c>
    </row>
    <row r="2817" spans="19:21" x14ac:dyDescent="0.25">
      <c r="S2817" s="6" t="s">
        <v>302</v>
      </c>
      <c r="T2817" s="6">
        <f t="shared" si="61"/>
        <v>2816</v>
      </c>
      <c r="U2817" s="4" t="s">
        <v>194</v>
      </c>
    </row>
    <row r="2818" spans="19:21" x14ac:dyDescent="0.25">
      <c r="S2818" s="6" t="s">
        <v>302</v>
      </c>
      <c r="T2818" s="6">
        <f t="shared" si="61"/>
        <v>2817</v>
      </c>
      <c r="U2818" s="4" t="s">
        <v>194</v>
      </c>
    </row>
    <row r="2819" spans="19:21" x14ac:dyDescent="0.25">
      <c r="S2819" s="6" t="s">
        <v>302</v>
      </c>
      <c r="T2819" s="6">
        <f t="shared" si="61"/>
        <v>2818</v>
      </c>
      <c r="U2819" s="4" t="s">
        <v>194</v>
      </c>
    </row>
    <row r="2820" spans="19:21" x14ac:dyDescent="0.25">
      <c r="S2820" s="6" t="s">
        <v>302</v>
      </c>
      <c r="T2820" s="6">
        <f t="shared" si="61"/>
        <v>2819</v>
      </c>
      <c r="U2820" s="4" t="s">
        <v>194</v>
      </c>
    </row>
    <row r="2821" spans="19:21" x14ac:dyDescent="0.25">
      <c r="S2821" s="6" t="s">
        <v>302</v>
      </c>
      <c r="T2821" s="6">
        <f t="shared" si="61"/>
        <v>2820</v>
      </c>
      <c r="U2821" s="4" t="s">
        <v>194</v>
      </c>
    </row>
    <row r="2822" spans="19:21" x14ac:dyDescent="0.25">
      <c r="S2822" s="6" t="s">
        <v>302</v>
      </c>
      <c r="T2822" s="6">
        <f t="shared" si="61"/>
        <v>2821</v>
      </c>
      <c r="U2822" s="4" t="s">
        <v>194</v>
      </c>
    </row>
    <row r="2823" spans="19:21" x14ac:dyDescent="0.25">
      <c r="S2823" s="6" t="s">
        <v>302</v>
      </c>
      <c r="T2823" s="6">
        <f t="shared" si="61"/>
        <v>2822</v>
      </c>
      <c r="U2823" s="4" t="s">
        <v>194</v>
      </c>
    </row>
    <row r="2824" spans="19:21" x14ac:dyDescent="0.25">
      <c r="S2824" s="6" t="s">
        <v>302</v>
      </c>
      <c r="T2824" s="6">
        <f t="shared" si="61"/>
        <v>2823</v>
      </c>
      <c r="U2824" s="4" t="s">
        <v>194</v>
      </c>
    </row>
    <row r="2825" spans="19:21" x14ac:dyDescent="0.25">
      <c r="S2825" s="6" t="s">
        <v>302</v>
      </c>
      <c r="T2825" s="6">
        <f t="shared" si="61"/>
        <v>2824</v>
      </c>
      <c r="U2825" s="4" t="s">
        <v>194</v>
      </c>
    </row>
    <row r="2826" spans="19:21" x14ac:dyDescent="0.25">
      <c r="S2826" s="6" t="s">
        <v>302</v>
      </c>
      <c r="T2826" s="6">
        <f t="shared" si="61"/>
        <v>2825</v>
      </c>
      <c r="U2826" s="4" t="s">
        <v>194</v>
      </c>
    </row>
    <row r="2827" spans="19:21" x14ac:dyDescent="0.25">
      <c r="S2827" s="6" t="s">
        <v>302</v>
      </c>
      <c r="T2827" s="6">
        <f t="shared" si="61"/>
        <v>2826</v>
      </c>
      <c r="U2827" s="4" t="s">
        <v>194</v>
      </c>
    </row>
    <row r="2828" spans="19:21" x14ac:dyDescent="0.25">
      <c r="S2828" s="6" t="s">
        <v>302</v>
      </c>
      <c r="T2828" s="6">
        <f t="shared" si="61"/>
        <v>2827</v>
      </c>
      <c r="U2828" s="4" t="s">
        <v>194</v>
      </c>
    </row>
    <row r="2829" spans="19:21" x14ac:dyDescent="0.25">
      <c r="S2829" s="6" t="s">
        <v>302</v>
      </c>
      <c r="T2829" s="6">
        <f t="shared" si="61"/>
        <v>2828</v>
      </c>
      <c r="U2829" s="4" t="s">
        <v>194</v>
      </c>
    </row>
    <row r="2830" spans="19:21" x14ac:dyDescent="0.25">
      <c r="S2830" s="6" t="s">
        <v>302</v>
      </c>
      <c r="T2830" s="6">
        <f t="shared" si="61"/>
        <v>2829</v>
      </c>
      <c r="U2830" s="4" t="s">
        <v>194</v>
      </c>
    </row>
    <row r="2831" spans="19:21" x14ac:dyDescent="0.25">
      <c r="S2831" s="6" t="s">
        <v>302</v>
      </c>
      <c r="T2831" s="6">
        <f t="shared" si="61"/>
        <v>2830</v>
      </c>
      <c r="U2831" s="4" t="s">
        <v>194</v>
      </c>
    </row>
    <row r="2832" spans="19:21" x14ac:dyDescent="0.25">
      <c r="S2832" s="6" t="s">
        <v>302</v>
      </c>
      <c r="T2832" s="6">
        <f t="shared" si="61"/>
        <v>2831</v>
      </c>
      <c r="U2832" s="4" t="s">
        <v>194</v>
      </c>
    </row>
    <row r="2833" spans="19:21" x14ac:dyDescent="0.25">
      <c r="S2833" s="6" t="s">
        <v>302</v>
      </c>
      <c r="T2833" s="6">
        <f t="shared" si="61"/>
        <v>2832</v>
      </c>
      <c r="U2833" s="4" t="s">
        <v>194</v>
      </c>
    </row>
    <row r="2834" spans="19:21" x14ac:dyDescent="0.25">
      <c r="S2834" s="6" t="s">
        <v>302</v>
      </c>
      <c r="T2834" s="6">
        <f t="shared" si="61"/>
        <v>2833</v>
      </c>
      <c r="U2834" s="4" t="s">
        <v>194</v>
      </c>
    </row>
    <row r="2835" spans="19:21" x14ac:dyDescent="0.25">
      <c r="S2835" s="6" t="s">
        <v>302</v>
      </c>
      <c r="T2835" s="6">
        <f t="shared" si="61"/>
        <v>2834</v>
      </c>
      <c r="U2835" s="4" t="s">
        <v>194</v>
      </c>
    </row>
    <row r="2836" spans="19:21" x14ac:dyDescent="0.25">
      <c r="S2836" s="6" t="s">
        <v>302</v>
      </c>
      <c r="T2836" s="6">
        <f t="shared" si="61"/>
        <v>2835</v>
      </c>
      <c r="U2836" s="4" t="s">
        <v>194</v>
      </c>
    </row>
    <row r="2837" spans="19:21" x14ac:dyDescent="0.25">
      <c r="S2837" s="6" t="s">
        <v>302</v>
      </c>
      <c r="T2837" s="6">
        <f t="shared" si="61"/>
        <v>2836</v>
      </c>
      <c r="U2837" s="4" t="s">
        <v>194</v>
      </c>
    </row>
    <row r="2838" spans="19:21" x14ac:dyDescent="0.25">
      <c r="S2838" s="6" t="s">
        <v>302</v>
      </c>
      <c r="T2838" s="6">
        <f t="shared" si="61"/>
        <v>2837</v>
      </c>
      <c r="U2838" s="4" t="s">
        <v>194</v>
      </c>
    </row>
    <row r="2839" spans="19:21" x14ac:dyDescent="0.25">
      <c r="S2839" s="6" t="s">
        <v>302</v>
      </c>
      <c r="T2839" s="6">
        <f t="shared" si="61"/>
        <v>2838</v>
      </c>
      <c r="U2839" s="4" t="s">
        <v>194</v>
      </c>
    </row>
    <row r="2840" spans="19:21" x14ac:dyDescent="0.25">
      <c r="S2840" s="6" t="s">
        <v>302</v>
      </c>
      <c r="T2840" s="6">
        <f t="shared" si="61"/>
        <v>2839</v>
      </c>
      <c r="U2840" s="4" t="s">
        <v>194</v>
      </c>
    </row>
    <row r="2841" spans="19:21" x14ac:dyDescent="0.25">
      <c r="S2841" s="6" t="s">
        <v>302</v>
      </c>
      <c r="T2841" s="6">
        <f t="shared" si="61"/>
        <v>2840</v>
      </c>
      <c r="U2841" s="4" t="s">
        <v>194</v>
      </c>
    </row>
    <row r="2842" spans="19:21" x14ac:dyDescent="0.25">
      <c r="S2842" s="6" t="s">
        <v>302</v>
      </c>
      <c r="T2842" s="6">
        <f t="shared" si="61"/>
        <v>2841</v>
      </c>
      <c r="U2842" s="4" t="s">
        <v>194</v>
      </c>
    </row>
    <row r="2843" spans="19:21" x14ac:dyDescent="0.25">
      <c r="S2843" s="6" t="s">
        <v>302</v>
      </c>
      <c r="T2843" s="6">
        <f t="shared" si="61"/>
        <v>2842</v>
      </c>
      <c r="U2843" s="4" t="s">
        <v>194</v>
      </c>
    </row>
    <row r="2844" spans="19:21" x14ac:dyDescent="0.25">
      <c r="S2844" s="6" t="s">
        <v>302</v>
      </c>
      <c r="T2844" s="6">
        <f t="shared" si="61"/>
        <v>2843</v>
      </c>
      <c r="U2844" s="4" t="s">
        <v>194</v>
      </c>
    </row>
    <row r="2845" spans="19:21" x14ac:dyDescent="0.25">
      <c r="S2845" s="6" t="s">
        <v>302</v>
      </c>
      <c r="T2845" s="6">
        <f t="shared" si="61"/>
        <v>2844</v>
      </c>
      <c r="U2845" s="4" t="s">
        <v>194</v>
      </c>
    </row>
    <row r="2846" spans="19:21" x14ac:dyDescent="0.25">
      <c r="S2846" s="6" t="s">
        <v>302</v>
      </c>
      <c r="T2846" s="6">
        <f t="shared" ref="T2846:T2909" si="62">T2845+1</f>
        <v>2845</v>
      </c>
      <c r="U2846" s="4" t="s">
        <v>194</v>
      </c>
    </row>
    <row r="2847" spans="19:21" x14ac:dyDescent="0.25">
      <c r="S2847" s="6" t="s">
        <v>302</v>
      </c>
      <c r="T2847" s="6">
        <f t="shared" si="62"/>
        <v>2846</v>
      </c>
      <c r="U2847" s="4" t="s">
        <v>194</v>
      </c>
    </row>
    <row r="2848" spans="19:21" x14ac:dyDescent="0.25">
      <c r="S2848" s="6" t="s">
        <v>302</v>
      </c>
      <c r="T2848" s="6">
        <f t="shared" si="62"/>
        <v>2847</v>
      </c>
      <c r="U2848" s="4" t="s">
        <v>194</v>
      </c>
    </row>
    <row r="2849" spans="19:21" x14ac:dyDescent="0.25">
      <c r="S2849" s="6" t="s">
        <v>302</v>
      </c>
      <c r="T2849" s="6">
        <f t="shared" si="62"/>
        <v>2848</v>
      </c>
      <c r="U2849" s="4" t="s">
        <v>194</v>
      </c>
    </row>
    <row r="2850" spans="19:21" x14ac:dyDescent="0.25">
      <c r="S2850" s="6" t="s">
        <v>302</v>
      </c>
      <c r="T2850" s="6">
        <f t="shared" si="62"/>
        <v>2849</v>
      </c>
      <c r="U2850" s="4" t="s">
        <v>194</v>
      </c>
    </row>
    <row r="2851" spans="19:21" x14ac:dyDescent="0.25">
      <c r="S2851" s="6" t="s">
        <v>302</v>
      </c>
      <c r="T2851" s="6">
        <f t="shared" si="62"/>
        <v>2850</v>
      </c>
      <c r="U2851" s="4" t="s">
        <v>194</v>
      </c>
    </row>
    <row r="2852" spans="19:21" x14ac:dyDescent="0.25">
      <c r="S2852" s="6" t="s">
        <v>302</v>
      </c>
      <c r="T2852" s="6">
        <f t="shared" si="62"/>
        <v>2851</v>
      </c>
      <c r="U2852" s="4" t="s">
        <v>194</v>
      </c>
    </row>
    <row r="2853" spans="19:21" x14ac:dyDescent="0.25">
      <c r="S2853" s="6" t="s">
        <v>302</v>
      </c>
      <c r="T2853" s="6">
        <f t="shared" si="62"/>
        <v>2852</v>
      </c>
      <c r="U2853" s="4" t="s">
        <v>194</v>
      </c>
    </row>
    <row r="2854" spans="19:21" x14ac:dyDescent="0.25">
      <c r="S2854" s="6" t="s">
        <v>302</v>
      </c>
      <c r="T2854" s="6">
        <f t="shared" si="62"/>
        <v>2853</v>
      </c>
      <c r="U2854" s="4" t="s">
        <v>194</v>
      </c>
    </row>
    <row r="2855" spans="19:21" x14ac:dyDescent="0.25">
      <c r="S2855" s="6" t="s">
        <v>302</v>
      </c>
      <c r="T2855" s="6">
        <f t="shared" si="62"/>
        <v>2854</v>
      </c>
      <c r="U2855" s="4" t="s">
        <v>194</v>
      </c>
    </row>
    <row r="2856" spans="19:21" x14ac:dyDescent="0.25">
      <c r="S2856" s="6" t="s">
        <v>302</v>
      </c>
      <c r="T2856" s="6">
        <f t="shared" si="62"/>
        <v>2855</v>
      </c>
      <c r="U2856" s="4" t="s">
        <v>194</v>
      </c>
    </row>
    <row r="2857" spans="19:21" x14ac:dyDescent="0.25">
      <c r="S2857" s="6" t="s">
        <v>302</v>
      </c>
      <c r="T2857" s="6">
        <f t="shared" si="62"/>
        <v>2856</v>
      </c>
      <c r="U2857" s="4" t="s">
        <v>194</v>
      </c>
    </row>
    <row r="2858" spans="19:21" x14ac:dyDescent="0.25">
      <c r="S2858" s="6" t="s">
        <v>302</v>
      </c>
      <c r="T2858" s="6">
        <f t="shared" si="62"/>
        <v>2857</v>
      </c>
      <c r="U2858" s="4" t="s">
        <v>194</v>
      </c>
    </row>
    <row r="2859" spans="19:21" x14ac:dyDescent="0.25">
      <c r="S2859" s="6" t="s">
        <v>302</v>
      </c>
      <c r="T2859" s="6">
        <f t="shared" si="62"/>
        <v>2858</v>
      </c>
      <c r="U2859" s="4" t="s">
        <v>194</v>
      </c>
    </row>
    <row r="2860" spans="19:21" x14ac:dyDescent="0.25">
      <c r="S2860" s="6" t="s">
        <v>302</v>
      </c>
      <c r="T2860" s="6">
        <f t="shared" si="62"/>
        <v>2859</v>
      </c>
      <c r="U2860" s="4" t="s">
        <v>194</v>
      </c>
    </row>
    <row r="2861" spans="19:21" x14ac:dyDescent="0.25">
      <c r="S2861" s="6" t="s">
        <v>302</v>
      </c>
      <c r="T2861" s="6">
        <f t="shared" si="62"/>
        <v>2860</v>
      </c>
      <c r="U2861" s="4" t="s">
        <v>194</v>
      </c>
    </row>
    <row r="2862" spans="19:21" x14ac:dyDescent="0.25">
      <c r="S2862" s="6" t="s">
        <v>302</v>
      </c>
      <c r="T2862" s="6">
        <f t="shared" si="62"/>
        <v>2861</v>
      </c>
      <c r="U2862" s="4" t="s">
        <v>194</v>
      </c>
    </row>
    <row r="2863" spans="19:21" x14ac:dyDescent="0.25">
      <c r="S2863" s="6" t="s">
        <v>302</v>
      </c>
      <c r="T2863" s="6">
        <f t="shared" si="62"/>
        <v>2862</v>
      </c>
      <c r="U2863" s="4" t="s">
        <v>194</v>
      </c>
    </row>
    <row r="2864" spans="19:21" x14ac:dyDescent="0.25">
      <c r="S2864" s="6" t="s">
        <v>302</v>
      </c>
      <c r="T2864" s="6">
        <f t="shared" si="62"/>
        <v>2863</v>
      </c>
      <c r="U2864" s="4" t="s">
        <v>194</v>
      </c>
    </row>
    <row r="2865" spans="19:21" x14ac:dyDescent="0.25">
      <c r="S2865" s="6" t="s">
        <v>302</v>
      </c>
      <c r="T2865" s="6">
        <f t="shared" si="62"/>
        <v>2864</v>
      </c>
      <c r="U2865" s="4" t="s">
        <v>194</v>
      </c>
    </row>
    <row r="2866" spans="19:21" x14ac:dyDescent="0.25">
      <c r="S2866" s="6" t="s">
        <v>302</v>
      </c>
      <c r="T2866" s="6">
        <f t="shared" si="62"/>
        <v>2865</v>
      </c>
      <c r="U2866" s="4" t="s">
        <v>194</v>
      </c>
    </row>
    <row r="2867" spans="19:21" x14ac:dyDescent="0.25">
      <c r="S2867" s="6" t="s">
        <v>302</v>
      </c>
      <c r="T2867" s="6">
        <f t="shared" si="62"/>
        <v>2866</v>
      </c>
      <c r="U2867" s="4" t="s">
        <v>194</v>
      </c>
    </row>
    <row r="2868" spans="19:21" x14ac:dyDescent="0.25">
      <c r="S2868" s="6" t="s">
        <v>302</v>
      </c>
      <c r="T2868" s="6">
        <f t="shared" si="62"/>
        <v>2867</v>
      </c>
      <c r="U2868" s="4" t="s">
        <v>194</v>
      </c>
    </row>
    <row r="2869" spans="19:21" x14ac:dyDescent="0.25">
      <c r="S2869" s="6" t="s">
        <v>302</v>
      </c>
      <c r="T2869" s="6">
        <f t="shared" si="62"/>
        <v>2868</v>
      </c>
      <c r="U2869" s="4" t="s">
        <v>194</v>
      </c>
    </row>
    <row r="2870" spans="19:21" x14ac:dyDescent="0.25">
      <c r="S2870" s="6" t="s">
        <v>302</v>
      </c>
      <c r="T2870" s="6">
        <f t="shared" si="62"/>
        <v>2869</v>
      </c>
      <c r="U2870" s="4" t="s">
        <v>194</v>
      </c>
    </row>
    <row r="2871" spans="19:21" x14ac:dyDescent="0.25">
      <c r="S2871" s="6" t="s">
        <v>302</v>
      </c>
      <c r="T2871" s="6">
        <f t="shared" si="62"/>
        <v>2870</v>
      </c>
      <c r="U2871" s="4" t="s">
        <v>194</v>
      </c>
    </row>
    <row r="2872" spans="19:21" x14ac:dyDescent="0.25">
      <c r="S2872" s="6" t="s">
        <v>302</v>
      </c>
      <c r="T2872" s="6">
        <f t="shared" si="62"/>
        <v>2871</v>
      </c>
      <c r="U2872" s="4" t="s">
        <v>194</v>
      </c>
    </row>
    <row r="2873" spans="19:21" x14ac:dyDescent="0.25">
      <c r="S2873" s="6" t="s">
        <v>302</v>
      </c>
      <c r="T2873" s="6">
        <f t="shared" si="62"/>
        <v>2872</v>
      </c>
      <c r="U2873" s="4" t="s">
        <v>194</v>
      </c>
    </row>
    <row r="2874" spans="19:21" x14ac:dyDescent="0.25">
      <c r="S2874" s="6" t="s">
        <v>302</v>
      </c>
      <c r="T2874" s="6">
        <f t="shared" si="62"/>
        <v>2873</v>
      </c>
      <c r="U2874" s="4" t="s">
        <v>194</v>
      </c>
    </row>
    <row r="2875" spans="19:21" x14ac:dyDescent="0.25">
      <c r="S2875" s="6" t="s">
        <v>302</v>
      </c>
      <c r="T2875" s="6">
        <f t="shared" si="62"/>
        <v>2874</v>
      </c>
      <c r="U2875" s="4" t="s">
        <v>194</v>
      </c>
    </row>
    <row r="2876" spans="19:21" x14ac:dyDescent="0.25">
      <c r="S2876" s="6" t="s">
        <v>302</v>
      </c>
      <c r="T2876" s="6">
        <f t="shared" si="62"/>
        <v>2875</v>
      </c>
      <c r="U2876" s="4" t="s">
        <v>194</v>
      </c>
    </row>
    <row r="2877" spans="19:21" x14ac:dyDescent="0.25">
      <c r="S2877" s="6" t="s">
        <v>302</v>
      </c>
      <c r="T2877" s="6">
        <f t="shared" si="62"/>
        <v>2876</v>
      </c>
      <c r="U2877" s="4" t="s">
        <v>194</v>
      </c>
    </row>
    <row r="2878" spans="19:21" x14ac:dyDescent="0.25">
      <c r="S2878" s="6" t="s">
        <v>302</v>
      </c>
      <c r="T2878" s="6">
        <f t="shared" si="62"/>
        <v>2877</v>
      </c>
      <c r="U2878" s="4" t="s">
        <v>194</v>
      </c>
    </row>
    <row r="2879" spans="19:21" x14ac:dyDescent="0.25">
      <c r="S2879" s="6" t="s">
        <v>302</v>
      </c>
      <c r="T2879" s="6">
        <f t="shared" si="62"/>
        <v>2878</v>
      </c>
      <c r="U2879" s="4" t="s">
        <v>194</v>
      </c>
    </row>
    <row r="2880" spans="19:21" x14ac:dyDescent="0.25">
      <c r="S2880" s="6" t="s">
        <v>302</v>
      </c>
      <c r="T2880" s="6">
        <f t="shared" si="62"/>
        <v>2879</v>
      </c>
      <c r="U2880" s="4" t="s">
        <v>194</v>
      </c>
    </row>
    <row r="2881" spans="19:21" x14ac:dyDescent="0.25">
      <c r="S2881" s="6" t="s">
        <v>302</v>
      </c>
      <c r="T2881" s="6">
        <f t="shared" si="62"/>
        <v>2880</v>
      </c>
      <c r="U2881" s="4" t="s">
        <v>194</v>
      </c>
    </row>
    <row r="2882" spans="19:21" x14ac:dyDescent="0.25">
      <c r="S2882" s="6" t="s">
        <v>302</v>
      </c>
      <c r="T2882" s="6">
        <f t="shared" si="62"/>
        <v>2881</v>
      </c>
      <c r="U2882" s="4" t="s">
        <v>194</v>
      </c>
    </row>
    <row r="2883" spans="19:21" x14ac:dyDescent="0.25">
      <c r="S2883" s="6" t="s">
        <v>302</v>
      </c>
      <c r="T2883" s="6">
        <f t="shared" si="62"/>
        <v>2882</v>
      </c>
      <c r="U2883" s="4" t="s">
        <v>194</v>
      </c>
    </row>
    <row r="2884" spans="19:21" x14ac:dyDescent="0.25">
      <c r="S2884" s="6" t="s">
        <v>302</v>
      </c>
      <c r="T2884" s="6">
        <f t="shared" si="62"/>
        <v>2883</v>
      </c>
      <c r="U2884" s="4" t="s">
        <v>194</v>
      </c>
    </row>
    <row r="2885" spans="19:21" x14ac:dyDescent="0.25">
      <c r="S2885" s="6" t="s">
        <v>302</v>
      </c>
      <c r="T2885" s="6">
        <f t="shared" si="62"/>
        <v>2884</v>
      </c>
      <c r="U2885" s="4" t="s">
        <v>194</v>
      </c>
    </row>
    <row r="2886" spans="19:21" x14ac:dyDescent="0.25">
      <c r="S2886" s="6" t="s">
        <v>302</v>
      </c>
      <c r="T2886" s="6">
        <f t="shared" si="62"/>
        <v>2885</v>
      </c>
      <c r="U2886" s="4" t="s">
        <v>194</v>
      </c>
    </row>
    <row r="2887" spans="19:21" x14ac:dyDescent="0.25">
      <c r="S2887" s="6" t="s">
        <v>302</v>
      </c>
      <c r="T2887" s="6">
        <f t="shared" si="62"/>
        <v>2886</v>
      </c>
      <c r="U2887" s="4" t="s">
        <v>194</v>
      </c>
    </row>
    <row r="2888" spans="19:21" x14ac:dyDescent="0.25">
      <c r="S2888" s="6" t="s">
        <v>302</v>
      </c>
      <c r="T2888" s="6">
        <f t="shared" si="62"/>
        <v>2887</v>
      </c>
      <c r="U2888" s="4" t="s">
        <v>194</v>
      </c>
    </row>
    <row r="2889" spans="19:21" x14ac:dyDescent="0.25">
      <c r="S2889" s="6" t="s">
        <v>302</v>
      </c>
      <c r="T2889" s="6">
        <f t="shared" si="62"/>
        <v>2888</v>
      </c>
      <c r="U2889" s="4" t="s">
        <v>194</v>
      </c>
    </row>
    <row r="2890" spans="19:21" x14ac:dyDescent="0.25">
      <c r="S2890" s="6" t="s">
        <v>302</v>
      </c>
      <c r="T2890" s="6">
        <f t="shared" si="62"/>
        <v>2889</v>
      </c>
      <c r="U2890" s="4" t="s">
        <v>194</v>
      </c>
    </row>
    <row r="2891" spans="19:21" x14ac:dyDescent="0.25">
      <c r="S2891" s="6" t="s">
        <v>302</v>
      </c>
      <c r="T2891" s="6">
        <f t="shared" si="62"/>
        <v>2890</v>
      </c>
      <c r="U2891" s="4" t="s">
        <v>194</v>
      </c>
    </row>
    <row r="2892" spans="19:21" x14ac:dyDescent="0.25">
      <c r="S2892" s="6" t="s">
        <v>302</v>
      </c>
      <c r="T2892" s="6">
        <f t="shared" si="62"/>
        <v>2891</v>
      </c>
      <c r="U2892" s="4" t="s">
        <v>194</v>
      </c>
    </row>
    <row r="2893" spans="19:21" x14ac:dyDescent="0.25">
      <c r="S2893" s="6" t="s">
        <v>302</v>
      </c>
      <c r="T2893" s="6">
        <f t="shared" si="62"/>
        <v>2892</v>
      </c>
      <c r="U2893" s="4" t="s">
        <v>194</v>
      </c>
    </row>
    <row r="2894" spans="19:21" x14ac:dyDescent="0.25">
      <c r="S2894" s="6" t="s">
        <v>302</v>
      </c>
      <c r="T2894" s="6">
        <f t="shared" si="62"/>
        <v>2893</v>
      </c>
      <c r="U2894" s="4" t="s">
        <v>194</v>
      </c>
    </row>
    <row r="2895" spans="19:21" x14ac:dyDescent="0.25">
      <c r="S2895" s="6" t="s">
        <v>302</v>
      </c>
      <c r="T2895" s="6">
        <f t="shared" si="62"/>
        <v>2894</v>
      </c>
      <c r="U2895" s="4" t="s">
        <v>194</v>
      </c>
    </row>
    <row r="2896" spans="19:21" x14ac:dyDescent="0.25">
      <c r="S2896" s="6" t="s">
        <v>302</v>
      </c>
      <c r="T2896" s="6">
        <f t="shared" si="62"/>
        <v>2895</v>
      </c>
      <c r="U2896" s="4" t="s">
        <v>194</v>
      </c>
    </row>
    <row r="2897" spans="19:21" x14ac:dyDescent="0.25">
      <c r="S2897" s="6" t="s">
        <v>302</v>
      </c>
      <c r="T2897" s="6">
        <f t="shared" si="62"/>
        <v>2896</v>
      </c>
      <c r="U2897" s="4" t="s">
        <v>194</v>
      </c>
    </row>
    <row r="2898" spans="19:21" x14ac:dyDescent="0.25">
      <c r="S2898" s="6" t="s">
        <v>302</v>
      </c>
      <c r="T2898" s="6">
        <f t="shared" si="62"/>
        <v>2897</v>
      </c>
      <c r="U2898" s="4" t="s">
        <v>194</v>
      </c>
    </row>
    <row r="2899" spans="19:21" x14ac:dyDescent="0.25">
      <c r="S2899" s="6" t="s">
        <v>302</v>
      </c>
      <c r="T2899" s="6">
        <f t="shared" si="62"/>
        <v>2898</v>
      </c>
      <c r="U2899" s="4" t="s">
        <v>194</v>
      </c>
    </row>
    <row r="2900" spans="19:21" x14ac:dyDescent="0.25">
      <c r="S2900" s="6" t="s">
        <v>302</v>
      </c>
      <c r="T2900" s="6">
        <f t="shared" si="62"/>
        <v>2899</v>
      </c>
      <c r="U2900" s="4" t="s">
        <v>194</v>
      </c>
    </row>
    <row r="2901" spans="19:21" x14ac:dyDescent="0.25">
      <c r="S2901" s="6" t="s">
        <v>302</v>
      </c>
      <c r="T2901" s="6">
        <f t="shared" si="62"/>
        <v>2900</v>
      </c>
      <c r="U2901" s="4" t="s">
        <v>194</v>
      </c>
    </row>
    <row r="2902" spans="19:21" x14ac:dyDescent="0.25">
      <c r="S2902" s="6" t="s">
        <v>302</v>
      </c>
      <c r="T2902" s="6">
        <f t="shared" si="62"/>
        <v>2901</v>
      </c>
      <c r="U2902" s="4" t="s">
        <v>194</v>
      </c>
    </row>
    <row r="2903" spans="19:21" x14ac:dyDescent="0.25">
      <c r="S2903" s="6" t="s">
        <v>302</v>
      </c>
      <c r="T2903" s="6">
        <f t="shared" si="62"/>
        <v>2902</v>
      </c>
      <c r="U2903" s="4" t="s">
        <v>194</v>
      </c>
    </row>
    <row r="2904" spans="19:21" x14ac:dyDescent="0.25">
      <c r="S2904" s="6" t="s">
        <v>302</v>
      </c>
      <c r="T2904" s="6">
        <f t="shared" si="62"/>
        <v>2903</v>
      </c>
      <c r="U2904" s="4" t="s">
        <v>194</v>
      </c>
    </row>
    <row r="2905" spans="19:21" x14ac:dyDescent="0.25">
      <c r="S2905" s="6" t="s">
        <v>302</v>
      </c>
      <c r="T2905" s="6">
        <f t="shared" si="62"/>
        <v>2904</v>
      </c>
      <c r="U2905" s="4" t="s">
        <v>194</v>
      </c>
    </row>
    <row r="2906" spans="19:21" x14ac:dyDescent="0.25">
      <c r="S2906" s="6" t="s">
        <v>302</v>
      </c>
      <c r="T2906" s="6">
        <f t="shared" si="62"/>
        <v>2905</v>
      </c>
      <c r="U2906" s="4" t="s">
        <v>194</v>
      </c>
    </row>
    <row r="2907" spans="19:21" x14ac:dyDescent="0.25">
      <c r="S2907" s="6" t="s">
        <v>302</v>
      </c>
      <c r="T2907" s="6">
        <f t="shared" si="62"/>
        <v>2906</v>
      </c>
      <c r="U2907" s="4" t="s">
        <v>194</v>
      </c>
    </row>
    <row r="2908" spans="19:21" x14ac:dyDescent="0.25">
      <c r="S2908" s="6" t="s">
        <v>302</v>
      </c>
      <c r="T2908" s="6">
        <f t="shared" si="62"/>
        <v>2907</v>
      </c>
      <c r="U2908" s="4" t="s">
        <v>194</v>
      </c>
    </row>
    <row r="2909" spans="19:21" x14ac:dyDescent="0.25">
      <c r="S2909" s="6" t="s">
        <v>302</v>
      </c>
      <c r="T2909" s="6">
        <f t="shared" si="62"/>
        <v>2908</v>
      </c>
      <c r="U2909" s="4" t="s">
        <v>194</v>
      </c>
    </row>
    <row r="2910" spans="19:21" x14ac:dyDescent="0.25">
      <c r="S2910" s="6" t="s">
        <v>302</v>
      </c>
      <c r="T2910" s="6">
        <f t="shared" ref="T2910:T2973" si="63">T2909+1</f>
        <v>2909</v>
      </c>
      <c r="U2910" s="4" t="s">
        <v>194</v>
      </c>
    </row>
    <row r="2911" spans="19:21" x14ac:dyDescent="0.25">
      <c r="S2911" s="6" t="s">
        <v>302</v>
      </c>
      <c r="T2911" s="6">
        <f t="shared" si="63"/>
        <v>2910</v>
      </c>
      <c r="U2911" s="4" t="s">
        <v>194</v>
      </c>
    </row>
    <row r="2912" spans="19:21" x14ac:dyDescent="0.25">
      <c r="S2912" s="6" t="s">
        <v>302</v>
      </c>
      <c r="T2912" s="6">
        <f t="shared" si="63"/>
        <v>2911</v>
      </c>
      <c r="U2912" s="4" t="s">
        <v>194</v>
      </c>
    </row>
    <row r="2913" spans="19:21" x14ac:dyDescent="0.25">
      <c r="S2913" s="6" t="s">
        <v>302</v>
      </c>
      <c r="T2913" s="6">
        <f t="shared" si="63"/>
        <v>2912</v>
      </c>
      <c r="U2913" s="4" t="s">
        <v>194</v>
      </c>
    </row>
    <row r="2914" spans="19:21" x14ac:dyDescent="0.25">
      <c r="S2914" s="6" t="s">
        <v>302</v>
      </c>
      <c r="T2914" s="6">
        <f t="shared" si="63"/>
        <v>2913</v>
      </c>
      <c r="U2914" s="4" t="s">
        <v>194</v>
      </c>
    </row>
    <row r="2915" spans="19:21" x14ac:dyDescent="0.25">
      <c r="S2915" s="6" t="s">
        <v>302</v>
      </c>
      <c r="T2915" s="6">
        <f t="shared" si="63"/>
        <v>2914</v>
      </c>
      <c r="U2915" s="4" t="s">
        <v>194</v>
      </c>
    </row>
    <row r="2916" spans="19:21" x14ac:dyDescent="0.25">
      <c r="S2916" s="6" t="s">
        <v>302</v>
      </c>
      <c r="T2916" s="6">
        <f t="shared" si="63"/>
        <v>2915</v>
      </c>
      <c r="U2916" s="4" t="s">
        <v>194</v>
      </c>
    </row>
    <row r="2917" spans="19:21" x14ac:dyDescent="0.25">
      <c r="S2917" s="6" t="s">
        <v>302</v>
      </c>
      <c r="T2917" s="6">
        <f t="shared" si="63"/>
        <v>2916</v>
      </c>
      <c r="U2917" s="4" t="s">
        <v>194</v>
      </c>
    </row>
    <row r="2918" spans="19:21" x14ac:dyDescent="0.25">
      <c r="S2918" s="6" t="s">
        <v>302</v>
      </c>
      <c r="T2918" s="6">
        <f t="shared" si="63"/>
        <v>2917</v>
      </c>
      <c r="U2918" s="4" t="s">
        <v>194</v>
      </c>
    </row>
    <row r="2919" spans="19:21" x14ac:dyDescent="0.25">
      <c r="S2919" s="6" t="s">
        <v>302</v>
      </c>
      <c r="T2919" s="6">
        <f t="shared" si="63"/>
        <v>2918</v>
      </c>
      <c r="U2919" s="4" t="s">
        <v>194</v>
      </c>
    </row>
    <row r="2920" spans="19:21" x14ac:dyDescent="0.25">
      <c r="S2920" s="6" t="s">
        <v>302</v>
      </c>
      <c r="T2920" s="6">
        <f t="shared" si="63"/>
        <v>2919</v>
      </c>
      <c r="U2920" s="4" t="s">
        <v>194</v>
      </c>
    </row>
    <row r="2921" spans="19:21" x14ac:dyDescent="0.25">
      <c r="S2921" s="6" t="s">
        <v>302</v>
      </c>
      <c r="T2921" s="6">
        <f t="shared" si="63"/>
        <v>2920</v>
      </c>
      <c r="U2921" s="4" t="s">
        <v>194</v>
      </c>
    </row>
    <row r="2922" spans="19:21" x14ac:dyDescent="0.25">
      <c r="S2922" s="6" t="s">
        <v>302</v>
      </c>
      <c r="T2922" s="6">
        <f t="shared" si="63"/>
        <v>2921</v>
      </c>
      <c r="U2922" s="4" t="s">
        <v>194</v>
      </c>
    </row>
    <row r="2923" spans="19:21" x14ac:dyDescent="0.25">
      <c r="S2923" s="6" t="s">
        <v>302</v>
      </c>
      <c r="T2923" s="6">
        <f t="shared" si="63"/>
        <v>2922</v>
      </c>
      <c r="U2923" s="4" t="s">
        <v>194</v>
      </c>
    </row>
    <row r="2924" spans="19:21" x14ac:dyDescent="0.25">
      <c r="S2924" s="6" t="s">
        <v>302</v>
      </c>
      <c r="T2924" s="6">
        <f t="shared" si="63"/>
        <v>2923</v>
      </c>
      <c r="U2924" s="4" t="s">
        <v>194</v>
      </c>
    </row>
    <row r="2925" spans="19:21" x14ac:dyDescent="0.25">
      <c r="S2925" s="6" t="s">
        <v>302</v>
      </c>
      <c r="T2925" s="6">
        <f t="shared" si="63"/>
        <v>2924</v>
      </c>
      <c r="U2925" s="4" t="s">
        <v>194</v>
      </c>
    </row>
    <row r="2926" spans="19:21" x14ac:dyDescent="0.25">
      <c r="S2926" s="6" t="s">
        <v>302</v>
      </c>
      <c r="T2926" s="6">
        <f t="shared" si="63"/>
        <v>2925</v>
      </c>
      <c r="U2926" s="4" t="s">
        <v>194</v>
      </c>
    </row>
    <row r="2927" spans="19:21" x14ac:dyDescent="0.25">
      <c r="S2927" s="6" t="s">
        <v>302</v>
      </c>
      <c r="T2927" s="6">
        <f t="shared" si="63"/>
        <v>2926</v>
      </c>
      <c r="U2927" s="4" t="s">
        <v>194</v>
      </c>
    </row>
    <row r="2928" spans="19:21" x14ac:dyDescent="0.25">
      <c r="S2928" s="6" t="s">
        <v>302</v>
      </c>
      <c r="T2928" s="6">
        <f t="shared" si="63"/>
        <v>2927</v>
      </c>
      <c r="U2928" s="4" t="s">
        <v>194</v>
      </c>
    </row>
    <row r="2929" spans="19:21" x14ac:dyDescent="0.25">
      <c r="S2929" s="6" t="s">
        <v>302</v>
      </c>
      <c r="T2929" s="6">
        <f t="shared" si="63"/>
        <v>2928</v>
      </c>
      <c r="U2929" s="4" t="s">
        <v>194</v>
      </c>
    </row>
    <row r="2930" spans="19:21" x14ac:dyDescent="0.25">
      <c r="S2930" s="6" t="s">
        <v>302</v>
      </c>
      <c r="T2930" s="6">
        <f t="shared" si="63"/>
        <v>2929</v>
      </c>
      <c r="U2930" s="4" t="s">
        <v>194</v>
      </c>
    </row>
    <row r="2931" spans="19:21" x14ac:dyDescent="0.25">
      <c r="S2931" s="6" t="s">
        <v>302</v>
      </c>
      <c r="T2931" s="6">
        <f t="shared" si="63"/>
        <v>2930</v>
      </c>
      <c r="U2931" s="4" t="s">
        <v>194</v>
      </c>
    </row>
    <row r="2932" spans="19:21" x14ac:dyDescent="0.25">
      <c r="S2932" s="6" t="s">
        <v>302</v>
      </c>
      <c r="T2932" s="6">
        <f t="shared" si="63"/>
        <v>2931</v>
      </c>
      <c r="U2932" s="4" t="s">
        <v>194</v>
      </c>
    </row>
    <row r="2933" spans="19:21" x14ac:dyDescent="0.25">
      <c r="S2933" s="6" t="s">
        <v>302</v>
      </c>
      <c r="T2933" s="6">
        <f t="shared" si="63"/>
        <v>2932</v>
      </c>
      <c r="U2933" s="4" t="s">
        <v>194</v>
      </c>
    </row>
    <row r="2934" spans="19:21" x14ac:dyDescent="0.25">
      <c r="S2934" s="6" t="s">
        <v>302</v>
      </c>
      <c r="T2934" s="6">
        <f t="shared" si="63"/>
        <v>2933</v>
      </c>
      <c r="U2934" s="4" t="s">
        <v>194</v>
      </c>
    </row>
    <row r="2935" spans="19:21" x14ac:dyDescent="0.25">
      <c r="S2935" s="6" t="s">
        <v>302</v>
      </c>
      <c r="T2935" s="6">
        <f t="shared" si="63"/>
        <v>2934</v>
      </c>
      <c r="U2935" s="4" t="s">
        <v>194</v>
      </c>
    </row>
    <row r="2936" spans="19:21" x14ac:dyDescent="0.25">
      <c r="S2936" s="6" t="s">
        <v>302</v>
      </c>
      <c r="T2936" s="6">
        <f t="shared" si="63"/>
        <v>2935</v>
      </c>
      <c r="U2936" s="4" t="s">
        <v>194</v>
      </c>
    </row>
    <row r="2937" spans="19:21" x14ac:dyDescent="0.25">
      <c r="S2937" s="6" t="s">
        <v>302</v>
      </c>
      <c r="T2937" s="6">
        <f t="shared" si="63"/>
        <v>2936</v>
      </c>
      <c r="U2937" s="4" t="s">
        <v>194</v>
      </c>
    </row>
    <row r="2938" spans="19:21" x14ac:dyDescent="0.25">
      <c r="S2938" s="6" t="s">
        <v>302</v>
      </c>
      <c r="T2938" s="6">
        <f t="shared" si="63"/>
        <v>2937</v>
      </c>
      <c r="U2938" s="4" t="s">
        <v>194</v>
      </c>
    </row>
    <row r="2939" spans="19:21" x14ac:dyDescent="0.25">
      <c r="S2939" s="6" t="s">
        <v>302</v>
      </c>
      <c r="T2939" s="6">
        <f t="shared" si="63"/>
        <v>2938</v>
      </c>
      <c r="U2939" s="4" t="s">
        <v>194</v>
      </c>
    </row>
    <row r="2940" spans="19:21" x14ac:dyDescent="0.25">
      <c r="S2940" s="6" t="s">
        <v>302</v>
      </c>
      <c r="T2940" s="6">
        <f t="shared" si="63"/>
        <v>2939</v>
      </c>
      <c r="U2940" s="4" t="s">
        <v>194</v>
      </c>
    </row>
    <row r="2941" spans="19:21" x14ac:dyDescent="0.25">
      <c r="S2941" s="6" t="s">
        <v>302</v>
      </c>
      <c r="T2941" s="6">
        <f t="shared" si="63"/>
        <v>2940</v>
      </c>
      <c r="U2941" s="4" t="s">
        <v>194</v>
      </c>
    </row>
    <row r="2942" spans="19:21" x14ac:dyDescent="0.25">
      <c r="S2942" s="6" t="s">
        <v>302</v>
      </c>
      <c r="T2942" s="6">
        <f t="shared" si="63"/>
        <v>2941</v>
      </c>
      <c r="U2942" s="4" t="s">
        <v>194</v>
      </c>
    </row>
    <row r="2943" spans="19:21" x14ac:dyDescent="0.25">
      <c r="S2943" s="6" t="s">
        <v>302</v>
      </c>
      <c r="T2943" s="6">
        <f t="shared" si="63"/>
        <v>2942</v>
      </c>
      <c r="U2943" s="4" t="s">
        <v>194</v>
      </c>
    </row>
    <row r="2944" spans="19:21" x14ac:dyDescent="0.25">
      <c r="S2944" s="6" t="s">
        <v>302</v>
      </c>
      <c r="T2944" s="6">
        <f t="shared" si="63"/>
        <v>2943</v>
      </c>
      <c r="U2944" s="4" t="s">
        <v>194</v>
      </c>
    </row>
    <row r="2945" spans="19:21" x14ac:dyDescent="0.25">
      <c r="S2945" s="6" t="s">
        <v>302</v>
      </c>
      <c r="T2945" s="6">
        <f t="shared" si="63"/>
        <v>2944</v>
      </c>
      <c r="U2945" s="4" t="s">
        <v>194</v>
      </c>
    </row>
    <row r="2946" spans="19:21" x14ac:dyDescent="0.25">
      <c r="S2946" s="6" t="s">
        <v>302</v>
      </c>
      <c r="T2946" s="6">
        <f t="shared" si="63"/>
        <v>2945</v>
      </c>
      <c r="U2946" s="4" t="s">
        <v>194</v>
      </c>
    </row>
    <row r="2947" spans="19:21" x14ac:dyDescent="0.25">
      <c r="S2947" s="6" t="s">
        <v>302</v>
      </c>
      <c r="T2947" s="6">
        <f t="shared" si="63"/>
        <v>2946</v>
      </c>
      <c r="U2947" s="4" t="s">
        <v>194</v>
      </c>
    </row>
    <row r="2948" spans="19:21" x14ac:dyDescent="0.25">
      <c r="S2948" s="6" t="s">
        <v>302</v>
      </c>
      <c r="T2948" s="6">
        <f t="shared" si="63"/>
        <v>2947</v>
      </c>
      <c r="U2948" s="4" t="s">
        <v>194</v>
      </c>
    </row>
    <row r="2949" spans="19:21" x14ac:dyDescent="0.25">
      <c r="S2949" s="6" t="s">
        <v>302</v>
      </c>
      <c r="T2949" s="6">
        <f t="shared" si="63"/>
        <v>2948</v>
      </c>
      <c r="U2949" s="4" t="s">
        <v>194</v>
      </c>
    </row>
    <row r="2950" spans="19:21" x14ac:dyDescent="0.25">
      <c r="S2950" s="6" t="s">
        <v>302</v>
      </c>
      <c r="T2950" s="6">
        <f t="shared" si="63"/>
        <v>2949</v>
      </c>
      <c r="U2950" s="4" t="s">
        <v>194</v>
      </c>
    </row>
    <row r="2951" spans="19:21" x14ac:dyDescent="0.25">
      <c r="S2951" s="6" t="s">
        <v>302</v>
      </c>
      <c r="T2951" s="6">
        <f t="shared" si="63"/>
        <v>2950</v>
      </c>
      <c r="U2951" s="4" t="s">
        <v>194</v>
      </c>
    </row>
    <row r="2952" spans="19:21" x14ac:dyDescent="0.25">
      <c r="S2952" s="6" t="s">
        <v>302</v>
      </c>
      <c r="T2952" s="6">
        <f t="shared" si="63"/>
        <v>2951</v>
      </c>
      <c r="U2952" s="4" t="s">
        <v>194</v>
      </c>
    </row>
    <row r="2953" spans="19:21" x14ac:dyDescent="0.25">
      <c r="S2953" s="6" t="s">
        <v>302</v>
      </c>
      <c r="T2953" s="6">
        <f t="shared" si="63"/>
        <v>2952</v>
      </c>
      <c r="U2953" s="4" t="s">
        <v>194</v>
      </c>
    </row>
    <row r="2954" spans="19:21" x14ac:dyDescent="0.25">
      <c r="S2954" s="6" t="s">
        <v>302</v>
      </c>
      <c r="T2954" s="6">
        <f t="shared" si="63"/>
        <v>2953</v>
      </c>
      <c r="U2954" s="4" t="s">
        <v>194</v>
      </c>
    </row>
    <row r="2955" spans="19:21" x14ac:dyDescent="0.25">
      <c r="S2955" s="6" t="s">
        <v>302</v>
      </c>
      <c r="T2955" s="6">
        <f t="shared" si="63"/>
        <v>2954</v>
      </c>
      <c r="U2955" s="4" t="s">
        <v>194</v>
      </c>
    </row>
    <row r="2956" spans="19:21" x14ac:dyDescent="0.25">
      <c r="S2956" s="6" t="s">
        <v>302</v>
      </c>
      <c r="T2956" s="6">
        <f t="shared" si="63"/>
        <v>2955</v>
      </c>
      <c r="U2956" s="4" t="s">
        <v>194</v>
      </c>
    </row>
    <row r="2957" spans="19:21" x14ac:dyDescent="0.25">
      <c r="S2957" s="6" t="s">
        <v>302</v>
      </c>
      <c r="T2957" s="6">
        <f t="shared" si="63"/>
        <v>2956</v>
      </c>
      <c r="U2957" s="4" t="s">
        <v>194</v>
      </c>
    </row>
    <row r="2958" spans="19:21" x14ac:dyDescent="0.25">
      <c r="S2958" s="6" t="s">
        <v>302</v>
      </c>
      <c r="T2958" s="6">
        <f t="shared" si="63"/>
        <v>2957</v>
      </c>
      <c r="U2958" s="4" t="s">
        <v>194</v>
      </c>
    </row>
    <row r="2959" spans="19:21" x14ac:dyDescent="0.25">
      <c r="S2959" s="6" t="s">
        <v>302</v>
      </c>
      <c r="T2959" s="6">
        <f t="shared" si="63"/>
        <v>2958</v>
      </c>
      <c r="U2959" s="4" t="s">
        <v>194</v>
      </c>
    </row>
    <row r="2960" spans="19:21" x14ac:dyDescent="0.25">
      <c r="S2960" s="6" t="s">
        <v>302</v>
      </c>
      <c r="T2960" s="6">
        <f t="shared" si="63"/>
        <v>2959</v>
      </c>
      <c r="U2960" s="4" t="s">
        <v>194</v>
      </c>
    </row>
    <row r="2961" spans="19:21" x14ac:dyDescent="0.25">
      <c r="S2961" s="6" t="s">
        <v>302</v>
      </c>
      <c r="T2961" s="6">
        <f t="shared" si="63"/>
        <v>2960</v>
      </c>
      <c r="U2961" s="4" t="s">
        <v>194</v>
      </c>
    </row>
    <row r="2962" spans="19:21" x14ac:dyDescent="0.25">
      <c r="S2962" s="6" t="s">
        <v>302</v>
      </c>
      <c r="T2962" s="6">
        <f t="shared" si="63"/>
        <v>2961</v>
      </c>
      <c r="U2962" s="4" t="s">
        <v>194</v>
      </c>
    </row>
    <row r="2963" spans="19:21" x14ac:dyDescent="0.25">
      <c r="S2963" s="6" t="s">
        <v>302</v>
      </c>
      <c r="T2963" s="6">
        <f t="shared" si="63"/>
        <v>2962</v>
      </c>
      <c r="U2963" s="4" t="s">
        <v>194</v>
      </c>
    </row>
    <row r="2964" spans="19:21" x14ac:dyDescent="0.25">
      <c r="S2964" s="6" t="s">
        <v>302</v>
      </c>
      <c r="T2964" s="6">
        <f t="shared" si="63"/>
        <v>2963</v>
      </c>
      <c r="U2964" s="4" t="s">
        <v>194</v>
      </c>
    </row>
    <row r="2965" spans="19:21" x14ac:dyDescent="0.25">
      <c r="S2965" s="6" t="s">
        <v>302</v>
      </c>
      <c r="T2965" s="6">
        <f t="shared" si="63"/>
        <v>2964</v>
      </c>
      <c r="U2965" s="4" t="s">
        <v>194</v>
      </c>
    </row>
    <row r="2966" spans="19:21" x14ac:dyDescent="0.25">
      <c r="S2966" s="6" t="s">
        <v>302</v>
      </c>
      <c r="T2966" s="6">
        <f t="shared" si="63"/>
        <v>2965</v>
      </c>
      <c r="U2966" s="4" t="s">
        <v>194</v>
      </c>
    </row>
    <row r="2967" spans="19:21" x14ac:dyDescent="0.25">
      <c r="S2967" s="6" t="s">
        <v>302</v>
      </c>
      <c r="T2967" s="6">
        <f t="shared" si="63"/>
        <v>2966</v>
      </c>
      <c r="U2967" s="4" t="s">
        <v>194</v>
      </c>
    </row>
    <row r="2968" spans="19:21" x14ac:dyDescent="0.25">
      <c r="S2968" s="6" t="s">
        <v>302</v>
      </c>
      <c r="T2968" s="6">
        <f t="shared" si="63"/>
        <v>2967</v>
      </c>
      <c r="U2968" s="4" t="s">
        <v>194</v>
      </c>
    </row>
    <row r="2969" spans="19:21" x14ac:dyDescent="0.25">
      <c r="S2969" s="6" t="s">
        <v>302</v>
      </c>
      <c r="T2969" s="6">
        <f t="shared" si="63"/>
        <v>2968</v>
      </c>
      <c r="U2969" s="4" t="s">
        <v>194</v>
      </c>
    </row>
    <row r="2970" spans="19:21" x14ac:dyDescent="0.25">
      <c r="S2970" s="6" t="s">
        <v>302</v>
      </c>
      <c r="T2970" s="6">
        <f t="shared" si="63"/>
        <v>2969</v>
      </c>
      <c r="U2970" s="4" t="s">
        <v>194</v>
      </c>
    </row>
    <row r="2971" spans="19:21" x14ac:dyDescent="0.25">
      <c r="S2971" s="6" t="s">
        <v>302</v>
      </c>
      <c r="T2971" s="6">
        <f t="shared" si="63"/>
        <v>2970</v>
      </c>
      <c r="U2971" s="4" t="s">
        <v>194</v>
      </c>
    </row>
    <row r="2972" spans="19:21" x14ac:dyDescent="0.25">
      <c r="S2972" s="6" t="s">
        <v>302</v>
      </c>
      <c r="T2972" s="6">
        <f t="shared" si="63"/>
        <v>2971</v>
      </c>
      <c r="U2972" s="4" t="s">
        <v>194</v>
      </c>
    </row>
    <row r="2973" spans="19:21" x14ac:dyDescent="0.25">
      <c r="S2973" s="6" t="s">
        <v>302</v>
      </c>
      <c r="T2973" s="6">
        <f t="shared" si="63"/>
        <v>2972</v>
      </c>
      <c r="U2973" s="4" t="s">
        <v>194</v>
      </c>
    </row>
    <row r="2974" spans="19:21" x14ac:dyDescent="0.25">
      <c r="S2974" s="6" t="s">
        <v>302</v>
      </c>
      <c r="T2974" s="6">
        <f t="shared" ref="T2974:T3037" si="64">T2973+1</f>
        <v>2973</v>
      </c>
      <c r="U2974" s="4" t="s">
        <v>194</v>
      </c>
    </row>
    <row r="2975" spans="19:21" x14ac:dyDescent="0.25">
      <c r="S2975" s="6" t="s">
        <v>302</v>
      </c>
      <c r="T2975" s="6">
        <f t="shared" si="64"/>
        <v>2974</v>
      </c>
      <c r="U2975" s="4" t="s">
        <v>194</v>
      </c>
    </row>
    <row r="2976" spans="19:21" x14ac:dyDescent="0.25">
      <c r="S2976" s="6" t="s">
        <v>302</v>
      </c>
      <c r="T2976" s="6">
        <f t="shared" si="64"/>
        <v>2975</v>
      </c>
      <c r="U2976" s="4" t="s">
        <v>194</v>
      </c>
    </row>
    <row r="2977" spans="19:21" x14ac:dyDescent="0.25">
      <c r="S2977" s="6" t="s">
        <v>302</v>
      </c>
      <c r="T2977" s="6">
        <f t="shared" si="64"/>
        <v>2976</v>
      </c>
      <c r="U2977" s="4" t="s">
        <v>194</v>
      </c>
    </row>
    <row r="2978" spans="19:21" x14ac:dyDescent="0.25">
      <c r="S2978" s="6" t="s">
        <v>302</v>
      </c>
      <c r="T2978" s="6">
        <f t="shared" si="64"/>
        <v>2977</v>
      </c>
      <c r="U2978" s="4" t="s">
        <v>194</v>
      </c>
    </row>
    <row r="2979" spans="19:21" x14ac:dyDescent="0.25">
      <c r="S2979" s="6" t="s">
        <v>302</v>
      </c>
      <c r="T2979" s="6">
        <f t="shared" si="64"/>
        <v>2978</v>
      </c>
      <c r="U2979" s="4" t="s">
        <v>194</v>
      </c>
    </row>
    <row r="2980" spans="19:21" x14ac:dyDescent="0.25">
      <c r="S2980" s="6" t="s">
        <v>302</v>
      </c>
      <c r="T2980" s="6">
        <f t="shared" si="64"/>
        <v>2979</v>
      </c>
      <c r="U2980" s="4" t="s">
        <v>194</v>
      </c>
    </row>
    <row r="2981" spans="19:21" x14ac:dyDescent="0.25">
      <c r="S2981" s="6" t="s">
        <v>302</v>
      </c>
      <c r="T2981" s="6">
        <f t="shared" si="64"/>
        <v>2980</v>
      </c>
      <c r="U2981" s="4" t="s">
        <v>194</v>
      </c>
    </row>
    <row r="2982" spans="19:21" x14ac:dyDescent="0.25">
      <c r="S2982" s="6" t="s">
        <v>302</v>
      </c>
      <c r="T2982" s="6">
        <f t="shared" si="64"/>
        <v>2981</v>
      </c>
      <c r="U2982" s="4" t="s">
        <v>194</v>
      </c>
    </row>
    <row r="2983" spans="19:21" x14ac:dyDescent="0.25">
      <c r="S2983" s="6" t="s">
        <v>302</v>
      </c>
      <c r="T2983" s="6">
        <f t="shared" si="64"/>
        <v>2982</v>
      </c>
      <c r="U2983" s="4" t="s">
        <v>194</v>
      </c>
    </row>
    <row r="2984" spans="19:21" x14ac:dyDescent="0.25">
      <c r="S2984" s="6" t="s">
        <v>302</v>
      </c>
      <c r="T2984" s="6">
        <f t="shared" si="64"/>
        <v>2983</v>
      </c>
      <c r="U2984" s="4" t="s">
        <v>194</v>
      </c>
    </row>
    <row r="2985" spans="19:21" x14ac:dyDescent="0.25">
      <c r="S2985" s="6" t="s">
        <v>302</v>
      </c>
      <c r="T2985" s="6">
        <f t="shared" si="64"/>
        <v>2984</v>
      </c>
      <c r="U2985" s="4" t="s">
        <v>194</v>
      </c>
    </row>
    <row r="2986" spans="19:21" x14ac:dyDescent="0.25">
      <c r="S2986" s="6" t="s">
        <v>302</v>
      </c>
      <c r="T2986" s="6">
        <f t="shared" si="64"/>
        <v>2985</v>
      </c>
      <c r="U2986" s="4" t="s">
        <v>194</v>
      </c>
    </row>
    <row r="2987" spans="19:21" x14ac:dyDescent="0.25">
      <c r="S2987" s="6" t="s">
        <v>302</v>
      </c>
      <c r="T2987" s="6">
        <f t="shared" si="64"/>
        <v>2986</v>
      </c>
      <c r="U2987" s="4" t="s">
        <v>194</v>
      </c>
    </row>
    <row r="2988" spans="19:21" x14ac:dyDescent="0.25">
      <c r="S2988" s="6" t="s">
        <v>302</v>
      </c>
      <c r="T2988" s="6">
        <f t="shared" si="64"/>
        <v>2987</v>
      </c>
      <c r="U2988" s="4" t="s">
        <v>194</v>
      </c>
    </row>
    <row r="2989" spans="19:21" x14ac:dyDescent="0.25">
      <c r="S2989" s="6" t="s">
        <v>302</v>
      </c>
      <c r="T2989" s="6">
        <f t="shared" si="64"/>
        <v>2988</v>
      </c>
      <c r="U2989" s="4" t="s">
        <v>194</v>
      </c>
    </row>
    <row r="2990" spans="19:21" x14ac:dyDescent="0.25">
      <c r="S2990" s="6" t="s">
        <v>302</v>
      </c>
      <c r="T2990" s="6">
        <f t="shared" si="64"/>
        <v>2989</v>
      </c>
      <c r="U2990" s="4" t="s">
        <v>194</v>
      </c>
    </row>
    <row r="2991" spans="19:21" x14ac:dyDescent="0.25">
      <c r="S2991" s="6" t="s">
        <v>302</v>
      </c>
      <c r="T2991" s="6">
        <f t="shared" si="64"/>
        <v>2990</v>
      </c>
      <c r="U2991" s="4" t="s">
        <v>194</v>
      </c>
    </row>
    <row r="2992" spans="19:21" x14ac:dyDescent="0.25">
      <c r="S2992" s="6" t="s">
        <v>302</v>
      </c>
      <c r="T2992" s="6">
        <f t="shared" si="64"/>
        <v>2991</v>
      </c>
      <c r="U2992" s="4" t="s">
        <v>194</v>
      </c>
    </row>
    <row r="2993" spans="19:21" x14ac:dyDescent="0.25">
      <c r="S2993" s="6" t="s">
        <v>302</v>
      </c>
      <c r="T2993" s="6">
        <f t="shared" si="64"/>
        <v>2992</v>
      </c>
      <c r="U2993" s="4" t="s">
        <v>194</v>
      </c>
    </row>
    <row r="2994" spans="19:21" x14ac:dyDescent="0.25">
      <c r="S2994" s="6" t="s">
        <v>302</v>
      </c>
      <c r="T2994" s="6">
        <f t="shared" si="64"/>
        <v>2993</v>
      </c>
      <c r="U2994" s="4" t="s">
        <v>194</v>
      </c>
    </row>
    <row r="2995" spans="19:21" x14ac:dyDescent="0.25">
      <c r="S2995" s="6" t="s">
        <v>302</v>
      </c>
      <c r="T2995" s="6">
        <f t="shared" si="64"/>
        <v>2994</v>
      </c>
      <c r="U2995" s="4" t="s">
        <v>194</v>
      </c>
    </row>
    <row r="2996" spans="19:21" x14ac:dyDescent="0.25">
      <c r="S2996" s="6" t="s">
        <v>302</v>
      </c>
      <c r="T2996" s="6">
        <f t="shared" si="64"/>
        <v>2995</v>
      </c>
      <c r="U2996" s="4" t="s">
        <v>194</v>
      </c>
    </row>
    <row r="2997" spans="19:21" x14ac:dyDescent="0.25">
      <c r="S2997" s="6" t="s">
        <v>302</v>
      </c>
      <c r="T2997" s="6">
        <f t="shared" si="64"/>
        <v>2996</v>
      </c>
      <c r="U2997" s="4" t="s">
        <v>194</v>
      </c>
    </row>
    <row r="2998" spans="19:21" x14ac:dyDescent="0.25">
      <c r="S2998" s="6" t="s">
        <v>302</v>
      </c>
      <c r="T2998" s="6">
        <f t="shared" si="64"/>
        <v>2997</v>
      </c>
      <c r="U2998" s="4" t="s">
        <v>194</v>
      </c>
    </row>
    <row r="2999" spans="19:21" x14ac:dyDescent="0.25">
      <c r="S2999" s="6" t="s">
        <v>302</v>
      </c>
      <c r="T2999" s="6">
        <f t="shared" si="64"/>
        <v>2998</v>
      </c>
      <c r="U2999" s="4" t="s">
        <v>194</v>
      </c>
    </row>
    <row r="3000" spans="19:21" x14ac:dyDescent="0.25">
      <c r="S3000" s="6" t="s">
        <v>302</v>
      </c>
      <c r="T3000" s="6">
        <f t="shared" si="64"/>
        <v>2999</v>
      </c>
      <c r="U3000" s="4" t="s">
        <v>194</v>
      </c>
    </row>
    <row r="3001" spans="19:21" x14ac:dyDescent="0.25">
      <c r="S3001" s="6" t="s">
        <v>302</v>
      </c>
      <c r="T3001" s="6">
        <f t="shared" si="64"/>
        <v>3000</v>
      </c>
      <c r="U3001" s="4" t="s">
        <v>194</v>
      </c>
    </row>
    <row r="3002" spans="19:21" x14ac:dyDescent="0.25">
      <c r="S3002" s="6" t="s">
        <v>302</v>
      </c>
      <c r="T3002" s="6">
        <f t="shared" si="64"/>
        <v>3001</v>
      </c>
      <c r="U3002" s="4" t="s">
        <v>194</v>
      </c>
    </row>
    <row r="3003" spans="19:21" x14ac:dyDescent="0.25">
      <c r="S3003" s="6" t="s">
        <v>302</v>
      </c>
      <c r="T3003" s="6">
        <f t="shared" si="64"/>
        <v>3002</v>
      </c>
      <c r="U3003" s="4" t="s">
        <v>194</v>
      </c>
    </row>
    <row r="3004" spans="19:21" x14ac:dyDescent="0.25">
      <c r="S3004" s="6" t="s">
        <v>302</v>
      </c>
      <c r="T3004" s="6">
        <f t="shared" si="64"/>
        <v>3003</v>
      </c>
      <c r="U3004" s="4" t="s">
        <v>194</v>
      </c>
    </row>
    <row r="3005" spans="19:21" x14ac:dyDescent="0.25">
      <c r="S3005" s="6" t="s">
        <v>302</v>
      </c>
      <c r="T3005" s="6">
        <f t="shared" si="64"/>
        <v>3004</v>
      </c>
      <c r="U3005" s="4" t="s">
        <v>194</v>
      </c>
    </row>
    <row r="3006" spans="19:21" x14ac:dyDescent="0.25">
      <c r="S3006" s="6" t="s">
        <v>302</v>
      </c>
      <c r="T3006" s="6">
        <f t="shared" si="64"/>
        <v>3005</v>
      </c>
      <c r="U3006" s="4" t="s">
        <v>194</v>
      </c>
    </row>
    <row r="3007" spans="19:21" x14ac:dyDescent="0.25">
      <c r="S3007" s="6" t="s">
        <v>302</v>
      </c>
      <c r="T3007" s="6">
        <f t="shared" si="64"/>
        <v>3006</v>
      </c>
      <c r="U3007" s="4" t="s">
        <v>194</v>
      </c>
    </row>
    <row r="3008" spans="19:21" x14ac:dyDescent="0.25">
      <c r="S3008" s="6" t="s">
        <v>302</v>
      </c>
      <c r="T3008" s="6">
        <f t="shared" si="64"/>
        <v>3007</v>
      </c>
      <c r="U3008" s="4" t="s">
        <v>194</v>
      </c>
    </row>
    <row r="3009" spans="19:21" x14ac:dyDescent="0.25">
      <c r="S3009" s="6" t="s">
        <v>302</v>
      </c>
      <c r="T3009" s="6">
        <f t="shared" si="64"/>
        <v>3008</v>
      </c>
      <c r="U3009" s="4" t="s">
        <v>194</v>
      </c>
    </row>
    <row r="3010" spans="19:21" x14ac:dyDescent="0.25">
      <c r="S3010" s="6" t="s">
        <v>302</v>
      </c>
      <c r="T3010" s="6">
        <f t="shared" si="64"/>
        <v>3009</v>
      </c>
      <c r="U3010" s="4" t="s">
        <v>194</v>
      </c>
    </row>
    <row r="3011" spans="19:21" x14ac:dyDescent="0.25">
      <c r="S3011" s="6" t="s">
        <v>302</v>
      </c>
      <c r="T3011" s="6">
        <f t="shared" si="64"/>
        <v>3010</v>
      </c>
      <c r="U3011" s="4" t="s">
        <v>194</v>
      </c>
    </row>
    <row r="3012" spans="19:21" x14ac:dyDescent="0.25">
      <c r="S3012" s="6" t="s">
        <v>302</v>
      </c>
      <c r="T3012" s="6">
        <f t="shared" si="64"/>
        <v>3011</v>
      </c>
      <c r="U3012" s="4" t="s">
        <v>194</v>
      </c>
    </row>
    <row r="3013" spans="19:21" x14ac:dyDescent="0.25">
      <c r="S3013" s="6" t="s">
        <v>302</v>
      </c>
      <c r="T3013" s="6">
        <f t="shared" si="64"/>
        <v>3012</v>
      </c>
      <c r="U3013" s="4" t="s">
        <v>194</v>
      </c>
    </row>
    <row r="3014" spans="19:21" x14ac:dyDescent="0.25">
      <c r="S3014" s="6" t="s">
        <v>302</v>
      </c>
      <c r="T3014" s="6">
        <f t="shared" si="64"/>
        <v>3013</v>
      </c>
      <c r="U3014" s="4" t="s">
        <v>194</v>
      </c>
    </row>
    <row r="3015" spans="19:21" x14ac:dyDescent="0.25">
      <c r="S3015" s="6" t="s">
        <v>302</v>
      </c>
      <c r="T3015" s="6">
        <f t="shared" si="64"/>
        <v>3014</v>
      </c>
      <c r="U3015" s="4" t="s">
        <v>194</v>
      </c>
    </row>
    <row r="3016" spans="19:21" x14ac:dyDescent="0.25">
      <c r="S3016" s="6" t="s">
        <v>302</v>
      </c>
      <c r="T3016" s="6">
        <f t="shared" si="64"/>
        <v>3015</v>
      </c>
      <c r="U3016" s="4" t="s">
        <v>194</v>
      </c>
    </row>
    <row r="3017" spans="19:21" x14ac:dyDescent="0.25">
      <c r="S3017" s="6" t="s">
        <v>302</v>
      </c>
      <c r="T3017" s="6">
        <f t="shared" si="64"/>
        <v>3016</v>
      </c>
      <c r="U3017" s="4" t="s">
        <v>194</v>
      </c>
    </row>
    <row r="3018" spans="19:21" x14ac:dyDescent="0.25">
      <c r="S3018" s="6" t="s">
        <v>302</v>
      </c>
      <c r="T3018" s="6">
        <f t="shared" si="64"/>
        <v>3017</v>
      </c>
      <c r="U3018" s="4" t="s">
        <v>194</v>
      </c>
    </row>
    <row r="3019" spans="19:21" x14ac:dyDescent="0.25">
      <c r="S3019" s="6" t="s">
        <v>302</v>
      </c>
      <c r="T3019" s="6">
        <f t="shared" si="64"/>
        <v>3018</v>
      </c>
      <c r="U3019" s="4" t="s">
        <v>194</v>
      </c>
    </row>
    <row r="3020" spans="19:21" x14ac:dyDescent="0.25">
      <c r="S3020" s="6" t="s">
        <v>302</v>
      </c>
      <c r="T3020" s="6">
        <f t="shared" si="64"/>
        <v>3019</v>
      </c>
      <c r="U3020" s="4" t="s">
        <v>194</v>
      </c>
    </row>
    <row r="3021" spans="19:21" x14ac:dyDescent="0.25">
      <c r="S3021" s="6" t="s">
        <v>302</v>
      </c>
      <c r="T3021" s="6">
        <f t="shared" si="64"/>
        <v>3020</v>
      </c>
      <c r="U3021" s="4" t="s">
        <v>194</v>
      </c>
    </row>
    <row r="3022" spans="19:21" x14ac:dyDescent="0.25">
      <c r="S3022" s="6" t="s">
        <v>302</v>
      </c>
      <c r="T3022" s="6">
        <f t="shared" si="64"/>
        <v>3021</v>
      </c>
      <c r="U3022" s="4" t="s">
        <v>194</v>
      </c>
    </row>
    <row r="3023" spans="19:21" x14ac:dyDescent="0.25">
      <c r="S3023" s="6" t="s">
        <v>302</v>
      </c>
      <c r="T3023" s="6">
        <f t="shared" si="64"/>
        <v>3022</v>
      </c>
      <c r="U3023" s="4" t="s">
        <v>194</v>
      </c>
    </row>
    <row r="3024" spans="19:21" x14ac:dyDescent="0.25">
      <c r="S3024" s="6" t="s">
        <v>302</v>
      </c>
      <c r="T3024" s="6">
        <f t="shared" si="64"/>
        <v>3023</v>
      </c>
      <c r="U3024" s="4" t="s">
        <v>194</v>
      </c>
    </row>
    <row r="3025" spans="19:21" x14ac:dyDescent="0.25">
      <c r="S3025" s="6" t="s">
        <v>302</v>
      </c>
      <c r="T3025" s="6">
        <f t="shared" si="64"/>
        <v>3024</v>
      </c>
      <c r="U3025" s="4" t="s">
        <v>194</v>
      </c>
    </row>
    <row r="3026" spans="19:21" x14ac:dyDescent="0.25">
      <c r="S3026" s="6" t="s">
        <v>302</v>
      </c>
      <c r="T3026" s="6">
        <f t="shared" si="64"/>
        <v>3025</v>
      </c>
      <c r="U3026" s="4" t="s">
        <v>194</v>
      </c>
    </row>
    <row r="3027" spans="19:21" x14ac:dyDescent="0.25">
      <c r="S3027" s="6" t="s">
        <v>302</v>
      </c>
      <c r="T3027" s="6">
        <f t="shared" si="64"/>
        <v>3026</v>
      </c>
      <c r="U3027" s="4" t="s">
        <v>194</v>
      </c>
    </row>
    <row r="3028" spans="19:21" x14ac:dyDescent="0.25">
      <c r="S3028" s="6" t="s">
        <v>302</v>
      </c>
      <c r="T3028" s="6">
        <f t="shared" si="64"/>
        <v>3027</v>
      </c>
      <c r="U3028" s="4" t="s">
        <v>194</v>
      </c>
    </row>
    <row r="3029" spans="19:21" x14ac:dyDescent="0.25">
      <c r="S3029" s="6" t="s">
        <v>302</v>
      </c>
      <c r="T3029" s="6">
        <f t="shared" si="64"/>
        <v>3028</v>
      </c>
      <c r="U3029" s="4" t="s">
        <v>194</v>
      </c>
    </row>
    <row r="3030" spans="19:21" x14ac:dyDescent="0.25">
      <c r="S3030" s="6" t="s">
        <v>302</v>
      </c>
      <c r="T3030" s="6">
        <f t="shared" si="64"/>
        <v>3029</v>
      </c>
      <c r="U3030" s="4" t="s">
        <v>194</v>
      </c>
    </row>
    <row r="3031" spans="19:21" x14ac:dyDescent="0.25">
      <c r="S3031" s="6" t="s">
        <v>302</v>
      </c>
      <c r="T3031" s="6">
        <f t="shared" si="64"/>
        <v>3030</v>
      </c>
      <c r="U3031" s="4" t="s">
        <v>194</v>
      </c>
    </row>
    <row r="3032" spans="19:21" x14ac:dyDescent="0.25">
      <c r="S3032" s="6" t="s">
        <v>302</v>
      </c>
      <c r="T3032" s="6">
        <f t="shared" si="64"/>
        <v>3031</v>
      </c>
      <c r="U3032" s="4" t="s">
        <v>194</v>
      </c>
    </row>
    <row r="3033" spans="19:21" x14ac:dyDescent="0.25">
      <c r="S3033" s="6" t="s">
        <v>302</v>
      </c>
      <c r="T3033" s="6">
        <f t="shared" si="64"/>
        <v>3032</v>
      </c>
      <c r="U3033" s="4" t="s">
        <v>194</v>
      </c>
    </row>
    <row r="3034" spans="19:21" x14ac:dyDescent="0.25">
      <c r="S3034" s="6" t="s">
        <v>302</v>
      </c>
      <c r="T3034" s="6">
        <f t="shared" si="64"/>
        <v>3033</v>
      </c>
      <c r="U3034" s="4" t="s">
        <v>194</v>
      </c>
    </row>
    <row r="3035" spans="19:21" x14ac:dyDescent="0.25">
      <c r="S3035" s="6" t="s">
        <v>302</v>
      </c>
      <c r="T3035" s="6">
        <f t="shared" si="64"/>
        <v>3034</v>
      </c>
      <c r="U3035" s="4" t="s">
        <v>194</v>
      </c>
    </row>
    <row r="3036" spans="19:21" x14ac:dyDescent="0.25">
      <c r="S3036" s="6" t="s">
        <v>302</v>
      </c>
      <c r="T3036" s="6">
        <f t="shared" si="64"/>
        <v>3035</v>
      </c>
      <c r="U3036" s="4" t="s">
        <v>194</v>
      </c>
    </row>
    <row r="3037" spans="19:21" x14ac:dyDescent="0.25">
      <c r="S3037" s="6" t="s">
        <v>302</v>
      </c>
      <c r="T3037" s="6">
        <f t="shared" si="64"/>
        <v>3036</v>
      </c>
      <c r="U3037" s="4" t="s">
        <v>194</v>
      </c>
    </row>
    <row r="3038" spans="19:21" x14ac:dyDescent="0.25">
      <c r="S3038" s="6" t="s">
        <v>302</v>
      </c>
      <c r="T3038" s="6">
        <f t="shared" ref="T3038:T3101" si="65">T3037+1</f>
        <v>3037</v>
      </c>
      <c r="U3038" s="4" t="s">
        <v>194</v>
      </c>
    </row>
    <row r="3039" spans="19:21" x14ac:dyDescent="0.25">
      <c r="S3039" s="6" t="s">
        <v>302</v>
      </c>
      <c r="T3039" s="6">
        <f t="shared" si="65"/>
        <v>3038</v>
      </c>
      <c r="U3039" s="4" t="s">
        <v>194</v>
      </c>
    </row>
    <row r="3040" spans="19:21" x14ac:dyDescent="0.25">
      <c r="S3040" s="6" t="s">
        <v>302</v>
      </c>
      <c r="T3040" s="6">
        <f t="shared" si="65"/>
        <v>3039</v>
      </c>
      <c r="U3040" s="4" t="s">
        <v>194</v>
      </c>
    </row>
    <row r="3041" spans="19:21" x14ac:dyDescent="0.25">
      <c r="S3041" s="6" t="s">
        <v>302</v>
      </c>
      <c r="T3041" s="6">
        <f t="shared" si="65"/>
        <v>3040</v>
      </c>
      <c r="U3041" s="4" t="s">
        <v>194</v>
      </c>
    </row>
    <row r="3042" spans="19:21" x14ac:dyDescent="0.25">
      <c r="S3042" s="6" t="s">
        <v>302</v>
      </c>
      <c r="T3042" s="6">
        <f t="shared" si="65"/>
        <v>3041</v>
      </c>
      <c r="U3042" s="4" t="s">
        <v>194</v>
      </c>
    </row>
    <row r="3043" spans="19:21" x14ac:dyDescent="0.25">
      <c r="S3043" s="6" t="s">
        <v>302</v>
      </c>
      <c r="T3043" s="6">
        <f t="shared" si="65"/>
        <v>3042</v>
      </c>
      <c r="U3043" s="4" t="s">
        <v>194</v>
      </c>
    </row>
    <row r="3044" spans="19:21" x14ac:dyDescent="0.25">
      <c r="S3044" s="6" t="s">
        <v>302</v>
      </c>
      <c r="T3044" s="6">
        <f t="shared" si="65"/>
        <v>3043</v>
      </c>
      <c r="U3044" s="4" t="s">
        <v>194</v>
      </c>
    </row>
    <row r="3045" spans="19:21" x14ac:dyDescent="0.25">
      <c r="S3045" s="6" t="s">
        <v>302</v>
      </c>
      <c r="T3045" s="6">
        <f t="shared" si="65"/>
        <v>3044</v>
      </c>
      <c r="U3045" s="4" t="s">
        <v>194</v>
      </c>
    </row>
    <row r="3046" spans="19:21" x14ac:dyDescent="0.25">
      <c r="S3046" s="6" t="s">
        <v>302</v>
      </c>
      <c r="T3046" s="6">
        <f t="shared" si="65"/>
        <v>3045</v>
      </c>
      <c r="U3046" s="4" t="s">
        <v>194</v>
      </c>
    </row>
    <row r="3047" spans="19:21" x14ac:dyDescent="0.25">
      <c r="S3047" s="6" t="s">
        <v>302</v>
      </c>
      <c r="T3047" s="6">
        <f t="shared" si="65"/>
        <v>3046</v>
      </c>
      <c r="U3047" s="4" t="s">
        <v>194</v>
      </c>
    </row>
    <row r="3048" spans="19:21" x14ac:dyDescent="0.25">
      <c r="S3048" s="6" t="s">
        <v>302</v>
      </c>
      <c r="T3048" s="6">
        <f t="shared" si="65"/>
        <v>3047</v>
      </c>
      <c r="U3048" s="4" t="s">
        <v>194</v>
      </c>
    </row>
    <row r="3049" spans="19:21" x14ac:dyDescent="0.25">
      <c r="S3049" s="6" t="s">
        <v>302</v>
      </c>
      <c r="T3049" s="6">
        <f t="shared" si="65"/>
        <v>3048</v>
      </c>
      <c r="U3049" s="4" t="s">
        <v>194</v>
      </c>
    </row>
    <row r="3050" spans="19:21" x14ac:dyDescent="0.25">
      <c r="S3050" s="6" t="s">
        <v>302</v>
      </c>
      <c r="T3050" s="6">
        <f t="shared" si="65"/>
        <v>3049</v>
      </c>
      <c r="U3050" s="4" t="s">
        <v>194</v>
      </c>
    </row>
    <row r="3051" spans="19:21" x14ac:dyDescent="0.25">
      <c r="S3051" s="6" t="s">
        <v>302</v>
      </c>
      <c r="T3051" s="6">
        <f t="shared" si="65"/>
        <v>3050</v>
      </c>
      <c r="U3051" s="4" t="s">
        <v>194</v>
      </c>
    </row>
    <row r="3052" spans="19:21" x14ac:dyDescent="0.25">
      <c r="S3052" s="6" t="s">
        <v>302</v>
      </c>
      <c r="T3052" s="6">
        <f t="shared" si="65"/>
        <v>3051</v>
      </c>
      <c r="U3052" s="4" t="s">
        <v>194</v>
      </c>
    </row>
    <row r="3053" spans="19:21" x14ac:dyDescent="0.25">
      <c r="S3053" s="6" t="s">
        <v>302</v>
      </c>
      <c r="T3053" s="6">
        <f t="shared" si="65"/>
        <v>3052</v>
      </c>
      <c r="U3053" s="4" t="s">
        <v>194</v>
      </c>
    </row>
    <row r="3054" spans="19:21" x14ac:dyDescent="0.25">
      <c r="S3054" s="6" t="s">
        <v>302</v>
      </c>
      <c r="T3054" s="6">
        <f t="shared" si="65"/>
        <v>3053</v>
      </c>
      <c r="U3054" s="4" t="s">
        <v>194</v>
      </c>
    </row>
    <row r="3055" spans="19:21" x14ac:dyDescent="0.25">
      <c r="S3055" s="6" t="s">
        <v>302</v>
      </c>
      <c r="T3055" s="6">
        <f t="shared" si="65"/>
        <v>3054</v>
      </c>
      <c r="U3055" s="4" t="s">
        <v>194</v>
      </c>
    </row>
    <row r="3056" spans="19:21" x14ac:dyDescent="0.25">
      <c r="S3056" s="6" t="s">
        <v>302</v>
      </c>
      <c r="T3056" s="6">
        <f t="shared" si="65"/>
        <v>3055</v>
      </c>
      <c r="U3056" s="4" t="s">
        <v>194</v>
      </c>
    </row>
    <row r="3057" spans="19:21" x14ac:dyDescent="0.25">
      <c r="S3057" s="6" t="s">
        <v>302</v>
      </c>
      <c r="T3057" s="6">
        <f t="shared" si="65"/>
        <v>3056</v>
      </c>
      <c r="U3057" s="4" t="s">
        <v>194</v>
      </c>
    </row>
    <row r="3058" spans="19:21" x14ac:dyDescent="0.25">
      <c r="S3058" s="6" t="s">
        <v>302</v>
      </c>
      <c r="T3058" s="6">
        <f t="shared" si="65"/>
        <v>3057</v>
      </c>
      <c r="U3058" s="4" t="s">
        <v>194</v>
      </c>
    </row>
    <row r="3059" spans="19:21" x14ac:dyDescent="0.25">
      <c r="S3059" s="6" t="s">
        <v>302</v>
      </c>
      <c r="T3059" s="6">
        <f t="shared" si="65"/>
        <v>3058</v>
      </c>
      <c r="U3059" s="4" t="s">
        <v>194</v>
      </c>
    </row>
    <row r="3060" spans="19:21" x14ac:dyDescent="0.25">
      <c r="S3060" s="6" t="s">
        <v>302</v>
      </c>
      <c r="T3060" s="6">
        <f t="shared" si="65"/>
        <v>3059</v>
      </c>
      <c r="U3060" s="4" t="s">
        <v>194</v>
      </c>
    </row>
    <row r="3061" spans="19:21" x14ac:dyDescent="0.25">
      <c r="S3061" s="6" t="s">
        <v>302</v>
      </c>
      <c r="T3061" s="6">
        <f t="shared" si="65"/>
        <v>3060</v>
      </c>
      <c r="U3061" s="4" t="s">
        <v>194</v>
      </c>
    </row>
    <row r="3062" spans="19:21" x14ac:dyDescent="0.25">
      <c r="S3062" s="6" t="s">
        <v>302</v>
      </c>
      <c r="T3062" s="6">
        <f t="shared" si="65"/>
        <v>3061</v>
      </c>
      <c r="U3062" s="4" t="s">
        <v>194</v>
      </c>
    </row>
    <row r="3063" spans="19:21" x14ac:dyDescent="0.25">
      <c r="S3063" s="6" t="s">
        <v>302</v>
      </c>
      <c r="T3063" s="6">
        <f t="shared" si="65"/>
        <v>3062</v>
      </c>
      <c r="U3063" s="4" t="s">
        <v>194</v>
      </c>
    </row>
    <row r="3064" spans="19:21" x14ac:dyDescent="0.25">
      <c r="S3064" s="6" t="s">
        <v>302</v>
      </c>
      <c r="T3064" s="6">
        <f t="shared" si="65"/>
        <v>3063</v>
      </c>
      <c r="U3064" s="4" t="s">
        <v>194</v>
      </c>
    </row>
    <row r="3065" spans="19:21" x14ac:dyDescent="0.25">
      <c r="S3065" s="6" t="s">
        <v>302</v>
      </c>
      <c r="T3065" s="6">
        <f t="shared" si="65"/>
        <v>3064</v>
      </c>
      <c r="U3065" s="4" t="s">
        <v>194</v>
      </c>
    </row>
    <row r="3066" spans="19:21" x14ac:dyDescent="0.25">
      <c r="S3066" s="6" t="s">
        <v>302</v>
      </c>
      <c r="T3066" s="6">
        <f t="shared" si="65"/>
        <v>3065</v>
      </c>
      <c r="U3066" s="4" t="s">
        <v>194</v>
      </c>
    </row>
    <row r="3067" spans="19:21" x14ac:dyDescent="0.25">
      <c r="S3067" s="6" t="s">
        <v>302</v>
      </c>
      <c r="T3067" s="6">
        <f t="shared" si="65"/>
        <v>3066</v>
      </c>
      <c r="U3067" s="4" t="s">
        <v>194</v>
      </c>
    </row>
    <row r="3068" spans="19:21" x14ac:dyDescent="0.25">
      <c r="S3068" s="6" t="s">
        <v>302</v>
      </c>
      <c r="T3068" s="6">
        <f t="shared" si="65"/>
        <v>3067</v>
      </c>
      <c r="U3068" s="4" t="s">
        <v>194</v>
      </c>
    </row>
    <row r="3069" spans="19:21" x14ac:dyDescent="0.25">
      <c r="S3069" s="6" t="s">
        <v>302</v>
      </c>
      <c r="T3069" s="6">
        <f t="shared" si="65"/>
        <v>3068</v>
      </c>
      <c r="U3069" s="4" t="s">
        <v>194</v>
      </c>
    </row>
    <row r="3070" spans="19:21" x14ac:dyDescent="0.25">
      <c r="S3070" s="6" t="s">
        <v>302</v>
      </c>
      <c r="T3070" s="6">
        <f t="shared" si="65"/>
        <v>3069</v>
      </c>
      <c r="U3070" s="4" t="s">
        <v>194</v>
      </c>
    </row>
    <row r="3071" spans="19:21" x14ac:dyDescent="0.25">
      <c r="S3071" s="6" t="s">
        <v>302</v>
      </c>
      <c r="T3071" s="6">
        <f t="shared" si="65"/>
        <v>3070</v>
      </c>
      <c r="U3071" s="4" t="s">
        <v>194</v>
      </c>
    </row>
    <row r="3072" spans="19:21" x14ac:dyDescent="0.25">
      <c r="S3072" s="6" t="s">
        <v>302</v>
      </c>
      <c r="T3072" s="6">
        <f t="shared" si="65"/>
        <v>3071</v>
      </c>
      <c r="U3072" s="4" t="s">
        <v>194</v>
      </c>
    </row>
    <row r="3073" spans="19:21" x14ac:dyDescent="0.25">
      <c r="S3073" s="6" t="s">
        <v>302</v>
      </c>
      <c r="T3073" s="6">
        <f t="shared" si="65"/>
        <v>3072</v>
      </c>
      <c r="U3073" s="4" t="s">
        <v>194</v>
      </c>
    </row>
    <row r="3074" spans="19:21" x14ac:dyDescent="0.25">
      <c r="S3074" s="6" t="s">
        <v>302</v>
      </c>
      <c r="T3074" s="6">
        <f t="shared" si="65"/>
        <v>3073</v>
      </c>
      <c r="U3074" s="4" t="s">
        <v>194</v>
      </c>
    </row>
    <row r="3075" spans="19:21" x14ac:dyDescent="0.25">
      <c r="S3075" s="6" t="s">
        <v>302</v>
      </c>
      <c r="T3075" s="6">
        <f t="shared" si="65"/>
        <v>3074</v>
      </c>
      <c r="U3075" s="4" t="s">
        <v>194</v>
      </c>
    </row>
    <row r="3076" spans="19:21" x14ac:dyDescent="0.25">
      <c r="S3076" s="6" t="s">
        <v>302</v>
      </c>
      <c r="T3076" s="6">
        <f t="shared" si="65"/>
        <v>3075</v>
      </c>
      <c r="U3076" s="4" t="s">
        <v>194</v>
      </c>
    </row>
    <row r="3077" spans="19:21" x14ac:dyDescent="0.25">
      <c r="S3077" s="6" t="s">
        <v>302</v>
      </c>
      <c r="T3077" s="6">
        <f t="shared" si="65"/>
        <v>3076</v>
      </c>
      <c r="U3077" s="4" t="s">
        <v>194</v>
      </c>
    </row>
    <row r="3078" spans="19:21" x14ac:dyDescent="0.25">
      <c r="S3078" s="6" t="s">
        <v>302</v>
      </c>
      <c r="T3078" s="6">
        <f t="shared" si="65"/>
        <v>3077</v>
      </c>
      <c r="U3078" s="4" t="s">
        <v>194</v>
      </c>
    </row>
    <row r="3079" spans="19:21" x14ac:dyDescent="0.25">
      <c r="S3079" s="6" t="s">
        <v>302</v>
      </c>
      <c r="T3079" s="6">
        <f t="shared" si="65"/>
        <v>3078</v>
      </c>
      <c r="U3079" s="4" t="s">
        <v>194</v>
      </c>
    </row>
    <row r="3080" spans="19:21" x14ac:dyDescent="0.25">
      <c r="S3080" s="6" t="s">
        <v>302</v>
      </c>
      <c r="T3080" s="6">
        <f t="shared" si="65"/>
        <v>3079</v>
      </c>
      <c r="U3080" s="4" t="s">
        <v>194</v>
      </c>
    </row>
    <row r="3081" spans="19:21" x14ac:dyDescent="0.25">
      <c r="S3081" s="6" t="s">
        <v>302</v>
      </c>
      <c r="T3081" s="6">
        <f t="shared" si="65"/>
        <v>3080</v>
      </c>
      <c r="U3081" s="4" t="s">
        <v>194</v>
      </c>
    </row>
    <row r="3082" spans="19:21" x14ac:dyDescent="0.25">
      <c r="S3082" s="6" t="s">
        <v>302</v>
      </c>
      <c r="T3082" s="6">
        <f t="shared" si="65"/>
        <v>3081</v>
      </c>
      <c r="U3082" s="4" t="s">
        <v>194</v>
      </c>
    </row>
    <row r="3083" spans="19:21" x14ac:dyDescent="0.25">
      <c r="S3083" s="6" t="s">
        <v>302</v>
      </c>
      <c r="T3083" s="6">
        <f t="shared" si="65"/>
        <v>3082</v>
      </c>
      <c r="U3083" s="4" t="s">
        <v>194</v>
      </c>
    </row>
    <row r="3084" spans="19:21" x14ac:dyDescent="0.25">
      <c r="S3084" s="6" t="s">
        <v>302</v>
      </c>
      <c r="T3084" s="6">
        <f t="shared" si="65"/>
        <v>3083</v>
      </c>
      <c r="U3084" s="4" t="s">
        <v>194</v>
      </c>
    </row>
    <row r="3085" spans="19:21" x14ac:dyDescent="0.25">
      <c r="S3085" s="6" t="s">
        <v>302</v>
      </c>
      <c r="T3085" s="6">
        <f t="shared" si="65"/>
        <v>3084</v>
      </c>
      <c r="U3085" s="4" t="s">
        <v>194</v>
      </c>
    </row>
    <row r="3086" spans="19:21" x14ac:dyDescent="0.25">
      <c r="S3086" s="6" t="s">
        <v>302</v>
      </c>
      <c r="T3086" s="6">
        <f t="shared" si="65"/>
        <v>3085</v>
      </c>
      <c r="U3086" s="4" t="s">
        <v>194</v>
      </c>
    </row>
    <row r="3087" spans="19:21" x14ac:dyDescent="0.25">
      <c r="S3087" s="6" t="s">
        <v>302</v>
      </c>
      <c r="T3087" s="6">
        <f t="shared" si="65"/>
        <v>3086</v>
      </c>
      <c r="U3087" s="4" t="s">
        <v>194</v>
      </c>
    </row>
    <row r="3088" spans="19:21" x14ac:dyDescent="0.25">
      <c r="S3088" s="6" t="s">
        <v>302</v>
      </c>
      <c r="T3088" s="6">
        <f t="shared" si="65"/>
        <v>3087</v>
      </c>
      <c r="U3088" s="4" t="s">
        <v>194</v>
      </c>
    </row>
    <row r="3089" spans="19:21" x14ac:dyDescent="0.25">
      <c r="S3089" s="6" t="s">
        <v>302</v>
      </c>
      <c r="T3089" s="6">
        <f t="shared" si="65"/>
        <v>3088</v>
      </c>
      <c r="U3089" s="4" t="s">
        <v>194</v>
      </c>
    </row>
    <row r="3090" spans="19:21" x14ac:dyDescent="0.25">
      <c r="S3090" s="6" t="s">
        <v>302</v>
      </c>
      <c r="T3090" s="6">
        <f t="shared" si="65"/>
        <v>3089</v>
      </c>
      <c r="U3090" s="4" t="s">
        <v>194</v>
      </c>
    </row>
    <row r="3091" spans="19:21" x14ac:dyDescent="0.25">
      <c r="S3091" s="6" t="s">
        <v>302</v>
      </c>
      <c r="T3091" s="6">
        <f t="shared" si="65"/>
        <v>3090</v>
      </c>
      <c r="U3091" s="4" t="s">
        <v>194</v>
      </c>
    </row>
    <row r="3092" spans="19:21" x14ac:dyDescent="0.25">
      <c r="S3092" s="6" t="s">
        <v>302</v>
      </c>
      <c r="T3092" s="6">
        <f t="shared" si="65"/>
        <v>3091</v>
      </c>
      <c r="U3092" s="4" t="s">
        <v>194</v>
      </c>
    </row>
    <row r="3093" spans="19:21" x14ac:dyDescent="0.25">
      <c r="S3093" s="6" t="s">
        <v>302</v>
      </c>
      <c r="T3093" s="6">
        <f t="shared" si="65"/>
        <v>3092</v>
      </c>
      <c r="U3093" s="4" t="s">
        <v>194</v>
      </c>
    </row>
    <row r="3094" spans="19:21" x14ac:dyDescent="0.25">
      <c r="S3094" s="6" t="s">
        <v>302</v>
      </c>
      <c r="T3094" s="6">
        <f t="shared" si="65"/>
        <v>3093</v>
      </c>
      <c r="U3094" s="4" t="s">
        <v>194</v>
      </c>
    </row>
    <row r="3095" spans="19:21" x14ac:dyDescent="0.25">
      <c r="S3095" s="6" t="s">
        <v>302</v>
      </c>
      <c r="T3095" s="6">
        <f t="shared" si="65"/>
        <v>3094</v>
      </c>
      <c r="U3095" s="4" t="s">
        <v>194</v>
      </c>
    </row>
    <row r="3096" spans="19:21" x14ac:dyDescent="0.25">
      <c r="S3096" s="6" t="s">
        <v>302</v>
      </c>
      <c r="T3096" s="6">
        <f t="shared" si="65"/>
        <v>3095</v>
      </c>
      <c r="U3096" s="4" t="s">
        <v>194</v>
      </c>
    </row>
    <row r="3097" spans="19:21" x14ac:dyDescent="0.25">
      <c r="S3097" s="6" t="s">
        <v>302</v>
      </c>
      <c r="T3097" s="6">
        <f t="shared" si="65"/>
        <v>3096</v>
      </c>
      <c r="U3097" s="4" t="s">
        <v>194</v>
      </c>
    </row>
    <row r="3098" spans="19:21" x14ac:dyDescent="0.25">
      <c r="S3098" s="6" t="s">
        <v>302</v>
      </c>
      <c r="T3098" s="6">
        <f t="shared" si="65"/>
        <v>3097</v>
      </c>
      <c r="U3098" s="4" t="s">
        <v>194</v>
      </c>
    </row>
    <row r="3099" spans="19:21" x14ac:dyDescent="0.25">
      <c r="S3099" s="6" t="s">
        <v>302</v>
      </c>
      <c r="T3099" s="6">
        <f t="shared" si="65"/>
        <v>3098</v>
      </c>
      <c r="U3099" s="4" t="s">
        <v>194</v>
      </c>
    </row>
    <row r="3100" spans="19:21" x14ac:dyDescent="0.25">
      <c r="S3100" s="6" t="s">
        <v>302</v>
      </c>
      <c r="T3100" s="6">
        <f t="shared" si="65"/>
        <v>3099</v>
      </c>
      <c r="U3100" s="4" t="s">
        <v>194</v>
      </c>
    </row>
    <row r="3101" spans="19:21" x14ac:dyDescent="0.25">
      <c r="S3101" s="6" t="s">
        <v>302</v>
      </c>
      <c r="T3101" s="6">
        <f t="shared" si="65"/>
        <v>3100</v>
      </c>
      <c r="U3101" s="4" t="s">
        <v>194</v>
      </c>
    </row>
    <row r="3102" spans="19:21" x14ac:dyDescent="0.25">
      <c r="S3102" s="6" t="s">
        <v>302</v>
      </c>
      <c r="T3102" s="6">
        <f t="shared" ref="T3102:T3165" si="66">T3101+1</f>
        <v>3101</v>
      </c>
      <c r="U3102" s="4" t="s">
        <v>194</v>
      </c>
    </row>
    <row r="3103" spans="19:21" x14ac:dyDescent="0.25">
      <c r="S3103" s="6" t="s">
        <v>302</v>
      </c>
      <c r="T3103" s="6">
        <f t="shared" si="66"/>
        <v>3102</v>
      </c>
      <c r="U3103" s="4" t="s">
        <v>194</v>
      </c>
    </row>
    <row r="3104" spans="19:21" x14ac:dyDescent="0.25">
      <c r="S3104" s="6" t="s">
        <v>302</v>
      </c>
      <c r="T3104" s="6">
        <f t="shared" si="66"/>
        <v>3103</v>
      </c>
      <c r="U3104" s="4" t="s">
        <v>194</v>
      </c>
    </row>
    <row r="3105" spans="19:21" x14ac:dyDescent="0.25">
      <c r="S3105" s="6" t="s">
        <v>302</v>
      </c>
      <c r="T3105" s="6">
        <f t="shared" si="66"/>
        <v>3104</v>
      </c>
      <c r="U3105" s="4" t="s">
        <v>194</v>
      </c>
    </row>
    <row r="3106" spans="19:21" x14ac:dyDescent="0.25">
      <c r="S3106" s="6" t="s">
        <v>302</v>
      </c>
      <c r="T3106" s="6">
        <f t="shared" si="66"/>
        <v>3105</v>
      </c>
      <c r="U3106" s="4" t="s">
        <v>194</v>
      </c>
    </row>
    <row r="3107" spans="19:21" x14ac:dyDescent="0.25">
      <c r="S3107" s="6" t="s">
        <v>302</v>
      </c>
      <c r="T3107" s="6">
        <f t="shared" si="66"/>
        <v>3106</v>
      </c>
      <c r="U3107" s="4" t="s">
        <v>194</v>
      </c>
    </row>
    <row r="3108" spans="19:21" x14ac:dyDescent="0.25">
      <c r="S3108" s="6" t="s">
        <v>302</v>
      </c>
      <c r="T3108" s="6">
        <f t="shared" si="66"/>
        <v>3107</v>
      </c>
      <c r="U3108" s="4" t="s">
        <v>194</v>
      </c>
    </row>
    <row r="3109" spans="19:21" x14ac:dyDescent="0.25">
      <c r="S3109" s="6" t="s">
        <v>302</v>
      </c>
      <c r="T3109" s="6">
        <f t="shared" si="66"/>
        <v>3108</v>
      </c>
      <c r="U3109" s="4" t="s">
        <v>194</v>
      </c>
    </row>
    <row r="3110" spans="19:21" x14ac:dyDescent="0.25">
      <c r="S3110" s="6" t="s">
        <v>302</v>
      </c>
      <c r="T3110" s="6">
        <f t="shared" si="66"/>
        <v>3109</v>
      </c>
      <c r="U3110" s="4" t="s">
        <v>194</v>
      </c>
    </row>
    <row r="3111" spans="19:21" x14ac:dyDescent="0.25">
      <c r="S3111" s="6" t="s">
        <v>302</v>
      </c>
      <c r="T3111" s="6">
        <f t="shared" si="66"/>
        <v>3110</v>
      </c>
      <c r="U3111" s="4" t="s">
        <v>194</v>
      </c>
    </row>
    <row r="3112" spans="19:21" x14ac:dyDescent="0.25">
      <c r="S3112" s="6" t="s">
        <v>302</v>
      </c>
      <c r="T3112" s="6">
        <f t="shared" si="66"/>
        <v>3111</v>
      </c>
      <c r="U3112" s="4" t="s">
        <v>194</v>
      </c>
    </row>
    <row r="3113" spans="19:21" x14ac:dyDescent="0.25">
      <c r="S3113" s="6" t="s">
        <v>302</v>
      </c>
      <c r="T3113" s="6">
        <f t="shared" si="66"/>
        <v>3112</v>
      </c>
      <c r="U3113" s="4" t="s">
        <v>194</v>
      </c>
    </row>
    <row r="3114" spans="19:21" x14ac:dyDescent="0.25">
      <c r="S3114" s="6" t="s">
        <v>302</v>
      </c>
      <c r="T3114" s="6">
        <f t="shared" si="66"/>
        <v>3113</v>
      </c>
      <c r="U3114" s="4" t="s">
        <v>194</v>
      </c>
    </row>
    <row r="3115" spans="19:21" x14ac:dyDescent="0.25">
      <c r="S3115" s="6" t="s">
        <v>302</v>
      </c>
      <c r="T3115" s="6">
        <f t="shared" si="66"/>
        <v>3114</v>
      </c>
      <c r="U3115" s="4" t="s">
        <v>194</v>
      </c>
    </row>
    <row r="3116" spans="19:21" x14ac:dyDescent="0.25">
      <c r="S3116" s="6" t="s">
        <v>302</v>
      </c>
      <c r="T3116" s="6">
        <f t="shared" si="66"/>
        <v>3115</v>
      </c>
      <c r="U3116" s="4" t="s">
        <v>194</v>
      </c>
    </row>
    <row r="3117" spans="19:21" x14ac:dyDescent="0.25">
      <c r="S3117" s="6" t="s">
        <v>302</v>
      </c>
      <c r="T3117" s="6">
        <f t="shared" si="66"/>
        <v>3116</v>
      </c>
      <c r="U3117" s="4" t="s">
        <v>194</v>
      </c>
    </row>
    <row r="3118" spans="19:21" x14ac:dyDescent="0.25">
      <c r="S3118" s="6" t="s">
        <v>302</v>
      </c>
      <c r="T3118" s="6">
        <f t="shared" si="66"/>
        <v>3117</v>
      </c>
      <c r="U3118" s="4" t="s">
        <v>194</v>
      </c>
    </row>
    <row r="3119" spans="19:21" x14ac:dyDescent="0.25">
      <c r="S3119" s="6" t="s">
        <v>302</v>
      </c>
      <c r="T3119" s="6">
        <f t="shared" si="66"/>
        <v>3118</v>
      </c>
      <c r="U3119" s="4" t="s">
        <v>194</v>
      </c>
    </row>
    <row r="3120" spans="19:21" x14ac:dyDescent="0.25">
      <c r="S3120" s="6" t="s">
        <v>302</v>
      </c>
      <c r="T3120" s="6">
        <f t="shared" si="66"/>
        <v>3119</v>
      </c>
      <c r="U3120" s="4" t="s">
        <v>194</v>
      </c>
    </row>
    <row r="3121" spans="19:21" x14ac:dyDescent="0.25">
      <c r="S3121" s="6" t="s">
        <v>302</v>
      </c>
      <c r="T3121" s="6">
        <f t="shared" si="66"/>
        <v>3120</v>
      </c>
      <c r="U3121" s="4" t="s">
        <v>194</v>
      </c>
    </row>
    <row r="3122" spans="19:21" x14ac:dyDescent="0.25">
      <c r="S3122" s="6" t="s">
        <v>302</v>
      </c>
      <c r="T3122" s="6">
        <f t="shared" si="66"/>
        <v>3121</v>
      </c>
      <c r="U3122" s="4" t="s">
        <v>194</v>
      </c>
    </row>
    <row r="3123" spans="19:21" x14ac:dyDescent="0.25">
      <c r="S3123" s="6" t="s">
        <v>302</v>
      </c>
      <c r="T3123" s="6">
        <f t="shared" si="66"/>
        <v>3122</v>
      </c>
      <c r="U3123" s="4" t="s">
        <v>194</v>
      </c>
    </row>
    <row r="3124" spans="19:21" x14ac:dyDescent="0.25">
      <c r="S3124" s="6" t="s">
        <v>302</v>
      </c>
      <c r="T3124" s="6">
        <f t="shared" si="66"/>
        <v>3123</v>
      </c>
      <c r="U3124" s="4" t="s">
        <v>194</v>
      </c>
    </row>
    <row r="3125" spans="19:21" x14ac:dyDescent="0.25">
      <c r="S3125" s="6" t="s">
        <v>302</v>
      </c>
      <c r="T3125" s="6">
        <f t="shared" si="66"/>
        <v>3124</v>
      </c>
      <c r="U3125" s="4" t="s">
        <v>194</v>
      </c>
    </row>
    <row r="3126" spans="19:21" x14ac:dyDescent="0.25">
      <c r="S3126" s="6" t="s">
        <v>302</v>
      </c>
      <c r="T3126" s="6">
        <f t="shared" si="66"/>
        <v>3125</v>
      </c>
      <c r="U3126" s="4" t="s">
        <v>194</v>
      </c>
    </row>
    <row r="3127" spans="19:21" x14ac:dyDescent="0.25">
      <c r="S3127" s="6" t="s">
        <v>302</v>
      </c>
      <c r="T3127" s="6">
        <f t="shared" si="66"/>
        <v>3126</v>
      </c>
      <c r="U3127" s="4" t="s">
        <v>194</v>
      </c>
    </row>
    <row r="3128" spans="19:21" x14ac:dyDescent="0.25">
      <c r="S3128" s="6" t="s">
        <v>302</v>
      </c>
      <c r="T3128" s="6">
        <f t="shared" si="66"/>
        <v>3127</v>
      </c>
      <c r="U3128" s="4" t="s">
        <v>194</v>
      </c>
    </row>
    <row r="3129" spans="19:21" x14ac:dyDescent="0.25">
      <c r="S3129" s="6" t="s">
        <v>302</v>
      </c>
      <c r="T3129" s="6">
        <f t="shared" si="66"/>
        <v>3128</v>
      </c>
      <c r="U3129" s="4" t="s">
        <v>194</v>
      </c>
    </row>
    <row r="3130" spans="19:21" x14ac:dyDescent="0.25">
      <c r="S3130" s="6" t="s">
        <v>302</v>
      </c>
      <c r="T3130" s="6">
        <f t="shared" si="66"/>
        <v>3129</v>
      </c>
      <c r="U3130" s="4" t="s">
        <v>194</v>
      </c>
    </row>
    <row r="3131" spans="19:21" x14ac:dyDescent="0.25">
      <c r="S3131" s="6" t="s">
        <v>302</v>
      </c>
      <c r="T3131" s="6">
        <f t="shared" si="66"/>
        <v>3130</v>
      </c>
      <c r="U3131" s="4" t="s">
        <v>194</v>
      </c>
    </row>
    <row r="3132" spans="19:21" x14ac:dyDescent="0.25">
      <c r="S3132" s="6" t="s">
        <v>302</v>
      </c>
      <c r="T3132" s="6">
        <f t="shared" si="66"/>
        <v>3131</v>
      </c>
      <c r="U3132" s="4" t="s">
        <v>194</v>
      </c>
    </row>
    <row r="3133" spans="19:21" x14ac:dyDescent="0.25">
      <c r="S3133" s="6" t="s">
        <v>302</v>
      </c>
      <c r="T3133" s="6">
        <f t="shared" si="66"/>
        <v>3132</v>
      </c>
      <c r="U3133" s="4" t="s">
        <v>194</v>
      </c>
    </row>
    <row r="3134" spans="19:21" x14ac:dyDescent="0.25">
      <c r="S3134" s="6" t="s">
        <v>302</v>
      </c>
      <c r="T3134" s="6">
        <f t="shared" si="66"/>
        <v>3133</v>
      </c>
      <c r="U3134" s="4" t="s">
        <v>194</v>
      </c>
    </row>
    <row r="3135" spans="19:21" x14ac:dyDescent="0.25">
      <c r="S3135" s="6" t="s">
        <v>302</v>
      </c>
      <c r="T3135" s="6">
        <f t="shared" si="66"/>
        <v>3134</v>
      </c>
      <c r="U3135" s="4" t="s">
        <v>194</v>
      </c>
    </row>
    <row r="3136" spans="19:21" x14ac:dyDescent="0.25">
      <c r="S3136" s="6" t="s">
        <v>302</v>
      </c>
      <c r="T3136" s="6">
        <f t="shared" si="66"/>
        <v>3135</v>
      </c>
      <c r="U3136" s="4" t="s">
        <v>194</v>
      </c>
    </row>
    <row r="3137" spans="19:21" x14ac:dyDescent="0.25">
      <c r="S3137" s="6" t="s">
        <v>302</v>
      </c>
      <c r="T3137" s="6">
        <f t="shared" si="66"/>
        <v>3136</v>
      </c>
      <c r="U3137" s="4" t="s">
        <v>194</v>
      </c>
    </row>
    <row r="3138" spans="19:21" x14ac:dyDescent="0.25">
      <c r="S3138" s="6" t="s">
        <v>302</v>
      </c>
      <c r="T3138" s="6">
        <f t="shared" si="66"/>
        <v>3137</v>
      </c>
      <c r="U3138" s="4" t="s">
        <v>194</v>
      </c>
    </row>
    <row r="3139" spans="19:21" x14ac:dyDescent="0.25">
      <c r="S3139" s="6" t="s">
        <v>302</v>
      </c>
      <c r="T3139" s="6">
        <f t="shared" si="66"/>
        <v>3138</v>
      </c>
      <c r="U3139" s="4" t="s">
        <v>194</v>
      </c>
    </row>
    <row r="3140" spans="19:21" x14ac:dyDescent="0.25">
      <c r="S3140" s="6" t="s">
        <v>302</v>
      </c>
      <c r="T3140" s="6">
        <f t="shared" si="66"/>
        <v>3139</v>
      </c>
      <c r="U3140" s="4" t="s">
        <v>194</v>
      </c>
    </row>
    <row r="3141" spans="19:21" x14ac:dyDescent="0.25">
      <c r="S3141" s="6" t="s">
        <v>302</v>
      </c>
      <c r="T3141" s="6">
        <f t="shared" si="66"/>
        <v>3140</v>
      </c>
      <c r="U3141" s="4" t="s">
        <v>194</v>
      </c>
    </row>
    <row r="3142" spans="19:21" x14ac:dyDescent="0.25">
      <c r="S3142" s="6" t="s">
        <v>302</v>
      </c>
      <c r="T3142" s="6">
        <f t="shared" si="66"/>
        <v>3141</v>
      </c>
      <c r="U3142" s="4" t="s">
        <v>194</v>
      </c>
    </row>
    <row r="3143" spans="19:21" x14ac:dyDescent="0.25">
      <c r="S3143" s="6" t="s">
        <v>302</v>
      </c>
      <c r="T3143" s="6">
        <f t="shared" si="66"/>
        <v>3142</v>
      </c>
      <c r="U3143" s="4" t="s">
        <v>194</v>
      </c>
    </row>
    <row r="3144" spans="19:21" x14ac:dyDescent="0.25">
      <c r="S3144" s="6" t="s">
        <v>302</v>
      </c>
      <c r="T3144" s="6">
        <f t="shared" si="66"/>
        <v>3143</v>
      </c>
      <c r="U3144" s="4" t="s">
        <v>194</v>
      </c>
    </row>
    <row r="3145" spans="19:21" x14ac:dyDescent="0.25">
      <c r="S3145" s="6" t="s">
        <v>302</v>
      </c>
      <c r="T3145" s="6">
        <f t="shared" si="66"/>
        <v>3144</v>
      </c>
      <c r="U3145" s="4" t="s">
        <v>194</v>
      </c>
    </row>
    <row r="3146" spans="19:21" x14ac:dyDescent="0.25">
      <c r="S3146" s="6" t="s">
        <v>302</v>
      </c>
      <c r="T3146" s="6">
        <f t="shared" si="66"/>
        <v>3145</v>
      </c>
      <c r="U3146" s="4" t="s">
        <v>194</v>
      </c>
    </row>
    <row r="3147" spans="19:21" x14ac:dyDescent="0.25">
      <c r="S3147" s="6" t="s">
        <v>302</v>
      </c>
      <c r="T3147" s="6">
        <f t="shared" si="66"/>
        <v>3146</v>
      </c>
      <c r="U3147" s="4" t="s">
        <v>194</v>
      </c>
    </row>
    <row r="3148" spans="19:21" x14ac:dyDescent="0.25">
      <c r="S3148" s="6" t="s">
        <v>302</v>
      </c>
      <c r="T3148" s="6">
        <f t="shared" si="66"/>
        <v>3147</v>
      </c>
      <c r="U3148" s="4" t="s">
        <v>194</v>
      </c>
    </row>
    <row r="3149" spans="19:21" x14ac:dyDescent="0.25">
      <c r="S3149" s="6" t="s">
        <v>302</v>
      </c>
      <c r="T3149" s="6">
        <f t="shared" si="66"/>
        <v>3148</v>
      </c>
      <c r="U3149" s="4" t="s">
        <v>194</v>
      </c>
    </row>
    <row r="3150" spans="19:21" x14ac:dyDescent="0.25">
      <c r="S3150" s="6" t="s">
        <v>302</v>
      </c>
      <c r="T3150" s="6">
        <f t="shared" si="66"/>
        <v>3149</v>
      </c>
      <c r="U3150" s="4" t="s">
        <v>194</v>
      </c>
    </row>
    <row r="3151" spans="19:21" x14ac:dyDescent="0.25">
      <c r="S3151" s="6" t="s">
        <v>302</v>
      </c>
      <c r="T3151" s="6">
        <f t="shared" si="66"/>
        <v>3150</v>
      </c>
      <c r="U3151" s="4" t="s">
        <v>194</v>
      </c>
    </row>
    <row r="3152" spans="19:21" x14ac:dyDescent="0.25">
      <c r="S3152" s="6" t="s">
        <v>302</v>
      </c>
      <c r="T3152" s="6">
        <f t="shared" si="66"/>
        <v>3151</v>
      </c>
      <c r="U3152" s="4" t="s">
        <v>194</v>
      </c>
    </row>
    <row r="3153" spans="19:21" x14ac:dyDescent="0.25">
      <c r="S3153" s="6" t="s">
        <v>302</v>
      </c>
      <c r="T3153" s="6">
        <f t="shared" si="66"/>
        <v>3152</v>
      </c>
      <c r="U3153" s="4" t="s">
        <v>194</v>
      </c>
    </row>
    <row r="3154" spans="19:21" x14ac:dyDescent="0.25">
      <c r="S3154" s="6" t="s">
        <v>302</v>
      </c>
      <c r="T3154" s="6">
        <f t="shared" si="66"/>
        <v>3153</v>
      </c>
      <c r="U3154" s="4" t="s">
        <v>194</v>
      </c>
    </row>
    <row r="3155" spans="19:21" x14ac:dyDescent="0.25">
      <c r="S3155" s="6" t="s">
        <v>302</v>
      </c>
      <c r="T3155" s="6">
        <f t="shared" si="66"/>
        <v>3154</v>
      </c>
      <c r="U3155" s="4" t="s">
        <v>194</v>
      </c>
    </row>
    <row r="3156" spans="19:21" x14ac:dyDescent="0.25">
      <c r="S3156" s="6" t="s">
        <v>302</v>
      </c>
      <c r="T3156" s="6">
        <f t="shared" si="66"/>
        <v>3155</v>
      </c>
      <c r="U3156" s="4" t="s">
        <v>194</v>
      </c>
    </row>
    <row r="3157" spans="19:21" x14ac:dyDescent="0.25">
      <c r="S3157" s="6" t="s">
        <v>302</v>
      </c>
      <c r="T3157" s="6">
        <f t="shared" si="66"/>
        <v>3156</v>
      </c>
      <c r="U3157" s="4" t="s">
        <v>194</v>
      </c>
    </row>
    <row r="3158" spans="19:21" x14ac:dyDescent="0.25">
      <c r="S3158" s="6" t="s">
        <v>302</v>
      </c>
      <c r="T3158" s="6">
        <f t="shared" si="66"/>
        <v>3157</v>
      </c>
      <c r="U3158" s="4" t="s">
        <v>194</v>
      </c>
    </row>
    <row r="3159" spans="19:21" x14ac:dyDescent="0.25">
      <c r="S3159" s="6" t="s">
        <v>302</v>
      </c>
      <c r="T3159" s="6">
        <f t="shared" si="66"/>
        <v>3158</v>
      </c>
      <c r="U3159" s="4" t="s">
        <v>194</v>
      </c>
    </row>
    <row r="3160" spans="19:21" x14ac:dyDescent="0.25">
      <c r="S3160" s="6" t="s">
        <v>302</v>
      </c>
      <c r="T3160" s="6">
        <f t="shared" si="66"/>
        <v>3159</v>
      </c>
      <c r="U3160" s="4" t="s">
        <v>194</v>
      </c>
    </row>
    <row r="3161" spans="19:21" x14ac:dyDescent="0.25">
      <c r="S3161" s="6" t="s">
        <v>302</v>
      </c>
      <c r="T3161" s="6">
        <f t="shared" si="66"/>
        <v>3160</v>
      </c>
      <c r="U3161" s="4" t="s">
        <v>194</v>
      </c>
    </row>
    <row r="3162" spans="19:21" x14ac:dyDescent="0.25">
      <c r="S3162" s="6" t="s">
        <v>302</v>
      </c>
      <c r="T3162" s="6">
        <f t="shared" si="66"/>
        <v>3161</v>
      </c>
      <c r="U3162" s="4" t="s">
        <v>194</v>
      </c>
    </row>
    <row r="3163" spans="19:21" x14ac:dyDescent="0.25">
      <c r="S3163" s="6" t="s">
        <v>302</v>
      </c>
      <c r="T3163" s="6">
        <f t="shared" si="66"/>
        <v>3162</v>
      </c>
      <c r="U3163" s="4" t="s">
        <v>194</v>
      </c>
    </row>
    <row r="3164" spans="19:21" x14ac:dyDescent="0.25">
      <c r="S3164" s="6" t="s">
        <v>302</v>
      </c>
      <c r="T3164" s="6">
        <f t="shared" si="66"/>
        <v>3163</v>
      </c>
      <c r="U3164" s="4" t="s">
        <v>194</v>
      </c>
    </row>
    <row r="3165" spans="19:21" x14ac:dyDescent="0.25">
      <c r="S3165" s="6" t="s">
        <v>302</v>
      </c>
      <c r="T3165" s="6">
        <f t="shared" si="66"/>
        <v>3164</v>
      </c>
      <c r="U3165" s="4" t="s">
        <v>194</v>
      </c>
    </row>
    <row r="3166" spans="19:21" x14ac:dyDescent="0.25">
      <c r="S3166" s="6" t="s">
        <v>302</v>
      </c>
      <c r="T3166" s="6">
        <f t="shared" ref="T3166:T3229" si="67">T3165+1</f>
        <v>3165</v>
      </c>
      <c r="U3166" s="4" t="s">
        <v>194</v>
      </c>
    </row>
    <row r="3167" spans="19:21" x14ac:dyDescent="0.25">
      <c r="S3167" s="6" t="s">
        <v>302</v>
      </c>
      <c r="T3167" s="6">
        <f t="shared" si="67"/>
        <v>3166</v>
      </c>
      <c r="U3167" s="4" t="s">
        <v>194</v>
      </c>
    </row>
    <row r="3168" spans="19:21" x14ac:dyDescent="0.25">
      <c r="S3168" s="6" t="s">
        <v>302</v>
      </c>
      <c r="T3168" s="6">
        <f t="shared" si="67"/>
        <v>3167</v>
      </c>
      <c r="U3168" s="4" t="s">
        <v>194</v>
      </c>
    </row>
    <row r="3169" spans="19:21" x14ac:dyDescent="0.25">
      <c r="S3169" s="6" t="s">
        <v>302</v>
      </c>
      <c r="T3169" s="6">
        <f t="shared" si="67"/>
        <v>3168</v>
      </c>
      <c r="U3169" s="4" t="s">
        <v>194</v>
      </c>
    </row>
    <row r="3170" spans="19:21" x14ac:dyDescent="0.25">
      <c r="S3170" s="6" t="s">
        <v>302</v>
      </c>
      <c r="T3170" s="6">
        <f t="shared" si="67"/>
        <v>3169</v>
      </c>
      <c r="U3170" s="4" t="s">
        <v>194</v>
      </c>
    </row>
    <row r="3171" spans="19:21" x14ac:dyDescent="0.25">
      <c r="S3171" s="6" t="s">
        <v>302</v>
      </c>
      <c r="T3171" s="6">
        <f t="shared" si="67"/>
        <v>3170</v>
      </c>
      <c r="U3171" s="4" t="s">
        <v>194</v>
      </c>
    </row>
    <row r="3172" spans="19:21" x14ac:dyDescent="0.25">
      <c r="S3172" s="6" t="s">
        <v>302</v>
      </c>
      <c r="T3172" s="6">
        <f t="shared" si="67"/>
        <v>3171</v>
      </c>
      <c r="U3172" s="4" t="s">
        <v>194</v>
      </c>
    </row>
    <row r="3173" spans="19:21" x14ac:dyDescent="0.25">
      <c r="S3173" s="6" t="s">
        <v>302</v>
      </c>
      <c r="T3173" s="6">
        <f t="shared" si="67"/>
        <v>3172</v>
      </c>
      <c r="U3173" s="4" t="s">
        <v>194</v>
      </c>
    </row>
    <row r="3174" spans="19:21" x14ac:dyDescent="0.25">
      <c r="S3174" s="6" t="s">
        <v>302</v>
      </c>
      <c r="T3174" s="6">
        <f t="shared" si="67"/>
        <v>3173</v>
      </c>
      <c r="U3174" s="4" t="s">
        <v>194</v>
      </c>
    </row>
    <row r="3175" spans="19:21" x14ac:dyDescent="0.25">
      <c r="S3175" s="6" t="s">
        <v>302</v>
      </c>
      <c r="T3175" s="6">
        <f t="shared" si="67"/>
        <v>3174</v>
      </c>
      <c r="U3175" s="4" t="s">
        <v>194</v>
      </c>
    </row>
    <row r="3176" spans="19:21" x14ac:dyDescent="0.25">
      <c r="S3176" s="6" t="s">
        <v>302</v>
      </c>
      <c r="T3176" s="6">
        <f t="shared" si="67"/>
        <v>3175</v>
      </c>
      <c r="U3176" s="4" t="s">
        <v>194</v>
      </c>
    </row>
    <row r="3177" spans="19:21" x14ac:dyDescent="0.25">
      <c r="S3177" s="6" t="s">
        <v>302</v>
      </c>
      <c r="T3177" s="6">
        <f t="shared" si="67"/>
        <v>3176</v>
      </c>
      <c r="U3177" s="4" t="s">
        <v>194</v>
      </c>
    </row>
    <row r="3178" spans="19:21" x14ac:dyDescent="0.25">
      <c r="S3178" s="6" t="s">
        <v>302</v>
      </c>
      <c r="T3178" s="6">
        <f t="shared" si="67"/>
        <v>3177</v>
      </c>
      <c r="U3178" s="4" t="s">
        <v>194</v>
      </c>
    </row>
    <row r="3179" spans="19:21" x14ac:dyDescent="0.25">
      <c r="S3179" s="6" t="s">
        <v>302</v>
      </c>
      <c r="T3179" s="6">
        <f t="shared" si="67"/>
        <v>3178</v>
      </c>
      <c r="U3179" s="4" t="s">
        <v>194</v>
      </c>
    </row>
    <row r="3180" spans="19:21" x14ac:dyDescent="0.25">
      <c r="S3180" s="6" t="s">
        <v>302</v>
      </c>
      <c r="T3180" s="6">
        <f t="shared" si="67"/>
        <v>3179</v>
      </c>
      <c r="U3180" s="4" t="s">
        <v>194</v>
      </c>
    </row>
    <row r="3181" spans="19:21" x14ac:dyDescent="0.25">
      <c r="S3181" s="6" t="s">
        <v>302</v>
      </c>
      <c r="T3181" s="6">
        <f t="shared" si="67"/>
        <v>3180</v>
      </c>
      <c r="U3181" s="4" t="s">
        <v>194</v>
      </c>
    </row>
    <row r="3182" spans="19:21" x14ac:dyDescent="0.25">
      <c r="S3182" s="6" t="s">
        <v>302</v>
      </c>
      <c r="T3182" s="6">
        <f t="shared" si="67"/>
        <v>3181</v>
      </c>
      <c r="U3182" s="4" t="s">
        <v>194</v>
      </c>
    </row>
    <row r="3183" spans="19:21" x14ac:dyDescent="0.25">
      <c r="S3183" s="6" t="s">
        <v>302</v>
      </c>
      <c r="T3183" s="6">
        <f t="shared" si="67"/>
        <v>3182</v>
      </c>
      <c r="U3183" s="4" t="s">
        <v>194</v>
      </c>
    </row>
    <row r="3184" spans="19:21" x14ac:dyDescent="0.25">
      <c r="S3184" s="6" t="s">
        <v>302</v>
      </c>
      <c r="T3184" s="6">
        <f t="shared" si="67"/>
        <v>3183</v>
      </c>
      <c r="U3184" s="4" t="s">
        <v>194</v>
      </c>
    </row>
    <row r="3185" spans="19:21" x14ac:dyDescent="0.25">
      <c r="S3185" s="6" t="s">
        <v>302</v>
      </c>
      <c r="T3185" s="6">
        <f t="shared" si="67"/>
        <v>3184</v>
      </c>
      <c r="U3185" s="4" t="s">
        <v>194</v>
      </c>
    </row>
    <row r="3186" spans="19:21" x14ac:dyDescent="0.25">
      <c r="S3186" s="6" t="s">
        <v>302</v>
      </c>
      <c r="T3186" s="6">
        <f t="shared" si="67"/>
        <v>3185</v>
      </c>
      <c r="U3186" s="4" t="s">
        <v>194</v>
      </c>
    </row>
    <row r="3187" spans="19:21" x14ac:dyDescent="0.25">
      <c r="S3187" s="6" t="s">
        <v>302</v>
      </c>
      <c r="T3187" s="6">
        <f t="shared" si="67"/>
        <v>3186</v>
      </c>
      <c r="U3187" s="4" t="s">
        <v>194</v>
      </c>
    </row>
    <row r="3188" spans="19:21" x14ac:dyDescent="0.25">
      <c r="S3188" s="6" t="s">
        <v>302</v>
      </c>
      <c r="T3188" s="6">
        <f t="shared" si="67"/>
        <v>3187</v>
      </c>
      <c r="U3188" s="4" t="s">
        <v>194</v>
      </c>
    </row>
    <row r="3189" spans="19:21" x14ac:dyDescent="0.25">
      <c r="S3189" s="6" t="s">
        <v>302</v>
      </c>
      <c r="T3189" s="6">
        <f t="shared" si="67"/>
        <v>3188</v>
      </c>
      <c r="U3189" s="4" t="s">
        <v>194</v>
      </c>
    </row>
    <row r="3190" spans="19:21" x14ac:dyDescent="0.25">
      <c r="S3190" s="6" t="s">
        <v>302</v>
      </c>
      <c r="T3190" s="6">
        <f t="shared" si="67"/>
        <v>3189</v>
      </c>
      <c r="U3190" s="4" t="s">
        <v>194</v>
      </c>
    </row>
    <row r="3191" spans="19:21" x14ac:dyDescent="0.25">
      <c r="S3191" s="6" t="s">
        <v>302</v>
      </c>
      <c r="T3191" s="6">
        <f t="shared" si="67"/>
        <v>3190</v>
      </c>
      <c r="U3191" s="4" t="s">
        <v>194</v>
      </c>
    </row>
    <row r="3192" spans="19:21" x14ac:dyDescent="0.25">
      <c r="S3192" s="6" t="s">
        <v>302</v>
      </c>
      <c r="T3192" s="6">
        <f t="shared" si="67"/>
        <v>3191</v>
      </c>
      <c r="U3192" s="4" t="s">
        <v>194</v>
      </c>
    </row>
    <row r="3193" spans="19:21" x14ac:dyDescent="0.25">
      <c r="S3193" s="6" t="s">
        <v>302</v>
      </c>
      <c r="T3193" s="6">
        <f t="shared" si="67"/>
        <v>3192</v>
      </c>
      <c r="U3193" s="4" t="s">
        <v>194</v>
      </c>
    </row>
    <row r="3194" spans="19:21" x14ac:dyDescent="0.25">
      <c r="S3194" s="6" t="s">
        <v>302</v>
      </c>
      <c r="T3194" s="6">
        <f t="shared" si="67"/>
        <v>3193</v>
      </c>
      <c r="U3194" s="4" t="s">
        <v>194</v>
      </c>
    </row>
    <row r="3195" spans="19:21" x14ac:dyDescent="0.25">
      <c r="S3195" s="6" t="s">
        <v>302</v>
      </c>
      <c r="T3195" s="6">
        <f t="shared" si="67"/>
        <v>3194</v>
      </c>
      <c r="U3195" s="4" t="s">
        <v>194</v>
      </c>
    </row>
    <row r="3196" spans="19:21" x14ac:dyDescent="0.25">
      <c r="S3196" s="6" t="s">
        <v>302</v>
      </c>
      <c r="T3196" s="6">
        <f t="shared" si="67"/>
        <v>3195</v>
      </c>
      <c r="U3196" s="4" t="s">
        <v>194</v>
      </c>
    </row>
    <row r="3197" spans="19:21" x14ac:dyDescent="0.25">
      <c r="S3197" s="6" t="s">
        <v>302</v>
      </c>
      <c r="T3197" s="6">
        <f t="shared" si="67"/>
        <v>3196</v>
      </c>
      <c r="U3197" s="4" t="s">
        <v>194</v>
      </c>
    </row>
    <row r="3198" spans="19:21" x14ac:dyDescent="0.25">
      <c r="S3198" s="6" t="s">
        <v>302</v>
      </c>
      <c r="T3198" s="6">
        <f t="shared" si="67"/>
        <v>3197</v>
      </c>
      <c r="U3198" s="4" t="s">
        <v>194</v>
      </c>
    </row>
    <row r="3199" spans="19:21" x14ac:dyDescent="0.25">
      <c r="S3199" s="6" t="s">
        <v>302</v>
      </c>
      <c r="T3199" s="6">
        <f t="shared" si="67"/>
        <v>3198</v>
      </c>
      <c r="U3199" s="4" t="s">
        <v>194</v>
      </c>
    </row>
    <row r="3200" spans="19:21" x14ac:dyDescent="0.25">
      <c r="S3200" s="6" t="s">
        <v>302</v>
      </c>
      <c r="T3200" s="6">
        <f t="shared" si="67"/>
        <v>3199</v>
      </c>
      <c r="U3200" s="4" t="s">
        <v>194</v>
      </c>
    </row>
    <row r="3201" spans="19:21" x14ac:dyDescent="0.25">
      <c r="S3201" s="6" t="s">
        <v>302</v>
      </c>
      <c r="T3201" s="6">
        <f t="shared" si="67"/>
        <v>3200</v>
      </c>
      <c r="U3201" s="4" t="s">
        <v>194</v>
      </c>
    </row>
    <row r="3202" spans="19:21" x14ac:dyDescent="0.25">
      <c r="S3202" s="6" t="s">
        <v>302</v>
      </c>
      <c r="T3202" s="6">
        <f t="shared" si="67"/>
        <v>3201</v>
      </c>
      <c r="U3202" s="4" t="s">
        <v>194</v>
      </c>
    </row>
    <row r="3203" spans="19:21" x14ac:dyDescent="0.25">
      <c r="S3203" s="6" t="s">
        <v>302</v>
      </c>
      <c r="T3203" s="6">
        <f t="shared" si="67"/>
        <v>3202</v>
      </c>
      <c r="U3203" s="4" t="s">
        <v>194</v>
      </c>
    </row>
    <row r="3204" spans="19:21" x14ac:dyDescent="0.25">
      <c r="S3204" s="6" t="s">
        <v>302</v>
      </c>
      <c r="T3204" s="6">
        <f t="shared" si="67"/>
        <v>3203</v>
      </c>
      <c r="U3204" s="4" t="s">
        <v>194</v>
      </c>
    </row>
    <row r="3205" spans="19:21" x14ac:dyDescent="0.25">
      <c r="S3205" s="6" t="s">
        <v>302</v>
      </c>
      <c r="T3205" s="6">
        <f t="shared" si="67"/>
        <v>3204</v>
      </c>
      <c r="U3205" s="4" t="s">
        <v>194</v>
      </c>
    </row>
    <row r="3206" spans="19:21" x14ac:dyDescent="0.25">
      <c r="S3206" s="6" t="s">
        <v>302</v>
      </c>
      <c r="T3206" s="6">
        <f t="shared" si="67"/>
        <v>3205</v>
      </c>
      <c r="U3206" s="4" t="s">
        <v>194</v>
      </c>
    </row>
    <row r="3207" spans="19:21" x14ac:dyDescent="0.25">
      <c r="S3207" s="6" t="s">
        <v>302</v>
      </c>
      <c r="T3207" s="6">
        <f t="shared" si="67"/>
        <v>3206</v>
      </c>
      <c r="U3207" s="4" t="s">
        <v>194</v>
      </c>
    </row>
    <row r="3208" spans="19:21" x14ac:dyDescent="0.25">
      <c r="S3208" s="6" t="s">
        <v>302</v>
      </c>
      <c r="T3208" s="6">
        <f t="shared" si="67"/>
        <v>3207</v>
      </c>
      <c r="U3208" s="4" t="s">
        <v>194</v>
      </c>
    </row>
    <row r="3209" spans="19:21" x14ac:dyDescent="0.25">
      <c r="S3209" s="6" t="s">
        <v>302</v>
      </c>
      <c r="T3209" s="6">
        <f t="shared" si="67"/>
        <v>3208</v>
      </c>
      <c r="U3209" s="4" t="s">
        <v>194</v>
      </c>
    </row>
    <row r="3210" spans="19:21" x14ac:dyDescent="0.25">
      <c r="S3210" s="6" t="s">
        <v>302</v>
      </c>
      <c r="T3210" s="6">
        <f t="shared" si="67"/>
        <v>3209</v>
      </c>
      <c r="U3210" s="4" t="s">
        <v>194</v>
      </c>
    </row>
    <row r="3211" spans="19:21" x14ac:dyDescent="0.25">
      <c r="S3211" s="6" t="s">
        <v>302</v>
      </c>
      <c r="T3211" s="6">
        <f t="shared" si="67"/>
        <v>3210</v>
      </c>
      <c r="U3211" s="4" t="s">
        <v>194</v>
      </c>
    </row>
    <row r="3212" spans="19:21" x14ac:dyDescent="0.25">
      <c r="S3212" s="6" t="s">
        <v>302</v>
      </c>
      <c r="T3212" s="6">
        <f t="shared" si="67"/>
        <v>3211</v>
      </c>
      <c r="U3212" s="4" t="s">
        <v>194</v>
      </c>
    </row>
    <row r="3213" spans="19:21" x14ac:dyDescent="0.25">
      <c r="S3213" s="6" t="s">
        <v>302</v>
      </c>
      <c r="T3213" s="6">
        <f t="shared" si="67"/>
        <v>3212</v>
      </c>
      <c r="U3213" s="4" t="s">
        <v>194</v>
      </c>
    </row>
    <row r="3214" spans="19:21" x14ac:dyDescent="0.25">
      <c r="S3214" s="6" t="s">
        <v>302</v>
      </c>
      <c r="T3214" s="6">
        <f t="shared" si="67"/>
        <v>3213</v>
      </c>
      <c r="U3214" s="4" t="s">
        <v>194</v>
      </c>
    </row>
    <row r="3215" spans="19:21" x14ac:dyDescent="0.25">
      <c r="S3215" s="6" t="s">
        <v>302</v>
      </c>
      <c r="T3215" s="6">
        <f t="shared" si="67"/>
        <v>3214</v>
      </c>
      <c r="U3215" s="4" t="s">
        <v>194</v>
      </c>
    </row>
    <row r="3216" spans="19:21" x14ac:dyDescent="0.25">
      <c r="S3216" s="6" t="s">
        <v>302</v>
      </c>
      <c r="T3216" s="6">
        <f t="shared" si="67"/>
        <v>3215</v>
      </c>
      <c r="U3216" s="4" t="s">
        <v>194</v>
      </c>
    </row>
    <row r="3217" spans="19:21" x14ac:dyDescent="0.25">
      <c r="S3217" s="6" t="s">
        <v>302</v>
      </c>
      <c r="T3217" s="6">
        <f t="shared" si="67"/>
        <v>3216</v>
      </c>
      <c r="U3217" s="4" t="s">
        <v>194</v>
      </c>
    </row>
    <row r="3218" spans="19:21" x14ac:dyDescent="0.25">
      <c r="S3218" s="6" t="s">
        <v>302</v>
      </c>
      <c r="T3218" s="6">
        <f t="shared" si="67"/>
        <v>3217</v>
      </c>
      <c r="U3218" s="4" t="s">
        <v>194</v>
      </c>
    </row>
    <row r="3219" spans="19:21" x14ac:dyDescent="0.25">
      <c r="S3219" s="6" t="s">
        <v>302</v>
      </c>
      <c r="T3219" s="6">
        <f t="shared" si="67"/>
        <v>3218</v>
      </c>
      <c r="U3219" s="4" t="s">
        <v>194</v>
      </c>
    </row>
    <row r="3220" spans="19:21" x14ac:dyDescent="0.25">
      <c r="S3220" s="6" t="s">
        <v>302</v>
      </c>
      <c r="T3220" s="6">
        <f t="shared" si="67"/>
        <v>3219</v>
      </c>
      <c r="U3220" s="4" t="s">
        <v>194</v>
      </c>
    </row>
    <row r="3221" spans="19:21" x14ac:dyDescent="0.25">
      <c r="S3221" s="6" t="s">
        <v>302</v>
      </c>
      <c r="T3221" s="6">
        <f t="shared" si="67"/>
        <v>3220</v>
      </c>
      <c r="U3221" s="4" t="s">
        <v>194</v>
      </c>
    </row>
    <row r="3222" spans="19:21" x14ac:dyDescent="0.25">
      <c r="S3222" s="6" t="s">
        <v>302</v>
      </c>
      <c r="T3222" s="6">
        <f t="shared" si="67"/>
        <v>3221</v>
      </c>
      <c r="U3222" s="4" t="s">
        <v>194</v>
      </c>
    </row>
    <row r="3223" spans="19:21" x14ac:dyDescent="0.25">
      <c r="S3223" s="6" t="s">
        <v>302</v>
      </c>
      <c r="T3223" s="6">
        <f t="shared" si="67"/>
        <v>3222</v>
      </c>
      <c r="U3223" s="4" t="s">
        <v>194</v>
      </c>
    </row>
    <row r="3224" spans="19:21" x14ac:dyDescent="0.25">
      <c r="S3224" s="6" t="s">
        <v>302</v>
      </c>
      <c r="T3224" s="6">
        <f t="shared" si="67"/>
        <v>3223</v>
      </c>
      <c r="U3224" s="4" t="s">
        <v>194</v>
      </c>
    </row>
    <row r="3225" spans="19:21" x14ac:dyDescent="0.25">
      <c r="S3225" s="6" t="s">
        <v>302</v>
      </c>
      <c r="T3225" s="6">
        <f t="shared" si="67"/>
        <v>3224</v>
      </c>
      <c r="U3225" s="4" t="s">
        <v>194</v>
      </c>
    </row>
    <row r="3226" spans="19:21" x14ac:dyDescent="0.25">
      <c r="S3226" s="6" t="s">
        <v>302</v>
      </c>
      <c r="T3226" s="6">
        <f t="shared" si="67"/>
        <v>3225</v>
      </c>
      <c r="U3226" s="4" t="s">
        <v>194</v>
      </c>
    </row>
    <row r="3227" spans="19:21" x14ac:dyDescent="0.25">
      <c r="S3227" s="6" t="s">
        <v>302</v>
      </c>
      <c r="T3227" s="6">
        <f t="shared" si="67"/>
        <v>3226</v>
      </c>
      <c r="U3227" s="4" t="s">
        <v>194</v>
      </c>
    </row>
    <row r="3228" spans="19:21" x14ac:dyDescent="0.25">
      <c r="S3228" s="6" t="s">
        <v>302</v>
      </c>
      <c r="T3228" s="6">
        <f t="shared" si="67"/>
        <v>3227</v>
      </c>
      <c r="U3228" s="4" t="s">
        <v>194</v>
      </c>
    </row>
    <row r="3229" spans="19:21" x14ac:dyDescent="0.25">
      <c r="S3229" s="6" t="s">
        <v>302</v>
      </c>
      <c r="T3229" s="6">
        <f t="shared" si="67"/>
        <v>3228</v>
      </c>
      <c r="U3229" s="4" t="s">
        <v>194</v>
      </c>
    </row>
    <row r="3230" spans="19:21" x14ac:dyDescent="0.25">
      <c r="S3230" s="6" t="s">
        <v>302</v>
      </c>
      <c r="T3230" s="6">
        <f t="shared" ref="T3230:T3293" si="68">T3229+1</f>
        <v>3229</v>
      </c>
      <c r="U3230" s="4" t="s">
        <v>194</v>
      </c>
    </row>
    <row r="3231" spans="19:21" x14ac:dyDescent="0.25">
      <c r="S3231" s="6" t="s">
        <v>302</v>
      </c>
      <c r="T3231" s="6">
        <f t="shared" si="68"/>
        <v>3230</v>
      </c>
      <c r="U3231" s="4" t="s">
        <v>194</v>
      </c>
    </row>
    <row r="3232" spans="19:21" x14ac:dyDescent="0.25">
      <c r="S3232" s="6" t="s">
        <v>302</v>
      </c>
      <c r="T3232" s="6">
        <f t="shared" si="68"/>
        <v>3231</v>
      </c>
      <c r="U3232" s="4" t="s">
        <v>194</v>
      </c>
    </row>
    <row r="3233" spans="19:21" x14ac:dyDescent="0.25">
      <c r="S3233" s="6" t="s">
        <v>302</v>
      </c>
      <c r="T3233" s="6">
        <f t="shared" si="68"/>
        <v>3232</v>
      </c>
      <c r="U3233" s="4" t="s">
        <v>194</v>
      </c>
    </row>
    <row r="3234" spans="19:21" x14ac:dyDescent="0.25">
      <c r="S3234" s="6" t="s">
        <v>302</v>
      </c>
      <c r="T3234" s="6">
        <f t="shared" si="68"/>
        <v>3233</v>
      </c>
      <c r="U3234" s="4" t="s">
        <v>194</v>
      </c>
    </row>
    <row r="3235" spans="19:21" x14ac:dyDescent="0.25">
      <c r="S3235" s="6" t="s">
        <v>302</v>
      </c>
      <c r="T3235" s="6">
        <f t="shared" si="68"/>
        <v>3234</v>
      </c>
      <c r="U3235" s="4" t="s">
        <v>194</v>
      </c>
    </row>
    <row r="3236" spans="19:21" x14ac:dyDescent="0.25">
      <c r="S3236" s="6" t="s">
        <v>302</v>
      </c>
      <c r="T3236" s="6">
        <f t="shared" si="68"/>
        <v>3235</v>
      </c>
      <c r="U3236" s="4" t="s">
        <v>194</v>
      </c>
    </row>
    <row r="3237" spans="19:21" x14ac:dyDescent="0.25">
      <c r="S3237" s="6" t="s">
        <v>302</v>
      </c>
      <c r="T3237" s="6">
        <f t="shared" si="68"/>
        <v>3236</v>
      </c>
      <c r="U3237" s="4" t="s">
        <v>194</v>
      </c>
    </row>
    <row r="3238" spans="19:21" x14ac:dyDescent="0.25">
      <c r="S3238" s="6" t="s">
        <v>302</v>
      </c>
      <c r="T3238" s="6">
        <f t="shared" si="68"/>
        <v>3237</v>
      </c>
      <c r="U3238" s="4" t="s">
        <v>194</v>
      </c>
    </row>
    <row r="3239" spans="19:21" x14ac:dyDescent="0.25">
      <c r="S3239" s="6" t="s">
        <v>302</v>
      </c>
      <c r="T3239" s="6">
        <f t="shared" si="68"/>
        <v>3238</v>
      </c>
      <c r="U3239" s="4" t="s">
        <v>194</v>
      </c>
    </row>
    <row r="3240" spans="19:21" x14ac:dyDescent="0.25">
      <c r="S3240" s="6" t="s">
        <v>302</v>
      </c>
      <c r="T3240" s="6">
        <f t="shared" si="68"/>
        <v>3239</v>
      </c>
      <c r="U3240" s="4" t="s">
        <v>194</v>
      </c>
    </row>
    <row r="3241" spans="19:21" x14ac:dyDescent="0.25">
      <c r="S3241" s="6" t="s">
        <v>302</v>
      </c>
      <c r="T3241" s="6">
        <f t="shared" si="68"/>
        <v>3240</v>
      </c>
      <c r="U3241" s="4" t="s">
        <v>194</v>
      </c>
    </row>
    <row r="3242" spans="19:21" x14ac:dyDescent="0.25">
      <c r="S3242" s="6" t="s">
        <v>302</v>
      </c>
      <c r="T3242" s="6">
        <f t="shared" si="68"/>
        <v>3241</v>
      </c>
      <c r="U3242" s="4" t="s">
        <v>194</v>
      </c>
    </row>
    <row r="3243" spans="19:21" x14ac:dyDescent="0.25">
      <c r="S3243" s="6" t="s">
        <v>302</v>
      </c>
      <c r="T3243" s="6">
        <f t="shared" si="68"/>
        <v>3242</v>
      </c>
      <c r="U3243" s="4" t="s">
        <v>194</v>
      </c>
    </row>
    <row r="3244" spans="19:21" x14ac:dyDescent="0.25">
      <c r="S3244" s="6" t="s">
        <v>302</v>
      </c>
      <c r="T3244" s="6">
        <f t="shared" si="68"/>
        <v>3243</v>
      </c>
      <c r="U3244" s="4" t="s">
        <v>194</v>
      </c>
    </row>
    <row r="3245" spans="19:21" x14ac:dyDescent="0.25">
      <c r="S3245" s="6" t="s">
        <v>302</v>
      </c>
      <c r="T3245" s="6">
        <f t="shared" si="68"/>
        <v>3244</v>
      </c>
      <c r="U3245" s="4" t="s">
        <v>194</v>
      </c>
    </row>
    <row r="3246" spans="19:21" x14ac:dyDescent="0.25">
      <c r="S3246" s="6" t="s">
        <v>302</v>
      </c>
      <c r="T3246" s="6">
        <f t="shared" si="68"/>
        <v>3245</v>
      </c>
      <c r="U3246" s="4" t="s">
        <v>194</v>
      </c>
    </row>
    <row r="3247" spans="19:21" x14ac:dyDescent="0.25">
      <c r="S3247" s="6" t="s">
        <v>302</v>
      </c>
      <c r="T3247" s="6">
        <f t="shared" si="68"/>
        <v>3246</v>
      </c>
      <c r="U3247" s="4" t="s">
        <v>194</v>
      </c>
    </row>
    <row r="3248" spans="19:21" x14ac:dyDescent="0.25">
      <c r="S3248" s="6" t="s">
        <v>302</v>
      </c>
      <c r="T3248" s="6">
        <f t="shared" si="68"/>
        <v>3247</v>
      </c>
      <c r="U3248" s="4" t="s">
        <v>194</v>
      </c>
    </row>
    <row r="3249" spans="19:21" x14ac:dyDescent="0.25">
      <c r="S3249" s="6" t="s">
        <v>302</v>
      </c>
      <c r="T3249" s="6">
        <f t="shared" si="68"/>
        <v>3248</v>
      </c>
      <c r="U3249" s="4" t="s">
        <v>194</v>
      </c>
    </row>
    <row r="3250" spans="19:21" x14ac:dyDescent="0.25">
      <c r="S3250" s="6" t="s">
        <v>302</v>
      </c>
      <c r="T3250" s="6">
        <f t="shared" si="68"/>
        <v>3249</v>
      </c>
      <c r="U3250" s="4" t="s">
        <v>194</v>
      </c>
    </row>
    <row r="3251" spans="19:21" x14ac:dyDescent="0.25">
      <c r="S3251" s="6" t="s">
        <v>302</v>
      </c>
      <c r="T3251" s="6">
        <f t="shared" si="68"/>
        <v>3250</v>
      </c>
      <c r="U3251" s="4" t="s">
        <v>194</v>
      </c>
    </row>
    <row r="3252" spans="19:21" x14ac:dyDescent="0.25">
      <c r="S3252" s="6" t="s">
        <v>302</v>
      </c>
      <c r="T3252" s="6">
        <f t="shared" si="68"/>
        <v>3251</v>
      </c>
      <c r="U3252" s="4" t="s">
        <v>194</v>
      </c>
    </row>
    <row r="3253" spans="19:21" x14ac:dyDescent="0.25">
      <c r="S3253" s="6" t="s">
        <v>302</v>
      </c>
      <c r="T3253" s="6">
        <f t="shared" si="68"/>
        <v>3252</v>
      </c>
      <c r="U3253" s="4" t="s">
        <v>194</v>
      </c>
    </row>
    <row r="3254" spans="19:21" x14ac:dyDescent="0.25">
      <c r="S3254" s="6" t="s">
        <v>302</v>
      </c>
      <c r="T3254" s="6">
        <f t="shared" si="68"/>
        <v>3253</v>
      </c>
      <c r="U3254" s="4" t="s">
        <v>194</v>
      </c>
    </row>
    <row r="3255" spans="19:21" x14ac:dyDescent="0.25">
      <c r="S3255" s="6" t="s">
        <v>302</v>
      </c>
      <c r="T3255" s="6">
        <f t="shared" si="68"/>
        <v>3254</v>
      </c>
      <c r="U3255" s="4" t="s">
        <v>194</v>
      </c>
    </row>
    <row r="3256" spans="19:21" x14ac:dyDescent="0.25">
      <c r="S3256" s="6" t="s">
        <v>302</v>
      </c>
      <c r="T3256" s="6">
        <f t="shared" si="68"/>
        <v>3255</v>
      </c>
      <c r="U3256" s="4" t="s">
        <v>194</v>
      </c>
    </row>
    <row r="3257" spans="19:21" x14ac:dyDescent="0.25">
      <c r="S3257" s="6" t="s">
        <v>302</v>
      </c>
      <c r="T3257" s="6">
        <f t="shared" si="68"/>
        <v>3256</v>
      </c>
      <c r="U3257" s="4" t="s">
        <v>194</v>
      </c>
    </row>
    <row r="3258" spans="19:21" x14ac:dyDescent="0.25">
      <c r="S3258" s="6" t="s">
        <v>302</v>
      </c>
      <c r="T3258" s="6">
        <f t="shared" si="68"/>
        <v>3257</v>
      </c>
      <c r="U3258" s="4" t="s">
        <v>194</v>
      </c>
    </row>
    <row r="3259" spans="19:21" x14ac:dyDescent="0.25">
      <c r="S3259" s="6" t="s">
        <v>302</v>
      </c>
      <c r="T3259" s="6">
        <f t="shared" si="68"/>
        <v>3258</v>
      </c>
      <c r="U3259" s="4" t="s">
        <v>194</v>
      </c>
    </row>
    <row r="3260" spans="19:21" x14ac:dyDescent="0.25">
      <c r="S3260" s="6" t="s">
        <v>302</v>
      </c>
      <c r="T3260" s="6">
        <f t="shared" si="68"/>
        <v>3259</v>
      </c>
      <c r="U3260" s="4" t="s">
        <v>194</v>
      </c>
    </row>
    <row r="3261" spans="19:21" x14ac:dyDescent="0.25">
      <c r="S3261" s="6" t="s">
        <v>302</v>
      </c>
      <c r="T3261" s="6">
        <f t="shared" si="68"/>
        <v>3260</v>
      </c>
      <c r="U3261" s="4" t="s">
        <v>194</v>
      </c>
    </row>
    <row r="3262" spans="19:21" x14ac:dyDescent="0.25">
      <c r="S3262" s="6" t="s">
        <v>302</v>
      </c>
      <c r="T3262" s="6">
        <f t="shared" si="68"/>
        <v>3261</v>
      </c>
      <c r="U3262" s="4" t="s">
        <v>194</v>
      </c>
    </row>
    <row r="3263" spans="19:21" x14ac:dyDescent="0.25">
      <c r="S3263" s="6" t="s">
        <v>302</v>
      </c>
      <c r="T3263" s="6">
        <f t="shared" si="68"/>
        <v>3262</v>
      </c>
      <c r="U3263" s="4" t="s">
        <v>194</v>
      </c>
    </row>
    <row r="3264" spans="19:21" x14ac:dyDescent="0.25">
      <c r="S3264" s="6" t="s">
        <v>302</v>
      </c>
      <c r="T3264" s="6">
        <f t="shared" si="68"/>
        <v>3263</v>
      </c>
      <c r="U3264" s="4" t="s">
        <v>194</v>
      </c>
    </row>
    <row r="3265" spans="19:21" x14ac:dyDescent="0.25">
      <c r="S3265" s="6" t="s">
        <v>302</v>
      </c>
      <c r="T3265" s="6">
        <f t="shared" si="68"/>
        <v>3264</v>
      </c>
      <c r="U3265" s="4" t="s">
        <v>194</v>
      </c>
    </row>
    <row r="3266" spans="19:21" x14ac:dyDescent="0.25">
      <c r="S3266" s="6" t="s">
        <v>302</v>
      </c>
      <c r="T3266" s="6">
        <f t="shared" si="68"/>
        <v>3265</v>
      </c>
      <c r="U3266" s="4" t="s">
        <v>194</v>
      </c>
    </row>
    <row r="3267" spans="19:21" x14ac:dyDescent="0.25">
      <c r="S3267" s="6" t="s">
        <v>302</v>
      </c>
      <c r="T3267" s="6">
        <f t="shared" si="68"/>
        <v>3266</v>
      </c>
      <c r="U3267" s="4" t="s">
        <v>194</v>
      </c>
    </row>
    <row r="3268" spans="19:21" x14ac:dyDescent="0.25">
      <c r="S3268" s="6" t="s">
        <v>302</v>
      </c>
      <c r="T3268" s="6">
        <f t="shared" si="68"/>
        <v>3267</v>
      </c>
      <c r="U3268" s="4" t="s">
        <v>194</v>
      </c>
    </row>
    <row r="3269" spans="19:21" x14ac:dyDescent="0.25">
      <c r="S3269" s="6" t="s">
        <v>302</v>
      </c>
      <c r="T3269" s="6">
        <f t="shared" si="68"/>
        <v>3268</v>
      </c>
      <c r="U3269" s="4" t="s">
        <v>194</v>
      </c>
    </row>
    <row r="3270" spans="19:21" x14ac:dyDescent="0.25">
      <c r="S3270" s="6" t="s">
        <v>302</v>
      </c>
      <c r="T3270" s="6">
        <f t="shared" si="68"/>
        <v>3269</v>
      </c>
      <c r="U3270" s="4" t="s">
        <v>194</v>
      </c>
    </row>
    <row r="3271" spans="19:21" x14ac:dyDescent="0.25">
      <c r="S3271" s="6" t="s">
        <v>302</v>
      </c>
      <c r="T3271" s="6">
        <f t="shared" si="68"/>
        <v>3270</v>
      </c>
      <c r="U3271" s="4" t="s">
        <v>194</v>
      </c>
    </row>
    <row r="3272" spans="19:21" x14ac:dyDescent="0.25">
      <c r="S3272" s="6" t="s">
        <v>302</v>
      </c>
      <c r="T3272" s="6">
        <f t="shared" si="68"/>
        <v>3271</v>
      </c>
      <c r="U3272" s="4" t="s">
        <v>194</v>
      </c>
    </row>
    <row r="3273" spans="19:21" x14ac:dyDescent="0.25">
      <c r="S3273" s="6" t="s">
        <v>302</v>
      </c>
      <c r="T3273" s="6">
        <f t="shared" si="68"/>
        <v>3272</v>
      </c>
      <c r="U3273" s="4" t="s">
        <v>194</v>
      </c>
    </row>
    <row r="3274" spans="19:21" x14ac:dyDescent="0.25">
      <c r="S3274" s="6" t="s">
        <v>302</v>
      </c>
      <c r="T3274" s="6">
        <f t="shared" si="68"/>
        <v>3273</v>
      </c>
      <c r="U3274" s="4" t="s">
        <v>194</v>
      </c>
    </row>
    <row r="3275" spans="19:21" x14ac:dyDescent="0.25">
      <c r="S3275" s="6" t="s">
        <v>302</v>
      </c>
      <c r="T3275" s="6">
        <f t="shared" si="68"/>
        <v>3274</v>
      </c>
      <c r="U3275" s="4" t="s">
        <v>194</v>
      </c>
    </row>
    <row r="3276" spans="19:21" x14ac:dyDescent="0.25">
      <c r="S3276" s="6" t="s">
        <v>302</v>
      </c>
      <c r="T3276" s="6">
        <f t="shared" si="68"/>
        <v>3275</v>
      </c>
      <c r="U3276" s="4" t="s">
        <v>194</v>
      </c>
    </row>
    <row r="3277" spans="19:21" x14ac:dyDescent="0.25">
      <c r="S3277" s="6" t="s">
        <v>302</v>
      </c>
      <c r="T3277" s="6">
        <f t="shared" si="68"/>
        <v>3276</v>
      </c>
      <c r="U3277" s="4" t="s">
        <v>194</v>
      </c>
    </row>
    <row r="3278" spans="19:21" x14ac:dyDescent="0.25">
      <c r="S3278" s="6" t="s">
        <v>302</v>
      </c>
      <c r="T3278" s="6">
        <f t="shared" si="68"/>
        <v>3277</v>
      </c>
      <c r="U3278" s="4" t="s">
        <v>194</v>
      </c>
    </row>
    <row r="3279" spans="19:21" x14ac:dyDescent="0.25">
      <c r="S3279" s="6" t="s">
        <v>302</v>
      </c>
      <c r="T3279" s="6">
        <f t="shared" si="68"/>
        <v>3278</v>
      </c>
      <c r="U3279" s="4" t="s">
        <v>194</v>
      </c>
    </row>
    <row r="3280" spans="19:21" x14ac:dyDescent="0.25">
      <c r="S3280" s="6" t="s">
        <v>302</v>
      </c>
      <c r="T3280" s="6">
        <f t="shared" si="68"/>
        <v>3279</v>
      </c>
      <c r="U3280" s="4" t="s">
        <v>194</v>
      </c>
    </row>
    <row r="3281" spans="19:21" x14ac:dyDescent="0.25">
      <c r="S3281" s="6" t="s">
        <v>302</v>
      </c>
      <c r="T3281" s="6">
        <f t="shared" si="68"/>
        <v>3280</v>
      </c>
      <c r="U3281" s="4" t="s">
        <v>194</v>
      </c>
    </row>
    <row r="3282" spans="19:21" x14ac:dyDescent="0.25">
      <c r="S3282" s="6" t="s">
        <v>302</v>
      </c>
      <c r="T3282" s="6">
        <f t="shared" si="68"/>
        <v>3281</v>
      </c>
      <c r="U3282" s="4" t="s">
        <v>194</v>
      </c>
    </row>
    <row r="3283" spans="19:21" x14ac:dyDescent="0.25">
      <c r="S3283" s="6" t="s">
        <v>302</v>
      </c>
      <c r="T3283" s="6">
        <f t="shared" si="68"/>
        <v>3282</v>
      </c>
      <c r="U3283" s="4" t="s">
        <v>194</v>
      </c>
    </row>
    <row r="3284" spans="19:21" x14ac:dyDescent="0.25">
      <c r="S3284" s="6" t="s">
        <v>302</v>
      </c>
      <c r="T3284" s="6">
        <f t="shared" si="68"/>
        <v>3283</v>
      </c>
      <c r="U3284" s="4" t="s">
        <v>194</v>
      </c>
    </row>
    <row r="3285" spans="19:21" x14ac:dyDescent="0.25">
      <c r="S3285" s="6" t="s">
        <v>302</v>
      </c>
      <c r="T3285" s="6">
        <f t="shared" si="68"/>
        <v>3284</v>
      </c>
      <c r="U3285" s="4" t="s">
        <v>194</v>
      </c>
    </row>
    <row r="3286" spans="19:21" x14ac:dyDescent="0.25">
      <c r="S3286" s="6" t="s">
        <v>302</v>
      </c>
      <c r="T3286" s="6">
        <f t="shared" si="68"/>
        <v>3285</v>
      </c>
      <c r="U3286" s="4" t="s">
        <v>194</v>
      </c>
    </row>
    <row r="3287" spans="19:21" x14ac:dyDescent="0.25">
      <c r="S3287" s="6" t="s">
        <v>302</v>
      </c>
      <c r="T3287" s="6">
        <f t="shared" si="68"/>
        <v>3286</v>
      </c>
      <c r="U3287" s="4" t="s">
        <v>194</v>
      </c>
    </row>
    <row r="3288" spans="19:21" x14ac:dyDescent="0.25">
      <c r="S3288" s="6" t="s">
        <v>302</v>
      </c>
      <c r="T3288" s="6">
        <f t="shared" si="68"/>
        <v>3287</v>
      </c>
      <c r="U3288" s="4" t="s">
        <v>194</v>
      </c>
    </row>
    <row r="3289" spans="19:21" x14ac:dyDescent="0.25">
      <c r="S3289" s="6" t="s">
        <v>302</v>
      </c>
      <c r="T3289" s="6">
        <f t="shared" si="68"/>
        <v>3288</v>
      </c>
      <c r="U3289" s="4" t="s">
        <v>194</v>
      </c>
    </row>
    <row r="3290" spans="19:21" x14ac:dyDescent="0.25">
      <c r="S3290" s="6" t="s">
        <v>302</v>
      </c>
      <c r="T3290" s="6">
        <f t="shared" si="68"/>
        <v>3289</v>
      </c>
      <c r="U3290" s="4" t="s">
        <v>194</v>
      </c>
    </row>
    <row r="3291" spans="19:21" x14ac:dyDescent="0.25">
      <c r="S3291" s="6" t="s">
        <v>302</v>
      </c>
      <c r="T3291" s="6">
        <f t="shared" si="68"/>
        <v>3290</v>
      </c>
      <c r="U3291" s="4" t="s">
        <v>194</v>
      </c>
    </row>
    <row r="3292" spans="19:21" x14ac:dyDescent="0.25">
      <c r="S3292" s="6" t="s">
        <v>302</v>
      </c>
      <c r="T3292" s="6">
        <f t="shared" si="68"/>
        <v>3291</v>
      </c>
      <c r="U3292" s="4" t="s">
        <v>194</v>
      </c>
    </row>
    <row r="3293" spans="19:21" x14ac:dyDescent="0.25">
      <c r="S3293" s="6" t="s">
        <v>302</v>
      </c>
      <c r="T3293" s="6">
        <f t="shared" si="68"/>
        <v>3292</v>
      </c>
      <c r="U3293" s="4" t="s">
        <v>194</v>
      </c>
    </row>
    <row r="3294" spans="19:21" x14ac:dyDescent="0.25">
      <c r="S3294" s="6" t="s">
        <v>302</v>
      </c>
      <c r="T3294" s="6">
        <f t="shared" ref="T3294:T3357" si="69">T3293+1</f>
        <v>3293</v>
      </c>
      <c r="U3294" s="4" t="s">
        <v>194</v>
      </c>
    </row>
    <row r="3295" spans="19:21" x14ac:dyDescent="0.25">
      <c r="S3295" s="6" t="s">
        <v>302</v>
      </c>
      <c r="T3295" s="6">
        <f t="shared" si="69"/>
        <v>3294</v>
      </c>
      <c r="U3295" s="4" t="s">
        <v>194</v>
      </c>
    </row>
    <row r="3296" spans="19:21" x14ac:dyDescent="0.25">
      <c r="S3296" s="6" t="s">
        <v>302</v>
      </c>
      <c r="T3296" s="6">
        <f t="shared" si="69"/>
        <v>3295</v>
      </c>
      <c r="U3296" s="4" t="s">
        <v>194</v>
      </c>
    </row>
    <row r="3297" spans="19:21" x14ac:dyDescent="0.25">
      <c r="S3297" s="6" t="s">
        <v>302</v>
      </c>
      <c r="T3297" s="6">
        <f t="shared" si="69"/>
        <v>3296</v>
      </c>
      <c r="U3297" s="4" t="s">
        <v>194</v>
      </c>
    </row>
    <row r="3298" spans="19:21" x14ac:dyDescent="0.25">
      <c r="S3298" s="6" t="s">
        <v>302</v>
      </c>
      <c r="T3298" s="6">
        <f t="shared" si="69"/>
        <v>3297</v>
      </c>
      <c r="U3298" s="4" t="s">
        <v>194</v>
      </c>
    </row>
    <row r="3299" spans="19:21" x14ac:dyDescent="0.25">
      <c r="S3299" s="6" t="s">
        <v>302</v>
      </c>
      <c r="T3299" s="6">
        <f t="shared" si="69"/>
        <v>3298</v>
      </c>
      <c r="U3299" s="4" t="s">
        <v>194</v>
      </c>
    </row>
    <row r="3300" spans="19:21" x14ac:dyDescent="0.25">
      <c r="S3300" s="6" t="s">
        <v>302</v>
      </c>
      <c r="T3300" s="6">
        <f t="shared" si="69"/>
        <v>3299</v>
      </c>
      <c r="U3300" s="4" t="s">
        <v>194</v>
      </c>
    </row>
    <row r="3301" spans="19:21" x14ac:dyDescent="0.25">
      <c r="S3301" s="6" t="s">
        <v>302</v>
      </c>
      <c r="T3301" s="6">
        <f t="shared" si="69"/>
        <v>3300</v>
      </c>
      <c r="U3301" s="4" t="s">
        <v>194</v>
      </c>
    </row>
    <row r="3302" spans="19:21" x14ac:dyDescent="0.25">
      <c r="S3302" s="6" t="s">
        <v>302</v>
      </c>
      <c r="T3302" s="6">
        <f t="shared" si="69"/>
        <v>3301</v>
      </c>
      <c r="U3302" s="4" t="s">
        <v>194</v>
      </c>
    </row>
    <row r="3303" spans="19:21" x14ac:dyDescent="0.25">
      <c r="S3303" s="6" t="s">
        <v>302</v>
      </c>
      <c r="T3303" s="6">
        <f t="shared" si="69"/>
        <v>3302</v>
      </c>
      <c r="U3303" s="4" t="s">
        <v>194</v>
      </c>
    </row>
    <row r="3304" spans="19:21" x14ac:dyDescent="0.25">
      <c r="S3304" s="6" t="s">
        <v>302</v>
      </c>
      <c r="T3304" s="6">
        <f t="shared" si="69"/>
        <v>3303</v>
      </c>
      <c r="U3304" s="4" t="s">
        <v>194</v>
      </c>
    </row>
    <row r="3305" spans="19:21" x14ac:dyDescent="0.25">
      <c r="S3305" s="6" t="s">
        <v>302</v>
      </c>
      <c r="T3305" s="6">
        <f t="shared" si="69"/>
        <v>3304</v>
      </c>
      <c r="U3305" s="4" t="s">
        <v>194</v>
      </c>
    </row>
    <row r="3306" spans="19:21" x14ac:dyDescent="0.25">
      <c r="S3306" s="6" t="s">
        <v>302</v>
      </c>
      <c r="T3306" s="6">
        <f t="shared" si="69"/>
        <v>3305</v>
      </c>
      <c r="U3306" s="4" t="s">
        <v>194</v>
      </c>
    </row>
    <row r="3307" spans="19:21" x14ac:dyDescent="0.25">
      <c r="S3307" s="6" t="s">
        <v>302</v>
      </c>
      <c r="T3307" s="6">
        <f t="shared" si="69"/>
        <v>3306</v>
      </c>
      <c r="U3307" s="4" t="s">
        <v>194</v>
      </c>
    </row>
    <row r="3308" spans="19:21" x14ac:dyDescent="0.25">
      <c r="S3308" s="6" t="s">
        <v>302</v>
      </c>
      <c r="T3308" s="6">
        <f t="shared" si="69"/>
        <v>3307</v>
      </c>
      <c r="U3308" s="4" t="s">
        <v>194</v>
      </c>
    </row>
    <row r="3309" spans="19:21" x14ac:dyDescent="0.25">
      <c r="S3309" s="6" t="s">
        <v>302</v>
      </c>
      <c r="T3309" s="6">
        <f t="shared" si="69"/>
        <v>3308</v>
      </c>
      <c r="U3309" s="4" t="s">
        <v>194</v>
      </c>
    </row>
    <row r="3310" spans="19:21" x14ac:dyDescent="0.25">
      <c r="S3310" s="6" t="s">
        <v>302</v>
      </c>
      <c r="T3310" s="6">
        <f t="shared" si="69"/>
        <v>3309</v>
      </c>
      <c r="U3310" s="4" t="s">
        <v>194</v>
      </c>
    </row>
    <row r="3311" spans="19:21" x14ac:dyDescent="0.25">
      <c r="S3311" s="6" t="s">
        <v>302</v>
      </c>
      <c r="T3311" s="6">
        <f t="shared" si="69"/>
        <v>3310</v>
      </c>
      <c r="U3311" s="4" t="s">
        <v>194</v>
      </c>
    </row>
    <row r="3312" spans="19:21" x14ac:dyDescent="0.25">
      <c r="S3312" s="6" t="s">
        <v>302</v>
      </c>
      <c r="T3312" s="6">
        <f t="shared" si="69"/>
        <v>3311</v>
      </c>
      <c r="U3312" s="4" t="s">
        <v>194</v>
      </c>
    </row>
    <row r="3313" spans="19:21" x14ac:dyDescent="0.25">
      <c r="S3313" s="6" t="s">
        <v>302</v>
      </c>
      <c r="T3313" s="6">
        <f t="shared" si="69"/>
        <v>3312</v>
      </c>
      <c r="U3313" s="4" t="s">
        <v>194</v>
      </c>
    </row>
    <row r="3314" spans="19:21" x14ac:dyDescent="0.25">
      <c r="S3314" s="6" t="s">
        <v>302</v>
      </c>
      <c r="T3314" s="6">
        <f t="shared" si="69"/>
        <v>3313</v>
      </c>
      <c r="U3314" s="4" t="s">
        <v>194</v>
      </c>
    </row>
    <row r="3315" spans="19:21" x14ac:dyDescent="0.25">
      <c r="S3315" s="6" t="s">
        <v>302</v>
      </c>
      <c r="T3315" s="6">
        <f t="shared" si="69"/>
        <v>3314</v>
      </c>
      <c r="U3315" s="4" t="s">
        <v>194</v>
      </c>
    </row>
    <row r="3316" spans="19:21" x14ac:dyDescent="0.25">
      <c r="S3316" s="6" t="s">
        <v>302</v>
      </c>
      <c r="T3316" s="6">
        <f t="shared" si="69"/>
        <v>3315</v>
      </c>
      <c r="U3316" s="4" t="s">
        <v>194</v>
      </c>
    </row>
    <row r="3317" spans="19:21" x14ac:dyDescent="0.25">
      <c r="S3317" s="6" t="s">
        <v>302</v>
      </c>
      <c r="T3317" s="6">
        <f t="shared" si="69"/>
        <v>3316</v>
      </c>
      <c r="U3317" s="4" t="s">
        <v>194</v>
      </c>
    </row>
    <row r="3318" spans="19:21" x14ac:dyDescent="0.25">
      <c r="S3318" s="6" t="s">
        <v>302</v>
      </c>
      <c r="T3318" s="6">
        <f t="shared" si="69"/>
        <v>3317</v>
      </c>
      <c r="U3318" s="4" t="s">
        <v>194</v>
      </c>
    </row>
    <row r="3319" spans="19:21" x14ac:dyDescent="0.25">
      <c r="S3319" s="6" t="s">
        <v>302</v>
      </c>
      <c r="T3319" s="6">
        <f t="shared" si="69"/>
        <v>3318</v>
      </c>
      <c r="U3319" s="4" t="s">
        <v>194</v>
      </c>
    </row>
    <row r="3320" spans="19:21" x14ac:dyDescent="0.25">
      <c r="S3320" s="6" t="s">
        <v>302</v>
      </c>
      <c r="T3320" s="6">
        <f t="shared" si="69"/>
        <v>3319</v>
      </c>
      <c r="U3320" s="4" t="s">
        <v>194</v>
      </c>
    </row>
    <row r="3321" spans="19:21" x14ac:dyDescent="0.25">
      <c r="S3321" s="6" t="s">
        <v>302</v>
      </c>
      <c r="T3321" s="6">
        <f t="shared" si="69"/>
        <v>3320</v>
      </c>
      <c r="U3321" s="4" t="s">
        <v>194</v>
      </c>
    </row>
    <row r="3322" spans="19:21" x14ac:dyDescent="0.25">
      <c r="S3322" s="6" t="s">
        <v>302</v>
      </c>
      <c r="T3322" s="6">
        <f t="shared" si="69"/>
        <v>3321</v>
      </c>
      <c r="U3322" s="4" t="s">
        <v>194</v>
      </c>
    </row>
    <row r="3323" spans="19:21" x14ac:dyDescent="0.25">
      <c r="S3323" s="6" t="s">
        <v>302</v>
      </c>
      <c r="T3323" s="6">
        <f t="shared" si="69"/>
        <v>3322</v>
      </c>
      <c r="U3323" s="4" t="s">
        <v>194</v>
      </c>
    </row>
    <row r="3324" spans="19:21" x14ac:dyDescent="0.25">
      <c r="S3324" s="6" t="s">
        <v>302</v>
      </c>
      <c r="T3324" s="6">
        <f t="shared" si="69"/>
        <v>3323</v>
      </c>
      <c r="U3324" s="4" t="s">
        <v>194</v>
      </c>
    </row>
    <row r="3325" spans="19:21" x14ac:dyDescent="0.25">
      <c r="S3325" s="6" t="s">
        <v>302</v>
      </c>
      <c r="T3325" s="6">
        <f t="shared" si="69"/>
        <v>3324</v>
      </c>
      <c r="U3325" s="4" t="s">
        <v>194</v>
      </c>
    </row>
    <row r="3326" spans="19:21" x14ac:dyDescent="0.25">
      <c r="S3326" s="6" t="s">
        <v>302</v>
      </c>
      <c r="T3326" s="6">
        <f t="shared" si="69"/>
        <v>3325</v>
      </c>
      <c r="U3326" s="4" t="s">
        <v>194</v>
      </c>
    </row>
    <row r="3327" spans="19:21" x14ac:dyDescent="0.25">
      <c r="S3327" s="6" t="s">
        <v>302</v>
      </c>
      <c r="T3327" s="6">
        <f t="shared" si="69"/>
        <v>3326</v>
      </c>
      <c r="U3327" s="4" t="s">
        <v>194</v>
      </c>
    </row>
    <row r="3328" spans="19:21" x14ac:dyDescent="0.25">
      <c r="S3328" s="6" t="s">
        <v>302</v>
      </c>
      <c r="T3328" s="6">
        <f t="shared" si="69"/>
        <v>3327</v>
      </c>
      <c r="U3328" s="4" t="s">
        <v>194</v>
      </c>
    </row>
    <row r="3329" spans="19:21" x14ac:dyDescent="0.25">
      <c r="S3329" s="6" t="s">
        <v>302</v>
      </c>
      <c r="T3329" s="6">
        <f t="shared" si="69"/>
        <v>3328</v>
      </c>
      <c r="U3329" s="4" t="s">
        <v>194</v>
      </c>
    </row>
    <row r="3330" spans="19:21" x14ac:dyDescent="0.25">
      <c r="S3330" s="6" t="s">
        <v>302</v>
      </c>
      <c r="T3330" s="6">
        <f t="shared" si="69"/>
        <v>3329</v>
      </c>
      <c r="U3330" s="4" t="s">
        <v>194</v>
      </c>
    </row>
    <row r="3331" spans="19:21" x14ac:dyDescent="0.25">
      <c r="S3331" s="6" t="s">
        <v>302</v>
      </c>
      <c r="T3331" s="6">
        <f t="shared" si="69"/>
        <v>3330</v>
      </c>
      <c r="U3331" s="4" t="s">
        <v>194</v>
      </c>
    </row>
    <row r="3332" spans="19:21" x14ac:dyDescent="0.25">
      <c r="S3332" s="6" t="s">
        <v>302</v>
      </c>
      <c r="T3332" s="6">
        <f t="shared" si="69"/>
        <v>3331</v>
      </c>
      <c r="U3332" s="4" t="s">
        <v>194</v>
      </c>
    </row>
    <row r="3333" spans="19:21" x14ac:dyDescent="0.25">
      <c r="S3333" s="6" t="s">
        <v>302</v>
      </c>
      <c r="T3333" s="6">
        <f t="shared" si="69"/>
        <v>3332</v>
      </c>
      <c r="U3333" s="4" t="s">
        <v>194</v>
      </c>
    </row>
    <row r="3334" spans="19:21" x14ac:dyDescent="0.25">
      <c r="S3334" s="6" t="s">
        <v>302</v>
      </c>
      <c r="T3334" s="6">
        <f t="shared" si="69"/>
        <v>3333</v>
      </c>
      <c r="U3334" s="4" t="s">
        <v>194</v>
      </c>
    </row>
    <row r="3335" spans="19:21" x14ac:dyDescent="0.25">
      <c r="S3335" s="6" t="s">
        <v>302</v>
      </c>
      <c r="T3335" s="6">
        <f t="shared" si="69"/>
        <v>3334</v>
      </c>
      <c r="U3335" s="4" t="s">
        <v>194</v>
      </c>
    </row>
    <row r="3336" spans="19:21" x14ac:dyDescent="0.25">
      <c r="S3336" s="6" t="s">
        <v>302</v>
      </c>
      <c r="T3336" s="6">
        <f t="shared" si="69"/>
        <v>3335</v>
      </c>
      <c r="U3336" s="4" t="s">
        <v>194</v>
      </c>
    </row>
    <row r="3337" spans="19:21" x14ac:dyDescent="0.25">
      <c r="S3337" s="6" t="s">
        <v>302</v>
      </c>
      <c r="T3337" s="6">
        <f t="shared" si="69"/>
        <v>3336</v>
      </c>
      <c r="U3337" s="4" t="s">
        <v>194</v>
      </c>
    </row>
    <row r="3338" spans="19:21" x14ac:dyDescent="0.25">
      <c r="S3338" s="6" t="s">
        <v>302</v>
      </c>
      <c r="T3338" s="6">
        <f t="shared" si="69"/>
        <v>3337</v>
      </c>
      <c r="U3338" s="4" t="s">
        <v>194</v>
      </c>
    </row>
    <row r="3339" spans="19:21" x14ac:dyDescent="0.25">
      <c r="S3339" s="6" t="s">
        <v>302</v>
      </c>
      <c r="T3339" s="6">
        <f t="shared" si="69"/>
        <v>3338</v>
      </c>
      <c r="U3339" s="4" t="s">
        <v>194</v>
      </c>
    </row>
    <row r="3340" spans="19:21" x14ac:dyDescent="0.25">
      <c r="S3340" s="6" t="s">
        <v>302</v>
      </c>
      <c r="T3340" s="6">
        <f t="shared" si="69"/>
        <v>3339</v>
      </c>
      <c r="U3340" s="4" t="s">
        <v>194</v>
      </c>
    </row>
    <row r="3341" spans="19:21" x14ac:dyDescent="0.25">
      <c r="S3341" s="6" t="s">
        <v>302</v>
      </c>
      <c r="T3341" s="6">
        <f t="shared" si="69"/>
        <v>3340</v>
      </c>
      <c r="U3341" s="4" t="s">
        <v>194</v>
      </c>
    </row>
    <row r="3342" spans="19:21" x14ac:dyDescent="0.25">
      <c r="S3342" s="6" t="s">
        <v>302</v>
      </c>
      <c r="T3342" s="6">
        <f t="shared" si="69"/>
        <v>3341</v>
      </c>
      <c r="U3342" s="4" t="s">
        <v>194</v>
      </c>
    </row>
    <row r="3343" spans="19:21" x14ac:dyDescent="0.25">
      <c r="S3343" s="6" t="s">
        <v>302</v>
      </c>
      <c r="T3343" s="6">
        <f t="shared" si="69"/>
        <v>3342</v>
      </c>
      <c r="U3343" s="4" t="s">
        <v>194</v>
      </c>
    </row>
    <row r="3344" spans="19:21" x14ac:dyDescent="0.25">
      <c r="S3344" s="6" t="s">
        <v>302</v>
      </c>
      <c r="T3344" s="6">
        <f t="shared" si="69"/>
        <v>3343</v>
      </c>
      <c r="U3344" s="4" t="s">
        <v>194</v>
      </c>
    </row>
    <row r="3345" spans="19:21" x14ac:dyDescent="0.25">
      <c r="S3345" s="6" t="s">
        <v>302</v>
      </c>
      <c r="T3345" s="6">
        <f t="shared" si="69"/>
        <v>3344</v>
      </c>
      <c r="U3345" s="4" t="s">
        <v>194</v>
      </c>
    </row>
    <row r="3346" spans="19:21" x14ac:dyDescent="0.25">
      <c r="S3346" s="6" t="s">
        <v>302</v>
      </c>
      <c r="T3346" s="6">
        <f t="shared" si="69"/>
        <v>3345</v>
      </c>
      <c r="U3346" s="4" t="s">
        <v>194</v>
      </c>
    </row>
    <row r="3347" spans="19:21" x14ac:dyDescent="0.25">
      <c r="S3347" s="6" t="s">
        <v>302</v>
      </c>
      <c r="T3347" s="6">
        <f t="shared" si="69"/>
        <v>3346</v>
      </c>
      <c r="U3347" s="4" t="s">
        <v>194</v>
      </c>
    </row>
    <row r="3348" spans="19:21" x14ac:dyDescent="0.25">
      <c r="S3348" s="6" t="s">
        <v>302</v>
      </c>
      <c r="T3348" s="6">
        <f t="shared" si="69"/>
        <v>3347</v>
      </c>
      <c r="U3348" s="4" t="s">
        <v>194</v>
      </c>
    </row>
    <row r="3349" spans="19:21" x14ac:dyDescent="0.25">
      <c r="S3349" s="6" t="s">
        <v>302</v>
      </c>
      <c r="T3349" s="6">
        <f t="shared" si="69"/>
        <v>3348</v>
      </c>
      <c r="U3349" s="4" t="s">
        <v>194</v>
      </c>
    </row>
    <row r="3350" spans="19:21" x14ac:dyDescent="0.25">
      <c r="S3350" s="6" t="s">
        <v>302</v>
      </c>
      <c r="T3350" s="6">
        <f t="shared" si="69"/>
        <v>3349</v>
      </c>
      <c r="U3350" s="4" t="s">
        <v>194</v>
      </c>
    </row>
    <row r="3351" spans="19:21" x14ac:dyDescent="0.25">
      <c r="S3351" s="6" t="s">
        <v>302</v>
      </c>
      <c r="T3351" s="6">
        <f t="shared" si="69"/>
        <v>3350</v>
      </c>
      <c r="U3351" s="4" t="s">
        <v>194</v>
      </c>
    </row>
    <row r="3352" spans="19:21" x14ac:dyDescent="0.25">
      <c r="S3352" s="6" t="s">
        <v>302</v>
      </c>
      <c r="T3352" s="6">
        <f t="shared" si="69"/>
        <v>3351</v>
      </c>
      <c r="U3352" s="4" t="s">
        <v>194</v>
      </c>
    </row>
    <row r="3353" spans="19:21" x14ac:dyDescent="0.25">
      <c r="S3353" s="6" t="s">
        <v>302</v>
      </c>
      <c r="T3353" s="6">
        <f t="shared" si="69"/>
        <v>3352</v>
      </c>
      <c r="U3353" s="4" t="s">
        <v>194</v>
      </c>
    </row>
    <row r="3354" spans="19:21" x14ac:dyDescent="0.25">
      <c r="S3354" s="6" t="s">
        <v>302</v>
      </c>
      <c r="T3354" s="6">
        <f t="shared" si="69"/>
        <v>3353</v>
      </c>
      <c r="U3354" s="4" t="s">
        <v>194</v>
      </c>
    </row>
    <row r="3355" spans="19:21" x14ac:dyDescent="0.25">
      <c r="S3355" s="6" t="s">
        <v>302</v>
      </c>
      <c r="T3355" s="6">
        <f t="shared" si="69"/>
        <v>3354</v>
      </c>
      <c r="U3355" s="4" t="s">
        <v>194</v>
      </c>
    </row>
    <row r="3356" spans="19:21" x14ac:dyDescent="0.25">
      <c r="S3356" s="6" t="s">
        <v>302</v>
      </c>
      <c r="T3356" s="6">
        <f t="shared" si="69"/>
        <v>3355</v>
      </c>
      <c r="U3356" s="4" t="s">
        <v>194</v>
      </c>
    </row>
    <row r="3357" spans="19:21" x14ac:dyDescent="0.25">
      <c r="S3357" s="6" t="s">
        <v>302</v>
      </c>
      <c r="T3357" s="6">
        <f t="shared" si="69"/>
        <v>3356</v>
      </c>
      <c r="U3357" s="4" t="s">
        <v>194</v>
      </c>
    </row>
    <row r="3358" spans="19:21" x14ac:dyDescent="0.25">
      <c r="S3358" s="6" t="s">
        <v>302</v>
      </c>
      <c r="T3358" s="6">
        <f t="shared" ref="T3358:T3421" si="70">T3357+1</f>
        <v>3357</v>
      </c>
      <c r="U3358" s="4" t="s">
        <v>194</v>
      </c>
    </row>
    <row r="3359" spans="19:21" x14ac:dyDescent="0.25">
      <c r="S3359" s="6" t="s">
        <v>302</v>
      </c>
      <c r="T3359" s="6">
        <f t="shared" si="70"/>
        <v>3358</v>
      </c>
      <c r="U3359" s="4" t="s">
        <v>194</v>
      </c>
    </row>
    <row r="3360" spans="19:21" x14ac:dyDescent="0.25">
      <c r="S3360" s="6" t="s">
        <v>302</v>
      </c>
      <c r="T3360" s="6">
        <f t="shared" si="70"/>
        <v>3359</v>
      </c>
      <c r="U3360" s="4" t="s">
        <v>194</v>
      </c>
    </row>
    <row r="3361" spans="19:21" x14ac:dyDescent="0.25">
      <c r="S3361" s="6" t="s">
        <v>302</v>
      </c>
      <c r="T3361" s="6">
        <f t="shared" si="70"/>
        <v>3360</v>
      </c>
      <c r="U3361" s="4" t="s">
        <v>194</v>
      </c>
    </row>
    <row r="3362" spans="19:21" x14ac:dyDescent="0.25">
      <c r="S3362" s="6" t="s">
        <v>302</v>
      </c>
      <c r="T3362" s="6">
        <f t="shared" si="70"/>
        <v>3361</v>
      </c>
      <c r="U3362" s="4" t="s">
        <v>194</v>
      </c>
    </row>
    <row r="3363" spans="19:21" x14ac:dyDescent="0.25">
      <c r="S3363" s="6" t="s">
        <v>302</v>
      </c>
      <c r="T3363" s="6">
        <f t="shared" si="70"/>
        <v>3362</v>
      </c>
      <c r="U3363" s="4" t="s">
        <v>194</v>
      </c>
    </row>
    <row r="3364" spans="19:21" x14ac:dyDescent="0.25">
      <c r="S3364" s="6" t="s">
        <v>302</v>
      </c>
      <c r="T3364" s="6">
        <f t="shared" si="70"/>
        <v>3363</v>
      </c>
      <c r="U3364" s="4" t="s">
        <v>194</v>
      </c>
    </row>
    <row r="3365" spans="19:21" x14ac:dyDescent="0.25">
      <c r="S3365" s="6" t="s">
        <v>302</v>
      </c>
      <c r="T3365" s="6">
        <f t="shared" si="70"/>
        <v>3364</v>
      </c>
      <c r="U3365" s="4" t="s">
        <v>194</v>
      </c>
    </row>
    <row r="3366" spans="19:21" x14ac:dyDescent="0.25">
      <c r="S3366" s="6" t="s">
        <v>302</v>
      </c>
      <c r="T3366" s="6">
        <f t="shared" si="70"/>
        <v>3365</v>
      </c>
      <c r="U3366" s="4" t="s">
        <v>194</v>
      </c>
    </row>
    <row r="3367" spans="19:21" x14ac:dyDescent="0.25">
      <c r="S3367" s="6" t="s">
        <v>302</v>
      </c>
      <c r="T3367" s="6">
        <f t="shared" si="70"/>
        <v>3366</v>
      </c>
      <c r="U3367" s="4" t="s">
        <v>194</v>
      </c>
    </row>
    <row r="3368" spans="19:21" x14ac:dyDescent="0.25">
      <c r="S3368" s="6" t="s">
        <v>302</v>
      </c>
      <c r="T3368" s="6">
        <f t="shared" si="70"/>
        <v>3367</v>
      </c>
      <c r="U3368" s="4" t="s">
        <v>194</v>
      </c>
    </row>
    <row r="3369" spans="19:21" x14ac:dyDescent="0.25">
      <c r="S3369" s="6" t="s">
        <v>302</v>
      </c>
      <c r="T3369" s="6">
        <f t="shared" si="70"/>
        <v>3368</v>
      </c>
      <c r="U3369" s="4" t="s">
        <v>194</v>
      </c>
    </row>
    <row r="3370" spans="19:21" x14ac:dyDescent="0.25">
      <c r="S3370" s="6" t="s">
        <v>302</v>
      </c>
      <c r="T3370" s="6">
        <f t="shared" si="70"/>
        <v>3369</v>
      </c>
      <c r="U3370" s="4" t="s">
        <v>194</v>
      </c>
    </row>
    <row r="3371" spans="19:21" x14ac:dyDescent="0.25">
      <c r="S3371" s="6" t="s">
        <v>302</v>
      </c>
      <c r="T3371" s="6">
        <f t="shared" si="70"/>
        <v>3370</v>
      </c>
      <c r="U3371" s="4" t="s">
        <v>194</v>
      </c>
    </row>
    <row r="3372" spans="19:21" x14ac:dyDescent="0.25">
      <c r="S3372" s="6" t="s">
        <v>302</v>
      </c>
      <c r="T3372" s="6">
        <f t="shared" si="70"/>
        <v>3371</v>
      </c>
      <c r="U3372" s="4" t="s">
        <v>194</v>
      </c>
    </row>
    <row r="3373" spans="19:21" x14ac:dyDescent="0.25">
      <c r="S3373" s="6" t="s">
        <v>302</v>
      </c>
      <c r="T3373" s="6">
        <f t="shared" si="70"/>
        <v>3372</v>
      </c>
      <c r="U3373" s="4" t="s">
        <v>194</v>
      </c>
    </row>
    <row r="3374" spans="19:21" x14ac:dyDescent="0.25">
      <c r="S3374" s="6" t="s">
        <v>302</v>
      </c>
      <c r="T3374" s="6">
        <f t="shared" si="70"/>
        <v>3373</v>
      </c>
      <c r="U3374" s="4" t="s">
        <v>194</v>
      </c>
    </row>
    <row r="3375" spans="19:21" x14ac:dyDescent="0.25">
      <c r="S3375" s="6" t="s">
        <v>302</v>
      </c>
      <c r="T3375" s="6">
        <f t="shared" si="70"/>
        <v>3374</v>
      </c>
      <c r="U3375" s="4" t="s">
        <v>194</v>
      </c>
    </row>
    <row r="3376" spans="19:21" x14ac:dyDescent="0.25">
      <c r="S3376" s="6" t="s">
        <v>302</v>
      </c>
      <c r="T3376" s="6">
        <f t="shared" si="70"/>
        <v>3375</v>
      </c>
      <c r="U3376" s="4" t="s">
        <v>194</v>
      </c>
    </row>
    <row r="3377" spans="19:21" x14ac:dyDescent="0.25">
      <c r="S3377" s="6" t="s">
        <v>302</v>
      </c>
      <c r="T3377" s="6">
        <f t="shared" si="70"/>
        <v>3376</v>
      </c>
      <c r="U3377" s="4" t="s">
        <v>194</v>
      </c>
    </row>
    <row r="3378" spans="19:21" x14ac:dyDescent="0.25">
      <c r="S3378" s="6" t="s">
        <v>302</v>
      </c>
      <c r="T3378" s="6">
        <f t="shared" si="70"/>
        <v>3377</v>
      </c>
      <c r="U3378" s="4" t="s">
        <v>194</v>
      </c>
    </row>
    <row r="3379" spans="19:21" x14ac:dyDescent="0.25">
      <c r="S3379" s="6" t="s">
        <v>302</v>
      </c>
      <c r="T3379" s="6">
        <f t="shared" si="70"/>
        <v>3378</v>
      </c>
      <c r="U3379" s="4" t="s">
        <v>194</v>
      </c>
    </row>
    <row r="3380" spans="19:21" x14ac:dyDescent="0.25">
      <c r="S3380" s="6" t="s">
        <v>302</v>
      </c>
      <c r="T3380" s="6">
        <f t="shared" si="70"/>
        <v>3379</v>
      </c>
      <c r="U3380" s="4" t="s">
        <v>194</v>
      </c>
    </row>
    <row r="3381" spans="19:21" x14ac:dyDescent="0.25">
      <c r="S3381" s="6" t="s">
        <v>302</v>
      </c>
      <c r="T3381" s="6">
        <f t="shared" si="70"/>
        <v>3380</v>
      </c>
      <c r="U3381" s="4" t="s">
        <v>194</v>
      </c>
    </row>
    <row r="3382" spans="19:21" x14ac:dyDescent="0.25">
      <c r="S3382" s="6" t="s">
        <v>302</v>
      </c>
      <c r="T3382" s="6">
        <f t="shared" si="70"/>
        <v>3381</v>
      </c>
      <c r="U3382" s="4" t="s">
        <v>194</v>
      </c>
    </row>
    <row r="3383" spans="19:21" x14ac:dyDescent="0.25">
      <c r="S3383" s="6" t="s">
        <v>302</v>
      </c>
      <c r="T3383" s="6">
        <f t="shared" si="70"/>
        <v>3382</v>
      </c>
      <c r="U3383" s="4" t="s">
        <v>194</v>
      </c>
    </row>
    <row r="3384" spans="19:21" x14ac:dyDescent="0.25">
      <c r="S3384" s="6" t="s">
        <v>302</v>
      </c>
      <c r="T3384" s="6">
        <f t="shared" si="70"/>
        <v>3383</v>
      </c>
      <c r="U3384" s="4" t="s">
        <v>194</v>
      </c>
    </row>
    <row r="3385" spans="19:21" x14ac:dyDescent="0.25">
      <c r="S3385" s="6" t="s">
        <v>302</v>
      </c>
      <c r="T3385" s="6">
        <f t="shared" si="70"/>
        <v>3384</v>
      </c>
      <c r="U3385" s="4" t="s">
        <v>194</v>
      </c>
    </row>
    <row r="3386" spans="19:21" x14ac:dyDescent="0.25">
      <c r="S3386" s="6" t="s">
        <v>302</v>
      </c>
      <c r="T3386" s="6">
        <f t="shared" si="70"/>
        <v>3385</v>
      </c>
      <c r="U3386" s="4" t="s">
        <v>194</v>
      </c>
    </row>
    <row r="3387" spans="19:21" x14ac:dyDescent="0.25">
      <c r="S3387" s="6" t="s">
        <v>302</v>
      </c>
      <c r="T3387" s="6">
        <f t="shared" si="70"/>
        <v>3386</v>
      </c>
      <c r="U3387" s="4" t="s">
        <v>194</v>
      </c>
    </row>
    <row r="3388" spans="19:21" x14ac:dyDescent="0.25">
      <c r="S3388" s="6" t="s">
        <v>302</v>
      </c>
      <c r="T3388" s="6">
        <f t="shared" si="70"/>
        <v>3387</v>
      </c>
      <c r="U3388" s="4" t="s">
        <v>194</v>
      </c>
    </row>
    <row r="3389" spans="19:21" x14ac:dyDescent="0.25">
      <c r="S3389" s="6" t="s">
        <v>302</v>
      </c>
      <c r="T3389" s="6">
        <f t="shared" si="70"/>
        <v>3388</v>
      </c>
      <c r="U3389" s="4" t="s">
        <v>194</v>
      </c>
    </row>
    <row r="3390" spans="19:21" x14ac:dyDescent="0.25">
      <c r="S3390" s="6" t="s">
        <v>302</v>
      </c>
      <c r="T3390" s="6">
        <f t="shared" si="70"/>
        <v>3389</v>
      </c>
      <c r="U3390" s="4" t="s">
        <v>194</v>
      </c>
    </row>
    <row r="3391" spans="19:21" x14ac:dyDescent="0.25">
      <c r="S3391" s="6" t="s">
        <v>302</v>
      </c>
      <c r="T3391" s="6">
        <f t="shared" si="70"/>
        <v>3390</v>
      </c>
      <c r="U3391" s="4" t="s">
        <v>194</v>
      </c>
    </row>
    <row r="3392" spans="19:21" x14ac:dyDescent="0.25">
      <c r="S3392" s="6" t="s">
        <v>302</v>
      </c>
      <c r="T3392" s="6">
        <f t="shared" si="70"/>
        <v>3391</v>
      </c>
      <c r="U3392" s="4" t="s">
        <v>194</v>
      </c>
    </row>
    <row r="3393" spans="19:21" x14ac:dyDescent="0.25">
      <c r="S3393" s="6" t="s">
        <v>302</v>
      </c>
      <c r="T3393" s="6">
        <f t="shared" si="70"/>
        <v>3392</v>
      </c>
      <c r="U3393" s="4" t="s">
        <v>194</v>
      </c>
    </row>
    <row r="3394" spans="19:21" x14ac:dyDescent="0.25">
      <c r="S3394" s="6" t="s">
        <v>302</v>
      </c>
      <c r="T3394" s="6">
        <f t="shared" si="70"/>
        <v>3393</v>
      </c>
      <c r="U3394" s="4" t="s">
        <v>194</v>
      </c>
    </row>
    <row r="3395" spans="19:21" x14ac:dyDescent="0.25">
      <c r="S3395" s="6" t="s">
        <v>302</v>
      </c>
      <c r="T3395" s="6">
        <f t="shared" si="70"/>
        <v>3394</v>
      </c>
      <c r="U3395" s="4" t="s">
        <v>194</v>
      </c>
    </row>
    <row r="3396" spans="19:21" x14ac:dyDescent="0.25">
      <c r="S3396" s="6" t="s">
        <v>302</v>
      </c>
      <c r="T3396" s="6">
        <f t="shared" si="70"/>
        <v>3395</v>
      </c>
      <c r="U3396" s="4" t="s">
        <v>194</v>
      </c>
    </row>
    <row r="3397" spans="19:21" x14ac:dyDescent="0.25">
      <c r="S3397" s="6" t="s">
        <v>302</v>
      </c>
      <c r="T3397" s="6">
        <f t="shared" si="70"/>
        <v>3396</v>
      </c>
      <c r="U3397" s="4" t="s">
        <v>194</v>
      </c>
    </row>
    <row r="3398" spans="19:21" x14ac:dyDescent="0.25">
      <c r="S3398" s="6" t="s">
        <v>302</v>
      </c>
      <c r="T3398" s="6">
        <f t="shared" si="70"/>
        <v>3397</v>
      </c>
      <c r="U3398" s="4" t="s">
        <v>194</v>
      </c>
    </row>
    <row r="3399" spans="19:21" x14ac:dyDescent="0.25">
      <c r="S3399" s="6" t="s">
        <v>302</v>
      </c>
      <c r="T3399" s="6">
        <f t="shared" si="70"/>
        <v>3398</v>
      </c>
      <c r="U3399" s="4" t="s">
        <v>194</v>
      </c>
    </row>
    <row r="3400" spans="19:21" x14ac:dyDescent="0.25">
      <c r="S3400" s="6" t="s">
        <v>302</v>
      </c>
      <c r="T3400" s="6">
        <f t="shared" si="70"/>
        <v>3399</v>
      </c>
      <c r="U3400" s="4" t="s">
        <v>194</v>
      </c>
    </row>
    <row r="3401" spans="19:21" x14ac:dyDescent="0.25">
      <c r="S3401" s="6" t="s">
        <v>302</v>
      </c>
      <c r="T3401" s="6">
        <f t="shared" si="70"/>
        <v>3400</v>
      </c>
      <c r="U3401" s="4" t="s">
        <v>194</v>
      </c>
    </row>
    <row r="3402" spans="19:21" x14ac:dyDescent="0.25">
      <c r="S3402" s="6" t="s">
        <v>302</v>
      </c>
      <c r="T3402" s="6">
        <f t="shared" si="70"/>
        <v>3401</v>
      </c>
      <c r="U3402" s="4" t="s">
        <v>194</v>
      </c>
    </row>
    <row r="3403" spans="19:21" x14ac:dyDescent="0.25">
      <c r="S3403" s="6" t="s">
        <v>302</v>
      </c>
      <c r="T3403" s="6">
        <f t="shared" si="70"/>
        <v>3402</v>
      </c>
      <c r="U3403" s="4" t="s">
        <v>194</v>
      </c>
    </row>
    <row r="3404" spans="19:21" x14ac:dyDescent="0.25">
      <c r="S3404" s="6" t="s">
        <v>302</v>
      </c>
      <c r="T3404" s="6">
        <f t="shared" si="70"/>
        <v>3403</v>
      </c>
      <c r="U3404" s="4" t="s">
        <v>194</v>
      </c>
    </row>
    <row r="3405" spans="19:21" x14ac:dyDescent="0.25">
      <c r="S3405" s="6" t="s">
        <v>302</v>
      </c>
      <c r="T3405" s="6">
        <f t="shared" si="70"/>
        <v>3404</v>
      </c>
      <c r="U3405" s="4" t="s">
        <v>194</v>
      </c>
    </row>
    <row r="3406" spans="19:21" x14ac:dyDescent="0.25">
      <c r="S3406" s="6" t="s">
        <v>302</v>
      </c>
      <c r="T3406" s="6">
        <f t="shared" si="70"/>
        <v>3405</v>
      </c>
      <c r="U3406" s="4" t="s">
        <v>194</v>
      </c>
    </row>
    <row r="3407" spans="19:21" x14ac:dyDescent="0.25">
      <c r="S3407" s="6" t="s">
        <v>302</v>
      </c>
      <c r="T3407" s="6">
        <f t="shared" si="70"/>
        <v>3406</v>
      </c>
      <c r="U3407" s="4" t="s">
        <v>194</v>
      </c>
    </row>
    <row r="3408" spans="19:21" x14ac:dyDescent="0.25">
      <c r="S3408" s="6" t="s">
        <v>302</v>
      </c>
      <c r="T3408" s="6">
        <f t="shared" si="70"/>
        <v>3407</v>
      </c>
      <c r="U3408" s="4" t="s">
        <v>194</v>
      </c>
    </row>
    <row r="3409" spans="19:21" x14ac:dyDescent="0.25">
      <c r="S3409" s="6" t="s">
        <v>302</v>
      </c>
      <c r="T3409" s="6">
        <f t="shared" si="70"/>
        <v>3408</v>
      </c>
      <c r="U3409" s="4" t="s">
        <v>194</v>
      </c>
    </row>
    <row r="3410" spans="19:21" x14ac:dyDescent="0.25">
      <c r="S3410" s="6" t="s">
        <v>302</v>
      </c>
      <c r="T3410" s="6">
        <f t="shared" si="70"/>
        <v>3409</v>
      </c>
      <c r="U3410" s="4" t="s">
        <v>194</v>
      </c>
    </row>
    <row r="3411" spans="19:21" x14ac:dyDescent="0.25">
      <c r="S3411" s="6" t="s">
        <v>302</v>
      </c>
      <c r="T3411" s="6">
        <f t="shared" si="70"/>
        <v>3410</v>
      </c>
      <c r="U3411" s="4" t="s">
        <v>194</v>
      </c>
    </row>
    <row r="3412" spans="19:21" x14ac:dyDescent="0.25">
      <c r="S3412" s="6" t="s">
        <v>302</v>
      </c>
      <c r="T3412" s="6">
        <f t="shared" si="70"/>
        <v>3411</v>
      </c>
      <c r="U3412" s="4" t="s">
        <v>194</v>
      </c>
    </row>
    <row r="3413" spans="19:21" x14ac:dyDescent="0.25">
      <c r="S3413" s="6" t="s">
        <v>302</v>
      </c>
      <c r="T3413" s="6">
        <f t="shared" si="70"/>
        <v>3412</v>
      </c>
      <c r="U3413" s="4" t="s">
        <v>194</v>
      </c>
    </row>
    <row r="3414" spans="19:21" x14ac:dyDescent="0.25">
      <c r="S3414" s="6" t="s">
        <v>302</v>
      </c>
      <c r="T3414" s="6">
        <f t="shared" si="70"/>
        <v>3413</v>
      </c>
      <c r="U3414" s="4" t="s">
        <v>194</v>
      </c>
    </row>
    <row r="3415" spans="19:21" x14ac:dyDescent="0.25">
      <c r="S3415" s="6" t="s">
        <v>302</v>
      </c>
      <c r="T3415" s="6">
        <f t="shared" si="70"/>
        <v>3414</v>
      </c>
      <c r="U3415" s="4" t="s">
        <v>194</v>
      </c>
    </row>
    <row r="3416" spans="19:21" x14ac:dyDescent="0.25">
      <c r="S3416" s="6" t="s">
        <v>302</v>
      </c>
      <c r="T3416" s="6">
        <f t="shared" si="70"/>
        <v>3415</v>
      </c>
      <c r="U3416" s="4" t="s">
        <v>194</v>
      </c>
    </row>
    <row r="3417" spans="19:21" x14ac:dyDescent="0.25">
      <c r="S3417" s="6" t="s">
        <v>302</v>
      </c>
      <c r="T3417" s="6">
        <f t="shared" si="70"/>
        <v>3416</v>
      </c>
      <c r="U3417" s="4" t="s">
        <v>194</v>
      </c>
    </row>
    <row r="3418" spans="19:21" x14ac:dyDescent="0.25">
      <c r="S3418" s="6" t="s">
        <v>302</v>
      </c>
      <c r="T3418" s="6">
        <f t="shared" si="70"/>
        <v>3417</v>
      </c>
      <c r="U3418" s="4" t="s">
        <v>194</v>
      </c>
    </row>
    <row r="3419" spans="19:21" x14ac:dyDescent="0.25">
      <c r="S3419" s="6" t="s">
        <v>302</v>
      </c>
      <c r="T3419" s="6">
        <f t="shared" si="70"/>
        <v>3418</v>
      </c>
      <c r="U3419" s="4" t="s">
        <v>194</v>
      </c>
    </row>
    <row r="3420" spans="19:21" x14ac:dyDescent="0.25">
      <c r="S3420" s="6" t="s">
        <v>302</v>
      </c>
      <c r="T3420" s="6">
        <f t="shared" si="70"/>
        <v>3419</v>
      </c>
      <c r="U3420" s="4" t="s">
        <v>194</v>
      </c>
    </row>
    <row r="3421" spans="19:21" x14ac:dyDescent="0.25">
      <c r="S3421" s="6" t="s">
        <v>302</v>
      </c>
      <c r="T3421" s="6">
        <f t="shared" si="70"/>
        <v>3420</v>
      </c>
      <c r="U3421" s="4" t="s">
        <v>194</v>
      </c>
    </row>
    <row r="3422" spans="19:21" x14ac:dyDescent="0.25">
      <c r="S3422" s="6" t="s">
        <v>302</v>
      </c>
      <c r="T3422" s="6">
        <f t="shared" ref="T3422:T3485" si="71">T3421+1</f>
        <v>3421</v>
      </c>
      <c r="U3422" s="4" t="s">
        <v>194</v>
      </c>
    </row>
    <row r="3423" spans="19:21" x14ac:dyDescent="0.25">
      <c r="S3423" s="6" t="s">
        <v>302</v>
      </c>
      <c r="T3423" s="6">
        <f t="shared" si="71"/>
        <v>3422</v>
      </c>
      <c r="U3423" s="4" t="s">
        <v>194</v>
      </c>
    </row>
    <row r="3424" spans="19:21" x14ac:dyDescent="0.25">
      <c r="S3424" s="6" t="s">
        <v>302</v>
      </c>
      <c r="T3424" s="6">
        <f t="shared" si="71"/>
        <v>3423</v>
      </c>
      <c r="U3424" s="4" t="s">
        <v>194</v>
      </c>
    </row>
    <row r="3425" spans="19:21" x14ac:dyDescent="0.25">
      <c r="S3425" s="6" t="s">
        <v>302</v>
      </c>
      <c r="T3425" s="6">
        <f t="shared" si="71"/>
        <v>3424</v>
      </c>
      <c r="U3425" s="4" t="s">
        <v>194</v>
      </c>
    </row>
    <row r="3426" spans="19:21" x14ac:dyDescent="0.25">
      <c r="S3426" s="6" t="s">
        <v>302</v>
      </c>
      <c r="T3426" s="6">
        <f t="shared" si="71"/>
        <v>3425</v>
      </c>
      <c r="U3426" s="4" t="s">
        <v>194</v>
      </c>
    </row>
    <row r="3427" spans="19:21" x14ac:dyDescent="0.25">
      <c r="S3427" s="6" t="s">
        <v>302</v>
      </c>
      <c r="T3427" s="6">
        <f t="shared" si="71"/>
        <v>3426</v>
      </c>
      <c r="U3427" s="4" t="s">
        <v>194</v>
      </c>
    </row>
    <row r="3428" spans="19:21" x14ac:dyDescent="0.25">
      <c r="S3428" s="6" t="s">
        <v>302</v>
      </c>
      <c r="T3428" s="6">
        <f t="shared" si="71"/>
        <v>3427</v>
      </c>
      <c r="U3428" s="4" t="s">
        <v>194</v>
      </c>
    </row>
    <row r="3429" spans="19:21" x14ac:dyDescent="0.25">
      <c r="S3429" s="6" t="s">
        <v>302</v>
      </c>
      <c r="T3429" s="6">
        <f t="shared" si="71"/>
        <v>3428</v>
      </c>
      <c r="U3429" s="4" t="s">
        <v>194</v>
      </c>
    </row>
    <row r="3430" spans="19:21" x14ac:dyDescent="0.25">
      <c r="S3430" s="6" t="s">
        <v>302</v>
      </c>
      <c r="T3430" s="6">
        <f t="shared" si="71"/>
        <v>3429</v>
      </c>
      <c r="U3430" s="4" t="s">
        <v>194</v>
      </c>
    </row>
    <row r="3431" spans="19:21" x14ac:dyDescent="0.25">
      <c r="S3431" s="6" t="s">
        <v>302</v>
      </c>
      <c r="T3431" s="6">
        <f t="shared" si="71"/>
        <v>3430</v>
      </c>
      <c r="U3431" s="4" t="s">
        <v>194</v>
      </c>
    </row>
    <row r="3432" spans="19:21" x14ac:dyDescent="0.25">
      <c r="S3432" s="6" t="s">
        <v>302</v>
      </c>
      <c r="T3432" s="6">
        <f t="shared" si="71"/>
        <v>3431</v>
      </c>
      <c r="U3432" s="4" t="s">
        <v>194</v>
      </c>
    </row>
    <row r="3433" spans="19:21" x14ac:dyDescent="0.25">
      <c r="S3433" s="6" t="s">
        <v>302</v>
      </c>
      <c r="T3433" s="6">
        <f t="shared" si="71"/>
        <v>3432</v>
      </c>
      <c r="U3433" s="4" t="s">
        <v>194</v>
      </c>
    </row>
    <row r="3434" spans="19:21" x14ac:dyDescent="0.25">
      <c r="S3434" s="6" t="s">
        <v>302</v>
      </c>
      <c r="T3434" s="6">
        <f t="shared" si="71"/>
        <v>3433</v>
      </c>
      <c r="U3434" s="4" t="s">
        <v>194</v>
      </c>
    </row>
    <row r="3435" spans="19:21" x14ac:dyDescent="0.25">
      <c r="S3435" s="6" t="s">
        <v>302</v>
      </c>
      <c r="T3435" s="6">
        <f t="shared" si="71"/>
        <v>3434</v>
      </c>
      <c r="U3435" s="4" t="s">
        <v>194</v>
      </c>
    </row>
    <row r="3436" spans="19:21" x14ac:dyDescent="0.25">
      <c r="S3436" s="6" t="s">
        <v>302</v>
      </c>
      <c r="T3436" s="6">
        <f t="shared" si="71"/>
        <v>3435</v>
      </c>
      <c r="U3436" s="4" t="s">
        <v>194</v>
      </c>
    </row>
    <row r="3437" spans="19:21" x14ac:dyDescent="0.25">
      <c r="S3437" s="6" t="s">
        <v>302</v>
      </c>
      <c r="T3437" s="6">
        <f t="shared" si="71"/>
        <v>3436</v>
      </c>
      <c r="U3437" s="4" t="s">
        <v>194</v>
      </c>
    </row>
    <row r="3438" spans="19:21" x14ac:dyDescent="0.25">
      <c r="S3438" s="6" t="s">
        <v>302</v>
      </c>
      <c r="T3438" s="6">
        <f t="shared" si="71"/>
        <v>3437</v>
      </c>
      <c r="U3438" s="4" t="s">
        <v>194</v>
      </c>
    </row>
    <row r="3439" spans="19:21" x14ac:dyDescent="0.25">
      <c r="S3439" s="6" t="s">
        <v>302</v>
      </c>
      <c r="T3439" s="6">
        <f t="shared" si="71"/>
        <v>3438</v>
      </c>
      <c r="U3439" s="4" t="s">
        <v>194</v>
      </c>
    </row>
    <row r="3440" spans="19:21" x14ac:dyDescent="0.25">
      <c r="S3440" s="6" t="s">
        <v>302</v>
      </c>
      <c r="T3440" s="6">
        <f t="shared" si="71"/>
        <v>3439</v>
      </c>
      <c r="U3440" s="4" t="s">
        <v>194</v>
      </c>
    </row>
    <row r="3441" spans="19:21" x14ac:dyDescent="0.25">
      <c r="S3441" s="6" t="s">
        <v>302</v>
      </c>
      <c r="T3441" s="6">
        <f t="shared" si="71"/>
        <v>3440</v>
      </c>
      <c r="U3441" s="4" t="s">
        <v>194</v>
      </c>
    </row>
    <row r="3442" spans="19:21" x14ac:dyDescent="0.25">
      <c r="S3442" s="6" t="s">
        <v>302</v>
      </c>
      <c r="T3442" s="6">
        <f t="shared" si="71"/>
        <v>3441</v>
      </c>
      <c r="U3442" s="4" t="s">
        <v>194</v>
      </c>
    </row>
    <row r="3443" spans="19:21" x14ac:dyDescent="0.25">
      <c r="S3443" s="6" t="s">
        <v>302</v>
      </c>
      <c r="T3443" s="6">
        <f t="shared" si="71"/>
        <v>3442</v>
      </c>
      <c r="U3443" s="4" t="s">
        <v>194</v>
      </c>
    </row>
    <row r="3444" spans="19:21" x14ac:dyDescent="0.25">
      <c r="S3444" s="6" t="s">
        <v>302</v>
      </c>
      <c r="T3444" s="6">
        <f t="shared" si="71"/>
        <v>3443</v>
      </c>
      <c r="U3444" s="4" t="s">
        <v>194</v>
      </c>
    </row>
    <row r="3445" spans="19:21" x14ac:dyDescent="0.25">
      <c r="S3445" s="6" t="s">
        <v>302</v>
      </c>
      <c r="T3445" s="6">
        <f t="shared" si="71"/>
        <v>3444</v>
      </c>
      <c r="U3445" s="4" t="s">
        <v>194</v>
      </c>
    </row>
    <row r="3446" spans="19:21" x14ac:dyDescent="0.25">
      <c r="S3446" s="6" t="s">
        <v>302</v>
      </c>
      <c r="T3446" s="6">
        <f t="shared" si="71"/>
        <v>3445</v>
      </c>
      <c r="U3446" s="4" t="s">
        <v>194</v>
      </c>
    </row>
    <row r="3447" spans="19:21" x14ac:dyDescent="0.25">
      <c r="S3447" s="6" t="s">
        <v>302</v>
      </c>
      <c r="T3447" s="6">
        <f t="shared" si="71"/>
        <v>3446</v>
      </c>
      <c r="U3447" s="4" t="s">
        <v>194</v>
      </c>
    </row>
    <row r="3448" spans="19:21" x14ac:dyDescent="0.25">
      <c r="S3448" s="6" t="s">
        <v>302</v>
      </c>
      <c r="T3448" s="6">
        <f t="shared" si="71"/>
        <v>3447</v>
      </c>
      <c r="U3448" s="4" t="s">
        <v>194</v>
      </c>
    </row>
    <row r="3449" spans="19:21" x14ac:dyDescent="0.25">
      <c r="S3449" s="6" t="s">
        <v>302</v>
      </c>
      <c r="T3449" s="6">
        <f t="shared" si="71"/>
        <v>3448</v>
      </c>
      <c r="U3449" s="4" t="s">
        <v>194</v>
      </c>
    </row>
    <row r="3450" spans="19:21" x14ac:dyDescent="0.25">
      <c r="S3450" s="6" t="s">
        <v>302</v>
      </c>
      <c r="T3450" s="6">
        <f t="shared" si="71"/>
        <v>3449</v>
      </c>
      <c r="U3450" s="4" t="s">
        <v>194</v>
      </c>
    </row>
    <row r="3451" spans="19:21" x14ac:dyDescent="0.25">
      <c r="S3451" s="6" t="s">
        <v>302</v>
      </c>
      <c r="T3451" s="6">
        <f t="shared" si="71"/>
        <v>3450</v>
      </c>
      <c r="U3451" s="4" t="s">
        <v>194</v>
      </c>
    </row>
    <row r="3452" spans="19:21" x14ac:dyDescent="0.25">
      <c r="S3452" s="6" t="s">
        <v>302</v>
      </c>
      <c r="T3452" s="6">
        <f t="shared" si="71"/>
        <v>3451</v>
      </c>
      <c r="U3452" s="4" t="s">
        <v>194</v>
      </c>
    </row>
    <row r="3453" spans="19:21" x14ac:dyDescent="0.25">
      <c r="S3453" s="6" t="s">
        <v>302</v>
      </c>
      <c r="T3453" s="6">
        <f t="shared" si="71"/>
        <v>3452</v>
      </c>
      <c r="U3453" s="4" t="s">
        <v>194</v>
      </c>
    </row>
    <row r="3454" spans="19:21" x14ac:dyDescent="0.25">
      <c r="S3454" s="6" t="s">
        <v>302</v>
      </c>
      <c r="T3454" s="6">
        <f t="shared" si="71"/>
        <v>3453</v>
      </c>
      <c r="U3454" s="4" t="s">
        <v>194</v>
      </c>
    </row>
    <row r="3455" spans="19:21" x14ac:dyDescent="0.25">
      <c r="S3455" s="6" t="s">
        <v>302</v>
      </c>
      <c r="T3455" s="6">
        <f t="shared" si="71"/>
        <v>3454</v>
      </c>
      <c r="U3455" s="4" t="s">
        <v>194</v>
      </c>
    </row>
    <row r="3456" spans="19:21" x14ac:dyDescent="0.25">
      <c r="S3456" s="6" t="s">
        <v>302</v>
      </c>
      <c r="T3456" s="6">
        <f t="shared" si="71"/>
        <v>3455</v>
      </c>
      <c r="U3456" s="4" t="s">
        <v>194</v>
      </c>
    </row>
    <row r="3457" spans="19:21" x14ac:dyDescent="0.25">
      <c r="S3457" s="6" t="s">
        <v>302</v>
      </c>
      <c r="T3457" s="6">
        <f t="shared" si="71"/>
        <v>3456</v>
      </c>
      <c r="U3457" s="4" t="s">
        <v>194</v>
      </c>
    </row>
    <row r="3458" spans="19:21" x14ac:dyDescent="0.25">
      <c r="S3458" s="6" t="s">
        <v>302</v>
      </c>
      <c r="T3458" s="6">
        <f t="shared" si="71"/>
        <v>3457</v>
      </c>
      <c r="U3458" s="4" t="s">
        <v>194</v>
      </c>
    </row>
    <row r="3459" spans="19:21" x14ac:dyDescent="0.25">
      <c r="S3459" s="6" t="s">
        <v>302</v>
      </c>
      <c r="T3459" s="6">
        <f t="shared" si="71"/>
        <v>3458</v>
      </c>
      <c r="U3459" s="4" t="s">
        <v>194</v>
      </c>
    </row>
    <row r="3460" spans="19:21" x14ac:dyDescent="0.25">
      <c r="S3460" s="6" t="s">
        <v>302</v>
      </c>
      <c r="T3460" s="6">
        <f t="shared" si="71"/>
        <v>3459</v>
      </c>
      <c r="U3460" s="4" t="s">
        <v>194</v>
      </c>
    </row>
    <row r="3461" spans="19:21" x14ac:dyDescent="0.25">
      <c r="S3461" s="6" t="s">
        <v>302</v>
      </c>
      <c r="T3461" s="6">
        <f t="shared" si="71"/>
        <v>3460</v>
      </c>
      <c r="U3461" s="4" t="s">
        <v>194</v>
      </c>
    </row>
    <row r="3462" spans="19:21" x14ac:dyDescent="0.25">
      <c r="S3462" s="6" t="s">
        <v>302</v>
      </c>
      <c r="T3462" s="6">
        <f t="shared" si="71"/>
        <v>3461</v>
      </c>
      <c r="U3462" s="4" t="s">
        <v>194</v>
      </c>
    </row>
    <row r="3463" spans="19:21" x14ac:dyDescent="0.25">
      <c r="S3463" s="6" t="s">
        <v>302</v>
      </c>
      <c r="T3463" s="6">
        <f t="shared" si="71"/>
        <v>3462</v>
      </c>
      <c r="U3463" s="4" t="s">
        <v>194</v>
      </c>
    </row>
    <row r="3464" spans="19:21" x14ac:dyDescent="0.25">
      <c r="S3464" s="6" t="s">
        <v>302</v>
      </c>
      <c r="T3464" s="6">
        <f t="shared" si="71"/>
        <v>3463</v>
      </c>
      <c r="U3464" s="4" t="s">
        <v>194</v>
      </c>
    </row>
    <row r="3465" spans="19:21" x14ac:dyDescent="0.25">
      <c r="S3465" s="6" t="s">
        <v>302</v>
      </c>
      <c r="T3465" s="6">
        <f t="shared" si="71"/>
        <v>3464</v>
      </c>
      <c r="U3465" s="4" t="s">
        <v>194</v>
      </c>
    </row>
    <row r="3466" spans="19:21" x14ac:dyDescent="0.25">
      <c r="S3466" s="6" t="s">
        <v>302</v>
      </c>
      <c r="T3466" s="6">
        <f t="shared" si="71"/>
        <v>3465</v>
      </c>
      <c r="U3466" s="4" t="s">
        <v>194</v>
      </c>
    </row>
    <row r="3467" spans="19:21" x14ac:dyDescent="0.25">
      <c r="S3467" s="6" t="s">
        <v>302</v>
      </c>
      <c r="T3467" s="6">
        <f t="shared" si="71"/>
        <v>3466</v>
      </c>
      <c r="U3467" s="4" t="s">
        <v>194</v>
      </c>
    </row>
    <row r="3468" spans="19:21" x14ac:dyDescent="0.25">
      <c r="S3468" s="6" t="s">
        <v>302</v>
      </c>
      <c r="T3468" s="6">
        <f t="shared" si="71"/>
        <v>3467</v>
      </c>
      <c r="U3468" s="4" t="s">
        <v>194</v>
      </c>
    </row>
    <row r="3469" spans="19:21" x14ac:dyDescent="0.25">
      <c r="S3469" s="6" t="s">
        <v>302</v>
      </c>
      <c r="T3469" s="6">
        <f t="shared" si="71"/>
        <v>3468</v>
      </c>
      <c r="U3469" s="4" t="s">
        <v>194</v>
      </c>
    </row>
    <row r="3470" spans="19:21" x14ac:dyDescent="0.25">
      <c r="S3470" s="6" t="s">
        <v>302</v>
      </c>
      <c r="T3470" s="6">
        <f t="shared" si="71"/>
        <v>3469</v>
      </c>
      <c r="U3470" s="4" t="s">
        <v>194</v>
      </c>
    </row>
    <row r="3471" spans="19:21" x14ac:dyDescent="0.25">
      <c r="S3471" s="6" t="s">
        <v>302</v>
      </c>
      <c r="T3471" s="6">
        <f t="shared" si="71"/>
        <v>3470</v>
      </c>
      <c r="U3471" s="4" t="s">
        <v>194</v>
      </c>
    </row>
    <row r="3472" spans="19:21" x14ac:dyDescent="0.25">
      <c r="S3472" s="6" t="s">
        <v>302</v>
      </c>
      <c r="T3472" s="6">
        <f t="shared" si="71"/>
        <v>3471</v>
      </c>
      <c r="U3472" s="4" t="s">
        <v>194</v>
      </c>
    </row>
    <row r="3473" spans="19:21" x14ac:dyDescent="0.25">
      <c r="S3473" s="6" t="s">
        <v>302</v>
      </c>
      <c r="T3473" s="6">
        <f t="shared" si="71"/>
        <v>3472</v>
      </c>
      <c r="U3473" s="4" t="s">
        <v>194</v>
      </c>
    </row>
    <row r="3474" spans="19:21" x14ac:dyDescent="0.25">
      <c r="S3474" s="6" t="s">
        <v>302</v>
      </c>
      <c r="T3474" s="6">
        <f t="shared" si="71"/>
        <v>3473</v>
      </c>
      <c r="U3474" s="4" t="s">
        <v>194</v>
      </c>
    </row>
    <row r="3475" spans="19:21" x14ac:dyDescent="0.25">
      <c r="S3475" s="6" t="s">
        <v>302</v>
      </c>
      <c r="T3475" s="6">
        <f t="shared" si="71"/>
        <v>3474</v>
      </c>
      <c r="U3475" s="4" t="s">
        <v>194</v>
      </c>
    </row>
    <row r="3476" spans="19:21" x14ac:dyDescent="0.25">
      <c r="S3476" s="6" t="s">
        <v>302</v>
      </c>
      <c r="T3476" s="6">
        <f t="shared" si="71"/>
        <v>3475</v>
      </c>
      <c r="U3476" s="4" t="s">
        <v>194</v>
      </c>
    </row>
    <row r="3477" spans="19:21" x14ac:dyDescent="0.25">
      <c r="S3477" s="6" t="s">
        <v>302</v>
      </c>
      <c r="T3477" s="6">
        <f t="shared" si="71"/>
        <v>3476</v>
      </c>
      <c r="U3477" s="4" t="s">
        <v>194</v>
      </c>
    </row>
    <row r="3478" spans="19:21" x14ac:dyDescent="0.25">
      <c r="S3478" s="6" t="s">
        <v>302</v>
      </c>
      <c r="T3478" s="6">
        <f t="shared" si="71"/>
        <v>3477</v>
      </c>
      <c r="U3478" s="4" t="s">
        <v>194</v>
      </c>
    </row>
    <row r="3479" spans="19:21" x14ac:dyDescent="0.25">
      <c r="S3479" s="6" t="s">
        <v>302</v>
      </c>
      <c r="T3479" s="6">
        <f t="shared" si="71"/>
        <v>3478</v>
      </c>
      <c r="U3479" s="4" t="s">
        <v>194</v>
      </c>
    </row>
    <row r="3480" spans="19:21" x14ac:dyDescent="0.25">
      <c r="S3480" s="6" t="s">
        <v>302</v>
      </c>
      <c r="T3480" s="6">
        <f t="shared" si="71"/>
        <v>3479</v>
      </c>
      <c r="U3480" s="4" t="s">
        <v>194</v>
      </c>
    </row>
    <row r="3481" spans="19:21" x14ac:dyDescent="0.25">
      <c r="S3481" s="6" t="s">
        <v>302</v>
      </c>
      <c r="T3481" s="6">
        <f t="shared" si="71"/>
        <v>3480</v>
      </c>
      <c r="U3481" s="4" t="s">
        <v>194</v>
      </c>
    </row>
    <row r="3482" spans="19:21" x14ac:dyDescent="0.25">
      <c r="S3482" s="6" t="s">
        <v>302</v>
      </c>
      <c r="T3482" s="6">
        <f t="shared" si="71"/>
        <v>3481</v>
      </c>
      <c r="U3482" s="4" t="s">
        <v>194</v>
      </c>
    </row>
    <row r="3483" spans="19:21" x14ac:dyDescent="0.25">
      <c r="S3483" s="6" t="s">
        <v>302</v>
      </c>
      <c r="T3483" s="6">
        <f t="shared" si="71"/>
        <v>3482</v>
      </c>
      <c r="U3483" s="4" t="s">
        <v>194</v>
      </c>
    </row>
    <row r="3484" spans="19:21" x14ac:dyDescent="0.25">
      <c r="S3484" s="6" t="s">
        <v>302</v>
      </c>
      <c r="T3484" s="6">
        <f t="shared" si="71"/>
        <v>3483</v>
      </c>
      <c r="U3484" s="4" t="s">
        <v>194</v>
      </c>
    </row>
    <row r="3485" spans="19:21" x14ac:dyDescent="0.25">
      <c r="S3485" s="6" t="s">
        <v>302</v>
      </c>
      <c r="T3485" s="6">
        <f t="shared" si="71"/>
        <v>3484</v>
      </c>
      <c r="U3485" s="4" t="s">
        <v>194</v>
      </c>
    </row>
    <row r="3486" spans="19:21" x14ac:dyDescent="0.25">
      <c r="S3486" s="6" t="s">
        <v>302</v>
      </c>
      <c r="T3486" s="6">
        <f t="shared" ref="T3486:T3549" si="72">T3485+1</f>
        <v>3485</v>
      </c>
      <c r="U3486" s="4" t="s">
        <v>194</v>
      </c>
    </row>
    <row r="3487" spans="19:21" x14ac:dyDescent="0.25">
      <c r="S3487" s="6" t="s">
        <v>302</v>
      </c>
      <c r="T3487" s="6">
        <f t="shared" si="72"/>
        <v>3486</v>
      </c>
      <c r="U3487" s="4" t="s">
        <v>194</v>
      </c>
    </row>
    <row r="3488" spans="19:21" x14ac:dyDescent="0.25">
      <c r="S3488" s="6" t="s">
        <v>302</v>
      </c>
      <c r="T3488" s="6">
        <f t="shared" si="72"/>
        <v>3487</v>
      </c>
      <c r="U3488" s="4" t="s">
        <v>194</v>
      </c>
    </row>
    <row r="3489" spans="19:21" x14ac:dyDescent="0.25">
      <c r="S3489" s="6" t="s">
        <v>302</v>
      </c>
      <c r="T3489" s="6">
        <f t="shared" si="72"/>
        <v>3488</v>
      </c>
      <c r="U3489" s="4" t="s">
        <v>194</v>
      </c>
    </row>
    <row r="3490" spans="19:21" x14ac:dyDescent="0.25">
      <c r="S3490" s="6" t="s">
        <v>302</v>
      </c>
      <c r="T3490" s="6">
        <f t="shared" si="72"/>
        <v>3489</v>
      </c>
      <c r="U3490" s="4" t="s">
        <v>194</v>
      </c>
    </row>
    <row r="3491" spans="19:21" x14ac:dyDescent="0.25">
      <c r="S3491" s="6" t="s">
        <v>302</v>
      </c>
      <c r="T3491" s="6">
        <f t="shared" si="72"/>
        <v>3490</v>
      </c>
      <c r="U3491" s="4" t="s">
        <v>194</v>
      </c>
    </row>
    <row r="3492" spans="19:21" x14ac:dyDescent="0.25">
      <c r="S3492" s="6" t="s">
        <v>302</v>
      </c>
      <c r="T3492" s="6">
        <f t="shared" si="72"/>
        <v>3491</v>
      </c>
      <c r="U3492" s="4" t="s">
        <v>194</v>
      </c>
    </row>
    <row r="3493" spans="19:21" x14ac:dyDescent="0.25">
      <c r="S3493" s="6" t="s">
        <v>302</v>
      </c>
      <c r="T3493" s="6">
        <f t="shared" si="72"/>
        <v>3492</v>
      </c>
      <c r="U3493" s="4" t="s">
        <v>194</v>
      </c>
    </row>
    <row r="3494" spans="19:21" x14ac:dyDescent="0.25">
      <c r="S3494" s="6" t="s">
        <v>302</v>
      </c>
      <c r="T3494" s="6">
        <f t="shared" si="72"/>
        <v>3493</v>
      </c>
      <c r="U3494" s="4" t="s">
        <v>194</v>
      </c>
    </row>
    <row r="3495" spans="19:21" x14ac:dyDescent="0.25">
      <c r="S3495" s="6" t="s">
        <v>302</v>
      </c>
      <c r="T3495" s="6">
        <f t="shared" si="72"/>
        <v>3494</v>
      </c>
      <c r="U3495" s="4" t="s">
        <v>194</v>
      </c>
    </row>
    <row r="3496" spans="19:21" x14ac:dyDescent="0.25">
      <c r="S3496" s="6" t="s">
        <v>302</v>
      </c>
      <c r="T3496" s="6">
        <f t="shared" si="72"/>
        <v>3495</v>
      </c>
      <c r="U3496" s="4" t="s">
        <v>194</v>
      </c>
    </row>
    <row r="3497" spans="19:21" x14ac:dyDescent="0.25">
      <c r="S3497" s="6" t="s">
        <v>302</v>
      </c>
      <c r="T3497" s="6">
        <f t="shared" si="72"/>
        <v>3496</v>
      </c>
      <c r="U3497" s="4" t="s">
        <v>194</v>
      </c>
    </row>
    <row r="3498" spans="19:21" x14ac:dyDescent="0.25">
      <c r="S3498" s="6" t="s">
        <v>302</v>
      </c>
      <c r="T3498" s="6">
        <f t="shared" si="72"/>
        <v>3497</v>
      </c>
      <c r="U3498" s="4" t="s">
        <v>194</v>
      </c>
    </row>
    <row r="3499" spans="19:21" x14ac:dyDescent="0.25">
      <c r="S3499" s="6" t="s">
        <v>302</v>
      </c>
      <c r="T3499" s="6">
        <f t="shared" si="72"/>
        <v>3498</v>
      </c>
      <c r="U3499" s="4" t="s">
        <v>194</v>
      </c>
    </row>
    <row r="3500" spans="19:21" x14ac:dyDescent="0.25">
      <c r="S3500" s="6" t="s">
        <v>302</v>
      </c>
      <c r="T3500" s="6">
        <f t="shared" si="72"/>
        <v>3499</v>
      </c>
      <c r="U3500" s="4" t="s">
        <v>194</v>
      </c>
    </row>
    <row r="3501" spans="19:21" x14ac:dyDescent="0.25">
      <c r="S3501" s="6" t="s">
        <v>302</v>
      </c>
      <c r="T3501" s="6">
        <f t="shared" si="72"/>
        <v>3500</v>
      </c>
      <c r="U3501" s="4" t="s">
        <v>194</v>
      </c>
    </row>
    <row r="3502" spans="19:21" x14ac:dyDescent="0.25">
      <c r="S3502" s="6" t="s">
        <v>302</v>
      </c>
      <c r="T3502" s="6">
        <f t="shared" si="72"/>
        <v>3501</v>
      </c>
      <c r="U3502" s="4" t="s">
        <v>194</v>
      </c>
    </row>
    <row r="3503" spans="19:21" x14ac:dyDescent="0.25">
      <c r="S3503" s="6" t="s">
        <v>302</v>
      </c>
      <c r="T3503" s="6">
        <f t="shared" si="72"/>
        <v>3502</v>
      </c>
      <c r="U3503" s="4" t="s">
        <v>194</v>
      </c>
    </row>
    <row r="3504" spans="19:21" x14ac:dyDescent="0.25">
      <c r="S3504" s="6" t="s">
        <v>302</v>
      </c>
      <c r="T3504" s="6">
        <f t="shared" si="72"/>
        <v>3503</v>
      </c>
      <c r="U3504" s="4" t="s">
        <v>194</v>
      </c>
    </row>
    <row r="3505" spans="19:21" x14ac:dyDescent="0.25">
      <c r="S3505" s="6" t="s">
        <v>302</v>
      </c>
      <c r="T3505" s="6">
        <f t="shared" si="72"/>
        <v>3504</v>
      </c>
      <c r="U3505" s="4" t="s">
        <v>194</v>
      </c>
    </row>
    <row r="3506" spans="19:21" x14ac:dyDescent="0.25">
      <c r="S3506" s="6" t="s">
        <v>302</v>
      </c>
      <c r="T3506" s="6">
        <f t="shared" si="72"/>
        <v>3505</v>
      </c>
      <c r="U3506" s="4" t="s">
        <v>194</v>
      </c>
    </row>
    <row r="3507" spans="19:21" x14ac:dyDescent="0.25">
      <c r="S3507" s="6" t="s">
        <v>302</v>
      </c>
      <c r="T3507" s="6">
        <f t="shared" si="72"/>
        <v>3506</v>
      </c>
      <c r="U3507" s="4" t="s">
        <v>194</v>
      </c>
    </row>
    <row r="3508" spans="19:21" x14ac:dyDescent="0.25">
      <c r="S3508" s="6" t="s">
        <v>302</v>
      </c>
      <c r="T3508" s="6">
        <f t="shared" si="72"/>
        <v>3507</v>
      </c>
      <c r="U3508" s="4" t="s">
        <v>194</v>
      </c>
    </row>
    <row r="3509" spans="19:21" x14ac:dyDescent="0.25">
      <c r="S3509" s="6" t="s">
        <v>302</v>
      </c>
      <c r="T3509" s="6">
        <f t="shared" si="72"/>
        <v>3508</v>
      </c>
      <c r="U3509" s="4" t="s">
        <v>194</v>
      </c>
    </row>
    <row r="3510" spans="19:21" x14ac:dyDescent="0.25">
      <c r="S3510" s="6" t="s">
        <v>302</v>
      </c>
      <c r="T3510" s="6">
        <f t="shared" si="72"/>
        <v>3509</v>
      </c>
      <c r="U3510" s="4" t="s">
        <v>194</v>
      </c>
    </row>
    <row r="3511" spans="19:21" x14ac:dyDescent="0.25">
      <c r="S3511" s="6" t="s">
        <v>302</v>
      </c>
      <c r="T3511" s="6">
        <f t="shared" si="72"/>
        <v>3510</v>
      </c>
      <c r="U3511" s="4" t="s">
        <v>194</v>
      </c>
    </row>
    <row r="3512" spans="19:21" x14ac:dyDescent="0.25">
      <c r="S3512" s="6" t="s">
        <v>302</v>
      </c>
      <c r="T3512" s="6">
        <f t="shared" si="72"/>
        <v>3511</v>
      </c>
      <c r="U3512" s="4" t="s">
        <v>194</v>
      </c>
    </row>
    <row r="3513" spans="19:21" x14ac:dyDescent="0.25">
      <c r="S3513" s="6" t="s">
        <v>302</v>
      </c>
      <c r="T3513" s="6">
        <f t="shared" si="72"/>
        <v>3512</v>
      </c>
      <c r="U3513" s="4" t="s">
        <v>194</v>
      </c>
    </row>
    <row r="3514" spans="19:21" x14ac:dyDescent="0.25">
      <c r="S3514" s="6" t="s">
        <v>302</v>
      </c>
      <c r="T3514" s="6">
        <f t="shared" si="72"/>
        <v>3513</v>
      </c>
      <c r="U3514" s="4" t="s">
        <v>194</v>
      </c>
    </row>
    <row r="3515" spans="19:21" x14ac:dyDescent="0.25">
      <c r="S3515" s="6" t="s">
        <v>302</v>
      </c>
      <c r="T3515" s="6">
        <f t="shared" si="72"/>
        <v>3514</v>
      </c>
      <c r="U3515" s="4" t="s">
        <v>194</v>
      </c>
    </row>
    <row r="3516" spans="19:21" x14ac:dyDescent="0.25">
      <c r="S3516" s="6" t="s">
        <v>302</v>
      </c>
      <c r="T3516" s="6">
        <f t="shared" si="72"/>
        <v>3515</v>
      </c>
      <c r="U3516" s="4" t="s">
        <v>194</v>
      </c>
    </row>
    <row r="3517" spans="19:21" x14ac:dyDescent="0.25">
      <c r="S3517" s="6" t="s">
        <v>302</v>
      </c>
      <c r="T3517" s="6">
        <f t="shared" si="72"/>
        <v>3516</v>
      </c>
      <c r="U3517" s="4" t="s">
        <v>194</v>
      </c>
    </row>
    <row r="3518" spans="19:21" x14ac:dyDescent="0.25">
      <c r="S3518" s="6" t="s">
        <v>302</v>
      </c>
      <c r="T3518" s="6">
        <f t="shared" si="72"/>
        <v>3517</v>
      </c>
      <c r="U3518" s="4" t="s">
        <v>194</v>
      </c>
    </row>
    <row r="3519" spans="19:21" x14ac:dyDescent="0.25">
      <c r="S3519" s="6" t="s">
        <v>302</v>
      </c>
      <c r="T3519" s="6">
        <f t="shared" si="72"/>
        <v>3518</v>
      </c>
      <c r="U3519" s="4" t="s">
        <v>194</v>
      </c>
    </row>
    <row r="3520" spans="19:21" x14ac:dyDescent="0.25">
      <c r="S3520" s="6" t="s">
        <v>302</v>
      </c>
      <c r="T3520" s="6">
        <f t="shared" si="72"/>
        <v>3519</v>
      </c>
      <c r="U3520" s="4" t="s">
        <v>194</v>
      </c>
    </row>
    <row r="3521" spans="19:21" x14ac:dyDescent="0.25">
      <c r="S3521" s="6" t="s">
        <v>302</v>
      </c>
      <c r="T3521" s="6">
        <f t="shared" si="72"/>
        <v>3520</v>
      </c>
      <c r="U3521" s="4" t="s">
        <v>194</v>
      </c>
    </row>
    <row r="3522" spans="19:21" x14ac:dyDescent="0.25">
      <c r="S3522" s="6" t="s">
        <v>302</v>
      </c>
      <c r="T3522" s="6">
        <f t="shared" si="72"/>
        <v>3521</v>
      </c>
      <c r="U3522" s="4" t="s">
        <v>194</v>
      </c>
    </row>
    <row r="3523" spans="19:21" x14ac:dyDescent="0.25">
      <c r="S3523" s="6" t="s">
        <v>302</v>
      </c>
      <c r="T3523" s="6">
        <f t="shared" si="72"/>
        <v>3522</v>
      </c>
      <c r="U3523" s="4" t="s">
        <v>194</v>
      </c>
    </row>
    <row r="3524" spans="19:21" x14ac:dyDescent="0.25">
      <c r="S3524" s="6" t="s">
        <v>302</v>
      </c>
      <c r="T3524" s="6">
        <f t="shared" si="72"/>
        <v>3523</v>
      </c>
      <c r="U3524" s="4" t="s">
        <v>194</v>
      </c>
    </row>
    <row r="3525" spans="19:21" x14ac:dyDescent="0.25">
      <c r="S3525" s="6" t="s">
        <v>302</v>
      </c>
      <c r="T3525" s="6">
        <f t="shared" si="72"/>
        <v>3524</v>
      </c>
      <c r="U3525" s="4" t="s">
        <v>194</v>
      </c>
    </row>
    <row r="3526" spans="19:21" x14ac:dyDescent="0.25">
      <c r="S3526" s="6" t="s">
        <v>302</v>
      </c>
      <c r="T3526" s="6">
        <f t="shared" si="72"/>
        <v>3525</v>
      </c>
      <c r="U3526" s="4" t="s">
        <v>194</v>
      </c>
    </row>
    <row r="3527" spans="19:21" x14ac:dyDescent="0.25">
      <c r="S3527" s="6" t="s">
        <v>302</v>
      </c>
      <c r="T3527" s="6">
        <f t="shared" si="72"/>
        <v>3526</v>
      </c>
      <c r="U3527" s="4" t="s">
        <v>194</v>
      </c>
    </row>
    <row r="3528" spans="19:21" x14ac:dyDescent="0.25">
      <c r="S3528" s="6" t="s">
        <v>302</v>
      </c>
      <c r="T3528" s="6">
        <f t="shared" si="72"/>
        <v>3527</v>
      </c>
      <c r="U3528" s="4" t="s">
        <v>194</v>
      </c>
    </row>
    <row r="3529" spans="19:21" x14ac:dyDescent="0.25">
      <c r="S3529" s="6" t="s">
        <v>302</v>
      </c>
      <c r="T3529" s="6">
        <f t="shared" si="72"/>
        <v>3528</v>
      </c>
      <c r="U3529" s="4" t="s">
        <v>194</v>
      </c>
    </row>
    <row r="3530" spans="19:21" x14ac:dyDescent="0.25">
      <c r="S3530" s="6" t="s">
        <v>302</v>
      </c>
      <c r="T3530" s="6">
        <f t="shared" si="72"/>
        <v>3529</v>
      </c>
      <c r="U3530" s="4" t="s">
        <v>194</v>
      </c>
    </row>
    <row r="3531" spans="19:21" x14ac:dyDescent="0.25">
      <c r="S3531" s="6" t="s">
        <v>302</v>
      </c>
      <c r="T3531" s="6">
        <f t="shared" si="72"/>
        <v>3530</v>
      </c>
      <c r="U3531" s="4" t="s">
        <v>194</v>
      </c>
    </row>
    <row r="3532" spans="19:21" x14ac:dyDescent="0.25">
      <c r="S3532" s="6" t="s">
        <v>302</v>
      </c>
      <c r="T3532" s="6">
        <f t="shared" si="72"/>
        <v>3531</v>
      </c>
      <c r="U3532" s="4" t="s">
        <v>194</v>
      </c>
    </row>
    <row r="3533" spans="19:21" x14ac:dyDescent="0.25">
      <c r="S3533" s="6" t="s">
        <v>302</v>
      </c>
      <c r="T3533" s="6">
        <f t="shared" si="72"/>
        <v>3532</v>
      </c>
      <c r="U3533" s="4" t="s">
        <v>194</v>
      </c>
    </row>
    <row r="3534" spans="19:21" x14ac:dyDescent="0.25">
      <c r="S3534" s="6" t="s">
        <v>302</v>
      </c>
      <c r="T3534" s="6">
        <f t="shared" si="72"/>
        <v>3533</v>
      </c>
      <c r="U3534" s="4" t="s">
        <v>194</v>
      </c>
    </row>
    <row r="3535" spans="19:21" x14ac:dyDescent="0.25">
      <c r="S3535" s="6" t="s">
        <v>302</v>
      </c>
      <c r="T3535" s="6">
        <f t="shared" si="72"/>
        <v>3534</v>
      </c>
      <c r="U3535" s="4" t="s">
        <v>194</v>
      </c>
    </row>
    <row r="3536" spans="19:21" x14ac:dyDescent="0.25">
      <c r="S3536" s="6" t="s">
        <v>302</v>
      </c>
      <c r="T3536" s="6">
        <f t="shared" si="72"/>
        <v>3535</v>
      </c>
      <c r="U3536" s="4" t="s">
        <v>194</v>
      </c>
    </row>
    <row r="3537" spans="19:21" x14ac:dyDescent="0.25">
      <c r="S3537" s="6" t="s">
        <v>302</v>
      </c>
      <c r="T3537" s="6">
        <f t="shared" si="72"/>
        <v>3536</v>
      </c>
      <c r="U3537" s="4" t="s">
        <v>194</v>
      </c>
    </row>
    <row r="3538" spans="19:21" x14ac:dyDescent="0.25">
      <c r="S3538" s="6" t="s">
        <v>302</v>
      </c>
      <c r="T3538" s="6">
        <f t="shared" si="72"/>
        <v>3537</v>
      </c>
      <c r="U3538" s="4" t="s">
        <v>194</v>
      </c>
    </row>
    <row r="3539" spans="19:21" x14ac:dyDescent="0.25">
      <c r="S3539" s="6" t="s">
        <v>302</v>
      </c>
      <c r="T3539" s="6">
        <f t="shared" si="72"/>
        <v>3538</v>
      </c>
      <c r="U3539" s="4" t="s">
        <v>194</v>
      </c>
    </row>
    <row r="3540" spans="19:21" x14ac:dyDescent="0.25">
      <c r="S3540" s="6" t="s">
        <v>302</v>
      </c>
      <c r="T3540" s="6">
        <f t="shared" si="72"/>
        <v>3539</v>
      </c>
      <c r="U3540" s="4" t="s">
        <v>194</v>
      </c>
    </row>
    <row r="3541" spans="19:21" x14ac:dyDescent="0.25">
      <c r="S3541" s="6" t="s">
        <v>302</v>
      </c>
      <c r="T3541" s="6">
        <f t="shared" si="72"/>
        <v>3540</v>
      </c>
      <c r="U3541" s="4" t="s">
        <v>194</v>
      </c>
    </row>
    <row r="3542" spans="19:21" x14ac:dyDescent="0.25">
      <c r="S3542" s="6" t="s">
        <v>302</v>
      </c>
      <c r="T3542" s="6">
        <f t="shared" si="72"/>
        <v>3541</v>
      </c>
      <c r="U3542" s="4" t="s">
        <v>194</v>
      </c>
    </row>
    <row r="3543" spans="19:21" x14ac:dyDescent="0.25">
      <c r="S3543" s="6" t="s">
        <v>302</v>
      </c>
      <c r="T3543" s="6">
        <f t="shared" si="72"/>
        <v>3542</v>
      </c>
      <c r="U3543" s="4" t="s">
        <v>194</v>
      </c>
    </row>
    <row r="3544" spans="19:21" x14ac:dyDescent="0.25">
      <c r="S3544" s="6" t="s">
        <v>302</v>
      </c>
      <c r="T3544" s="6">
        <f t="shared" si="72"/>
        <v>3543</v>
      </c>
      <c r="U3544" s="4" t="s">
        <v>194</v>
      </c>
    </row>
    <row r="3545" spans="19:21" x14ac:dyDescent="0.25">
      <c r="S3545" s="6" t="s">
        <v>302</v>
      </c>
      <c r="T3545" s="6">
        <f t="shared" si="72"/>
        <v>3544</v>
      </c>
      <c r="U3545" s="4" t="s">
        <v>194</v>
      </c>
    </row>
    <row r="3546" spans="19:21" x14ac:dyDescent="0.25">
      <c r="S3546" s="6" t="s">
        <v>302</v>
      </c>
      <c r="T3546" s="6">
        <f t="shared" si="72"/>
        <v>3545</v>
      </c>
      <c r="U3546" s="4" t="s">
        <v>194</v>
      </c>
    </row>
    <row r="3547" spans="19:21" x14ac:dyDescent="0.25">
      <c r="S3547" s="6" t="s">
        <v>302</v>
      </c>
      <c r="T3547" s="6">
        <f t="shared" si="72"/>
        <v>3546</v>
      </c>
      <c r="U3547" s="4" t="s">
        <v>194</v>
      </c>
    </row>
    <row r="3548" spans="19:21" x14ac:dyDescent="0.25">
      <c r="S3548" s="6" t="s">
        <v>302</v>
      </c>
      <c r="T3548" s="6">
        <f t="shared" si="72"/>
        <v>3547</v>
      </c>
      <c r="U3548" s="4" t="s">
        <v>194</v>
      </c>
    </row>
    <row r="3549" spans="19:21" x14ac:dyDescent="0.25">
      <c r="S3549" s="6" t="s">
        <v>302</v>
      </c>
      <c r="T3549" s="6">
        <f t="shared" si="72"/>
        <v>3548</v>
      </c>
      <c r="U3549" s="4" t="s">
        <v>194</v>
      </c>
    </row>
    <row r="3550" spans="19:21" x14ac:dyDescent="0.25">
      <c r="S3550" s="6" t="s">
        <v>302</v>
      </c>
      <c r="T3550" s="6">
        <f t="shared" ref="T3550:T3613" si="73">T3549+1</f>
        <v>3549</v>
      </c>
      <c r="U3550" s="4" t="s">
        <v>194</v>
      </c>
    </row>
    <row r="3551" spans="19:21" x14ac:dyDescent="0.25">
      <c r="S3551" s="6" t="s">
        <v>302</v>
      </c>
      <c r="T3551" s="6">
        <f t="shared" si="73"/>
        <v>3550</v>
      </c>
      <c r="U3551" s="4" t="s">
        <v>194</v>
      </c>
    </row>
    <row r="3552" spans="19:21" x14ac:dyDescent="0.25">
      <c r="S3552" s="6" t="s">
        <v>302</v>
      </c>
      <c r="T3552" s="6">
        <f t="shared" si="73"/>
        <v>3551</v>
      </c>
      <c r="U3552" s="4" t="s">
        <v>194</v>
      </c>
    </row>
    <row r="3553" spans="19:21" x14ac:dyDescent="0.25">
      <c r="S3553" s="6" t="s">
        <v>302</v>
      </c>
      <c r="T3553" s="6">
        <f t="shared" si="73"/>
        <v>3552</v>
      </c>
      <c r="U3553" s="4" t="s">
        <v>194</v>
      </c>
    </row>
    <row r="3554" spans="19:21" x14ac:dyDescent="0.25">
      <c r="S3554" s="6" t="s">
        <v>302</v>
      </c>
      <c r="T3554" s="6">
        <f t="shared" si="73"/>
        <v>3553</v>
      </c>
      <c r="U3554" s="4" t="s">
        <v>194</v>
      </c>
    </row>
    <row r="3555" spans="19:21" x14ac:dyDescent="0.25">
      <c r="S3555" s="6" t="s">
        <v>302</v>
      </c>
      <c r="T3555" s="6">
        <f t="shared" si="73"/>
        <v>3554</v>
      </c>
      <c r="U3555" s="4" t="s">
        <v>194</v>
      </c>
    </row>
    <row r="3556" spans="19:21" x14ac:dyDescent="0.25">
      <c r="S3556" s="6" t="s">
        <v>302</v>
      </c>
      <c r="T3556" s="6">
        <f t="shared" si="73"/>
        <v>3555</v>
      </c>
      <c r="U3556" s="4" t="s">
        <v>194</v>
      </c>
    </row>
    <row r="3557" spans="19:21" x14ac:dyDescent="0.25">
      <c r="S3557" s="6" t="s">
        <v>302</v>
      </c>
      <c r="T3557" s="6">
        <f t="shared" si="73"/>
        <v>3556</v>
      </c>
      <c r="U3557" s="4" t="s">
        <v>194</v>
      </c>
    </row>
    <row r="3558" spans="19:21" x14ac:dyDescent="0.25">
      <c r="S3558" s="6" t="s">
        <v>302</v>
      </c>
      <c r="T3558" s="6">
        <f t="shared" si="73"/>
        <v>3557</v>
      </c>
      <c r="U3558" s="4" t="s">
        <v>194</v>
      </c>
    </row>
    <row r="3559" spans="19:21" x14ac:dyDescent="0.25">
      <c r="S3559" s="6" t="s">
        <v>302</v>
      </c>
      <c r="T3559" s="6">
        <f t="shared" si="73"/>
        <v>3558</v>
      </c>
      <c r="U3559" s="4" t="s">
        <v>194</v>
      </c>
    </row>
    <row r="3560" spans="19:21" x14ac:dyDescent="0.25">
      <c r="S3560" s="6" t="s">
        <v>302</v>
      </c>
      <c r="T3560" s="6">
        <f t="shared" si="73"/>
        <v>3559</v>
      </c>
      <c r="U3560" s="4" t="s">
        <v>194</v>
      </c>
    </row>
    <row r="3561" spans="19:21" x14ac:dyDescent="0.25">
      <c r="S3561" s="6" t="s">
        <v>302</v>
      </c>
      <c r="T3561" s="6">
        <f t="shared" si="73"/>
        <v>3560</v>
      </c>
      <c r="U3561" s="4" t="s">
        <v>194</v>
      </c>
    </row>
    <row r="3562" spans="19:21" x14ac:dyDescent="0.25">
      <c r="S3562" s="6" t="s">
        <v>302</v>
      </c>
      <c r="T3562" s="6">
        <f t="shared" si="73"/>
        <v>3561</v>
      </c>
      <c r="U3562" s="4" t="s">
        <v>194</v>
      </c>
    </row>
    <row r="3563" spans="19:21" x14ac:dyDescent="0.25">
      <c r="S3563" s="6" t="s">
        <v>302</v>
      </c>
      <c r="T3563" s="6">
        <f t="shared" si="73"/>
        <v>3562</v>
      </c>
      <c r="U3563" s="4" t="s">
        <v>194</v>
      </c>
    </row>
    <row r="3564" spans="19:21" x14ac:dyDescent="0.25">
      <c r="S3564" s="6" t="s">
        <v>302</v>
      </c>
      <c r="T3564" s="6">
        <f t="shared" si="73"/>
        <v>3563</v>
      </c>
      <c r="U3564" s="4" t="s">
        <v>194</v>
      </c>
    </row>
    <row r="3565" spans="19:21" x14ac:dyDescent="0.25">
      <c r="S3565" s="6" t="s">
        <v>302</v>
      </c>
      <c r="T3565" s="6">
        <f t="shared" si="73"/>
        <v>3564</v>
      </c>
      <c r="U3565" s="4" t="s">
        <v>194</v>
      </c>
    </row>
    <row r="3566" spans="19:21" x14ac:dyDescent="0.25">
      <c r="S3566" s="6" t="s">
        <v>302</v>
      </c>
      <c r="T3566" s="6">
        <f t="shared" si="73"/>
        <v>3565</v>
      </c>
      <c r="U3566" s="4" t="s">
        <v>194</v>
      </c>
    </row>
    <row r="3567" spans="19:21" x14ac:dyDescent="0.25">
      <c r="S3567" s="6" t="s">
        <v>302</v>
      </c>
      <c r="T3567" s="6">
        <f t="shared" si="73"/>
        <v>3566</v>
      </c>
      <c r="U3567" s="4" t="s">
        <v>194</v>
      </c>
    </row>
    <row r="3568" spans="19:21" x14ac:dyDescent="0.25">
      <c r="S3568" s="6" t="s">
        <v>302</v>
      </c>
      <c r="T3568" s="6">
        <f t="shared" si="73"/>
        <v>3567</v>
      </c>
      <c r="U3568" s="4" t="s">
        <v>194</v>
      </c>
    </row>
    <row r="3569" spans="19:21" x14ac:dyDescent="0.25">
      <c r="S3569" s="6" t="s">
        <v>302</v>
      </c>
      <c r="T3569" s="6">
        <f t="shared" si="73"/>
        <v>3568</v>
      </c>
      <c r="U3569" s="4" t="s">
        <v>194</v>
      </c>
    </row>
    <row r="3570" spans="19:21" x14ac:dyDescent="0.25">
      <c r="S3570" s="6" t="s">
        <v>302</v>
      </c>
      <c r="T3570" s="6">
        <f t="shared" si="73"/>
        <v>3569</v>
      </c>
      <c r="U3570" s="4" t="s">
        <v>194</v>
      </c>
    </row>
    <row r="3571" spans="19:21" x14ac:dyDescent="0.25">
      <c r="S3571" s="6" t="s">
        <v>302</v>
      </c>
      <c r="T3571" s="6">
        <f t="shared" si="73"/>
        <v>3570</v>
      </c>
      <c r="U3571" s="4" t="s">
        <v>194</v>
      </c>
    </row>
    <row r="3572" spans="19:21" x14ac:dyDescent="0.25">
      <c r="S3572" s="6" t="s">
        <v>302</v>
      </c>
      <c r="T3572" s="6">
        <f t="shared" si="73"/>
        <v>3571</v>
      </c>
      <c r="U3572" s="4" t="s">
        <v>194</v>
      </c>
    </row>
    <row r="3573" spans="19:21" x14ac:dyDescent="0.25">
      <c r="S3573" s="6" t="s">
        <v>302</v>
      </c>
      <c r="T3573" s="6">
        <f t="shared" si="73"/>
        <v>3572</v>
      </c>
      <c r="U3573" s="4" t="s">
        <v>194</v>
      </c>
    </row>
    <row r="3574" spans="19:21" x14ac:dyDescent="0.25">
      <c r="S3574" s="6" t="s">
        <v>302</v>
      </c>
      <c r="T3574" s="6">
        <f t="shared" si="73"/>
        <v>3573</v>
      </c>
      <c r="U3574" s="4" t="s">
        <v>194</v>
      </c>
    </row>
    <row r="3575" spans="19:21" x14ac:dyDescent="0.25">
      <c r="S3575" s="6" t="s">
        <v>302</v>
      </c>
      <c r="T3575" s="6">
        <f t="shared" si="73"/>
        <v>3574</v>
      </c>
      <c r="U3575" s="4" t="s">
        <v>194</v>
      </c>
    </row>
    <row r="3576" spans="19:21" x14ac:dyDescent="0.25">
      <c r="S3576" s="6" t="s">
        <v>302</v>
      </c>
      <c r="T3576" s="6">
        <f t="shared" si="73"/>
        <v>3575</v>
      </c>
      <c r="U3576" s="4" t="s">
        <v>194</v>
      </c>
    </row>
    <row r="3577" spans="19:21" x14ac:dyDescent="0.25">
      <c r="S3577" s="6" t="s">
        <v>302</v>
      </c>
      <c r="T3577" s="6">
        <f t="shared" si="73"/>
        <v>3576</v>
      </c>
      <c r="U3577" s="4" t="s">
        <v>194</v>
      </c>
    </row>
    <row r="3578" spans="19:21" x14ac:dyDescent="0.25">
      <c r="S3578" s="6" t="s">
        <v>302</v>
      </c>
      <c r="T3578" s="6">
        <f t="shared" si="73"/>
        <v>3577</v>
      </c>
      <c r="U3578" s="4" t="s">
        <v>194</v>
      </c>
    </row>
    <row r="3579" spans="19:21" x14ac:dyDescent="0.25">
      <c r="S3579" s="6" t="s">
        <v>302</v>
      </c>
      <c r="T3579" s="6">
        <f t="shared" si="73"/>
        <v>3578</v>
      </c>
      <c r="U3579" s="4" t="s">
        <v>194</v>
      </c>
    </row>
    <row r="3580" spans="19:21" x14ac:dyDescent="0.25">
      <c r="S3580" s="6" t="s">
        <v>302</v>
      </c>
      <c r="T3580" s="6">
        <f t="shared" si="73"/>
        <v>3579</v>
      </c>
      <c r="U3580" s="4" t="s">
        <v>194</v>
      </c>
    </row>
    <row r="3581" spans="19:21" x14ac:dyDescent="0.25">
      <c r="S3581" s="6" t="s">
        <v>302</v>
      </c>
      <c r="T3581" s="6">
        <f t="shared" si="73"/>
        <v>3580</v>
      </c>
      <c r="U3581" s="4" t="s">
        <v>194</v>
      </c>
    </row>
    <row r="3582" spans="19:21" x14ac:dyDescent="0.25">
      <c r="S3582" s="6" t="s">
        <v>302</v>
      </c>
      <c r="T3582" s="6">
        <f t="shared" si="73"/>
        <v>3581</v>
      </c>
      <c r="U3582" s="4" t="s">
        <v>194</v>
      </c>
    </row>
    <row r="3583" spans="19:21" x14ac:dyDescent="0.25">
      <c r="S3583" s="6" t="s">
        <v>302</v>
      </c>
      <c r="T3583" s="6">
        <f t="shared" si="73"/>
        <v>3582</v>
      </c>
      <c r="U3583" s="4" t="s">
        <v>194</v>
      </c>
    </row>
    <row r="3584" spans="19:21" x14ac:dyDescent="0.25">
      <c r="S3584" s="6" t="s">
        <v>302</v>
      </c>
      <c r="T3584" s="6">
        <f t="shared" si="73"/>
        <v>3583</v>
      </c>
      <c r="U3584" s="4" t="s">
        <v>194</v>
      </c>
    </row>
    <row r="3585" spans="19:21" x14ac:dyDescent="0.25">
      <c r="S3585" s="6" t="s">
        <v>302</v>
      </c>
      <c r="T3585" s="6">
        <f t="shared" si="73"/>
        <v>3584</v>
      </c>
      <c r="U3585" s="4" t="s">
        <v>194</v>
      </c>
    </row>
    <row r="3586" spans="19:21" x14ac:dyDescent="0.25">
      <c r="S3586" s="6" t="s">
        <v>302</v>
      </c>
      <c r="T3586" s="6">
        <f t="shared" si="73"/>
        <v>3585</v>
      </c>
      <c r="U3586" s="4" t="s">
        <v>194</v>
      </c>
    </row>
    <row r="3587" spans="19:21" x14ac:dyDescent="0.25">
      <c r="S3587" s="6" t="s">
        <v>302</v>
      </c>
      <c r="T3587" s="6">
        <f t="shared" si="73"/>
        <v>3586</v>
      </c>
      <c r="U3587" s="4" t="s">
        <v>194</v>
      </c>
    </row>
    <row r="3588" spans="19:21" x14ac:dyDescent="0.25">
      <c r="S3588" s="6" t="s">
        <v>302</v>
      </c>
      <c r="T3588" s="6">
        <f t="shared" si="73"/>
        <v>3587</v>
      </c>
      <c r="U3588" s="4" t="s">
        <v>194</v>
      </c>
    </row>
    <row r="3589" spans="19:21" x14ac:dyDescent="0.25">
      <c r="S3589" s="6" t="s">
        <v>302</v>
      </c>
      <c r="T3589" s="6">
        <f t="shared" si="73"/>
        <v>3588</v>
      </c>
      <c r="U3589" s="4" t="s">
        <v>194</v>
      </c>
    </row>
    <row r="3590" spans="19:21" x14ac:dyDescent="0.25">
      <c r="S3590" s="6" t="s">
        <v>302</v>
      </c>
      <c r="T3590" s="6">
        <f t="shared" si="73"/>
        <v>3589</v>
      </c>
      <c r="U3590" s="4" t="s">
        <v>194</v>
      </c>
    </row>
    <row r="3591" spans="19:21" x14ac:dyDescent="0.25">
      <c r="S3591" s="6" t="s">
        <v>302</v>
      </c>
      <c r="T3591" s="6">
        <f t="shared" si="73"/>
        <v>3590</v>
      </c>
      <c r="U3591" s="4" t="s">
        <v>194</v>
      </c>
    </row>
    <row r="3592" spans="19:21" x14ac:dyDescent="0.25">
      <c r="S3592" s="6" t="s">
        <v>302</v>
      </c>
      <c r="T3592" s="6">
        <f t="shared" si="73"/>
        <v>3591</v>
      </c>
      <c r="U3592" s="4" t="s">
        <v>194</v>
      </c>
    </row>
    <row r="3593" spans="19:21" x14ac:dyDescent="0.25">
      <c r="S3593" s="6" t="s">
        <v>302</v>
      </c>
      <c r="T3593" s="6">
        <f t="shared" si="73"/>
        <v>3592</v>
      </c>
      <c r="U3593" s="4" t="s">
        <v>194</v>
      </c>
    </row>
    <row r="3594" spans="19:21" x14ac:dyDescent="0.25">
      <c r="S3594" s="6" t="s">
        <v>302</v>
      </c>
      <c r="T3594" s="6">
        <f t="shared" si="73"/>
        <v>3593</v>
      </c>
      <c r="U3594" s="4" t="s">
        <v>194</v>
      </c>
    </row>
    <row r="3595" spans="19:21" x14ac:dyDescent="0.25">
      <c r="S3595" s="6" t="s">
        <v>302</v>
      </c>
      <c r="T3595" s="6">
        <f t="shared" si="73"/>
        <v>3594</v>
      </c>
      <c r="U3595" s="4" t="s">
        <v>194</v>
      </c>
    </row>
    <row r="3596" spans="19:21" x14ac:dyDescent="0.25">
      <c r="S3596" s="6" t="s">
        <v>302</v>
      </c>
      <c r="T3596" s="6">
        <f t="shared" si="73"/>
        <v>3595</v>
      </c>
      <c r="U3596" s="4" t="s">
        <v>194</v>
      </c>
    </row>
    <row r="3597" spans="19:21" x14ac:dyDescent="0.25">
      <c r="S3597" s="6" t="s">
        <v>302</v>
      </c>
      <c r="T3597" s="6">
        <f t="shared" si="73"/>
        <v>3596</v>
      </c>
      <c r="U3597" s="4" t="s">
        <v>194</v>
      </c>
    </row>
    <row r="3598" spans="19:21" x14ac:dyDescent="0.25">
      <c r="S3598" s="6" t="s">
        <v>302</v>
      </c>
      <c r="T3598" s="6">
        <f t="shared" si="73"/>
        <v>3597</v>
      </c>
      <c r="U3598" s="4" t="s">
        <v>194</v>
      </c>
    </row>
    <row r="3599" spans="19:21" x14ac:dyDescent="0.25">
      <c r="S3599" s="6" t="s">
        <v>302</v>
      </c>
      <c r="T3599" s="6">
        <f t="shared" si="73"/>
        <v>3598</v>
      </c>
      <c r="U3599" s="4" t="s">
        <v>194</v>
      </c>
    </row>
    <row r="3600" spans="19:21" x14ac:dyDescent="0.25">
      <c r="S3600" s="6" t="s">
        <v>302</v>
      </c>
      <c r="T3600" s="6">
        <f t="shared" si="73"/>
        <v>3599</v>
      </c>
      <c r="U3600" s="4" t="s">
        <v>194</v>
      </c>
    </row>
    <row r="3601" spans="19:21" x14ac:dyDescent="0.25">
      <c r="S3601" s="6" t="s">
        <v>302</v>
      </c>
      <c r="T3601" s="6">
        <f t="shared" si="73"/>
        <v>3600</v>
      </c>
      <c r="U3601" s="4" t="s">
        <v>194</v>
      </c>
    </row>
    <row r="3602" spans="19:21" x14ac:dyDescent="0.25">
      <c r="S3602" s="6" t="s">
        <v>302</v>
      </c>
      <c r="T3602" s="6">
        <f t="shared" si="73"/>
        <v>3601</v>
      </c>
      <c r="U3602" s="4" t="s">
        <v>194</v>
      </c>
    </row>
    <row r="3603" spans="19:21" x14ac:dyDescent="0.25">
      <c r="S3603" s="6" t="s">
        <v>302</v>
      </c>
      <c r="T3603" s="6">
        <f t="shared" si="73"/>
        <v>3602</v>
      </c>
      <c r="U3603" s="4" t="s">
        <v>194</v>
      </c>
    </row>
    <row r="3604" spans="19:21" x14ac:dyDescent="0.25">
      <c r="S3604" s="6" t="s">
        <v>302</v>
      </c>
      <c r="T3604" s="6">
        <f t="shared" si="73"/>
        <v>3603</v>
      </c>
      <c r="U3604" s="4" t="s">
        <v>194</v>
      </c>
    </row>
    <row r="3605" spans="19:21" x14ac:dyDescent="0.25">
      <c r="S3605" s="6" t="s">
        <v>302</v>
      </c>
      <c r="T3605" s="6">
        <f t="shared" si="73"/>
        <v>3604</v>
      </c>
      <c r="U3605" s="4" t="s">
        <v>194</v>
      </c>
    </row>
    <row r="3606" spans="19:21" x14ac:dyDescent="0.25">
      <c r="S3606" s="6" t="s">
        <v>302</v>
      </c>
      <c r="T3606" s="6">
        <f t="shared" si="73"/>
        <v>3605</v>
      </c>
      <c r="U3606" s="4" t="s">
        <v>194</v>
      </c>
    </row>
    <row r="3607" spans="19:21" x14ac:dyDescent="0.25">
      <c r="S3607" s="6" t="s">
        <v>302</v>
      </c>
      <c r="T3607" s="6">
        <f t="shared" si="73"/>
        <v>3606</v>
      </c>
      <c r="U3607" s="4" t="s">
        <v>194</v>
      </c>
    </row>
    <row r="3608" spans="19:21" x14ac:dyDescent="0.25">
      <c r="S3608" s="6" t="s">
        <v>302</v>
      </c>
      <c r="T3608" s="6">
        <f t="shared" si="73"/>
        <v>3607</v>
      </c>
      <c r="U3608" s="4" t="s">
        <v>194</v>
      </c>
    </row>
    <row r="3609" spans="19:21" x14ac:dyDescent="0.25">
      <c r="S3609" s="6" t="s">
        <v>302</v>
      </c>
      <c r="T3609" s="6">
        <f t="shared" si="73"/>
        <v>3608</v>
      </c>
      <c r="U3609" s="4" t="s">
        <v>194</v>
      </c>
    </row>
    <row r="3610" spans="19:21" x14ac:dyDescent="0.25">
      <c r="S3610" s="6" t="s">
        <v>302</v>
      </c>
      <c r="T3610" s="6">
        <f t="shared" si="73"/>
        <v>3609</v>
      </c>
      <c r="U3610" s="4" t="s">
        <v>194</v>
      </c>
    </row>
    <row r="3611" spans="19:21" x14ac:dyDescent="0.25">
      <c r="S3611" s="6" t="s">
        <v>302</v>
      </c>
      <c r="T3611" s="6">
        <f t="shared" si="73"/>
        <v>3610</v>
      </c>
      <c r="U3611" s="4" t="s">
        <v>194</v>
      </c>
    </row>
    <row r="3612" spans="19:21" x14ac:dyDescent="0.25">
      <c r="S3612" s="6" t="s">
        <v>302</v>
      </c>
      <c r="T3612" s="6">
        <f t="shared" si="73"/>
        <v>3611</v>
      </c>
      <c r="U3612" s="4" t="s">
        <v>194</v>
      </c>
    </row>
    <row r="3613" spans="19:21" x14ac:dyDescent="0.25">
      <c r="S3613" s="6" t="s">
        <v>302</v>
      </c>
      <c r="T3613" s="6">
        <f t="shared" si="73"/>
        <v>3612</v>
      </c>
      <c r="U3613" s="4" t="s">
        <v>194</v>
      </c>
    </row>
    <row r="3614" spans="19:21" x14ac:dyDescent="0.25">
      <c r="S3614" s="6" t="s">
        <v>302</v>
      </c>
      <c r="T3614" s="6">
        <f t="shared" ref="T3614:T3677" si="74">T3613+1</f>
        <v>3613</v>
      </c>
      <c r="U3614" s="4" t="s">
        <v>194</v>
      </c>
    </row>
    <row r="3615" spans="19:21" x14ac:dyDescent="0.25">
      <c r="S3615" s="6" t="s">
        <v>302</v>
      </c>
      <c r="T3615" s="6">
        <f t="shared" si="74"/>
        <v>3614</v>
      </c>
      <c r="U3615" s="4" t="s">
        <v>194</v>
      </c>
    </row>
    <row r="3616" spans="19:21" x14ac:dyDescent="0.25">
      <c r="S3616" s="6" t="s">
        <v>302</v>
      </c>
      <c r="T3616" s="6">
        <f t="shared" si="74"/>
        <v>3615</v>
      </c>
      <c r="U3616" s="4" t="s">
        <v>194</v>
      </c>
    </row>
    <row r="3617" spans="19:21" x14ac:dyDescent="0.25">
      <c r="S3617" s="6" t="s">
        <v>302</v>
      </c>
      <c r="T3617" s="6">
        <f t="shared" si="74"/>
        <v>3616</v>
      </c>
      <c r="U3617" s="4" t="s">
        <v>194</v>
      </c>
    </row>
    <row r="3618" spans="19:21" x14ac:dyDescent="0.25">
      <c r="S3618" s="6" t="s">
        <v>302</v>
      </c>
      <c r="T3618" s="6">
        <f t="shared" si="74"/>
        <v>3617</v>
      </c>
      <c r="U3618" s="4" t="s">
        <v>194</v>
      </c>
    </row>
    <row r="3619" spans="19:21" x14ac:dyDescent="0.25">
      <c r="S3619" s="6" t="s">
        <v>302</v>
      </c>
      <c r="T3619" s="6">
        <f t="shared" si="74"/>
        <v>3618</v>
      </c>
      <c r="U3619" s="4" t="s">
        <v>194</v>
      </c>
    </row>
    <row r="3620" spans="19:21" x14ac:dyDescent="0.25">
      <c r="S3620" s="6" t="s">
        <v>302</v>
      </c>
      <c r="T3620" s="6">
        <f t="shared" si="74"/>
        <v>3619</v>
      </c>
      <c r="U3620" s="4" t="s">
        <v>194</v>
      </c>
    </row>
    <row r="3621" spans="19:21" x14ac:dyDescent="0.25">
      <c r="S3621" s="6" t="s">
        <v>302</v>
      </c>
      <c r="T3621" s="6">
        <f t="shared" si="74"/>
        <v>3620</v>
      </c>
      <c r="U3621" s="4" t="s">
        <v>194</v>
      </c>
    </row>
    <row r="3622" spans="19:21" x14ac:dyDescent="0.25">
      <c r="S3622" s="6" t="s">
        <v>302</v>
      </c>
      <c r="T3622" s="6">
        <f t="shared" si="74"/>
        <v>3621</v>
      </c>
      <c r="U3622" s="4" t="s">
        <v>194</v>
      </c>
    </row>
    <row r="3623" spans="19:21" x14ac:dyDescent="0.25">
      <c r="S3623" s="6" t="s">
        <v>302</v>
      </c>
      <c r="T3623" s="6">
        <f t="shared" si="74"/>
        <v>3622</v>
      </c>
      <c r="U3623" s="4" t="s">
        <v>194</v>
      </c>
    </row>
    <row r="3624" spans="19:21" x14ac:dyDescent="0.25">
      <c r="S3624" s="6" t="s">
        <v>302</v>
      </c>
      <c r="T3624" s="6">
        <f t="shared" si="74"/>
        <v>3623</v>
      </c>
      <c r="U3624" s="4" t="s">
        <v>194</v>
      </c>
    </row>
    <row r="3625" spans="19:21" x14ac:dyDescent="0.25">
      <c r="S3625" s="6" t="s">
        <v>302</v>
      </c>
      <c r="T3625" s="6">
        <f t="shared" si="74"/>
        <v>3624</v>
      </c>
      <c r="U3625" s="4" t="s">
        <v>194</v>
      </c>
    </row>
    <row r="3626" spans="19:21" x14ac:dyDescent="0.25">
      <c r="S3626" s="6" t="s">
        <v>302</v>
      </c>
      <c r="T3626" s="6">
        <f t="shared" si="74"/>
        <v>3625</v>
      </c>
      <c r="U3626" s="4" t="s">
        <v>194</v>
      </c>
    </row>
    <row r="3627" spans="19:21" x14ac:dyDescent="0.25">
      <c r="S3627" s="6" t="s">
        <v>302</v>
      </c>
      <c r="T3627" s="6">
        <f t="shared" si="74"/>
        <v>3626</v>
      </c>
      <c r="U3627" s="4" t="s">
        <v>194</v>
      </c>
    </row>
    <row r="3628" spans="19:21" x14ac:dyDescent="0.25">
      <c r="S3628" s="6" t="s">
        <v>302</v>
      </c>
      <c r="T3628" s="6">
        <f t="shared" si="74"/>
        <v>3627</v>
      </c>
      <c r="U3628" s="4" t="s">
        <v>194</v>
      </c>
    </row>
    <row r="3629" spans="19:21" x14ac:dyDescent="0.25">
      <c r="S3629" s="6" t="s">
        <v>302</v>
      </c>
      <c r="T3629" s="6">
        <f t="shared" si="74"/>
        <v>3628</v>
      </c>
      <c r="U3629" s="4" t="s">
        <v>194</v>
      </c>
    </row>
    <row r="3630" spans="19:21" x14ac:dyDescent="0.25">
      <c r="S3630" s="6" t="s">
        <v>302</v>
      </c>
      <c r="T3630" s="6">
        <f t="shared" si="74"/>
        <v>3629</v>
      </c>
      <c r="U3630" s="4" t="s">
        <v>194</v>
      </c>
    </row>
    <row r="3631" spans="19:21" x14ac:dyDescent="0.25">
      <c r="S3631" s="6" t="s">
        <v>302</v>
      </c>
      <c r="T3631" s="6">
        <f t="shared" si="74"/>
        <v>3630</v>
      </c>
      <c r="U3631" s="4" t="s">
        <v>194</v>
      </c>
    </row>
    <row r="3632" spans="19:21" x14ac:dyDescent="0.25">
      <c r="S3632" s="6" t="s">
        <v>302</v>
      </c>
      <c r="T3632" s="6">
        <f t="shared" si="74"/>
        <v>3631</v>
      </c>
      <c r="U3632" s="4" t="s">
        <v>194</v>
      </c>
    </row>
    <row r="3633" spans="19:21" x14ac:dyDescent="0.25">
      <c r="S3633" s="6" t="s">
        <v>302</v>
      </c>
      <c r="T3633" s="6">
        <f t="shared" si="74"/>
        <v>3632</v>
      </c>
      <c r="U3633" s="4" t="s">
        <v>194</v>
      </c>
    </row>
    <row r="3634" spans="19:21" x14ac:dyDescent="0.25">
      <c r="S3634" s="6" t="s">
        <v>302</v>
      </c>
      <c r="T3634" s="6">
        <f t="shared" si="74"/>
        <v>3633</v>
      </c>
      <c r="U3634" s="4" t="s">
        <v>194</v>
      </c>
    </row>
    <row r="3635" spans="19:21" x14ac:dyDescent="0.25">
      <c r="S3635" s="6" t="s">
        <v>302</v>
      </c>
      <c r="T3635" s="6">
        <f t="shared" si="74"/>
        <v>3634</v>
      </c>
      <c r="U3635" s="4" t="s">
        <v>194</v>
      </c>
    </row>
    <row r="3636" spans="19:21" x14ac:dyDescent="0.25">
      <c r="S3636" s="6" t="s">
        <v>302</v>
      </c>
      <c r="T3636" s="6">
        <f t="shared" si="74"/>
        <v>3635</v>
      </c>
      <c r="U3636" s="4" t="s">
        <v>194</v>
      </c>
    </row>
    <row r="3637" spans="19:21" x14ac:dyDescent="0.25">
      <c r="S3637" s="6" t="s">
        <v>302</v>
      </c>
      <c r="T3637" s="6">
        <f t="shared" si="74"/>
        <v>3636</v>
      </c>
      <c r="U3637" s="4" t="s">
        <v>194</v>
      </c>
    </row>
    <row r="3638" spans="19:21" x14ac:dyDescent="0.25">
      <c r="S3638" s="6" t="s">
        <v>302</v>
      </c>
      <c r="T3638" s="6">
        <f t="shared" si="74"/>
        <v>3637</v>
      </c>
      <c r="U3638" s="4" t="s">
        <v>194</v>
      </c>
    </row>
    <row r="3639" spans="19:21" x14ac:dyDescent="0.25">
      <c r="S3639" s="6" t="s">
        <v>302</v>
      </c>
      <c r="T3639" s="6">
        <f t="shared" si="74"/>
        <v>3638</v>
      </c>
      <c r="U3639" s="4" t="s">
        <v>194</v>
      </c>
    </row>
    <row r="3640" spans="19:21" x14ac:dyDescent="0.25">
      <c r="S3640" s="6" t="s">
        <v>302</v>
      </c>
      <c r="T3640" s="6">
        <f t="shared" si="74"/>
        <v>3639</v>
      </c>
      <c r="U3640" s="4" t="s">
        <v>194</v>
      </c>
    </row>
    <row r="3641" spans="19:21" x14ac:dyDescent="0.25">
      <c r="S3641" s="6" t="s">
        <v>302</v>
      </c>
      <c r="T3641" s="6">
        <f t="shared" si="74"/>
        <v>3640</v>
      </c>
      <c r="U3641" s="4" t="s">
        <v>194</v>
      </c>
    </row>
    <row r="3642" spans="19:21" x14ac:dyDescent="0.25">
      <c r="S3642" s="6" t="s">
        <v>302</v>
      </c>
      <c r="T3642" s="6">
        <f t="shared" si="74"/>
        <v>3641</v>
      </c>
      <c r="U3642" s="4" t="s">
        <v>194</v>
      </c>
    </row>
    <row r="3643" spans="19:21" x14ac:dyDescent="0.25">
      <c r="S3643" s="6" t="s">
        <v>302</v>
      </c>
      <c r="T3643" s="6">
        <f t="shared" si="74"/>
        <v>3642</v>
      </c>
      <c r="U3643" s="4" t="s">
        <v>194</v>
      </c>
    </row>
    <row r="3644" spans="19:21" x14ac:dyDescent="0.25">
      <c r="S3644" s="6" t="s">
        <v>302</v>
      </c>
      <c r="T3644" s="6">
        <f t="shared" si="74"/>
        <v>3643</v>
      </c>
      <c r="U3644" s="4" t="s">
        <v>194</v>
      </c>
    </row>
    <row r="3645" spans="19:21" x14ac:dyDescent="0.25">
      <c r="S3645" s="6" t="s">
        <v>302</v>
      </c>
      <c r="T3645" s="6">
        <f t="shared" si="74"/>
        <v>3644</v>
      </c>
      <c r="U3645" s="4" t="s">
        <v>194</v>
      </c>
    </row>
    <row r="3646" spans="19:21" x14ac:dyDescent="0.25">
      <c r="S3646" s="6" t="s">
        <v>302</v>
      </c>
      <c r="T3646" s="6">
        <f t="shared" si="74"/>
        <v>3645</v>
      </c>
      <c r="U3646" s="4" t="s">
        <v>194</v>
      </c>
    </row>
    <row r="3647" spans="19:21" x14ac:dyDescent="0.25">
      <c r="S3647" s="6" t="s">
        <v>302</v>
      </c>
      <c r="T3647" s="6">
        <f t="shared" si="74"/>
        <v>3646</v>
      </c>
      <c r="U3647" s="4" t="s">
        <v>194</v>
      </c>
    </row>
    <row r="3648" spans="19:21" x14ac:dyDescent="0.25">
      <c r="S3648" s="6" t="s">
        <v>302</v>
      </c>
      <c r="T3648" s="6">
        <f t="shared" si="74"/>
        <v>3647</v>
      </c>
      <c r="U3648" s="4" t="s">
        <v>194</v>
      </c>
    </row>
    <row r="3649" spans="19:21" x14ac:dyDescent="0.25">
      <c r="S3649" s="6" t="s">
        <v>302</v>
      </c>
      <c r="T3649" s="6">
        <f t="shared" si="74"/>
        <v>3648</v>
      </c>
      <c r="U3649" s="4" t="s">
        <v>194</v>
      </c>
    </row>
    <row r="3650" spans="19:21" x14ac:dyDescent="0.25">
      <c r="S3650" s="6" t="s">
        <v>302</v>
      </c>
      <c r="T3650" s="6">
        <f t="shared" si="74"/>
        <v>3649</v>
      </c>
      <c r="U3650" s="4" t="s">
        <v>194</v>
      </c>
    </row>
    <row r="3651" spans="19:21" x14ac:dyDescent="0.25">
      <c r="S3651" s="6" t="s">
        <v>302</v>
      </c>
      <c r="T3651" s="6">
        <f t="shared" si="74"/>
        <v>3650</v>
      </c>
      <c r="U3651" s="4" t="s">
        <v>194</v>
      </c>
    </row>
    <row r="3652" spans="19:21" x14ac:dyDescent="0.25">
      <c r="S3652" s="6" t="s">
        <v>302</v>
      </c>
      <c r="T3652" s="6">
        <f t="shared" si="74"/>
        <v>3651</v>
      </c>
      <c r="U3652" s="4" t="s">
        <v>194</v>
      </c>
    </row>
    <row r="3653" spans="19:21" x14ac:dyDescent="0.25">
      <c r="S3653" s="6" t="s">
        <v>302</v>
      </c>
      <c r="T3653" s="6">
        <f t="shared" si="74"/>
        <v>3652</v>
      </c>
      <c r="U3653" s="4" t="s">
        <v>194</v>
      </c>
    </row>
    <row r="3654" spans="19:21" x14ac:dyDescent="0.25">
      <c r="S3654" s="6" t="s">
        <v>302</v>
      </c>
      <c r="T3654" s="6">
        <f t="shared" si="74"/>
        <v>3653</v>
      </c>
      <c r="U3654" s="4" t="s">
        <v>194</v>
      </c>
    </row>
    <row r="3655" spans="19:21" x14ac:dyDescent="0.25">
      <c r="S3655" s="6" t="s">
        <v>302</v>
      </c>
      <c r="T3655" s="6">
        <f t="shared" si="74"/>
        <v>3654</v>
      </c>
      <c r="U3655" s="4" t="s">
        <v>194</v>
      </c>
    </row>
    <row r="3656" spans="19:21" x14ac:dyDescent="0.25">
      <c r="S3656" s="6" t="s">
        <v>302</v>
      </c>
      <c r="T3656" s="6">
        <f t="shared" si="74"/>
        <v>3655</v>
      </c>
      <c r="U3656" s="4" t="s">
        <v>194</v>
      </c>
    </row>
    <row r="3657" spans="19:21" x14ac:dyDescent="0.25">
      <c r="S3657" s="6" t="s">
        <v>302</v>
      </c>
      <c r="T3657" s="6">
        <f t="shared" si="74"/>
        <v>3656</v>
      </c>
      <c r="U3657" s="4" t="s">
        <v>194</v>
      </c>
    </row>
    <row r="3658" spans="19:21" x14ac:dyDescent="0.25">
      <c r="S3658" s="6" t="s">
        <v>302</v>
      </c>
      <c r="T3658" s="6">
        <f t="shared" si="74"/>
        <v>3657</v>
      </c>
      <c r="U3658" s="4" t="s">
        <v>194</v>
      </c>
    </row>
    <row r="3659" spans="19:21" x14ac:dyDescent="0.25">
      <c r="S3659" s="6" t="s">
        <v>302</v>
      </c>
      <c r="T3659" s="6">
        <f t="shared" si="74"/>
        <v>3658</v>
      </c>
      <c r="U3659" s="4" t="s">
        <v>194</v>
      </c>
    </row>
    <row r="3660" spans="19:21" x14ac:dyDescent="0.25">
      <c r="S3660" s="6" t="s">
        <v>302</v>
      </c>
      <c r="T3660" s="6">
        <f t="shared" si="74"/>
        <v>3659</v>
      </c>
      <c r="U3660" s="4" t="s">
        <v>194</v>
      </c>
    </row>
    <row r="3661" spans="19:21" x14ac:dyDescent="0.25">
      <c r="S3661" s="6" t="s">
        <v>302</v>
      </c>
      <c r="T3661" s="6">
        <f t="shared" si="74"/>
        <v>3660</v>
      </c>
      <c r="U3661" s="4" t="s">
        <v>194</v>
      </c>
    </row>
    <row r="3662" spans="19:21" x14ac:dyDescent="0.25">
      <c r="S3662" s="6" t="s">
        <v>302</v>
      </c>
      <c r="T3662" s="6">
        <f t="shared" si="74"/>
        <v>3661</v>
      </c>
      <c r="U3662" s="4" t="s">
        <v>194</v>
      </c>
    </row>
    <row r="3663" spans="19:21" x14ac:dyDescent="0.25">
      <c r="S3663" s="6" t="s">
        <v>302</v>
      </c>
      <c r="T3663" s="6">
        <f t="shared" si="74"/>
        <v>3662</v>
      </c>
      <c r="U3663" s="4" t="s">
        <v>194</v>
      </c>
    </row>
    <row r="3664" spans="19:21" x14ac:dyDescent="0.25">
      <c r="S3664" s="6" t="s">
        <v>302</v>
      </c>
      <c r="T3664" s="6">
        <f t="shared" si="74"/>
        <v>3663</v>
      </c>
      <c r="U3664" s="4" t="s">
        <v>194</v>
      </c>
    </row>
    <row r="3665" spans="19:21" x14ac:dyDescent="0.25">
      <c r="S3665" s="6" t="s">
        <v>302</v>
      </c>
      <c r="T3665" s="6">
        <f t="shared" si="74"/>
        <v>3664</v>
      </c>
      <c r="U3665" s="4" t="s">
        <v>194</v>
      </c>
    </row>
    <row r="3666" spans="19:21" x14ac:dyDescent="0.25">
      <c r="S3666" s="6" t="s">
        <v>302</v>
      </c>
      <c r="T3666" s="6">
        <f t="shared" si="74"/>
        <v>3665</v>
      </c>
      <c r="U3666" s="4" t="s">
        <v>194</v>
      </c>
    </row>
    <row r="3667" spans="19:21" x14ac:dyDescent="0.25">
      <c r="S3667" s="6" t="s">
        <v>302</v>
      </c>
      <c r="T3667" s="6">
        <f t="shared" si="74"/>
        <v>3666</v>
      </c>
      <c r="U3667" s="4" t="s">
        <v>194</v>
      </c>
    </row>
    <row r="3668" spans="19:21" x14ac:dyDescent="0.25">
      <c r="S3668" s="6" t="s">
        <v>302</v>
      </c>
      <c r="T3668" s="6">
        <f t="shared" si="74"/>
        <v>3667</v>
      </c>
      <c r="U3668" s="4" t="s">
        <v>194</v>
      </c>
    </row>
    <row r="3669" spans="19:21" x14ac:dyDescent="0.25">
      <c r="S3669" s="6" t="s">
        <v>302</v>
      </c>
      <c r="T3669" s="6">
        <f t="shared" si="74"/>
        <v>3668</v>
      </c>
      <c r="U3669" s="4" t="s">
        <v>194</v>
      </c>
    </row>
    <row r="3670" spans="19:21" x14ac:dyDescent="0.25">
      <c r="S3670" s="6" t="s">
        <v>302</v>
      </c>
      <c r="T3670" s="6">
        <f t="shared" si="74"/>
        <v>3669</v>
      </c>
      <c r="U3670" s="4" t="s">
        <v>194</v>
      </c>
    </row>
    <row r="3671" spans="19:21" x14ac:dyDescent="0.25">
      <c r="S3671" s="6" t="s">
        <v>302</v>
      </c>
      <c r="T3671" s="6">
        <f t="shared" si="74"/>
        <v>3670</v>
      </c>
      <c r="U3671" s="4" t="s">
        <v>194</v>
      </c>
    </row>
    <row r="3672" spans="19:21" x14ac:dyDescent="0.25">
      <c r="S3672" s="6" t="s">
        <v>302</v>
      </c>
      <c r="T3672" s="6">
        <f t="shared" si="74"/>
        <v>3671</v>
      </c>
      <c r="U3672" s="4" t="s">
        <v>194</v>
      </c>
    </row>
    <row r="3673" spans="19:21" x14ac:dyDescent="0.25">
      <c r="S3673" s="6" t="s">
        <v>302</v>
      </c>
      <c r="T3673" s="6">
        <f t="shared" si="74"/>
        <v>3672</v>
      </c>
      <c r="U3673" s="4" t="s">
        <v>194</v>
      </c>
    </row>
    <row r="3674" spans="19:21" x14ac:dyDescent="0.25">
      <c r="S3674" s="6" t="s">
        <v>302</v>
      </c>
      <c r="T3674" s="6">
        <f t="shared" si="74"/>
        <v>3673</v>
      </c>
      <c r="U3674" s="4" t="s">
        <v>194</v>
      </c>
    </row>
    <row r="3675" spans="19:21" x14ac:dyDescent="0.25">
      <c r="S3675" s="6" t="s">
        <v>302</v>
      </c>
      <c r="T3675" s="6">
        <f t="shared" si="74"/>
        <v>3674</v>
      </c>
      <c r="U3675" s="4" t="s">
        <v>194</v>
      </c>
    </row>
    <row r="3676" spans="19:21" x14ac:dyDescent="0.25">
      <c r="S3676" s="6" t="s">
        <v>302</v>
      </c>
      <c r="T3676" s="6">
        <f t="shared" si="74"/>
        <v>3675</v>
      </c>
      <c r="U3676" s="4" t="s">
        <v>194</v>
      </c>
    </row>
    <row r="3677" spans="19:21" x14ac:dyDescent="0.25">
      <c r="S3677" s="6" t="s">
        <v>302</v>
      </c>
      <c r="T3677" s="6">
        <f t="shared" si="74"/>
        <v>3676</v>
      </c>
      <c r="U3677" s="4" t="s">
        <v>194</v>
      </c>
    </row>
    <row r="3678" spans="19:21" x14ac:dyDescent="0.25">
      <c r="S3678" s="6" t="s">
        <v>302</v>
      </c>
      <c r="T3678" s="6">
        <f t="shared" ref="T3678:T3741" si="75">T3677+1</f>
        <v>3677</v>
      </c>
      <c r="U3678" s="4" t="s">
        <v>194</v>
      </c>
    </row>
    <row r="3679" spans="19:21" x14ac:dyDescent="0.25">
      <c r="S3679" s="6" t="s">
        <v>302</v>
      </c>
      <c r="T3679" s="6">
        <f t="shared" si="75"/>
        <v>3678</v>
      </c>
      <c r="U3679" s="4" t="s">
        <v>194</v>
      </c>
    </row>
    <row r="3680" spans="19:21" x14ac:dyDescent="0.25">
      <c r="S3680" s="6" t="s">
        <v>302</v>
      </c>
      <c r="T3680" s="6">
        <f t="shared" si="75"/>
        <v>3679</v>
      </c>
      <c r="U3680" s="4" t="s">
        <v>194</v>
      </c>
    </row>
    <row r="3681" spans="19:21" x14ac:dyDescent="0.25">
      <c r="S3681" s="6" t="s">
        <v>302</v>
      </c>
      <c r="T3681" s="6">
        <f t="shared" si="75"/>
        <v>3680</v>
      </c>
      <c r="U3681" s="4" t="s">
        <v>194</v>
      </c>
    </row>
    <row r="3682" spans="19:21" x14ac:dyDescent="0.25">
      <c r="S3682" s="6" t="s">
        <v>302</v>
      </c>
      <c r="T3682" s="6">
        <f t="shared" si="75"/>
        <v>3681</v>
      </c>
      <c r="U3682" s="4" t="s">
        <v>194</v>
      </c>
    </row>
    <row r="3683" spans="19:21" x14ac:dyDescent="0.25">
      <c r="S3683" s="6" t="s">
        <v>302</v>
      </c>
      <c r="T3683" s="6">
        <f t="shared" si="75"/>
        <v>3682</v>
      </c>
      <c r="U3683" s="4" t="s">
        <v>194</v>
      </c>
    </row>
    <row r="3684" spans="19:21" x14ac:dyDescent="0.25">
      <c r="S3684" s="6" t="s">
        <v>302</v>
      </c>
      <c r="T3684" s="6">
        <f t="shared" si="75"/>
        <v>3683</v>
      </c>
      <c r="U3684" s="4" t="s">
        <v>194</v>
      </c>
    </row>
    <row r="3685" spans="19:21" x14ac:dyDescent="0.25">
      <c r="S3685" s="6" t="s">
        <v>302</v>
      </c>
      <c r="T3685" s="6">
        <f t="shared" si="75"/>
        <v>3684</v>
      </c>
      <c r="U3685" s="4" t="s">
        <v>194</v>
      </c>
    </row>
    <row r="3686" spans="19:21" x14ac:dyDescent="0.25">
      <c r="S3686" s="6" t="s">
        <v>302</v>
      </c>
      <c r="T3686" s="6">
        <f t="shared" si="75"/>
        <v>3685</v>
      </c>
      <c r="U3686" s="4" t="s">
        <v>194</v>
      </c>
    </row>
    <row r="3687" spans="19:21" x14ac:dyDescent="0.25">
      <c r="S3687" s="6" t="s">
        <v>302</v>
      </c>
      <c r="T3687" s="6">
        <f t="shared" si="75"/>
        <v>3686</v>
      </c>
      <c r="U3687" s="4" t="s">
        <v>194</v>
      </c>
    </row>
    <row r="3688" spans="19:21" x14ac:dyDescent="0.25">
      <c r="S3688" s="6" t="s">
        <v>302</v>
      </c>
      <c r="T3688" s="6">
        <f t="shared" si="75"/>
        <v>3687</v>
      </c>
      <c r="U3688" s="4" t="s">
        <v>194</v>
      </c>
    </row>
    <row r="3689" spans="19:21" x14ac:dyDescent="0.25">
      <c r="S3689" s="6" t="s">
        <v>302</v>
      </c>
      <c r="T3689" s="6">
        <f t="shared" si="75"/>
        <v>3688</v>
      </c>
      <c r="U3689" s="4" t="s">
        <v>194</v>
      </c>
    </row>
    <row r="3690" spans="19:21" x14ac:dyDescent="0.25">
      <c r="S3690" s="6" t="s">
        <v>302</v>
      </c>
      <c r="T3690" s="6">
        <f t="shared" si="75"/>
        <v>3689</v>
      </c>
      <c r="U3690" s="4" t="s">
        <v>194</v>
      </c>
    </row>
    <row r="3691" spans="19:21" x14ac:dyDescent="0.25">
      <c r="S3691" s="6" t="s">
        <v>302</v>
      </c>
      <c r="T3691" s="6">
        <f t="shared" si="75"/>
        <v>3690</v>
      </c>
      <c r="U3691" s="4" t="s">
        <v>194</v>
      </c>
    </row>
    <row r="3692" spans="19:21" x14ac:dyDescent="0.25">
      <c r="S3692" s="6" t="s">
        <v>302</v>
      </c>
      <c r="T3692" s="6">
        <f t="shared" si="75"/>
        <v>3691</v>
      </c>
      <c r="U3692" s="4" t="s">
        <v>194</v>
      </c>
    </row>
    <row r="3693" spans="19:21" x14ac:dyDescent="0.25">
      <c r="S3693" s="6" t="s">
        <v>302</v>
      </c>
      <c r="T3693" s="6">
        <f t="shared" si="75"/>
        <v>3692</v>
      </c>
      <c r="U3693" s="4" t="s">
        <v>194</v>
      </c>
    </row>
    <row r="3694" spans="19:21" x14ac:dyDescent="0.25">
      <c r="S3694" s="6" t="s">
        <v>302</v>
      </c>
      <c r="T3694" s="6">
        <f t="shared" si="75"/>
        <v>3693</v>
      </c>
      <c r="U3694" s="4" t="s">
        <v>194</v>
      </c>
    </row>
    <row r="3695" spans="19:21" x14ac:dyDescent="0.25">
      <c r="S3695" s="6" t="s">
        <v>302</v>
      </c>
      <c r="T3695" s="6">
        <f t="shared" si="75"/>
        <v>3694</v>
      </c>
      <c r="U3695" s="4" t="s">
        <v>194</v>
      </c>
    </row>
    <row r="3696" spans="19:21" x14ac:dyDescent="0.25">
      <c r="S3696" s="6" t="s">
        <v>302</v>
      </c>
      <c r="T3696" s="6">
        <f t="shared" si="75"/>
        <v>3695</v>
      </c>
      <c r="U3696" s="4" t="s">
        <v>194</v>
      </c>
    </row>
    <row r="3697" spans="19:21" x14ac:dyDescent="0.25">
      <c r="S3697" s="6" t="s">
        <v>302</v>
      </c>
      <c r="T3697" s="6">
        <f t="shared" si="75"/>
        <v>3696</v>
      </c>
      <c r="U3697" s="4" t="s">
        <v>194</v>
      </c>
    </row>
    <row r="3698" spans="19:21" x14ac:dyDescent="0.25">
      <c r="S3698" s="6" t="s">
        <v>302</v>
      </c>
      <c r="T3698" s="6">
        <f t="shared" si="75"/>
        <v>3697</v>
      </c>
      <c r="U3698" s="4" t="s">
        <v>194</v>
      </c>
    </row>
    <row r="3699" spans="19:21" x14ac:dyDescent="0.25">
      <c r="S3699" s="6" t="s">
        <v>302</v>
      </c>
      <c r="T3699" s="6">
        <f t="shared" si="75"/>
        <v>3698</v>
      </c>
      <c r="U3699" s="4" t="s">
        <v>194</v>
      </c>
    </row>
    <row r="3700" spans="19:21" x14ac:dyDescent="0.25">
      <c r="S3700" s="6" t="s">
        <v>302</v>
      </c>
      <c r="T3700" s="6">
        <f t="shared" si="75"/>
        <v>3699</v>
      </c>
      <c r="U3700" s="4" t="s">
        <v>194</v>
      </c>
    </row>
    <row r="3701" spans="19:21" x14ac:dyDescent="0.25">
      <c r="S3701" s="6" t="s">
        <v>302</v>
      </c>
      <c r="T3701" s="6">
        <f t="shared" si="75"/>
        <v>3700</v>
      </c>
      <c r="U3701" s="4" t="s">
        <v>194</v>
      </c>
    </row>
    <row r="3702" spans="19:21" x14ac:dyDescent="0.25">
      <c r="S3702" s="6" t="s">
        <v>302</v>
      </c>
      <c r="T3702" s="6">
        <f t="shared" si="75"/>
        <v>3701</v>
      </c>
      <c r="U3702" s="4" t="s">
        <v>194</v>
      </c>
    </row>
    <row r="3703" spans="19:21" x14ac:dyDescent="0.25">
      <c r="S3703" s="6" t="s">
        <v>302</v>
      </c>
      <c r="T3703" s="6">
        <f t="shared" si="75"/>
        <v>3702</v>
      </c>
      <c r="U3703" s="4" t="s">
        <v>194</v>
      </c>
    </row>
    <row r="3704" spans="19:21" x14ac:dyDescent="0.25">
      <c r="S3704" s="6" t="s">
        <v>302</v>
      </c>
      <c r="T3704" s="6">
        <f t="shared" si="75"/>
        <v>3703</v>
      </c>
      <c r="U3704" s="4" t="s">
        <v>194</v>
      </c>
    </row>
    <row r="3705" spans="19:21" x14ac:dyDescent="0.25">
      <c r="S3705" s="6" t="s">
        <v>302</v>
      </c>
      <c r="T3705" s="6">
        <f t="shared" si="75"/>
        <v>3704</v>
      </c>
      <c r="U3705" s="4" t="s">
        <v>194</v>
      </c>
    </row>
    <row r="3706" spans="19:21" x14ac:dyDescent="0.25">
      <c r="S3706" s="6" t="s">
        <v>302</v>
      </c>
      <c r="T3706" s="6">
        <f t="shared" si="75"/>
        <v>3705</v>
      </c>
      <c r="U3706" s="4" t="s">
        <v>194</v>
      </c>
    </row>
    <row r="3707" spans="19:21" x14ac:dyDescent="0.25">
      <c r="S3707" s="6" t="s">
        <v>302</v>
      </c>
      <c r="T3707" s="6">
        <f t="shared" si="75"/>
        <v>3706</v>
      </c>
      <c r="U3707" s="4" t="s">
        <v>194</v>
      </c>
    </row>
    <row r="3708" spans="19:21" x14ac:dyDescent="0.25">
      <c r="S3708" s="6" t="s">
        <v>302</v>
      </c>
      <c r="T3708" s="6">
        <f t="shared" si="75"/>
        <v>3707</v>
      </c>
      <c r="U3708" s="4" t="s">
        <v>194</v>
      </c>
    </row>
    <row r="3709" spans="19:21" x14ac:dyDescent="0.25">
      <c r="S3709" s="6" t="s">
        <v>302</v>
      </c>
      <c r="T3709" s="6">
        <f t="shared" si="75"/>
        <v>3708</v>
      </c>
      <c r="U3709" s="4" t="s">
        <v>194</v>
      </c>
    </row>
    <row r="3710" spans="19:21" x14ac:dyDescent="0.25">
      <c r="S3710" s="6" t="s">
        <v>302</v>
      </c>
      <c r="T3710" s="6">
        <f t="shared" si="75"/>
        <v>3709</v>
      </c>
      <c r="U3710" s="4" t="s">
        <v>194</v>
      </c>
    </row>
    <row r="3711" spans="19:21" x14ac:dyDescent="0.25">
      <c r="S3711" s="6" t="s">
        <v>302</v>
      </c>
      <c r="T3711" s="6">
        <f t="shared" si="75"/>
        <v>3710</v>
      </c>
      <c r="U3711" s="4" t="s">
        <v>194</v>
      </c>
    </row>
    <row r="3712" spans="19:21" x14ac:dyDescent="0.25">
      <c r="S3712" s="6" t="s">
        <v>302</v>
      </c>
      <c r="T3712" s="6">
        <f t="shared" si="75"/>
        <v>3711</v>
      </c>
      <c r="U3712" s="4" t="s">
        <v>194</v>
      </c>
    </row>
    <row r="3713" spans="19:21" x14ac:dyDescent="0.25">
      <c r="S3713" s="6" t="s">
        <v>302</v>
      </c>
      <c r="T3713" s="6">
        <f t="shared" si="75"/>
        <v>3712</v>
      </c>
      <c r="U3713" s="4" t="s">
        <v>194</v>
      </c>
    </row>
    <row r="3714" spans="19:21" x14ac:dyDescent="0.25">
      <c r="S3714" s="6" t="s">
        <v>302</v>
      </c>
      <c r="T3714" s="6">
        <f t="shared" si="75"/>
        <v>3713</v>
      </c>
      <c r="U3714" s="4" t="s">
        <v>194</v>
      </c>
    </row>
    <row r="3715" spans="19:21" x14ac:dyDescent="0.25">
      <c r="S3715" s="6" t="s">
        <v>302</v>
      </c>
      <c r="T3715" s="6">
        <f t="shared" si="75"/>
        <v>3714</v>
      </c>
      <c r="U3715" s="4" t="s">
        <v>194</v>
      </c>
    </row>
    <row r="3716" spans="19:21" x14ac:dyDescent="0.25">
      <c r="S3716" s="6" t="s">
        <v>302</v>
      </c>
      <c r="T3716" s="6">
        <f t="shared" si="75"/>
        <v>3715</v>
      </c>
      <c r="U3716" s="4" t="s">
        <v>194</v>
      </c>
    </row>
    <row r="3717" spans="19:21" x14ac:dyDescent="0.25">
      <c r="S3717" s="6" t="s">
        <v>302</v>
      </c>
      <c r="T3717" s="6">
        <f t="shared" si="75"/>
        <v>3716</v>
      </c>
      <c r="U3717" s="4" t="s">
        <v>194</v>
      </c>
    </row>
    <row r="3718" spans="19:21" x14ac:dyDescent="0.25">
      <c r="S3718" s="6" t="s">
        <v>302</v>
      </c>
      <c r="T3718" s="6">
        <f t="shared" si="75"/>
        <v>3717</v>
      </c>
      <c r="U3718" s="4" t="s">
        <v>194</v>
      </c>
    </row>
    <row r="3719" spans="19:21" x14ac:dyDescent="0.25">
      <c r="S3719" s="6" t="s">
        <v>302</v>
      </c>
      <c r="T3719" s="6">
        <f t="shared" si="75"/>
        <v>3718</v>
      </c>
      <c r="U3719" s="4" t="s">
        <v>194</v>
      </c>
    </row>
    <row r="3720" spans="19:21" x14ac:dyDescent="0.25">
      <c r="S3720" s="6" t="s">
        <v>302</v>
      </c>
      <c r="T3720" s="6">
        <f t="shared" si="75"/>
        <v>3719</v>
      </c>
      <c r="U3720" s="4" t="s">
        <v>194</v>
      </c>
    </row>
    <row r="3721" spans="19:21" x14ac:dyDescent="0.25">
      <c r="S3721" s="6" t="s">
        <v>302</v>
      </c>
      <c r="T3721" s="6">
        <f t="shared" si="75"/>
        <v>3720</v>
      </c>
      <c r="U3721" s="4" t="s">
        <v>194</v>
      </c>
    </row>
    <row r="3722" spans="19:21" x14ac:dyDescent="0.25">
      <c r="S3722" s="6" t="s">
        <v>302</v>
      </c>
      <c r="T3722" s="6">
        <f t="shared" si="75"/>
        <v>3721</v>
      </c>
      <c r="U3722" s="4" t="s">
        <v>194</v>
      </c>
    </row>
    <row r="3723" spans="19:21" x14ac:dyDescent="0.25">
      <c r="S3723" s="6" t="s">
        <v>302</v>
      </c>
      <c r="T3723" s="6">
        <f t="shared" si="75"/>
        <v>3722</v>
      </c>
      <c r="U3723" s="4" t="s">
        <v>194</v>
      </c>
    </row>
    <row r="3724" spans="19:21" x14ac:dyDescent="0.25">
      <c r="S3724" s="6" t="s">
        <v>302</v>
      </c>
      <c r="T3724" s="6">
        <f t="shared" si="75"/>
        <v>3723</v>
      </c>
      <c r="U3724" s="4" t="s">
        <v>194</v>
      </c>
    </row>
    <row r="3725" spans="19:21" x14ac:dyDescent="0.25">
      <c r="S3725" s="6" t="s">
        <v>302</v>
      </c>
      <c r="T3725" s="6">
        <f t="shared" si="75"/>
        <v>3724</v>
      </c>
      <c r="U3725" s="4" t="s">
        <v>194</v>
      </c>
    </row>
    <row r="3726" spans="19:21" x14ac:dyDescent="0.25">
      <c r="S3726" s="6" t="s">
        <v>302</v>
      </c>
      <c r="T3726" s="6">
        <f t="shared" si="75"/>
        <v>3725</v>
      </c>
      <c r="U3726" s="4" t="s">
        <v>194</v>
      </c>
    </row>
    <row r="3727" spans="19:21" x14ac:dyDescent="0.25">
      <c r="S3727" s="6" t="s">
        <v>302</v>
      </c>
      <c r="T3727" s="6">
        <f t="shared" si="75"/>
        <v>3726</v>
      </c>
      <c r="U3727" s="4" t="s">
        <v>194</v>
      </c>
    </row>
    <row r="3728" spans="19:21" x14ac:dyDescent="0.25">
      <c r="S3728" s="6" t="s">
        <v>302</v>
      </c>
      <c r="T3728" s="6">
        <f t="shared" si="75"/>
        <v>3727</v>
      </c>
      <c r="U3728" s="4" t="s">
        <v>194</v>
      </c>
    </row>
    <row r="3729" spans="19:21" x14ac:dyDescent="0.25">
      <c r="S3729" s="6" t="s">
        <v>302</v>
      </c>
      <c r="T3729" s="6">
        <f t="shared" si="75"/>
        <v>3728</v>
      </c>
      <c r="U3729" s="4" t="s">
        <v>194</v>
      </c>
    </row>
    <row r="3730" spans="19:21" x14ac:dyDescent="0.25">
      <c r="S3730" s="6" t="s">
        <v>302</v>
      </c>
      <c r="T3730" s="6">
        <f t="shared" si="75"/>
        <v>3729</v>
      </c>
      <c r="U3730" s="4" t="s">
        <v>194</v>
      </c>
    </row>
    <row r="3731" spans="19:21" x14ac:dyDescent="0.25">
      <c r="S3731" s="6" t="s">
        <v>302</v>
      </c>
      <c r="T3731" s="6">
        <f t="shared" si="75"/>
        <v>3730</v>
      </c>
      <c r="U3731" s="4" t="s">
        <v>194</v>
      </c>
    </row>
    <row r="3732" spans="19:21" x14ac:dyDescent="0.25">
      <c r="S3732" s="6" t="s">
        <v>302</v>
      </c>
      <c r="T3732" s="6">
        <f t="shared" si="75"/>
        <v>3731</v>
      </c>
      <c r="U3732" s="4" t="s">
        <v>194</v>
      </c>
    </row>
    <row r="3733" spans="19:21" x14ac:dyDescent="0.25">
      <c r="S3733" s="6" t="s">
        <v>302</v>
      </c>
      <c r="T3733" s="6">
        <f t="shared" si="75"/>
        <v>3732</v>
      </c>
      <c r="U3733" s="4" t="s">
        <v>194</v>
      </c>
    </row>
    <row r="3734" spans="19:21" x14ac:dyDescent="0.25">
      <c r="S3734" s="6" t="s">
        <v>302</v>
      </c>
      <c r="T3734" s="6">
        <f t="shared" si="75"/>
        <v>3733</v>
      </c>
      <c r="U3734" s="4" t="s">
        <v>194</v>
      </c>
    </row>
    <row r="3735" spans="19:21" x14ac:dyDescent="0.25">
      <c r="S3735" s="6" t="s">
        <v>302</v>
      </c>
      <c r="T3735" s="6">
        <f t="shared" si="75"/>
        <v>3734</v>
      </c>
      <c r="U3735" s="4" t="s">
        <v>194</v>
      </c>
    </row>
    <row r="3736" spans="19:21" x14ac:dyDescent="0.25">
      <c r="S3736" s="6" t="s">
        <v>302</v>
      </c>
      <c r="T3736" s="6">
        <f t="shared" si="75"/>
        <v>3735</v>
      </c>
      <c r="U3736" s="4" t="s">
        <v>194</v>
      </c>
    </row>
    <row r="3737" spans="19:21" x14ac:dyDescent="0.25">
      <c r="S3737" s="6" t="s">
        <v>302</v>
      </c>
      <c r="T3737" s="6">
        <f t="shared" si="75"/>
        <v>3736</v>
      </c>
      <c r="U3737" s="4" t="s">
        <v>194</v>
      </c>
    </row>
    <row r="3738" spans="19:21" x14ac:dyDescent="0.25">
      <c r="S3738" s="6" t="s">
        <v>302</v>
      </c>
      <c r="T3738" s="6">
        <f t="shared" si="75"/>
        <v>3737</v>
      </c>
      <c r="U3738" s="4" t="s">
        <v>194</v>
      </c>
    </row>
    <row r="3739" spans="19:21" x14ac:dyDescent="0.25">
      <c r="S3739" s="6" t="s">
        <v>302</v>
      </c>
      <c r="T3739" s="6">
        <f t="shared" si="75"/>
        <v>3738</v>
      </c>
      <c r="U3739" s="4" t="s">
        <v>194</v>
      </c>
    </row>
    <row r="3740" spans="19:21" x14ac:dyDescent="0.25">
      <c r="S3740" s="6" t="s">
        <v>302</v>
      </c>
      <c r="T3740" s="6">
        <f t="shared" si="75"/>
        <v>3739</v>
      </c>
      <c r="U3740" s="4" t="s">
        <v>194</v>
      </c>
    </row>
    <row r="3741" spans="19:21" x14ac:dyDescent="0.25">
      <c r="S3741" s="6" t="s">
        <v>302</v>
      </c>
      <c r="T3741" s="6">
        <f t="shared" si="75"/>
        <v>3740</v>
      </c>
      <c r="U3741" s="4" t="s">
        <v>194</v>
      </c>
    </row>
    <row r="3742" spans="19:21" x14ac:dyDescent="0.25">
      <c r="S3742" s="6" t="s">
        <v>302</v>
      </c>
      <c r="T3742" s="6">
        <f t="shared" ref="T3742:T3805" si="76">T3741+1</f>
        <v>3741</v>
      </c>
      <c r="U3742" s="4" t="s">
        <v>194</v>
      </c>
    </row>
    <row r="3743" spans="19:21" x14ac:dyDescent="0.25">
      <c r="S3743" s="6" t="s">
        <v>302</v>
      </c>
      <c r="T3743" s="6">
        <f t="shared" si="76"/>
        <v>3742</v>
      </c>
      <c r="U3743" s="4" t="s">
        <v>194</v>
      </c>
    </row>
    <row r="3744" spans="19:21" x14ac:dyDescent="0.25">
      <c r="S3744" s="6" t="s">
        <v>302</v>
      </c>
      <c r="T3744" s="6">
        <f t="shared" si="76"/>
        <v>3743</v>
      </c>
      <c r="U3744" s="4" t="s">
        <v>194</v>
      </c>
    </row>
    <row r="3745" spans="19:21" x14ac:dyDescent="0.25">
      <c r="S3745" s="6" t="s">
        <v>302</v>
      </c>
      <c r="T3745" s="6">
        <f t="shared" si="76"/>
        <v>3744</v>
      </c>
      <c r="U3745" s="4" t="s">
        <v>194</v>
      </c>
    </row>
    <row r="3746" spans="19:21" x14ac:dyDescent="0.25">
      <c r="S3746" s="6" t="s">
        <v>302</v>
      </c>
      <c r="T3746" s="6">
        <f t="shared" si="76"/>
        <v>3745</v>
      </c>
      <c r="U3746" s="4" t="s">
        <v>194</v>
      </c>
    </row>
    <row r="3747" spans="19:21" x14ac:dyDescent="0.25">
      <c r="S3747" s="6" t="s">
        <v>302</v>
      </c>
      <c r="T3747" s="6">
        <f t="shared" si="76"/>
        <v>3746</v>
      </c>
      <c r="U3747" s="4" t="s">
        <v>194</v>
      </c>
    </row>
    <row r="3748" spans="19:21" x14ac:dyDescent="0.25">
      <c r="S3748" s="6" t="s">
        <v>302</v>
      </c>
      <c r="T3748" s="6">
        <f t="shared" si="76"/>
        <v>3747</v>
      </c>
      <c r="U3748" s="4" t="s">
        <v>194</v>
      </c>
    </row>
    <row r="3749" spans="19:21" x14ac:dyDescent="0.25">
      <c r="S3749" s="6" t="s">
        <v>302</v>
      </c>
      <c r="T3749" s="6">
        <f t="shared" si="76"/>
        <v>3748</v>
      </c>
      <c r="U3749" s="4" t="s">
        <v>194</v>
      </c>
    </row>
    <row r="3750" spans="19:21" x14ac:dyDescent="0.25">
      <c r="S3750" s="6" t="s">
        <v>302</v>
      </c>
      <c r="T3750" s="6">
        <f t="shared" si="76"/>
        <v>3749</v>
      </c>
      <c r="U3750" s="4" t="s">
        <v>194</v>
      </c>
    </row>
    <row r="3751" spans="19:21" x14ac:dyDescent="0.25">
      <c r="S3751" s="6" t="s">
        <v>302</v>
      </c>
      <c r="T3751" s="6">
        <f t="shared" si="76"/>
        <v>3750</v>
      </c>
      <c r="U3751" s="4" t="s">
        <v>194</v>
      </c>
    </row>
    <row r="3752" spans="19:21" x14ac:dyDescent="0.25">
      <c r="S3752" s="6" t="s">
        <v>302</v>
      </c>
      <c r="T3752" s="6">
        <f t="shared" si="76"/>
        <v>3751</v>
      </c>
      <c r="U3752" s="4" t="s">
        <v>194</v>
      </c>
    </row>
    <row r="3753" spans="19:21" x14ac:dyDescent="0.25">
      <c r="S3753" s="6" t="s">
        <v>302</v>
      </c>
      <c r="T3753" s="6">
        <f t="shared" si="76"/>
        <v>3752</v>
      </c>
      <c r="U3753" s="4" t="s">
        <v>194</v>
      </c>
    </row>
    <row r="3754" spans="19:21" x14ac:dyDescent="0.25">
      <c r="S3754" s="6" t="s">
        <v>302</v>
      </c>
      <c r="T3754" s="6">
        <f t="shared" si="76"/>
        <v>3753</v>
      </c>
      <c r="U3754" s="4" t="s">
        <v>194</v>
      </c>
    </row>
    <row r="3755" spans="19:21" x14ac:dyDescent="0.25">
      <c r="S3755" s="6" t="s">
        <v>302</v>
      </c>
      <c r="T3755" s="6">
        <f t="shared" si="76"/>
        <v>3754</v>
      </c>
      <c r="U3755" s="4" t="s">
        <v>194</v>
      </c>
    </row>
    <row r="3756" spans="19:21" x14ac:dyDescent="0.25">
      <c r="S3756" s="6" t="s">
        <v>302</v>
      </c>
      <c r="T3756" s="6">
        <f t="shared" si="76"/>
        <v>3755</v>
      </c>
      <c r="U3756" s="4" t="s">
        <v>194</v>
      </c>
    </row>
    <row r="3757" spans="19:21" x14ac:dyDescent="0.25">
      <c r="S3757" s="6" t="s">
        <v>302</v>
      </c>
      <c r="T3757" s="6">
        <f t="shared" si="76"/>
        <v>3756</v>
      </c>
      <c r="U3757" s="4" t="s">
        <v>194</v>
      </c>
    </row>
    <row r="3758" spans="19:21" x14ac:dyDescent="0.25">
      <c r="S3758" s="6" t="s">
        <v>302</v>
      </c>
      <c r="T3758" s="6">
        <f t="shared" si="76"/>
        <v>3757</v>
      </c>
      <c r="U3758" s="4" t="s">
        <v>194</v>
      </c>
    </row>
    <row r="3759" spans="19:21" x14ac:dyDescent="0.25">
      <c r="S3759" s="6" t="s">
        <v>302</v>
      </c>
      <c r="T3759" s="6">
        <f t="shared" si="76"/>
        <v>3758</v>
      </c>
      <c r="U3759" s="4" t="s">
        <v>194</v>
      </c>
    </row>
    <row r="3760" spans="19:21" x14ac:dyDescent="0.25">
      <c r="S3760" s="6" t="s">
        <v>302</v>
      </c>
      <c r="T3760" s="6">
        <f t="shared" si="76"/>
        <v>3759</v>
      </c>
      <c r="U3760" s="4" t="s">
        <v>194</v>
      </c>
    </row>
    <row r="3761" spans="19:21" x14ac:dyDescent="0.25">
      <c r="S3761" s="6" t="s">
        <v>302</v>
      </c>
      <c r="T3761" s="6">
        <f t="shared" si="76"/>
        <v>3760</v>
      </c>
      <c r="U3761" s="4" t="s">
        <v>194</v>
      </c>
    </row>
    <row r="3762" spans="19:21" x14ac:dyDescent="0.25">
      <c r="S3762" s="6" t="s">
        <v>302</v>
      </c>
      <c r="T3762" s="6">
        <f t="shared" si="76"/>
        <v>3761</v>
      </c>
      <c r="U3762" s="4" t="s">
        <v>194</v>
      </c>
    </row>
    <row r="3763" spans="19:21" x14ac:dyDescent="0.25">
      <c r="S3763" s="6" t="s">
        <v>302</v>
      </c>
      <c r="T3763" s="6">
        <f t="shared" si="76"/>
        <v>3762</v>
      </c>
      <c r="U3763" s="4" t="s">
        <v>194</v>
      </c>
    </row>
    <row r="3764" spans="19:21" x14ac:dyDescent="0.25">
      <c r="S3764" s="6" t="s">
        <v>302</v>
      </c>
      <c r="T3764" s="6">
        <f t="shared" si="76"/>
        <v>3763</v>
      </c>
      <c r="U3764" s="4" t="s">
        <v>194</v>
      </c>
    </row>
    <row r="3765" spans="19:21" x14ac:dyDescent="0.25">
      <c r="S3765" s="6" t="s">
        <v>302</v>
      </c>
      <c r="T3765" s="6">
        <f t="shared" si="76"/>
        <v>3764</v>
      </c>
      <c r="U3765" s="4" t="s">
        <v>194</v>
      </c>
    </row>
    <row r="3766" spans="19:21" x14ac:dyDescent="0.25">
      <c r="S3766" s="6" t="s">
        <v>302</v>
      </c>
      <c r="T3766" s="6">
        <f t="shared" si="76"/>
        <v>3765</v>
      </c>
      <c r="U3766" s="4" t="s">
        <v>194</v>
      </c>
    </row>
    <row r="3767" spans="19:21" x14ac:dyDescent="0.25">
      <c r="S3767" s="6" t="s">
        <v>302</v>
      </c>
      <c r="T3767" s="6">
        <f t="shared" si="76"/>
        <v>3766</v>
      </c>
      <c r="U3767" s="4" t="s">
        <v>194</v>
      </c>
    </row>
    <row r="3768" spans="19:21" x14ac:dyDescent="0.25">
      <c r="S3768" s="6" t="s">
        <v>302</v>
      </c>
      <c r="T3768" s="6">
        <f t="shared" si="76"/>
        <v>3767</v>
      </c>
      <c r="U3768" s="4" t="s">
        <v>194</v>
      </c>
    </row>
    <row r="3769" spans="19:21" x14ac:dyDescent="0.25">
      <c r="S3769" s="6" t="s">
        <v>302</v>
      </c>
      <c r="T3769" s="6">
        <f t="shared" si="76"/>
        <v>3768</v>
      </c>
      <c r="U3769" s="4" t="s">
        <v>194</v>
      </c>
    </row>
    <row r="3770" spans="19:21" x14ac:dyDescent="0.25">
      <c r="S3770" s="6" t="s">
        <v>302</v>
      </c>
      <c r="T3770" s="6">
        <f t="shared" si="76"/>
        <v>3769</v>
      </c>
      <c r="U3770" s="4" t="s">
        <v>194</v>
      </c>
    </row>
    <row r="3771" spans="19:21" x14ac:dyDescent="0.25">
      <c r="S3771" s="6" t="s">
        <v>302</v>
      </c>
      <c r="T3771" s="6">
        <f t="shared" si="76"/>
        <v>3770</v>
      </c>
      <c r="U3771" s="4" t="s">
        <v>194</v>
      </c>
    </row>
    <row r="3772" spans="19:21" x14ac:dyDescent="0.25">
      <c r="S3772" s="6" t="s">
        <v>302</v>
      </c>
      <c r="T3772" s="6">
        <f t="shared" si="76"/>
        <v>3771</v>
      </c>
      <c r="U3772" s="4" t="s">
        <v>194</v>
      </c>
    </row>
    <row r="3773" spans="19:21" x14ac:dyDescent="0.25">
      <c r="S3773" s="6" t="s">
        <v>302</v>
      </c>
      <c r="T3773" s="6">
        <f t="shared" si="76"/>
        <v>3772</v>
      </c>
      <c r="U3773" s="4" t="s">
        <v>194</v>
      </c>
    </row>
    <row r="3774" spans="19:21" x14ac:dyDescent="0.25">
      <c r="S3774" s="6" t="s">
        <v>302</v>
      </c>
      <c r="T3774" s="6">
        <f t="shared" si="76"/>
        <v>3773</v>
      </c>
      <c r="U3774" s="4" t="s">
        <v>194</v>
      </c>
    </row>
    <row r="3775" spans="19:21" x14ac:dyDescent="0.25">
      <c r="S3775" s="6" t="s">
        <v>302</v>
      </c>
      <c r="T3775" s="6">
        <f t="shared" si="76"/>
        <v>3774</v>
      </c>
      <c r="U3775" s="4" t="s">
        <v>194</v>
      </c>
    </row>
    <row r="3776" spans="19:21" x14ac:dyDescent="0.25">
      <c r="S3776" s="6" t="s">
        <v>302</v>
      </c>
      <c r="T3776" s="6">
        <f t="shared" si="76"/>
        <v>3775</v>
      </c>
      <c r="U3776" s="4" t="s">
        <v>194</v>
      </c>
    </row>
    <row r="3777" spans="19:21" x14ac:dyDescent="0.25">
      <c r="S3777" s="6" t="s">
        <v>302</v>
      </c>
      <c r="T3777" s="6">
        <f t="shared" si="76"/>
        <v>3776</v>
      </c>
      <c r="U3777" s="4" t="s">
        <v>194</v>
      </c>
    </row>
    <row r="3778" spans="19:21" x14ac:dyDescent="0.25">
      <c r="S3778" s="6" t="s">
        <v>302</v>
      </c>
      <c r="T3778" s="6">
        <f t="shared" si="76"/>
        <v>3777</v>
      </c>
      <c r="U3778" s="4" t="s">
        <v>194</v>
      </c>
    </row>
    <row r="3779" spans="19:21" x14ac:dyDescent="0.25">
      <c r="S3779" s="6" t="s">
        <v>302</v>
      </c>
      <c r="T3779" s="6">
        <f t="shared" si="76"/>
        <v>3778</v>
      </c>
      <c r="U3779" s="4" t="s">
        <v>194</v>
      </c>
    </row>
    <row r="3780" spans="19:21" x14ac:dyDescent="0.25">
      <c r="S3780" s="6" t="s">
        <v>302</v>
      </c>
      <c r="T3780" s="6">
        <f t="shared" si="76"/>
        <v>3779</v>
      </c>
      <c r="U3780" s="4" t="s">
        <v>194</v>
      </c>
    </row>
    <row r="3781" spans="19:21" x14ac:dyDescent="0.25">
      <c r="S3781" s="6" t="s">
        <v>302</v>
      </c>
      <c r="T3781" s="6">
        <f t="shared" si="76"/>
        <v>3780</v>
      </c>
      <c r="U3781" s="4" t="s">
        <v>194</v>
      </c>
    </row>
    <row r="3782" spans="19:21" x14ac:dyDescent="0.25">
      <c r="S3782" s="6" t="s">
        <v>302</v>
      </c>
      <c r="T3782" s="6">
        <f t="shared" si="76"/>
        <v>3781</v>
      </c>
      <c r="U3782" s="4" t="s">
        <v>194</v>
      </c>
    </row>
    <row r="3783" spans="19:21" x14ac:dyDescent="0.25">
      <c r="S3783" s="6" t="s">
        <v>302</v>
      </c>
      <c r="T3783" s="6">
        <f t="shared" si="76"/>
        <v>3782</v>
      </c>
      <c r="U3783" s="4" t="s">
        <v>194</v>
      </c>
    </row>
    <row r="3784" spans="19:21" x14ac:dyDescent="0.25">
      <c r="S3784" s="6" t="s">
        <v>302</v>
      </c>
      <c r="T3784" s="6">
        <f t="shared" si="76"/>
        <v>3783</v>
      </c>
      <c r="U3784" s="4" t="s">
        <v>194</v>
      </c>
    </row>
    <row r="3785" spans="19:21" x14ac:dyDescent="0.25">
      <c r="S3785" s="6" t="s">
        <v>302</v>
      </c>
      <c r="T3785" s="6">
        <f t="shared" si="76"/>
        <v>3784</v>
      </c>
      <c r="U3785" s="4" t="s">
        <v>194</v>
      </c>
    </row>
    <row r="3786" spans="19:21" x14ac:dyDescent="0.25">
      <c r="S3786" s="6" t="s">
        <v>302</v>
      </c>
      <c r="T3786" s="6">
        <f t="shared" si="76"/>
        <v>3785</v>
      </c>
      <c r="U3786" s="4" t="s">
        <v>194</v>
      </c>
    </row>
    <row r="3787" spans="19:21" x14ac:dyDescent="0.25">
      <c r="S3787" s="6" t="s">
        <v>302</v>
      </c>
      <c r="T3787" s="6">
        <f t="shared" si="76"/>
        <v>3786</v>
      </c>
      <c r="U3787" s="4" t="s">
        <v>194</v>
      </c>
    </row>
    <row r="3788" spans="19:21" x14ac:dyDescent="0.25">
      <c r="S3788" s="6" t="s">
        <v>302</v>
      </c>
      <c r="T3788" s="6">
        <f t="shared" si="76"/>
        <v>3787</v>
      </c>
      <c r="U3788" s="4" t="s">
        <v>194</v>
      </c>
    </row>
    <row r="3789" spans="19:21" x14ac:dyDescent="0.25">
      <c r="S3789" s="6" t="s">
        <v>302</v>
      </c>
      <c r="T3789" s="6">
        <f t="shared" si="76"/>
        <v>3788</v>
      </c>
      <c r="U3789" s="4" t="s">
        <v>194</v>
      </c>
    </row>
    <row r="3790" spans="19:21" x14ac:dyDescent="0.25">
      <c r="S3790" s="6" t="s">
        <v>302</v>
      </c>
      <c r="T3790" s="6">
        <f t="shared" si="76"/>
        <v>3789</v>
      </c>
      <c r="U3790" s="4" t="s">
        <v>194</v>
      </c>
    </row>
    <row r="3791" spans="19:21" x14ac:dyDescent="0.25">
      <c r="S3791" s="6" t="s">
        <v>302</v>
      </c>
      <c r="T3791" s="6">
        <f t="shared" si="76"/>
        <v>3790</v>
      </c>
      <c r="U3791" s="4" t="s">
        <v>194</v>
      </c>
    </row>
    <row r="3792" spans="19:21" x14ac:dyDescent="0.25">
      <c r="S3792" s="6" t="s">
        <v>302</v>
      </c>
      <c r="T3792" s="6">
        <f t="shared" si="76"/>
        <v>3791</v>
      </c>
      <c r="U3792" s="4" t="s">
        <v>194</v>
      </c>
    </row>
    <row r="3793" spans="19:21" x14ac:dyDescent="0.25">
      <c r="S3793" s="6" t="s">
        <v>302</v>
      </c>
      <c r="T3793" s="6">
        <f t="shared" si="76"/>
        <v>3792</v>
      </c>
      <c r="U3793" s="4" t="s">
        <v>194</v>
      </c>
    </row>
    <row r="3794" spans="19:21" x14ac:dyDescent="0.25">
      <c r="S3794" s="6" t="s">
        <v>302</v>
      </c>
      <c r="T3794" s="6">
        <f t="shared" si="76"/>
        <v>3793</v>
      </c>
      <c r="U3794" s="4" t="s">
        <v>194</v>
      </c>
    </row>
    <row r="3795" spans="19:21" x14ac:dyDescent="0.25">
      <c r="S3795" s="6" t="s">
        <v>302</v>
      </c>
      <c r="T3795" s="6">
        <f t="shared" si="76"/>
        <v>3794</v>
      </c>
      <c r="U3795" s="4" t="s">
        <v>194</v>
      </c>
    </row>
    <row r="3796" spans="19:21" x14ac:dyDescent="0.25">
      <c r="S3796" s="6" t="s">
        <v>302</v>
      </c>
      <c r="T3796" s="6">
        <f t="shared" si="76"/>
        <v>3795</v>
      </c>
      <c r="U3796" s="4" t="s">
        <v>194</v>
      </c>
    </row>
    <row r="3797" spans="19:21" x14ac:dyDescent="0.25">
      <c r="S3797" s="6" t="s">
        <v>302</v>
      </c>
      <c r="T3797" s="6">
        <f t="shared" si="76"/>
        <v>3796</v>
      </c>
      <c r="U3797" s="4" t="s">
        <v>194</v>
      </c>
    </row>
    <row r="3798" spans="19:21" x14ac:dyDescent="0.25">
      <c r="S3798" s="6" t="s">
        <v>302</v>
      </c>
      <c r="T3798" s="6">
        <f t="shared" si="76"/>
        <v>3797</v>
      </c>
      <c r="U3798" s="4" t="s">
        <v>194</v>
      </c>
    </row>
    <row r="3799" spans="19:21" x14ac:dyDescent="0.25">
      <c r="S3799" s="6" t="s">
        <v>302</v>
      </c>
      <c r="T3799" s="6">
        <f t="shared" si="76"/>
        <v>3798</v>
      </c>
      <c r="U3799" s="4" t="s">
        <v>194</v>
      </c>
    </row>
    <row r="3800" spans="19:21" x14ac:dyDescent="0.25">
      <c r="S3800" s="6" t="s">
        <v>302</v>
      </c>
      <c r="T3800" s="6">
        <f t="shared" si="76"/>
        <v>3799</v>
      </c>
      <c r="U3800" s="4" t="s">
        <v>194</v>
      </c>
    </row>
    <row r="3801" spans="19:21" x14ac:dyDescent="0.25">
      <c r="S3801" s="6" t="s">
        <v>302</v>
      </c>
      <c r="T3801" s="6">
        <f t="shared" si="76"/>
        <v>3800</v>
      </c>
      <c r="U3801" s="4" t="s">
        <v>194</v>
      </c>
    </row>
    <row r="3802" spans="19:21" x14ac:dyDescent="0.25">
      <c r="S3802" s="6" t="s">
        <v>302</v>
      </c>
      <c r="T3802" s="6">
        <f t="shared" si="76"/>
        <v>3801</v>
      </c>
      <c r="U3802" s="4" t="s">
        <v>194</v>
      </c>
    </row>
    <row r="3803" spans="19:21" x14ac:dyDescent="0.25">
      <c r="S3803" s="6" t="s">
        <v>302</v>
      </c>
      <c r="T3803" s="6">
        <f t="shared" si="76"/>
        <v>3802</v>
      </c>
      <c r="U3803" s="4" t="s">
        <v>194</v>
      </c>
    </row>
    <row r="3804" spans="19:21" x14ac:dyDescent="0.25">
      <c r="S3804" s="6" t="s">
        <v>302</v>
      </c>
      <c r="T3804" s="6">
        <f t="shared" si="76"/>
        <v>3803</v>
      </c>
      <c r="U3804" s="4" t="s">
        <v>194</v>
      </c>
    </row>
    <row r="3805" spans="19:21" x14ac:dyDescent="0.25">
      <c r="S3805" s="6" t="s">
        <v>302</v>
      </c>
      <c r="T3805" s="6">
        <f t="shared" si="76"/>
        <v>3804</v>
      </c>
      <c r="U3805" s="4" t="s">
        <v>194</v>
      </c>
    </row>
    <row r="3806" spans="19:21" x14ac:dyDescent="0.25">
      <c r="S3806" s="6" t="s">
        <v>302</v>
      </c>
      <c r="T3806" s="6">
        <f t="shared" ref="T3806:T3869" si="77">T3805+1</f>
        <v>3805</v>
      </c>
      <c r="U3806" s="4" t="s">
        <v>194</v>
      </c>
    </row>
    <row r="3807" spans="19:21" x14ac:dyDescent="0.25">
      <c r="S3807" s="6" t="s">
        <v>302</v>
      </c>
      <c r="T3807" s="6">
        <f t="shared" si="77"/>
        <v>3806</v>
      </c>
      <c r="U3807" s="4" t="s">
        <v>194</v>
      </c>
    </row>
    <row r="3808" spans="19:21" x14ac:dyDescent="0.25">
      <c r="S3808" s="6" t="s">
        <v>302</v>
      </c>
      <c r="T3808" s="6">
        <f t="shared" si="77"/>
        <v>3807</v>
      </c>
      <c r="U3808" s="4" t="s">
        <v>194</v>
      </c>
    </row>
    <row r="3809" spans="19:21" x14ac:dyDescent="0.25">
      <c r="S3809" s="6" t="s">
        <v>302</v>
      </c>
      <c r="T3809" s="6">
        <f t="shared" si="77"/>
        <v>3808</v>
      </c>
      <c r="U3809" s="4" t="s">
        <v>194</v>
      </c>
    </row>
    <row r="3810" spans="19:21" x14ac:dyDescent="0.25">
      <c r="S3810" s="6" t="s">
        <v>302</v>
      </c>
      <c r="T3810" s="6">
        <f t="shared" si="77"/>
        <v>3809</v>
      </c>
      <c r="U3810" s="4" t="s">
        <v>194</v>
      </c>
    </row>
    <row r="3811" spans="19:21" x14ac:dyDescent="0.25">
      <c r="S3811" s="6" t="s">
        <v>302</v>
      </c>
      <c r="T3811" s="6">
        <f t="shared" si="77"/>
        <v>3810</v>
      </c>
      <c r="U3811" s="4" t="s">
        <v>194</v>
      </c>
    </row>
    <row r="3812" spans="19:21" x14ac:dyDescent="0.25">
      <c r="S3812" s="6" t="s">
        <v>302</v>
      </c>
      <c r="T3812" s="6">
        <f t="shared" si="77"/>
        <v>3811</v>
      </c>
      <c r="U3812" s="4" t="s">
        <v>194</v>
      </c>
    </row>
    <row r="3813" spans="19:21" x14ac:dyDescent="0.25">
      <c r="S3813" s="6" t="s">
        <v>302</v>
      </c>
      <c r="T3813" s="6">
        <f t="shared" si="77"/>
        <v>3812</v>
      </c>
      <c r="U3813" s="4" t="s">
        <v>194</v>
      </c>
    </row>
    <row r="3814" spans="19:21" x14ac:dyDescent="0.25">
      <c r="S3814" s="6" t="s">
        <v>302</v>
      </c>
      <c r="T3814" s="6">
        <f t="shared" si="77"/>
        <v>3813</v>
      </c>
      <c r="U3814" s="4" t="s">
        <v>194</v>
      </c>
    </row>
    <row r="3815" spans="19:21" x14ac:dyDescent="0.25">
      <c r="S3815" s="6" t="s">
        <v>302</v>
      </c>
      <c r="T3815" s="6">
        <f t="shared" si="77"/>
        <v>3814</v>
      </c>
      <c r="U3815" s="4" t="s">
        <v>194</v>
      </c>
    </row>
    <row r="3816" spans="19:21" x14ac:dyDescent="0.25">
      <c r="S3816" s="6" t="s">
        <v>302</v>
      </c>
      <c r="T3816" s="6">
        <f t="shared" si="77"/>
        <v>3815</v>
      </c>
      <c r="U3816" s="4" t="s">
        <v>194</v>
      </c>
    </row>
    <row r="3817" spans="19:21" x14ac:dyDescent="0.25">
      <c r="S3817" s="6" t="s">
        <v>302</v>
      </c>
      <c r="T3817" s="6">
        <f t="shared" si="77"/>
        <v>3816</v>
      </c>
      <c r="U3817" s="4" t="s">
        <v>194</v>
      </c>
    </row>
    <row r="3818" spans="19:21" x14ac:dyDescent="0.25">
      <c r="S3818" s="6" t="s">
        <v>302</v>
      </c>
      <c r="T3818" s="6">
        <f t="shared" si="77"/>
        <v>3817</v>
      </c>
      <c r="U3818" s="4" t="s">
        <v>194</v>
      </c>
    </row>
    <row r="3819" spans="19:21" x14ac:dyDescent="0.25">
      <c r="S3819" s="6" t="s">
        <v>302</v>
      </c>
      <c r="T3819" s="6">
        <f t="shared" si="77"/>
        <v>3818</v>
      </c>
      <c r="U3819" s="4" t="s">
        <v>194</v>
      </c>
    </row>
    <row r="3820" spans="19:21" x14ac:dyDescent="0.25">
      <c r="S3820" s="6" t="s">
        <v>302</v>
      </c>
      <c r="T3820" s="6">
        <f t="shared" si="77"/>
        <v>3819</v>
      </c>
      <c r="U3820" s="4" t="s">
        <v>194</v>
      </c>
    </row>
    <row r="3821" spans="19:21" x14ac:dyDescent="0.25">
      <c r="S3821" s="6" t="s">
        <v>302</v>
      </c>
      <c r="T3821" s="6">
        <f t="shared" si="77"/>
        <v>3820</v>
      </c>
      <c r="U3821" s="4" t="s">
        <v>194</v>
      </c>
    </row>
    <row r="3822" spans="19:21" x14ac:dyDescent="0.25">
      <c r="S3822" s="6" t="s">
        <v>302</v>
      </c>
      <c r="T3822" s="6">
        <f t="shared" si="77"/>
        <v>3821</v>
      </c>
      <c r="U3822" s="4" t="s">
        <v>194</v>
      </c>
    </row>
    <row r="3823" spans="19:21" x14ac:dyDescent="0.25">
      <c r="S3823" s="6" t="s">
        <v>302</v>
      </c>
      <c r="T3823" s="6">
        <f t="shared" si="77"/>
        <v>3822</v>
      </c>
      <c r="U3823" s="4" t="s">
        <v>194</v>
      </c>
    </row>
    <row r="3824" spans="19:21" x14ac:dyDescent="0.25">
      <c r="S3824" s="6" t="s">
        <v>302</v>
      </c>
      <c r="T3824" s="6">
        <f t="shared" si="77"/>
        <v>3823</v>
      </c>
      <c r="U3824" s="4" t="s">
        <v>194</v>
      </c>
    </row>
    <row r="3825" spans="19:21" x14ac:dyDescent="0.25">
      <c r="S3825" s="6" t="s">
        <v>302</v>
      </c>
      <c r="T3825" s="6">
        <f t="shared" si="77"/>
        <v>3824</v>
      </c>
      <c r="U3825" s="4" t="s">
        <v>194</v>
      </c>
    </row>
    <row r="3826" spans="19:21" x14ac:dyDescent="0.25">
      <c r="S3826" s="6" t="s">
        <v>302</v>
      </c>
      <c r="T3826" s="6">
        <f t="shared" si="77"/>
        <v>3825</v>
      </c>
      <c r="U3826" s="4" t="s">
        <v>194</v>
      </c>
    </row>
    <row r="3827" spans="19:21" x14ac:dyDescent="0.25">
      <c r="S3827" s="6" t="s">
        <v>302</v>
      </c>
      <c r="T3827" s="6">
        <f t="shared" si="77"/>
        <v>3826</v>
      </c>
      <c r="U3827" s="4" t="s">
        <v>194</v>
      </c>
    </row>
    <row r="3828" spans="19:21" x14ac:dyDescent="0.25">
      <c r="S3828" s="6" t="s">
        <v>302</v>
      </c>
      <c r="T3828" s="6">
        <f t="shared" si="77"/>
        <v>3827</v>
      </c>
      <c r="U3828" s="4" t="s">
        <v>194</v>
      </c>
    </row>
    <row r="3829" spans="19:21" x14ac:dyDescent="0.25">
      <c r="S3829" s="6" t="s">
        <v>302</v>
      </c>
      <c r="T3829" s="6">
        <f t="shared" si="77"/>
        <v>3828</v>
      </c>
      <c r="U3829" s="4" t="s">
        <v>194</v>
      </c>
    </row>
    <row r="3830" spans="19:21" x14ac:dyDescent="0.25">
      <c r="S3830" s="6" t="s">
        <v>302</v>
      </c>
      <c r="T3830" s="6">
        <f t="shared" si="77"/>
        <v>3829</v>
      </c>
      <c r="U3830" s="4" t="s">
        <v>194</v>
      </c>
    </row>
    <row r="3831" spans="19:21" x14ac:dyDescent="0.25">
      <c r="S3831" s="6" t="s">
        <v>302</v>
      </c>
      <c r="T3831" s="6">
        <f t="shared" si="77"/>
        <v>3830</v>
      </c>
      <c r="U3831" s="4" t="s">
        <v>194</v>
      </c>
    </row>
    <row r="3832" spans="19:21" x14ac:dyDescent="0.25">
      <c r="S3832" s="6" t="s">
        <v>302</v>
      </c>
      <c r="T3832" s="6">
        <f t="shared" si="77"/>
        <v>3831</v>
      </c>
      <c r="U3832" s="4" t="s">
        <v>194</v>
      </c>
    </row>
    <row r="3833" spans="19:21" x14ac:dyDescent="0.25">
      <c r="S3833" s="6" t="s">
        <v>302</v>
      </c>
      <c r="T3833" s="6">
        <f t="shared" si="77"/>
        <v>3832</v>
      </c>
      <c r="U3833" s="4" t="s">
        <v>194</v>
      </c>
    </row>
    <row r="3834" spans="19:21" x14ac:dyDescent="0.25">
      <c r="S3834" s="6" t="s">
        <v>302</v>
      </c>
      <c r="T3834" s="6">
        <f t="shared" si="77"/>
        <v>3833</v>
      </c>
      <c r="U3834" s="4" t="s">
        <v>194</v>
      </c>
    </row>
    <row r="3835" spans="19:21" x14ac:dyDescent="0.25">
      <c r="S3835" s="6" t="s">
        <v>302</v>
      </c>
      <c r="T3835" s="6">
        <f t="shared" si="77"/>
        <v>3834</v>
      </c>
      <c r="U3835" s="4" t="s">
        <v>194</v>
      </c>
    </row>
    <row r="3836" spans="19:21" x14ac:dyDescent="0.25">
      <c r="S3836" s="6" t="s">
        <v>302</v>
      </c>
      <c r="T3836" s="6">
        <f t="shared" si="77"/>
        <v>3835</v>
      </c>
      <c r="U3836" s="4" t="s">
        <v>194</v>
      </c>
    </row>
    <row r="3837" spans="19:21" x14ac:dyDescent="0.25">
      <c r="S3837" s="6" t="s">
        <v>302</v>
      </c>
      <c r="T3837" s="6">
        <f t="shared" si="77"/>
        <v>3836</v>
      </c>
      <c r="U3837" s="4" t="s">
        <v>194</v>
      </c>
    </row>
    <row r="3838" spans="19:21" x14ac:dyDescent="0.25">
      <c r="S3838" s="6" t="s">
        <v>302</v>
      </c>
      <c r="T3838" s="6">
        <f t="shared" si="77"/>
        <v>3837</v>
      </c>
      <c r="U3838" s="4" t="s">
        <v>194</v>
      </c>
    </row>
    <row r="3839" spans="19:21" x14ac:dyDescent="0.25">
      <c r="S3839" s="6" t="s">
        <v>302</v>
      </c>
      <c r="T3839" s="6">
        <f t="shared" si="77"/>
        <v>3838</v>
      </c>
      <c r="U3839" s="4" t="s">
        <v>194</v>
      </c>
    </row>
    <row r="3840" spans="19:21" x14ac:dyDescent="0.25">
      <c r="S3840" s="6" t="s">
        <v>302</v>
      </c>
      <c r="T3840" s="6">
        <f t="shared" si="77"/>
        <v>3839</v>
      </c>
      <c r="U3840" s="4" t="s">
        <v>194</v>
      </c>
    </row>
    <row r="3841" spans="19:21" x14ac:dyDescent="0.25">
      <c r="S3841" s="6" t="s">
        <v>302</v>
      </c>
      <c r="T3841" s="6">
        <f t="shared" si="77"/>
        <v>3840</v>
      </c>
      <c r="U3841" s="4" t="s">
        <v>194</v>
      </c>
    </row>
    <row r="3842" spans="19:21" x14ac:dyDescent="0.25">
      <c r="S3842" s="6" t="s">
        <v>302</v>
      </c>
      <c r="T3842" s="6">
        <f t="shared" si="77"/>
        <v>3841</v>
      </c>
      <c r="U3842" s="4" t="s">
        <v>194</v>
      </c>
    </row>
    <row r="3843" spans="19:21" x14ac:dyDescent="0.25">
      <c r="S3843" s="6" t="s">
        <v>302</v>
      </c>
      <c r="T3843" s="6">
        <f t="shared" si="77"/>
        <v>3842</v>
      </c>
      <c r="U3843" s="4" t="s">
        <v>194</v>
      </c>
    </row>
    <row r="3844" spans="19:21" x14ac:dyDescent="0.25">
      <c r="S3844" s="6" t="s">
        <v>302</v>
      </c>
      <c r="T3844" s="6">
        <f t="shared" si="77"/>
        <v>3843</v>
      </c>
      <c r="U3844" s="4" t="s">
        <v>194</v>
      </c>
    </row>
    <row r="3845" spans="19:21" x14ac:dyDescent="0.25">
      <c r="S3845" s="6" t="s">
        <v>302</v>
      </c>
      <c r="T3845" s="6">
        <f t="shared" si="77"/>
        <v>3844</v>
      </c>
      <c r="U3845" s="4" t="s">
        <v>194</v>
      </c>
    </row>
    <row r="3846" spans="19:21" x14ac:dyDescent="0.25">
      <c r="S3846" s="6" t="s">
        <v>302</v>
      </c>
      <c r="T3846" s="6">
        <f t="shared" si="77"/>
        <v>3845</v>
      </c>
      <c r="U3846" s="4" t="s">
        <v>194</v>
      </c>
    </row>
    <row r="3847" spans="19:21" x14ac:dyDescent="0.25">
      <c r="S3847" s="6" t="s">
        <v>302</v>
      </c>
      <c r="T3847" s="6">
        <f t="shared" si="77"/>
        <v>3846</v>
      </c>
      <c r="U3847" s="4" t="s">
        <v>194</v>
      </c>
    </row>
    <row r="3848" spans="19:21" x14ac:dyDescent="0.25">
      <c r="S3848" s="6" t="s">
        <v>302</v>
      </c>
      <c r="T3848" s="6">
        <f t="shared" si="77"/>
        <v>3847</v>
      </c>
      <c r="U3848" s="4" t="s">
        <v>194</v>
      </c>
    </row>
    <row r="3849" spans="19:21" x14ac:dyDescent="0.25">
      <c r="S3849" s="6" t="s">
        <v>302</v>
      </c>
      <c r="T3849" s="6">
        <f t="shared" si="77"/>
        <v>3848</v>
      </c>
      <c r="U3849" s="4" t="s">
        <v>194</v>
      </c>
    </row>
    <row r="3850" spans="19:21" x14ac:dyDescent="0.25">
      <c r="S3850" s="6" t="s">
        <v>302</v>
      </c>
      <c r="T3850" s="6">
        <f t="shared" si="77"/>
        <v>3849</v>
      </c>
      <c r="U3850" s="4" t="s">
        <v>194</v>
      </c>
    </row>
    <row r="3851" spans="19:21" x14ac:dyDescent="0.25">
      <c r="S3851" s="6" t="s">
        <v>302</v>
      </c>
      <c r="T3851" s="6">
        <f t="shared" si="77"/>
        <v>3850</v>
      </c>
      <c r="U3851" s="4" t="s">
        <v>194</v>
      </c>
    </row>
    <row r="3852" spans="19:21" x14ac:dyDescent="0.25">
      <c r="S3852" s="6" t="s">
        <v>302</v>
      </c>
      <c r="T3852" s="6">
        <f t="shared" si="77"/>
        <v>3851</v>
      </c>
      <c r="U3852" s="4" t="s">
        <v>194</v>
      </c>
    </row>
    <row r="3853" spans="19:21" x14ac:dyDescent="0.25">
      <c r="S3853" s="6" t="s">
        <v>302</v>
      </c>
      <c r="T3853" s="6">
        <f t="shared" si="77"/>
        <v>3852</v>
      </c>
      <c r="U3853" s="4" t="s">
        <v>194</v>
      </c>
    </row>
    <row r="3854" spans="19:21" x14ac:dyDescent="0.25">
      <c r="S3854" s="6" t="s">
        <v>302</v>
      </c>
      <c r="T3854" s="6">
        <f t="shared" si="77"/>
        <v>3853</v>
      </c>
      <c r="U3854" s="4" t="s">
        <v>194</v>
      </c>
    </row>
    <row r="3855" spans="19:21" x14ac:dyDescent="0.25">
      <c r="S3855" s="6" t="s">
        <v>302</v>
      </c>
      <c r="T3855" s="6">
        <f t="shared" si="77"/>
        <v>3854</v>
      </c>
      <c r="U3855" s="4" t="s">
        <v>194</v>
      </c>
    </row>
    <row r="3856" spans="19:21" x14ac:dyDescent="0.25">
      <c r="S3856" s="6" t="s">
        <v>302</v>
      </c>
      <c r="T3856" s="6">
        <f t="shared" si="77"/>
        <v>3855</v>
      </c>
      <c r="U3856" s="4" t="s">
        <v>194</v>
      </c>
    </row>
    <row r="3857" spans="19:21" x14ac:dyDescent="0.25">
      <c r="S3857" s="6" t="s">
        <v>302</v>
      </c>
      <c r="T3857" s="6">
        <f t="shared" si="77"/>
        <v>3856</v>
      </c>
      <c r="U3857" s="4" t="s">
        <v>194</v>
      </c>
    </row>
    <row r="3858" spans="19:21" x14ac:dyDescent="0.25">
      <c r="S3858" s="6" t="s">
        <v>302</v>
      </c>
      <c r="T3858" s="6">
        <f t="shared" si="77"/>
        <v>3857</v>
      </c>
      <c r="U3858" s="4" t="s">
        <v>194</v>
      </c>
    </row>
    <row r="3859" spans="19:21" x14ac:dyDescent="0.25">
      <c r="S3859" s="6" t="s">
        <v>302</v>
      </c>
      <c r="T3859" s="6">
        <f t="shared" si="77"/>
        <v>3858</v>
      </c>
      <c r="U3859" s="4" t="s">
        <v>194</v>
      </c>
    </row>
    <row r="3860" spans="19:21" x14ac:dyDescent="0.25">
      <c r="S3860" s="6" t="s">
        <v>302</v>
      </c>
      <c r="T3860" s="6">
        <f t="shared" si="77"/>
        <v>3859</v>
      </c>
      <c r="U3860" s="4" t="s">
        <v>194</v>
      </c>
    </row>
    <row r="3861" spans="19:21" x14ac:dyDescent="0.25">
      <c r="S3861" s="6" t="s">
        <v>302</v>
      </c>
      <c r="T3861" s="6">
        <f t="shared" si="77"/>
        <v>3860</v>
      </c>
      <c r="U3861" s="4" t="s">
        <v>194</v>
      </c>
    </row>
    <row r="3862" spans="19:21" x14ac:dyDescent="0.25">
      <c r="S3862" s="6" t="s">
        <v>302</v>
      </c>
      <c r="T3862" s="6">
        <f t="shared" si="77"/>
        <v>3861</v>
      </c>
      <c r="U3862" s="4" t="s">
        <v>194</v>
      </c>
    </row>
    <row r="3863" spans="19:21" x14ac:dyDescent="0.25">
      <c r="S3863" s="6" t="s">
        <v>302</v>
      </c>
      <c r="T3863" s="6">
        <f t="shared" si="77"/>
        <v>3862</v>
      </c>
      <c r="U3863" s="4" t="s">
        <v>194</v>
      </c>
    </row>
    <row r="3864" spans="19:21" x14ac:dyDescent="0.25">
      <c r="S3864" s="6" t="s">
        <v>302</v>
      </c>
      <c r="T3864" s="6">
        <f t="shared" si="77"/>
        <v>3863</v>
      </c>
      <c r="U3864" s="4" t="s">
        <v>194</v>
      </c>
    </row>
    <row r="3865" spans="19:21" x14ac:dyDescent="0.25">
      <c r="S3865" s="6" t="s">
        <v>302</v>
      </c>
      <c r="T3865" s="6">
        <f t="shared" si="77"/>
        <v>3864</v>
      </c>
      <c r="U3865" s="4" t="s">
        <v>194</v>
      </c>
    </row>
    <row r="3866" spans="19:21" x14ac:dyDescent="0.25">
      <c r="S3866" s="6" t="s">
        <v>302</v>
      </c>
      <c r="T3866" s="6">
        <f t="shared" si="77"/>
        <v>3865</v>
      </c>
      <c r="U3866" s="4" t="s">
        <v>194</v>
      </c>
    </row>
    <row r="3867" spans="19:21" x14ac:dyDescent="0.25">
      <c r="S3867" s="6" t="s">
        <v>302</v>
      </c>
      <c r="T3867" s="6">
        <f t="shared" si="77"/>
        <v>3866</v>
      </c>
      <c r="U3867" s="4" t="s">
        <v>194</v>
      </c>
    </row>
    <row r="3868" spans="19:21" x14ac:dyDescent="0.25">
      <c r="S3868" s="6" t="s">
        <v>302</v>
      </c>
      <c r="T3868" s="6">
        <f t="shared" si="77"/>
        <v>3867</v>
      </c>
      <c r="U3868" s="4" t="s">
        <v>194</v>
      </c>
    </row>
    <row r="3869" spans="19:21" x14ac:dyDescent="0.25">
      <c r="S3869" s="6" t="s">
        <v>302</v>
      </c>
      <c r="T3869" s="6">
        <f t="shared" si="77"/>
        <v>3868</v>
      </c>
      <c r="U3869" s="4" t="s">
        <v>194</v>
      </c>
    </row>
    <row r="3870" spans="19:21" x14ac:dyDescent="0.25">
      <c r="S3870" s="6" t="s">
        <v>302</v>
      </c>
      <c r="T3870" s="6">
        <f t="shared" ref="T3870:T3933" si="78">T3869+1</f>
        <v>3869</v>
      </c>
      <c r="U3870" s="4" t="s">
        <v>194</v>
      </c>
    </row>
    <row r="3871" spans="19:21" x14ac:dyDescent="0.25">
      <c r="S3871" s="6" t="s">
        <v>302</v>
      </c>
      <c r="T3871" s="6">
        <f t="shared" si="78"/>
        <v>3870</v>
      </c>
      <c r="U3871" s="4" t="s">
        <v>194</v>
      </c>
    </row>
    <row r="3872" spans="19:21" x14ac:dyDescent="0.25">
      <c r="S3872" s="6" t="s">
        <v>302</v>
      </c>
      <c r="T3872" s="6">
        <f t="shared" si="78"/>
        <v>3871</v>
      </c>
      <c r="U3872" s="4" t="s">
        <v>194</v>
      </c>
    </row>
    <row r="3873" spans="19:21" x14ac:dyDescent="0.25">
      <c r="S3873" s="6" t="s">
        <v>302</v>
      </c>
      <c r="T3873" s="6">
        <f t="shared" si="78"/>
        <v>3872</v>
      </c>
      <c r="U3873" s="4" t="s">
        <v>194</v>
      </c>
    </row>
    <row r="3874" spans="19:21" x14ac:dyDescent="0.25">
      <c r="S3874" s="6" t="s">
        <v>302</v>
      </c>
      <c r="T3874" s="6">
        <f t="shared" si="78"/>
        <v>3873</v>
      </c>
      <c r="U3874" s="4" t="s">
        <v>194</v>
      </c>
    </row>
    <row r="3875" spans="19:21" x14ac:dyDescent="0.25">
      <c r="S3875" s="6" t="s">
        <v>302</v>
      </c>
      <c r="T3875" s="6">
        <f t="shared" si="78"/>
        <v>3874</v>
      </c>
      <c r="U3875" s="4" t="s">
        <v>194</v>
      </c>
    </row>
    <row r="3876" spans="19:21" x14ac:dyDescent="0.25">
      <c r="S3876" s="6" t="s">
        <v>302</v>
      </c>
      <c r="T3876" s="6">
        <f t="shared" si="78"/>
        <v>3875</v>
      </c>
      <c r="U3876" s="4" t="s">
        <v>194</v>
      </c>
    </row>
    <row r="3877" spans="19:21" x14ac:dyDescent="0.25">
      <c r="S3877" s="6" t="s">
        <v>302</v>
      </c>
      <c r="T3877" s="6">
        <f t="shared" si="78"/>
        <v>3876</v>
      </c>
      <c r="U3877" s="4" t="s">
        <v>194</v>
      </c>
    </row>
    <row r="3878" spans="19:21" x14ac:dyDescent="0.25">
      <c r="S3878" s="6" t="s">
        <v>302</v>
      </c>
      <c r="T3878" s="6">
        <f t="shared" si="78"/>
        <v>3877</v>
      </c>
      <c r="U3878" s="4" t="s">
        <v>194</v>
      </c>
    </row>
    <row r="3879" spans="19:21" x14ac:dyDescent="0.25">
      <c r="S3879" s="6" t="s">
        <v>302</v>
      </c>
      <c r="T3879" s="6">
        <f t="shared" si="78"/>
        <v>3878</v>
      </c>
      <c r="U3879" s="4" t="s">
        <v>194</v>
      </c>
    </row>
    <row r="3880" spans="19:21" x14ac:dyDescent="0.25">
      <c r="S3880" s="6" t="s">
        <v>302</v>
      </c>
      <c r="T3880" s="6">
        <f t="shared" si="78"/>
        <v>3879</v>
      </c>
      <c r="U3880" s="4" t="s">
        <v>194</v>
      </c>
    </row>
    <row r="3881" spans="19:21" x14ac:dyDescent="0.25">
      <c r="S3881" s="6" t="s">
        <v>302</v>
      </c>
      <c r="T3881" s="6">
        <f t="shared" si="78"/>
        <v>3880</v>
      </c>
      <c r="U3881" s="4" t="s">
        <v>194</v>
      </c>
    </row>
    <row r="3882" spans="19:21" x14ac:dyDescent="0.25">
      <c r="S3882" s="6" t="s">
        <v>302</v>
      </c>
      <c r="T3882" s="6">
        <f t="shared" si="78"/>
        <v>3881</v>
      </c>
      <c r="U3882" s="4" t="s">
        <v>194</v>
      </c>
    </row>
    <row r="3883" spans="19:21" x14ac:dyDescent="0.25">
      <c r="S3883" s="6" t="s">
        <v>302</v>
      </c>
      <c r="T3883" s="6">
        <f t="shared" si="78"/>
        <v>3882</v>
      </c>
      <c r="U3883" s="4" t="s">
        <v>194</v>
      </c>
    </row>
    <row r="3884" spans="19:21" x14ac:dyDescent="0.25">
      <c r="S3884" s="6" t="s">
        <v>302</v>
      </c>
      <c r="T3884" s="6">
        <f t="shared" si="78"/>
        <v>3883</v>
      </c>
      <c r="U3884" s="4" t="s">
        <v>194</v>
      </c>
    </row>
    <row r="3885" spans="19:21" x14ac:dyDescent="0.25">
      <c r="S3885" s="6" t="s">
        <v>302</v>
      </c>
      <c r="T3885" s="6">
        <f t="shared" si="78"/>
        <v>3884</v>
      </c>
      <c r="U3885" s="4" t="s">
        <v>194</v>
      </c>
    </row>
    <row r="3886" spans="19:21" x14ac:dyDescent="0.25">
      <c r="S3886" s="6" t="s">
        <v>302</v>
      </c>
      <c r="T3886" s="6">
        <f t="shared" si="78"/>
        <v>3885</v>
      </c>
      <c r="U3886" s="4" t="s">
        <v>194</v>
      </c>
    </row>
    <row r="3887" spans="19:21" x14ac:dyDescent="0.25">
      <c r="S3887" s="6" t="s">
        <v>302</v>
      </c>
      <c r="T3887" s="6">
        <f t="shared" si="78"/>
        <v>3886</v>
      </c>
      <c r="U3887" s="4" t="s">
        <v>194</v>
      </c>
    </row>
    <row r="3888" spans="19:21" x14ac:dyDescent="0.25">
      <c r="S3888" s="6" t="s">
        <v>302</v>
      </c>
      <c r="T3888" s="6">
        <f t="shared" si="78"/>
        <v>3887</v>
      </c>
      <c r="U3888" s="4" t="s">
        <v>194</v>
      </c>
    </row>
    <row r="3889" spans="19:21" x14ac:dyDescent="0.25">
      <c r="S3889" s="6" t="s">
        <v>302</v>
      </c>
      <c r="T3889" s="6">
        <f t="shared" si="78"/>
        <v>3888</v>
      </c>
      <c r="U3889" s="4" t="s">
        <v>194</v>
      </c>
    </row>
    <row r="3890" spans="19:21" x14ac:dyDescent="0.25">
      <c r="S3890" s="6" t="s">
        <v>302</v>
      </c>
      <c r="T3890" s="6">
        <f t="shared" si="78"/>
        <v>3889</v>
      </c>
      <c r="U3890" s="4" t="s">
        <v>194</v>
      </c>
    </row>
    <row r="3891" spans="19:21" x14ac:dyDescent="0.25">
      <c r="S3891" s="6" t="s">
        <v>302</v>
      </c>
      <c r="T3891" s="6">
        <f t="shared" si="78"/>
        <v>3890</v>
      </c>
      <c r="U3891" s="4" t="s">
        <v>194</v>
      </c>
    </row>
    <row r="3892" spans="19:21" x14ac:dyDescent="0.25">
      <c r="S3892" s="6" t="s">
        <v>302</v>
      </c>
      <c r="T3892" s="6">
        <f t="shared" si="78"/>
        <v>3891</v>
      </c>
      <c r="U3892" s="4" t="s">
        <v>194</v>
      </c>
    </row>
    <row r="3893" spans="19:21" x14ac:dyDescent="0.25">
      <c r="S3893" s="6" t="s">
        <v>302</v>
      </c>
      <c r="T3893" s="6">
        <f t="shared" si="78"/>
        <v>3892</v>
      </c>
      <c r="U3893" s="4" t="s">
        <v>194</v>
      </c>
    </row>
    <row r="3894" spans="19:21" x14ac:dyDescent="0.25">
      <c r="S3894" s="6" t="s">
        <v>302</v>
      </c>
      <c r="T3894" s="6">
        <f t="shared" si="78"/>
        <v>3893</v>
      </c>
      <c r="U3894" s="4" t="s">
        <v>194</v>
      </c>
    </row>
    <row r="3895" spans="19:21" x14ac:dyDescent="0.25">
      <c r="S3895" s="6" t="s">
        <v>302</v>
      </c>
      <c r="T3895" s="6">
        <f t="shared" si="78"/>
        <v>3894</v>
      </c>
      <c r="U3895" s="4" t="s">
        <v>194</v>
      </c>
    </row>
    <row r="3896" spans="19:21" x14ac:dyDescent="0.25">
      <c r="S3896" s="6" t="s">
        <v>302</v>
      </c>
      <c r="T3896" s="6">
        <f t="shared" si="78"/>
        <v>3895</v>
      </c>
      <c r="U3896" s="4" t="s">
        <v>194</v>
      </c>
    </row>
    <row r="3897" spans="19:21" x14ac:dyDescent="0.25">
      <c r="S3897" s="6" t="s">
        <v>302</v>
      </c>
      <c r="T3897" s="6">
        <f t="shared" si="78"/>
        <v>3896</v>
      </c>
      <c r="U3897" s="4" t="s">
        <v>194</v>
      </c>
    </row>
    <row r="3898" spans="19:21" x14ac:dyDescent="0.25">
      <c r="S3898" s="6" t="s">
        <v>302</v>
      </c>
      <c r="T3898" s="6">
        <f t="shared" si="78"/>
        <v>3897</v>
      </c>
      <c r="U3898" s="4" t="s">
        <v>194</v>
      </c>
    </row>
    <row r="3899" spans="19:21" x14ac:dyDescent="0.25">
      <c r="S3899" s="6" t="s">
        <v>302</v>
      </c>
      <c r="T3899" s="6">
        <f t="shared" si="78"/>
        <v>3898</v>
      </c>
      <c r="U3899" s="4" t="s">
        <v>194</v>
      </c>
    </row>
    <row r="3900" spans="19:21" x14ac:dyDescent="0.25">
      <c r="S3900" s="6" t="s">
        <v>302</v>
      </c>
      <c r="T3900" s="6">
        <f t="shared" si="78"/>
        <v>3899</v>
      </c>
      <c r="U3900" s="4" t="s">
        <v>194</v>
      </c>
    </row>
    <row r="3901" spans="19:21" x14ac:dyDescent="0.25">
      <c r="S3901" s="6" t="s">
        <v>302</v>
      </c>
      <c r="T3901" s="6">
        <f t="shared" si="78"/>
        <v>3900</v>
      </c>
      <c r="U3901" s="4" t="s">
        <v>194</v>
      </c>
    </row>
    <row r="3902" spans="19:21" x14ac:dyDescent="0.25">
      <c r="S3902" s="6" t="s">
        <v>302</v>
      </c>
      <c r="T3902" s="6">
        <f t="shared" si="78"/>
        <v>3901</v>
      </c>
      <c r="U3902" s="4" t="s">
        <v>194</v>
      </c>
    </row>
    <row r="3903" spans="19:21" x14ac:dyDescent="0.25">
      <c r="S3903" s="6" t="s">
        <v>302</v>
      </c>
      <c r="T3903" s="6">
        <f t="shared" si="78"/>
        <v>3902</v>
      </c>
      <c r="U3903" s="4" t="s">
        <v>194</v>
      </c>
    </row>
    <row r="3904" spans="19:21" x14ac:dyDescent="0.25">
      <c r="S3904" s="6" t="s">
        <v>302</v>
      </c>
      <c r="T3904" s="6">
        <f t="shared" si="78"/>
        <v>3903</v>
      </c>
      <c r="U3904" s="4" t="s">
        <v>194</v>
      </c>
    </row>
    <row r="3905" spans="19:21" x14ac:dyDescent="0.25">
      <c r="S3905" s="6" t="s">
        <v>302</v>
      </c>
      <c r="T3905" s="6">
        <f t="shared" si="78"/>
        <v>3904</v>
      </c>
      <c r="U3905" s="4" t="s">
        <v>194</v>
      </c>
    </row>
    <row r="3906" spans="19:21" x14ac:dyDescent="0.25">
      <c r="S3906" s="6" t="s">
        <v>302</v>
      </c>
      <c r="T3906" s="6">
        <f t="shared" si="78"/>
        <v>3905</v>
      </c>
      <c r="U3906" s="4" t="s">
        <v>194</v>
      </c>
    </row>
    <row r="3907" spans="19:21" x14ac:dyDescent="0.25">
      <c r="S3907" s="6" t="s">
        <v>302</v>
      </c>
      <c r="T3907" s="6">
        <f t="shared" si="78"/>
        <v>3906</v>
      </c>
      <c r="U3907" s="4" t="s">
        <v>194</v>
      </c>
    </row>
    <row r="3908" spans="19:21" x14ac:dyDescent="0.25">
      <c r="S3908" s="6" t="s">
        <v>302</v>
      </c>
      <c r="T3908" s="6">
        <f t="shared" si="78"/>
        <v>3907</v>
      </c>
      <c r="U3908" s="4" t="s">
        <v>194</v>
      </c>
    </row>
    <row r="3909" spans="19:21" x14ac:dyDescent="0.25">
      <c r="S3909" s="6" t="s">
        <v>302</v>
      </c>
      <c r="T3909" s="6">
        <f t="shared" si="78"/>
        <v>3908</v>
      </c>
      <c r="U3909" s="4" t="s">
        <v>194</v>
      </c>
    </row>
    <row r="3910" spans="19:21" x14ac:dyDescent="0.25">
      <c r="S3910" s="6" t="s">
        <v>302</v>
      </c>
      <c r="T3910" s="6">
        <f t="shared" si="78"/>
        <v>3909</v>
      </c>
      <c r="U3910" s="4" t="s">
        <v>194</v>
      </c>
    </row>
    <row r="3911" spans="19:21" x14ac:dyDescent="0.25">
      <c r="S3911" s="6" t="s">
        <v>302</v>
      </c>
      <c r="T3911" s="6">
        <f t="shared" si="78"/>
        <v>3910</v>
      </c>
      <c r="U3911" s="4" t="s">
        <v>194</v>
      </c>
    </row>
    <row r="3912" spans="19:21" x14ac:dyDescent="0.25">
      <c r="S3912" s="6" t="s">
        <v>302</v>
      </c>
      <c r="T3912" s="6">
        <f t="shared" si="78"/>
        <v>3911</v>
      </c>
      <c r="U3912" s="4" t="s">
        <v>194</v>
      </c>
    </row>
    <row r="3913" spans="19:21" x14ac:dyDescent="0.25">
      <c r="S3913" s="6" t="s">
        <v>302</v>
      </c>
      <c r="T3913" s="6">
        <f t="shared" si="78"/>
        <v>3912</v>
      </c>
      <c r="U3913" s="4" t="s">
        <v>194</v>
      </c>
    </row>
    <row r="3914" spans="19:21" x14ac:dyDescent="0.25">
      <c r="S3914" s="6" t="s">
        <v>302</v>
      </c>
      <c r="T3914" s="6">
        <f t="shared" si="78"/>
        <v>3913</v>
      </c>
      <c r="U3914" s="4" t="s">
        <v>194</v>
      </c>
    </row>
    <row r="3915" spans="19:21" x14ac:dyDescent="0.25">
      <c r="S3915" s="6" t="s">
        <v>302</v>
      </c>
      <c r="T3915" s="6">
        <f t="shared" si="78"/>
        <v>3914</v>
      </c>
      <c r="U3915" s="4" t="s">
        <v>194</v>
      </c>
    </row>
    <row r="3916" spans="19:21" x14ac:dyDescent="0.25">
      <c r="S3916" s="6" t="s">
        <v>302</v>
      </c>
      <c r="T3916" s="6">
        <f t="shared" si="78"/>
        <v>3915</v>
      </c>
      <c r="U3916" s="4" t="s">
        <v>194</v>
      </c>
    </row>
    <row r="3917" spans="19:21" x14ac:dyDescent="0.25">
      <c r="S3917" s="6" t="s">
        <v>302</v>
      </c>
      <c r="T3917" s="6">
        <f t="shared" si="78"/>
        <v>3916</v>
      </c>
      <c r="U3917" s="4" t="s">
        <v>194</v>
      </c>
    </row>
    <row r="3918" spans="19:21" x14ac:dyDescent="0.25">
      <c r="S3918" s="6" t="s">
        <v>302</v>
      </c>
      <c r="T3918" s="6">
        <f t="shared" si="78"/>
        <v>3917</v>
      </c>
      <c r="U3918" s="4" t="s">
        <v>194</v>
      </c>
    </row>
    <row r="3919" spans="19:21" x14ac:dyDescent="0.25">
      <c r="S3919" s="6" t="s">
        <v>302</v>
      </c>
      <c r="T3919" s="6">
        <f t="shared" si="78"/>
        <v>3918</v>
      </c>
      <c r="U3919" s="4" t="s">
        <v>194</v>
      </c>
    </row>
    <row r="3920" spans="19:21" x14ac:dyDescent="0.25">
      <c r="S3920" s="6" t="s">
        <v>302</v>
      </c>
      <c r="T3920" s="6">
        <f t="shared" si="78"/>
        <v>3919</v>
      </c>
      <c r="U3920" s="4" t="s">
        <v>194</v>
      </c>
    </row>
    <row r="3921" spans="19:21" x14ac:dyDescent="0.25">
      <c r="S3921" s="6" t="s">
        <v>302</v>
      </c>
      <c r="T3921" s="6">
        <f t="shared" si="78"/>
        <v>3920</v>
      </c>
      <c r="U3921" s="4" t="s">
        <v>194</v>
      </c>
    </row>
    <row r="3922" spans="19:21" x14ac:dyDescent="0.25">
      <c r="S3922" s="6" t="s">
        <v>302</v>
      </c>
      <c r="T3922" s="6">
        <f t="shared" si="78"/>
        <v>3921</v>
      </c>
      <c r="U3922" s="4" t="s">
        <v>194</v>
      </c>
    </row>
    <row r="3923" spans="19:21" x14ac:dyDescent="0.25">
      <c r="S3923" s="6" t="s">
        <v>302</v>
      </c>
      <c r="T3923" s="6">
        <f t="shared" si="78"/>
        <v>3922</v>
      </c>
      <c r="U3923" s="4" t="s">
        <v>194</v>
      </c>
    </row>
    <row r="3924" spans="19:21" x14ac:dyDescent="0.25">
      <c r="S3924" s="6" t="s">
        <v>302</v>
      </c>
      <c r="T3924" s="6">
        <f t="shared" si="78"/>
        <v>3923</v>
      </c>
      <c r="U3924" s="4" t="s">
        <v>194</v>
      </c>
    </row>
    <row r="3925" spans="19:21" x14ac:dyDescent="0.25">
      <c r="S3925" s="6" t="s">
        <v>302</v>
      </c>
      <c r="T3925" s="6">
        <f t="shared" si="78"/>
        <v>3924</v>
      </c>
      <c r="U3925" s="4" t="s">
        <v>194</v>
      </c>
    </row>
    <row r="3926" spans="19:21" x14ac:dyDescent="0.25">
      <c r="S3926" s="6" t="s">
        <v>302</v>
      </c>
      <c r="T3926" s="6">
        <f t="shared" si="78"/>
        <v>3925</v>
      </c>
      <c r="U3926" s="4" t="s">
        <v>194</v>
      </c>
    </row>
    <row r="3927" spans="19:21" x14ac:dyDescent="0.25">
      <c r="S3927" s="6" t="s">
        <v>302</v>
      </c>
      <c r="T3927" s="6">
        <f t="shared" si="78"/>
        <v>3926</v>
      </c>
      <c r="U3927" s="4" t="s">
        <v>194</v>
      </c>
    </row>
    <row r="3928" spans="19:21" x14ac:dyDescent="0.25">
      <c r="S3928" s="6" t="s">
        <v>302</v>
      </c>
      <c r="T3928" s="6">
        <f t="shared" si="78"/>
        <v>3927</v>
      </c>
      <c r="U3928" s="4" t="s">
        <v>194</v>
      </c>
    </row>
    <row r="3929" spans="19:21" x14ac:dyDescent="0.25">
      <c r="S3929" s="6" t="s">
        <v>302</v>
      </c>
      <c r="T3929" s="6">
        <f t="shared" si="78"/>
        <v>3928</v>
      </c>
      <c r="U3929" s="4" t="s">
        <v>194</v>
      </c>
    </row>
    <row r="3930" spans="19:21" x14ac:dyDescent="0.25">
      <c r="S3930" s="6" t="s">
        <v>302</v>
      </c>
      <c r="T3930" s="6">
        <f t="shared" si="78"/>
        <v>3929</v>
      </c>
      <c r="U3930" s="4" t="s">
        <v>194</v>
      </c>
    </row>
    <row r="3931" spans="19:21" x14ac:dyDescent="0.25">
      <c r="S3931" s="6" t="s">
        <v>302</v>
      </c>
      <c r="T3931" s="6">
        <f t="shared" si="78"/>
        <v>3930</v>
      </c>
      <c r="U3931" s="4" t="s">
        <v>194</v>
      </c>
    </row>
    <row r="3932" spans="19:21" x14ac:dyDescent="0.25">
      <c r="S3932" s="6" t="s">
        <v>302</v>
      </c>
      <c r="T3932" s="6">
        <f t="shared" si="78"/>
        <v>3931</v>
      </c>
      <c r="U3932" s="4" t="s">
        <v>194</v>
      </c>
    </row>
    <row r="3933" spans="19:21" x14ac:dyDescent="0.25">
      <c r="S3933" s="6" t="s">
        <v>302</v>
      </c>
      <c r="T3933" s="6">
        <f t="shared" si="78"/>
        <v>3932</v>
      </c>
      <c r="U3933" s="4" t="s">
        <v>194</v>
      </c>
    </row>
    <row r="3934" spans="19:21" x14ac:dyDescent="0.25">
      <c r="S3934" s="6" t="s">
        <v>302</v>
      </c>
      <c r="T3934" s="6">
        <f t="shared" ref="T3934:T3997" si="79">T3933+1</f>
        <v>3933</v>
      </c>
      <c r="U3934" s="4" t="s">
        <v>194</v>
      </c>
    </row>
    <row r="3935" spans="19:21" x14ac:dyDescent="0.25">
      <c r="S3935" s="6" t="s">
        <v>302</v>
      </c>
      <c r="T3935" s="6">
        <f t="shared" si="79"/>
        <v>3934</v>
      </c>
      <c r="U3935" s="4" t="s">
        <v>194</v>
      </c>
    </row>
    <row r="3936" spans="19:21" x14ac:dyDescent="0.25">
      <c r="S3936" s="6" t="s">
        <v>302</v>
      </c>
      <c r="T3936" s="6">
        <f t="shared" si="79"/>
        <v>3935</v>
      </c>
      <c r="U3936" s="4" t="s">
        <v>194</v>
      </c>
    </row>
    <row r="3937" spans="19:21" x14ac:dyDescent="0.25">
      <c r="S3937" s="6" t="s">
        <v>302</v>
      </c>
      <c r="T3937" s="6">
        <f t="shared" si="79"/>
        <v>3936</v>
      </c>
      <c r="U3937" s="4" t="s">
        <v>194</v>
      </c>
    </row>
    <row r="3938" spans="19:21" x14ac:dyDescent="0.25">
      <c r="S3938" s="6" t="s">
        <v>302</v>
      </c>
      <c r="T3938" s="6">
        <f t="shared" si="79"/>
        <v>3937</v>
      </c>
      <c r="U3938" s="4" t="s">
        <v>194</v>
      </c>
    </row>
    <row r="3939" spans="19:21" x14ac:dyDescent="0.25">
      <c r="S3939" s="6" t="s">
        <v>302</v>
      </c>
      <c r="T3939" s="6">
        <f t="shared" si="79"/>
        <v>3938</v>
      </c>
      <c r="U3939" s="4" t="s">
        <v>194</v>
      </c>
    </row>
    <row r="3940" spans="19:21" x14ac:dyDescent="0.25">
      <c r="S3940" s="6" t="s">
        <v>302</v>
      </c>
      <c r="T3940" s="6">
        <f t="shared" si="79"/>
        <v>3939</v>
      </c>
      <c r="U3940" s="4" t="s">
        <v>194</v>
      </c>
    </row>
    <row r="3941" spans="19:21" x14ac:dyDescent="0.25">
      <c r="S3941" s="6" t="s">
        <v>302</v>
      </c>
      <c r="T3941" s="6">
        <f t="shared" si="79"/>
        <v>3940</v>
      </c>
      <c r="U3941" s="4" t="s">
        <v>194</v>
      </c>
    </row>
    <row r="3942" spans="19:21" x14ac:dyDescent="0.25">
      <c r="S3942" s="6" t="s">
        <v>302</v>
      </c>
      <c r="T3942" s="6">
        <f t="shared" si="79"/>
        <v>3941</v>
      </c>
      <c r="U3942" s="4" t="s">
        <v>194</v>
      </c>
    </row>
    <row r="3943" spans="19:21" x14ac:dyDescent="0.25">
      <c r="S3943" s="6" t="s">
        <v>302</v>
      </c>
      <c r="T3943" s="6">
        <f t="shared" si="79"/>
        <v>3942</v>
      </c>
      <c r="U3943" s="4" t="s">
        <v>194</v>
      </c>
    </row>
    <row r="3944" spans="19:21" x14ac:dyDescent="0.25">
      <c r="S3944" s="6" t="s">
        <v>302</v>
      </c>
      <c r="T3944" s="6">
        <f t="shared" si="79"/>
        <v>3943</v>
      </c>
      <c r="U3944" s="4" t="s">
        <v>194</v>
      </c>
    </row>
    <row r="3945" spans="19:21" x14ac:dyDescent="0.25">
      <c r="S3945" s="6" t="s">
        <v>302</v>
      </c>
      <c r="T3945" s="6">
        <f t="shared" si="79"/>
        <v>3944</v>
      </c>
      <c r="U3945" s="4" t="s">
        <v>194</v>
      </c>
    </row>
    <row r="3946" spans="19:21" x14ac:dyDescent="0.25">
      <c r="S3946" s="6" t="s">
        <v>302</v>
      </c>
      <c r="T3946" s="6">
        <f t="shared" si="79"/>
        <v>3945</v>
      </c>
      <c r="U3946" s="4" t="s">
        <v>194</v>
      </c>
    </row>
    <row r="3947" spans="19:21" x14ac:dyDescent="0.25">
      <c r="S3947" s="6" t="s">
        <v>302</v>
      </c>
      <c r="T3947" s="6">
        <f t="shared" si="79"/>
        <v>3946</v>
      </c>
      <c r="U3947" s="4" t="s">
        <v>194</v>
      </c>
    </row>
    <row r="3948" spans="19:21" x14ac:dyDescent="0.25">
      <c r="S3948" s="6" t="s">
        <v>302</v>
      </c>
      <c r="T3948" s="6">
        <f t="shared" si="79"/>
        <v>3947</v>
      </c>
      <c r="U3948" s="4" t="s">
        <v>194</v>
      </c>
    </row>
    <row r="3949" spans="19:21" x14ac:dyDescent="0.25">
      <c r="S3949" s="6" t="s">
        <v>302</v>
      </c>
      <c r="T3949" s="6">
        <f t="shared" si="79"/>
        <v>3948</v>
      </c>
      <c r="U3949" s="4" t="s">
        <v>194</v>
      </c>
    </row>
    <row r="3950" spans="19:21" x14ac:dyDescent="0.25">
      <c r="S3950" s="6" t="s">
        <v>302</v>
      </c>
      <c r="T3950" s="6">
        <f t="shared" si="79"/>
        <v>3949</v>
      </c>
      <c r="U3950" s="4" t="s">
        <v>194</v>
      </c>
    </row>
    <row r="3951" spans="19:21" x14ac:dyDescent="0.25">
      <c r="S3951" s="6" t="s">
        <v>302</v>
      </c>
      <c r="T3951" s="6">
        <f t="shared" si="79"/>
        <v>3950</v>
      </c>
      <c r="U3951" s="4" t="s">
        <v>194</v>
      </c>
    </row>
    <row r="3952" spans="19:21" x14ac:dyDescent="0.25">
      <c r="S3952" s="6" t="s">
        <v>302</v>
      </c>
      <c r="T3952" s="6">
        <f t="shared" si="79"/>
        <v>3951</v>
      </c>
      <c r="U3952" s="4" t="s">
        <v>194</v>
      </c>
    </row>
    <row r="3953" spans="19:21" x14ac:dyDescent="0.25">
      <c r="S3953" s="6" t="s">
        <v>302</v>
      </c>
      <c r="T3953" s="6">
        <f t="shared" si="79"/>
        <v>3952</v>
      </c>
      <c r="U3953" s="4" t="s">
        <v>194</v>
      </c>
    </row>
    <row r="3954" spans="19:21" x14ac:dyDescent="0.25">
      <c r="S3954" s="6" t="s">
        <v>302</v>
      </c>
      <c r="T3954" s="6">
        <f t="shared" si="79"/>
        <v>3953</v>
      </c>
      <c r="U3954" s="4" t="s">
        <v>194</v>
      </c>
    </row>
    <row r="3955" spans="19:21" x14ac:dyDescent="0.25">
      <c r="S3955" s="6" t="s">
        <v>302</v>
      </c>
      <c r="T3955" s="6">
        <f t="shared" si="79"/>
        <v>3954</v>
      </c>
      <c r="U3955" s="4" t="s">
        <v>194</v>
      </c>
    </row>
    <row r="3956" spans="19:21" x14ac:dyDescent="0.25">
      <c r="S3956" s="6" t="s">
        <v>302</v>
      </c>
      <c r="T3956" s="6">
        <f t="shared" si="79"/>
        <v>3955</v>
      </c>
      <c r="U3956" s="4" t="s">
        <v>194</v>
      </c>
    </row>
    <row r="3957" spans="19:21" x14ac:dyDescent="0.25">
      <c r="S3957" s="6" t="s">
        <v>302</v>
      </c>
      <c r="T3957" s="6">
        <f t="shared" si="79"/>
        <v>3956</v>
      </c>
      <c r="U3957" s="4" t="s">
        <v>194</v>
      </c>
    </row>
    <row r="3958" spans="19:21" x14ac:dyDescent="0.25">
      <c r="S3958" s="6" t="s">
        <v>302</v>
      </c>
      <c r="T3958" s="6">
        <f t="shared" si="79"/>
        <v>3957</v>
      </c>
      <c r="U3958" s="4" t="s">
        <v>194</v>
      </c>
    </row>
    <row r="3959" spans="19:21" x14ac:dyDescent="0.25">
      <c r="S3959" s="6" t="s">
        <v>302</v>
      </c>
      <c r="T3959" s="6">
        <f t="shared" si="79"/>
        <v>3958</v>
      </c>
      <c r="U3959" s="4" t="s">
        <v>194</v>
      </c>
    </row>
    <row r="3960" spans="19:21" x14ac:dyDescent="0.25">
      <c r="S3960" s="6" t="s">
        <v>302</v>
      </c>
      <c r="T3960" s="6">
        <f t="shared" si="79"/>
        <v>3959</v>
      </c>
      <c r="U3960" s="4" t="s">
        <v>194</v>
      </c>
    </row>
    <row r="3961" spans="19:21" x14ac:dyDescent="0.25">
      <c r="S3961" s="6" t="s">
        <v>302</v>
      </c>
      <c r="T3961" s="6">
        <f t="shared" si="79"/>
        <v>3960</v>
      </c>
      <c r="U3961" s="4" t="s">
        <v>194</v>
      </c>
    </row>
    <row r="3962" spans="19:21" x14ac:dyDescent="0.25">
      <c r="S3962" s="6" t="s">
        <v>302</v>
      </c>
      <c r="T3962" s="6">
        <f t="shared" si="79"/>
        <v>3961</v>
      </c>
      <c r="U3962" s="4" t="s">
        <v>194</v>
      </c>
    </row>
    <row r="3963" spans="19:21" x14ac:dyDescent="0.25">
      <c r="S3963" s="6" t="s">
        <v>302</v>
      </c>
      <c r="T3963" s="6">
        <f t="shared" si="79"/>
        <v>3962</v>
      </c>
      <c r="U3963" s="4" t="s">
        <v>194</v>
      </c>
    </row>
    <row r="3964" spans="19:21" x14ac:dyDescent="0.25">
      <c r="S3964" s="6" t="s">
        <v>302</v>
      </c>
      <c r="T3964" s="6">
        <f t="shared" si="79"/>
        <v>3963</v>
      </c>
      <c r="U3964" s="4" t="s">
        <v>194</v>
      </c>
    </row>
    <row r="3965" spans="19:21" x14ac:dyDescent="0.25">
      <c r="S3965" s="6" t="s">
        <v>302</v>
      </c>
      <c r="T3965" s="6">
        <f t="shared" si="79"/>
        <v>3964</v>
      </c>
      <c r="U3965" s="4" t="s">
        <v>194</v>
      </c>
    </row>
    <row r="3966" spans="19:21" x14ac:dyDescent="0.25">
      <c r="S3966" s="6" t="s">
        <v>302</v>
      </c>
      <c r="T3966" s="6">
        <f t="shared" si="79"/>
        <v>3965</v>
      </c>
      <c r="U3966" s="4" t="s">
        <v>194</v>
      </c>
    </row>
    <row r="3967" spans="19:21" x14ac:dyDescent="0.25">
      <c r="S3967" s="6" t="s">
        <v>302</v>
      </c>
      <c r="T3967" s="6">
        <f t="shared" si="79"/>
        <v>3966</v>
      </c>
      <c r="U3967" s="4" t="s">
        <v>194</v>
      </c>
    </row>
    <row r="3968" spans="19:21" x14ac:dyDescent="0.25">
      <c r="S3968" s="6" t="s">
        <v>302</v>
      </c>
      <c r="T3968" s="6">
        <f t="shared" si="79"/>
        <v>3967</v>
      </c>
      <c r="U3968" s="4" t="s">
        <v>194</v>
      </c>
    </row>
    <row r="3969" spans="19:21" x14ac:dyDescent="0.25">
      <c r="S3969" s="6" t="s">
        <v>302</v>
      </c>
      <c r="T3969" s="6">
        <f t="shared" si="79"/>
        <v>3968</v>
      </c>
      <c r="U3969" s="4" t="s">
        <v>194</v>
      </c>
    </row>
    <row r="3970" spans="19:21" x14ac:dyDescent="0.25">
      <c r="S3970" s="6" t="s">
        <v>302</v>
      </c>
      <c r="T3970" s="6">
        <f t="shared" si="79"/>
        <v>3969</v>
      </c>
      <c r="U3970" s="4" t="s">
        <v>194</v>
      </c>
    </row>
    <row r="3971" spans="19:21" x14ac:dyDescent="0.25">
      <c r="S3971" s="6" t="s">
        <v>302</v>
      </c>
      <c r="T3971" s="6">
        <f t="shared" si="79"/>
        <v>3970</v>
      </c>
      <c r="U3971" s="4" t="s">
        <v>194</v>
      </c>
    </row>
    <row r="3972" spans="19:21" x14ac:dyDescent="0.25">
      <c r="S3972" s="6" t="s">
        <v>302</v>
      </c>
      <c r="T3972" s="6">
        <f t="shared" si="79"/>
        <v>3971</v>
      </c>
      <c r="U3972" s="4" t="s">
        <v>194</v>
      </c>
    </row>
    <row r="3973" spans="19:21" x14ac:dyDescent="0.25">
      <c r="S3973" s="6" t="s">
        <v>302</v>
      </c>
      <c r="T3973" s="6">
        <f t="shared" si="79"/>
        <v>3972</v>
      </c>
      <c r="U3973" s="4" t="s">
        <v>194</v>
      </c>
    </row>
    <row r="3974" spans="19:21" x14ac:dyDescent="0.25">
      <c r="S3974" s="6" t="s">
        <v>302</v>
      </c>
      <c r="T3974" s="6">
        <f t="shared" si="79"/>
        <v>3973</v>
      </c>
      <c r="U3974" s="4" t="s">
        <v>194</v>
      </c>
    </row>
    <row r="3975" spans="19:21" x14ac:dyDescent="0.25">
      <c r="S3975" s="6" t="s">
        <v>302</v>
      </c>
      <c r="T3975" s="6">
        <f t="shared" si="79"/>
        <v>3974</v>
      </c>
      <c r="U3975" s="4" t="s">
        <v>194</v>
      </c>
    </row>
    <row r="3976" spans="19:21" x14ac:dyDescent="0.25">
      <c r="S3976" s="6" t="s">
        <v>302</v>
      </c>
      <c r="T3976" s="6">
        <f t="shared" si="79"/>
        <v>3975</v>
      </c>
      <c r="U3976" s="4" t="s">
        <v>194</v>
      </c>
    </row>
    <row r="3977" spans="19:21" x14ac:dyDescent="0.25">
      <c r="S3977" s="6" t="s">
        <v>302</v>
      </c>
      <c r="T3977" s="6">
        <f t="shared" si="79"/>
        <v>3976</v>
      </c>
      <c r="U3977" s="4" t="s">
        <v>194</v>
      </c>
    </row>
    <row r="3978" spans="19:21" x14ac:dyDescent="0.25">
      <c r="S3978" s="6" t="s">
        <v>302</v>
      </c>
      <c r="T3978" s="6">
        <f t="shared" si="79"/>
        <v>3977</v>
      </c>
      <c r="U3978" s="4" t="s">
        <v>194</v>
      </c>
    </row>
    <row r="3979" spans="19:21" x14ac:dyDescent="0.25">
      <c r="S3979" s="6" t="s">
        <v>302</v>
      </c>
      <c r="T3979" s="6">
        <f t="shared" si="79"/>
        <v>3978</v>
      </c>
      <c r="U3979" s="4" t="s">
        <v>194</v>
      </c>
    </row>
    <row r="3980" spans="19:21" x14ac:dyDescent="0.25">
      <c r="S3980" s="6" t="s">
        <v>302</v>
      </c>
      <c r="T3980" s="6">
        <f t="shared" si="79"/>
        <v>3979</v>
      </c>
      <c r="U3980" s="4" t="s">
        <v>194</v>
      </c>
    </row>
    <row r="3981" spans="19:21" x14ac:dyDescent="0.25">
      <c r="S3981" s="6" t="s">
        <v>302</v>
      </c>
      <c r="T3981" s="6">
        <f t="shared" si="79"/>
        <v>3980</v>
      </c>
      <c r="U3981" s="4" t="s">
        <v>194</v>
      </c>
    </row>
    <row r="3982" spans="19:21" x14ac:dyDescent="0.25">
      <c r="S3982" s="6" t="s">
        <v>302</v>
      </c>
      <c r="T3982" s="6">
        <f t="shared" si="79"/>
        <v>3981</v>
      </c>
      <c r="U3982" s="4" t="s">
        <v>194</v>
      </c>
    </row>
    <row r="3983" spans="19:21" x14ac:dyDescent="0.25">
      <c r="S3983" s="6" t="s">
        <v>302</v>
      </c>
      <c r="T3983" s="6">
        <f t="shared" si="79"/>
        <v>3982</v>
      </c>
      <c r="U3983" s="4" t="s">
        <v>194</v>
      </c>
    </row>
    <row r="3984" spans="19:21" x14ac:dyDescent="0.25">
      <c r="S3984" s="6" t="s">
        <v>302</v>
      </c>
      <c r="T3984" s="6">
        <f t="shared" si="79"/>
        <v>3983</v>
      </c>
      <c r="U3984" s="4" t="s">
        <v>194</v>
      </c>
    </row>
    <row r="3985" spans="19:21" x14ac:dyDescent="0.25">
      <c r="S3985" s="6" t="s">
        <v>302</v>
      </c>
      <c r="T3985" s="6">
        <f t="shared" si="79"/>
        <v>3984</v>
      </c>
      <c r="U3985" s="4" t="s">
        <v>194</v>
      </c>
    </row>
    <row r="3986" spans="19:21" x14ac:dyDescent="0.25">
      <c r="S3986" s="6" t="s">
        <v>302</v>
      </c>
      <c r="T3986" s="6">
        <f t="shared" si="79"/>
        <v>3985</v>
      </c>
      <c r="U3986" s="4" t="s">
        <v>194</v>
      </c>
    </row>
    <row r="3987" spans="19:21" x14ac:dyDescent="0.25">
      <c r="S3987" s="6" t="s">
        <v>302</v>
      </c>
      <c r="T3987" s="6">
        <f t="shared" si="79"/>
        <v>3986</v>
      </c>
      <c r="U3987" s="4" t="s">
        <v>194</v>
      </c>
    </row>
    <row r="3988" spans="19:21" x14ac:dyDescent="0.25">
      <c r="S3988" s="6" t="s">
        <v>302</v>
      </c>
      <c r="T3988" s="6">
        <f t="shared" si="79"/>
        <v>3987</v>
      </c>
      <c r="U3988" s="4" t="s">
        <v>194</v>
      </c>
    </row>
    <row r="3989" spans="19:21" x14ac:dyDescent="0.25">
      <c r="S3989" s="6" t="s">
        <v>302</v>
      </c>
      <c r="T3989" s="6">
        <f t="shared" si="79"/>
        <v>3988</v>
      </c>
      <c r="U3989" s="4" t="s">
        <v>194</v>
      </c>
    </row>
    <row r="3990" spans="19:21" x14ac:dyDescent="0.25">
      <c r="S3990" s="6" t="s">
        <v>302</v>
      </c>
      <c r="T3990" s="6">
        <f t="shared" si="79"/>
        <v>3989</v>
      </c>
      <c r="U3990" s="4" t="s">
        <v>194</v>
      </c>
    </row>
    <row r="3991" spans="19:21" x14ac:dyDescent="0.25">
      <c r="S3991" s="6" t="s">
        <v>302</v>
      </c>
      <c r="T3991" s="6">
        <f t="shared" si="79"/>
        <v>3990</v>
      </c>
      <c r="U3991" s="4" t="s">
        <v>194</v>
      </c>
    </row>
    <row r="3992" spans="19:21" x14ac:dyDescent="0.25">
      <c r="S3992" s="6" t="s">
        <v>302</v>
      </c>
      <c r="T3992" s="6">
        <f t="shared" si="79"/>
        <v>3991</v>
      </c>
      <c r="U3992" s="4" t="s">
        <v>194</v>
      </c>
    </row>
    <row r="3993" spans="19:21" x14ac:dyDescent="0.25">
      <c r="S3993" s="6" t="s">
        <v>302</v>
      </c>
      <c r="T3993" s="6">
        <f t="shared" si="79"/>
        <v>3992</v>
      </c>
      <c r="U3993" s="4" t="s">
        <v>194</v>
      </c>
    </row>
    <row r="3994" spans="19:21" x14ac:dyDescent="0.25">
      <c r="S3994" s="6" t="s">
        <v>302</v>
      </c>
      <c r="T3994" s="6">
        <f t="shared" si="79"/>
        <v>3993</v>
      </c>
      <c r="U3994" s="4" t="s">
        <v>194</v>
      </c>
    </row>
    <row r="3995" spans="19:21" x14ac:dyDescent="0.25">
      <c r="S3995" s="6" t="s">
        <v>302</v>
      </c>
      <c r="T3995" s="6">
        <f t="shared" si="79"/>
        <v>3994</v>
      </c>
      <c r="U3995" s="4" t="s">
        <v>194</v>
      </c>
    </row>
    <row r="3996" spans="19:21" x14ac:dyDescent="0.25">
      <c r="S3996" s="6" t="s">
        <v>302</v>
      </c>
      <c r="T3996" s="6">
        <f t="shared" si="79"/>
        <v>3995</v>
      </c>
      <c r="U3996" s="4" t="s">
        <v>194</v>
      </c>
    </row>
    <row r="3997" spans="19:21" x14ac:dyDescent="0.25">
      <c r="S3997" s="6" t="s">
        <v>302</v>
      </c>
      <c r="T3997" s="6">
        <f t="shared" si="79"/>
        <v>3996</v>
      </c>
      <c r="U3997" s="4" t="s">
        <v>194</v>
      </c>
    </row>
    <row r="3998" spans="19:21" x14ac:dyDescent="0.25">
      <c r="S3998" s="6" t="s">
        <v>302</v>
      </c>
      <c r="T3998" s="6">
        <f t="shared" ref="T3998:T4061" si="80">T3997+1</f>
        <v>3997</v>
      </c>
      <c r="U3998" s="4" t="s">
        <v>194</v>
      </c>
    </row>
    <row r="3999" spans="19:21" x14ac:dyDescent="0.25">
      <c r="S3999" s="6" t="s">
        <v>302</v>
      </c>
      <c r="T3999" s="6">
        <f t="shared" si="80"/>
        <v>3998</v>
      </c>
      <c r="U3999" s="4" t="s">
        <v>194</v>
      </c>
    </row>
    <row r="4000" spans="19:21" x14ac:dyDescent="0.25">
      <c r="S4000" s="6" t="s">
        <v>302</v>
      </c>
      <c r="T4000" s="6">
        <f t="shared" si="80"/>
        <v>3999</v>
      </c>
      <c r="U4000" s="4" t="s">
        <v>194</v>
      </c>
    </row>
    <row r="4001" spans="19:21" x14ac:dyDescent="0.25">
      <c r="S4001" s="6" t="s">
        <v>302</v>
      </c>
      <c r="T4001" s="6">
        <f t="shared" si="80"/>
        <v>4000</v>
      </c>
      <c r="U4001" s="4" t="s">
        <v>194</v>
      </c>
    </row>
    <row r="4002" spans="19:21" x14ac:dyDescent="0.25">
      <c r="S4002" s="6" t="s">
        <v>302</v>
      </c>
      <c r="T4002" s="6">
        <f t="shared" si="80"/>
        <v>4001</v>
      </c>
      <c r="U4002" s="4" t="s">
        <v>194</v>
      </c>
    </row>
    <row r="4003" spans="19:21" x14ac:dyDescent="0.25">
      <c r="S4003" s="6" t="s">
        <v>302</v>
      </c>
      <c r="T4003" s="6">
        <f t="shared" si="80"/>
        <v>4002</v>
      </c>
      <c r="U4003" s="4" t="s">
        <v>194</v>
      </c>
    </row>
    <row r="4004" spans="19:21" x14ac:dyDescent="0.25">
      <c r="S4004" s="6" t="s">
        <v>302</v>
      </c>
      <c r="T4004" s="6">
        <f t="shared" si="80"/>
        <v>4003</v>
      </c>
      <c r="U4004" s="4" t="s">
        <v>194</v>
      </c>
    </row>
    <row r="4005" spans="19:21" x14ac:dyDescent="0.25">
      <c r="S4005" s="6" t="s">
        <v>302</v>
      </c>
      <c r="T4005" s="6">
        <f t="shared" si="80"/>
        <v>4004</v>
      </c>
      <c r="U4005" s="4" t="s">
        <v>194</v>
      </c>
    </row>
    <row r="4006" spans="19:21" x14ac:dyDescent="0.25">
      <c r="S4006" s="6" t="s">
        <v>302</v>
      </c>
      <c r="T4006" s="6">
        <f t="shared" si="80"/>
        <v>4005</v>
      </c>
      <c r="U4006" s="4" t="s">
        <v>194</v>
      </c>
    </row>
    <row r="4007" spans="19:21" x14ac:dyDescent="0.25">
      <c r="S4007" s="6" t="s">
        <v>302</v>
      </c>
      <c r="T4007" s="6">
        <f t="shared" si="80"/>
        <v>4006</v>
      </c>
      <c r="U4007" s="4" t="s">
        <v>194</v>
      </c>
    </row>
    <row r="4008" spans="19:21" x14ac:dyDescent="0.25">
      <c r="S4008" s="6" t="s">
        <v>302</v>
      </c>
      <c r="T4008" s="6">
        <f t="shared" si="80"/>
        <v>4007</v>
      </c>
      <c r="U4008" s="4" t="s">
        <v>194</v>
      </c>
    </row>
    <row r="4009" spans="19:21" x14ac:dyDescent="0.25">
      <c r="S4009" s="6" t="s">
        <v>302</v>
      </c>
      <c r="T4009" s="6">
        <f t="shared" si="80"/>
        <v>4008</v>
      </c>
      <c r="U4009" s="4" t="s">
        <v>194</v>
      </c>
    </row>
    <row r="4010" spans="19:21" x14ac:dyDescent="0.25">
      <c r="S4010" s="6" t="s">
        <v>302</v>
      </c>
      <c r="T4010" s="6">
        <f t="shared" si="80"/>
        <v>4009</v>
      </c>
      <c r="U4010" s="4" t="s">
        <v>194</v>
      </c>
    </row>
    <row r="4011" spans="19:21" x14ac:dyDescent="0.25">
      <c r="S4011" s="6" t="s">
        <v>302</v>
      </c>
      <c r="T4011" s="6">
        <f t="shared" si="80"/>
        <v>4010</v>
      </c>
      <c r="U4011" s="4" t="s">
        <v>194</v>
      </c>
    </row>
    <row r="4012" spans="19:21" x14ac:dyDescent="0.25">
      <c r="S4012" s="6" t="s">
        <v>302</v>
      </c>
      <c r="T4012" s="6">
        <f t="shared" si="80"/>
        <v>4011</v>
      </c>
      <c r="U4012" s="4" t="s">
        <v>194</v>
      </c>
    </row>
    <row r="4013" spans="19:21" x14ac:dyDescent="0.25">
      <c r="S4013" s="6" t="s">
        <v>302</v>
      </c>
      <c r="T4013" s="6">
        <f t="shared" si="80"/>
        <v>4012</v>
      </c>
      <c r="U4013" s="4" t="s">
        <v>194</v>
      </c>
    </row>
    <row r="4014" spans="19:21" x14ac:dyDescent="0.25">
      <c r="S4014" s="6" t="s">
        <v>302</v>
      </c>
      <c r="T4014" s="6">
        <f t="shared" si="80"/>
        <v>4013</v>
      </c>
      <c r="U4014" s="4" t="s">
        <v>194</v>
      </c>
    </row>
    <row r="4015" spans="19:21" x14ac:dyDescent="0.25">
      <c r="S4015" s="6" t="s">
        <v>302</v>
      </c>
      <c r="T4015" s="6">
        <f t="shared" si="80"/>
        <v>4014</v>
      </c>
      <c r="U4015" s="4" t="s">
        <v>194</v>
      </c>
    </row>
    <row r="4016" spans="19:21" x14ac:dyDescent="0.25">
      <c r="S4016" s="6" t="s">
        <v>302</v>
      </c>
      <c r="T4016" s="6">
        <f t="shared" si="80"/>
        <v>4015</v>
      </c>
      <c r="U4016" s="4" t="s">
        <v>194</v>
      </c>
    </row>
    <row r="4017" spans="19:21" x14ac:dyDescent="0.25">
      <c r="S4017" s="6" t="s">
        <v>302</v>
      </c>
      <c r="T4017" s="6">
        <f t="shared" si="80"/>
        <v>4016</v>
      </c>
      <c r="U4017" s="4" t="s">
        <v>194</v>
      </c>
    </row>
    <row r="4018" spans="19:21" x14ac:dyDescent="0.25">
      <c r="S4018" s="6" t="s">
        <v>302</v>
      </c>
      <c r="T4018" s="6">
        <f t="shared" si="80"/>
        <v>4017</v>
      </c>
      <c r="U4018" s="4" t="s">
        <v>194</v>
      </c>
    </row>
    <row r="4019" spans="19:21" x14ac:dyDescent="0.25">
      <c r="S4019" s="6" t="s">
        <v>302</v>
      </c>
      <c r="T4019" s="6">
        <f t="shared" si="80"/>
        <v>4018</v>
      </c>
      <c r="U4019" s="4" t="s">
        <v>194</v>
      </c>
    </row>
    <row r="4020" spans="19:21" x14ac:dyDescent="0.25">
      <c r="S4020" s="6" t="s">
        <v>302</v>
      </c>
      <c r="T4020" s="6">
        <f t="shared" si="80"/>
        <v>4019</v>
      </c>
      <c r="U4020" s="4" t="s">
        <v>194</v>
      </c>
    </row>
    <row r="4021" spans="19:21" x14ac:dyDescent="0.25">
      <c r="S4021" s="6" t="s">
        <v>302</v>
      </c>
      <c r="T4021" s="6">
        <f t="shared" si="80"/>
        <v>4020</v>
      </c>
      <c r="U4021" s="4" t="s">
        <v>194</v>
      </c>
    </row>
    <row r="4022" spans="19:21" x14ac:dyDescent="0.25">
      <c r="S4022" s="6" t="s">
        <v>302</v>
      </c>
      <c r="T4022" s="6">
        <f t="shared" si="80"/>
        <v>4021</v>
      </c>
      <c r="U4022" s="4" t="s">
        <v>194</v>
      </c>
    </row>
    <row r="4023" spans="19:21" x14ac:dyDescent="0.25">
      <c r="S4023" s="6" t="s">
        <v>302</v>
      </c>
      <c r="T4023" s="6">
        <f t="shared" si="80"/>
        <v>4022</v>
      </c>
      <c r="U4023" s="4" t="s">
        <v>194</v>
      </c>
    </row>
    <row r="4024" spans="19:21" x14ac:dyDescent="0.25">
      <c r="S4024" s="6" t="s">
        <v>302</v>
      </c>
      <c r="T4024" s="6">
        <f t="shared" si="80"/>
        <v>4023</v>
      </c>
      <c r="U4024" s="4" t="s">
        <v>194</v>
      </c>
    </row>
    <row r="4025" spans="19:21" x14ac:dyDescent="0.25">
      <c r="S4025" s="6" t="s">
        <v>302</v>
      </c>
      <c r="T4025" s="6">
        <f t="shared" si="80"/>
        <v>4024</v>
      </c>
      <c r="U4025" s="4" t="s">
        <v>194</v>
      </c>
    </row>
    <row r="4026" spans="19:21" x14ac:dyDescent="0.25">
      <c r="S4026" s="6" t="s">
        <v>302</v>
      </c>
      <c r="T4026" s="6">
        <f t="shared" si="80"/>
        <v>4025</v>
      </c>
      <c r="U4026" s="4" t="s">
        <v>194</v>
      </c>
    </row>
    <row r="4027" spans="19:21" x14ac:dyDescent="0.25">
      <c r="S4027" s="6" t="s">
        <v>302</v>
      </c>
      <c r="T4027" s="6">
        <f t="shared" si="80"/>
        <v>4026</v>
      </c>
      <c r="U4027" s="4" t="s">
        <v>194</v>
      </c>
    </row>
    <row r="4028" spans="19:21" x14ac:dyDescent="0.25">
      <c r="S4028" s="6" t="s">
        <v>302</v>
      </c>
      <c r="T4028" s="6">
        <f t="shared" si="80"/>
        <v>4027</v>
      </c>
      <c r="U4028" s="4" t="s">
        <v>194</v>
      </c>
    </row>
    <row r="4029" spans="19:21" x14ac:dyDescent="0.25">
      <c r="S4029" s="6" t="s">
        <v>302</v>
      </c>
      <c r="T4029" s="6">
        <f t="shared" si="80"/>
        <v>4028</v>
      </c>
      <c r="U4029" s="4" t="s">
        <v>194</v>
      </c>
    </row>
    <row r="4030" spans="19:21" x14ac:dyDescent="0.25">
      <c r="S4030" s="6" t="s">
        <v>302</v>
      </c>
      <c r="T4030" s="6">
        <f t="shared" si="80"/>
        <v>4029</v>
      </c>
      <c r="U4030" s="4" t="s">
        <v>194</v>
      </c>
    </row>
    <row r="4031" spans="19:21" x14ac:dyDescent="0.25">
      <c r="S4031" s="6" t="s">
        <v>302</v>
      </c>
      <c r="T4031" s="6">
        <f t="shared" si="80"/>
        <v>4030</v>
      </c>
      <c r="U4031" s="4" t="s">
        <v>194</v>
      </c>
    </row>
    <row r="4032" spans="19:21" x14ac:dyDescent="0.25">
      <c r="S4032" s="6" t="s">
        <v>302</v>
      </c>
      <c r="T4032" s="6">
        <f t="shared" si="80"/>
        <v>4031</v>
      </c>
      <c r="U4032" s="4" t="s">
        <v>194</v>
      </c>
    </row>
    <row r="4033" spans="19:21" x14ac:dyDescent="0.25">
      <c r="S4033" s="6" t="s">
        <v>302</v>
      </c>
      <c r="T4033" s="6">
        <f t="shared" si="80"/>
        <v>4032</v>
      </c>
      <c r="U4033" s="4" t="s">
        <v>194</v>
      </c>
    </row>
    <row r="4034" spans="19:21" x14ac:dyDescent="0.25">
      <c r="S4034" s="6" t="s">
        <v>302</v>
      </c>
      <c r="T4034" s="6">
        <f t="shared" si="80"/>
        <v>4033</v>
      </c>
      <c r="U4034" s="4" t="s">
        <v>194</v>
      </c>
    </row>
    <row r="4035" spans="19:21" x14ac:dyDescent="0.25">
      <c r="S4035" s="6" t="s">
        <v>302</v>
      </c>
      <c r="T4035" s="6">
        <f t="shared" si="80"/>
        <v>4034</v>
      </c>
      <c r="U4035" s="4" t="s">
        <v>194</v>
      </c>
    </row>
    <row r="4036" spans="19:21" x14ac:dyDescent="0.25">
      <c r="S4036" s="6" t="s">
        <v>302</v>
      </c>
      <c r="T4036" s="6">
        <f t="shared" si="80"/>
        <v>4035</v>
      </c>
      <c r="U4036" s="4" t="s">
        <v>194</v>
      </c>
    </row>
    <row r="4037" spans="19:21" x14ac:dyDescent="0.25">
      <c r="S4037" s="6" t="s">
        <v>302</v>
      </c>
      <c r="T4037" s="6">
        <f t="shared" si="80"/>
        <v>4036</v>
      </c>
      <c r="U4037" s="4" t="s">
        <v>194</v>
      </c>
    </row>
    <row r="4038" spans="19:21" x14ac:dyDescent="0.25">
      <c r="S4038" s="6" t="s">
        <v>302</v>
      </c>
      <c r="T4038" s="6">
        <f t="shared" si="80"/>
        <v>4037</v>
      </c>
      <c r="U4038" s="4" t="s">
        <v>194</v>
      </c>
    </row>
    <row r="4039" spans="19:21" x14ac:dyDescent="0.25">
      <c r="S4039" s="6" t="s">
        <v>302</v>
      </c>
      <c r="T4039" s="6">
        <f t="shared" si="80"/>
        <v>4038</v>
      </c>
      <c r="U4039" s="4" t="s">
        <v>194</v>
      </c>
    </row>
    <row r="4040" spans="19:21" x14ac:dyDescent="0.25">
      <c r="S4040" s="6" t="s">
        <v>302</v>
      </c>
      <c r="T4040" s="6">
        <f t="shared" si="80"/>
        <v>4039</v>
      </c>
      <c r="U4040" s="4" t="s">
        <v>194</v>
      </c>
    </row>
    <row r="4041" spans="19:21" x14ac:dyDescent="0.25">
      <c r="S4041" s="6" t="s">
        <v>302</v>
      </c>
      <c r="T4041" s="6">
        <f t="shared" si="80"/>
        <v>4040</v>
      </c>
      <c r="U4041" s="4" t="s">
        <v>194</v>
      </c>
    </row>
    <row r="4042" spans="19:21" x14ac:dyDescent="0.25">
      <c r="S4042" s="6" t="s">
        <v>302</v>
      </c>
      <c r="T4042" s="6">
        <f t="shared" si="80"/>
        <v>4041</v>
      </c>
      <c r="U4042" s="4" t="s">
        <v>194</v>
      </c>
    </row>
    <row r="4043" spans="19:21" x14ac:dyDescent="0.25">
      <c r="S4043" s="6" t="s">
        <v>302</v>
      </c>
      <c r="T4043" s="6">
        <f t="shared" si="80"/>
        <v>4042</v>
      </c>
      <c r="U4043" s="4" t="s">
        <v>194</v>
      </c>
    </row>
    <row r="4044" spans="19:21" x14ac:dyDescent="0.25">
      <c r="S4044" s="6" t="s">
        <v>302</v>
      </c>
      <c r="T4044" s="6">
        <f t="shared" si="80"/>
        <v>4043</v>
      </c>
      <c r="U4044" s="4" t="s">
        <v>194</v>
      </c>
    </row>
    <row r="4045" spans="19:21" x14ac:dyDescent="0.25">
      <c r="S4045" s="6" t="s">
        <v>302</v>
      </c>
      <c r="T4045" s="6">
        <f t="shared" si="80"/>
        <v>4044</v>
      </c>
      <c r="U4045" s="4" t="s">
        <v>194</v>
      </c>
    </row>
    <row r="4046" spans="19:21" x14ac:dyDescent="0.25">
      <c r="S4046" s="6" t="s">
        <v>302</v>
      </c>
      <c r="T4046" s="6">
        <f t="shared" si="80"/>
        <v>4045</v>
      </c>
      <c r="U4046" s="4" t="s">
        <v>194</v>
      </c>
    </row>
    <row r="4047" spans="19:21" x14ac:dyDescent="0.25">
      <c r="S4047" s="6" t="s">
        <v>302</v>
      </c>
      <c r="T4047" s="6">
        <f t="shared" si="80"/>
        <v>4046</v>
      </c>
      <c r="U4047" s="4" t="s">
        <v>194</v>
      </c>
    </row>
    <row r="4048" spans="19:21" x14ac:dyDescent="0.25">
      <c r="S4048" s="6" t="s">
        <v>302</v>
      </c>
      <c r="T4048" s="6">
        <f t="shared" si="80"/>
        <v>4047</v>
      </c>
      <c r="U4048" s="4" t="s">
        <v>194</v>
      </c>
    </row>
    <row r="4049" spans="19:21" x14ac:dyDescent="0.25">
      <c r="S4049" s="6" t="s">
        <v>302</v>
      </c>
      <c r="T4049" s="6">
        <f t="shared" si="80"/>
        <v>4048</v>
      </c>
      <c r="U4049" s="4" t="s">
        <v>194</v>
      </c>
    </row>
    <row r="4050" spans="19:21" x14ac:dyDescent="0.25">
      <c r="S4050" s="6" t="s">
        <v>302</v>
      </c>
      <c r="T4050" s="6">
        <f t="shared" si="80"/>
        <v>4049</v>
      </c>
      <c r="U4050" s="4" t="s">
        <v>194</v>
      </c>
    </row>
    <row r="4051" spans="19:21" x14ac:dyDescent="0.25">
      <c r="S4051" s="6" t="s">
        <v>302</v>
      </c>
      <c r="T4051" s="6">
        <f t="shared" si="80"/>
        <v>4050</v>
      </c>
      <c r="U4051" s="4" t="s">
        <v>194</v>
      </c>
    </row>
    <row r="4052" spans="19:21" x14ac:dyDescent="0.25">
      <c r="S4052" s="6" t="s">
        <v>302</v>
      </c>
      <c r="T4052" s="6">
        <f t="shared" si="80"/>
        <v>4051</v>
      </c>
      <c r="U4052" s="4" t="s">
        <v>194</v>
      </c>
    </row>
    <row r="4053" spans="19:21" x14ac:dyDescent="0.25">
      <c r="S4053" s="6" t="s">
        <v>302</v>
      </c>
      <c r="T4053" s="6">
        <f t="shared" si="80"/>
        <v>4052</v>
      </c>
      <c r="U4053" s="4" t="s">
        <v>194</v>
      </c>
    </row>
    <row r="4054" spans="19:21" x14ac:dyDescent="0.25">
      <c r="S4054" s="6" t="s">
        <v>302</v>
      </c>
      <c r="T4054" s="6">
        <f t="shared" si="80"/>
        <v>4053</v>
      </c>
      <c r="U4054" s="4" t="s">
        <v>194</v>
      </c>
    </row>
    <row r="4055" spans="19:21" x14ac:dyDescent="0.25">
      <c r="S4055" s="6" t="s">
        <v>302</v>
      </c>
      <c r="T4055" s="6">
        <f t="shared" si="80"/>
        <v>4054</v>
      </c>
      <c r="U4055" s="4" t="s">
        <v>194</v>
      </c>
    </row>
    <row r="4056" spans="19:21" x14ac:dyDescent="0.25">
      <c r="S4056" s="6" t="s">
        <v>302</v>
      </c>
      <c r="T4056" s="6">
        <f t="shared" si="80"/>
        <v>4055</v>
      </c>
      <c r="U4056" s="4" t="s">
        <v>194</v>
      </c>
    </row>
    <row r="4057" spans="19:21" x14ac:dyDescent="0.25">
      <c r="S4057" s="6" t="s">
        <v>302</v>
      </c>
      <c r="T4057" s="6">
        <f t="shared" si="80"/>
        <v>4056</v>
      </c>
      <c r="U4057" s="4" t="s">
        <v>194</v>
      </c>
    </row>
    <row r="4058" spans="19:21" x14ac:dyDescent="0.25">
      <c r="S4058" s="6" t="s">
        <v>302</v>
      </c>
      <c r="T4058" s="6">
        <f t="shared" si="80"/>
        <v>4057</v>
      </c>
      <c r="U4058" s="4" t="s">
        <v>194</v>
      </c>
    </row>
    <row r="4059" spans="19:21" x14ac:dyDescent="0.25">
      <c r="S4059" s="6" t="s">
        <v>302</v>
      </c>
      <c r="T4059" s="6">
        <f t="shared" si="80"/>
        <v>4058</v>
      </c>
      <c r="U4059" s="4" t="s">
        <v>194</v>
      </c>
    </row>
    <row r="4060" spans="19:21" x14ac:dyDescent="0.25">
      <c r="S4060" s="6" t="s">
        <v>302</v>
      </c>
      <c r="T4060" s="6">
        <f t="shared" si="80"/>
        <v>4059</v>
      </c>
      <c r="U4060" s="4" t="s">
        <v>194</v>
      </c>
    </row>
    <row r="4061" spans="19:21" x14ac:dyDescent="0.25">
      <c r="S4061" s="6" t="s">
        <v>302</v>
      </c>
      <c r="T4061" s="6">
        <f t="shared" si="80"/>
        <v>4060</v>
      </c>
      <c r="U4061" s="4" t="s">
        <v>194</v>
      </c>
    </row>
    <row r="4062" spans="19:21" x14ac:dyDescent="0.25">
      <c r="S4062" s="6" t="s">
        <v>302</v>
      </c>
      <c r="T4062" s="6">
        <f t="shared" ref="T4062:T4125" si="81">T4061+1</f>
        <v>4061</v>
      </c>
      <c r="U4062" s="4" t="s">
        <v>194</v>
      </c>
    </row>
    <row r="4063" spans="19:21" x14ac:dyDescent="0.25">
      <c r="S4063" s="6" t="s">
        <v>302</v>
      </c>
      <c r="T4063" s="6">
        <f t="shared" si="81"/>
        <v>4062</v>
      </c>
      <c r="U4063" s="4" t="s">
        <v>194</v>
      </c>
    </row>
    <row r="4064" spans="19:21" x14ac:dyDescent="0.25">
      <c r="S4064" s="6" t="s">
        <v>302</v>
      </c>
      <c r="T4064" s="6">
        <f t="shared" si="81"/>
        <v>4063</v>
      </c>
      <c r="U4064" s="4" t="s">
        <v>194</v>
      </c>
    </row>
    <row r="4065" spans="19:21" x14ac:dyDescent="0.25">
      <c r="S4065" s="6" t="s">
        <v>302</v>
      </c>
      <c r="T4065" s="6">
        <f t="shared" si="81"/>
        <v>4064</v>
      </c>
      <c r="U4065" s="4" t="s">
        <v>194</v>
      </c>
    </row>
    <row r="4066" spans="19:21" x14ac:dyDescent="0.25">
      <c r="S4066" s="6" t="s">
        <v>302</v>
      </c>
      <c r="T4066" s="6">
        <f t="shared" si="81"/>
        <v>4065</v>
      </c>
      <c r="U4066" s="4" t="s">
        <v>194</v>
      </c>
    </row>
    <row r="4067" spans="19:21" x14ac:dyDescent="0.25">
      <c r="S4067" s="6" t="s">
        <v>302</v>
      </c>
      <c r="T4067" s="6">
        <f t="shared" si="81"/>
        <v>4066</v>
      </c>
      <c r="U4067" s="4" t="s">
        <v>194</v>
      </c>
    </row>
    <row r="4068" spans="19:21" x14ac:dyDescent="0.25">
      <c r="S4068" s="6" t="s">
        <v>302</v>
      </c>
      <c r="T4068" s="6">
        <f t="shared" si="81"/>
        <v>4067</v>
      </c>
      <c r="U4068" s="4" t="s">
        <v>194</v>
      </c>
    </row>
    <row r="4069" spans="19:21" x14ac:dyDescent="0.25">
      <c r="S4069" s="6" t="s">
        <v>302</v>
      </c>
      <c r="T4069" s="6">
        <f t="shared" si="81"/>
        <v>4068</v>
      </c>
      <c r="U4069" s="4" t="s">
        <v>194</v>
      </c>
    </row>
    <row r="4070" spans="19:21" x14ac:dyDescent="0.25">
      <c r="S4070" s="6" t="s">
        <v>302</v>
      </c>
      <c r="T4070" s="6">
        <f t="shared" si="81"/>
        <v>4069</v>
      </c>
      <c r="U4070" s="4" t="s">
        <v>194</v>
      </c>
    </row>
    <row r="4071" spans="19:21" x14ac:dyDescent="0.25">
      <c r="S4071" s="6" t="s">
        <v>302</v>
      </c>
      <c r="T4071" s="6">
        <f t="shared" si="81"/>
        <v>4070</v>
      </c>
      <c r="U4071" s="4" t="s">
        <v>194</v>
      </c>
    </row>
    <row r="4072" spans="19:21" x14ac:dyDescent="0.25">
      <c r="S4072" s="6" t="s">
        <v>302</v>
      </c>
      <c r="T4072" s="6">
        <f t="shared" si="81"/>
        <v>4071</v>
      </c>
      <c r="U4072" s="4" t="s">
        <v>194</v>
      </c>
    </row>
    <row r="4073" spans="19:21" x14ac:dyDescent="0.25">
      <c r="S4073" s="6" t="s">
        <v>302</v>
      </c>
      <c r="T4073" s="6">
        <f t="shared" si="81"/>
        <v>4072</v>
      </c>
      <c r="U4073" s="4" t="s">
        <v>194</v>
      </c>
    </row>
    <row r="4074" spans="19:21" x14ac:dyDescent="0.25">
      <c r="S4074" s="6" t="s">
        <v>302</v>
      </c>
      <c r="T4074" s="6">
        <f t="shared" si="81"/>
        <v>4073</v>
      </c>
      <c r="U4074" s="4" t="s">
        <v>194</v>
      </c>
    </row>
    <row r="4075" spans="19:21" x14ac:dyDescent="0.25">
      <c r="S4075" s="6" t="s">
        <v>302</v>
      </c>
      <c r="T4075" s="6">
        <f t="shared" si="81"/>
        <v>4074</v>
      </c>
      <c r="U4075" s="4" t="s">
        <v>194</v>
      </c>
    </row>
    <row r="4076" spans="19:21" x14ac:dyDescent="0.25">
      <c r="S4076" s="6" t="s">
        <v>302</v>
      </c>
      <c r="T4076" s="6">
        <f t="shared" si="81"/>
        <v>4075</v>
      </c>
      <c r="U4076" s="4" t="s">
        <v>194</v>
      </c>
    </row>
    <row r="4077" spans="19:21" x14ac:dyDescent="0.25">
      <c r="S4077" s="6" t="s">
        <v>302</v>
      </c>
      <c r="T4077" s="6">
        <f t="shared" si="81"/>
        <v>4076</v>
      </c>
      <c r="U4077" s="4" t="s">
        <v>194</v>
      </c>
    </row>
    <row r="4078" spans="19:21" x14ac:dyDescent="0.25">
      <c r="S4078" s="6" t="s">
        <v>302</v>
      </c>
      <c r="T4078" s="6">
        <f t="shared" si="81"/>
        <v>4077</v>
      </c>
      <c r="U4078" s="4" t="s">
        <v>194</v>
      </c>
    </row>
    <row r="4079" spans="19:21" x14ac:dyDescent="0.25">
      <c r="S4079" s="6" t="s">
        <v>302</v>
      </c>
      <c r="T4079" s="6">
        <f t="shared" si="81"/>
        <v>4078</v>
      </c>
      <c r="U4079" s="4" t="s">
        <v>194</v>
      </c>
    </row>
    <row r="4080" spans="19:21" x14ac:dyDescent="0.25">
      <c r="S4080" s="6" t="s">
        <v>302</v>
      </c>
      <c r="T4080" s="6">
        <f t="shared" si="81"/>
        <v>4079</v>
      </c>
      <c r="U4080" s="4" t="s">
        <v>194</v>
      </c>
    </row>
    <row r="4081" spans="19:21" x14ac:dyDescent="0.25">
      <c r="S4081" s="6" t="s">
        <v>302</v>
      </c>
      <c r="T4081" s="6">
        <f t="shared" si="81"/>
        <v>4080</v>
      </c>
      <c r="U4081" s="4" t="s">
        <v>194</v>
      </c>
    </row>
    <row r="4082" spans="19:21" x14ac:dyDescent="0.25">
      <c r="S4082" s="6" t="s">
        <v>302</v>
      </c>
      <c r="T4082" s="6">
        <f t="shared" si="81"/>
        <v>4081</v>
      </c>
      <c r="U4082" s="4" t="s">
        <v>194</v>
      </c>
    </row>
    <row r="4083" spans="19:21" x14ac:dyDescent="0.25">
      <c r="S4083" s="6" t="s">
        <v>302</v>
      </c>
      <c r="T4083" s="6">
        <f t="shared" si="81"/>
        <v>4082</v>
      </c>
      <c r="U4083" s="4" t="s">
        <v>194</v>
      </c>
    </row>
    <row r="4084" spans="19:21" x14ac:dyDescent="0.25">
      <c r="S4084" s="6" t="s">
        <v>302</v>
      </c>
      <c r="T4084" s="6">
        <f t="shared" si="81"/>
        <v>4083</v>
      </c>
      <c r="U4084" s="4" t="s">
        <v>194</v>
      </c>
    </row>
    <row r="4085" spans="19:21" x14ac:dyDescent="0.25">
      <c r="S4085" s="6" t="s">
        <v>302</v>
      </c>
      <c r="T4085" s="6">
        <f t="shared" si="81"/>
        <v>4084</v>
      </c>
      <c r="U4085" s="4" t="s">
        <v>194</v>
      </c>
    </row>
    <row r="4086" spans="19:21" x14ac:dyDescent="0.25">
      <c r="S4086" s="6" t="s">
        <v>302</v>
      </c>
      <c r="T4086" s="6">
        <f t="shared" si="81"/>
        <v>4085</v>
      </c>
      <c r="U4086" s="4" t="s">
        <v>194</v>
      </c>
    </row>
    <row r="4087" spans="19:21" x14ac:dyDescent="0.25">
      <c r="S4087" s="6" t="s">
        <v>302</v>
      </c>
      <c r="T4087" s="6">
        <f t="shared" si="81"/>
        <v>4086</v>
      </c>
      <c r="U4087" s="4" t="s">
        <v>194</v>
      </c>
    </row>
    <row r="4088" spans="19:21" x14ac:dyDescent="0.25">
      <c r="S4088" s="6" t="s">
        <v>302</v>
      </c>
      <c r="T4088" s="6">
        <f t="shared" si="81"/>
        <v>4087</v>
      </c>
      <c r="U4088" s="4" t="s">
        <v>194</v>
      </c>
    </row>
    <row r="4089" spans="19:21" x14ac:dyDescent="0.25">
      <c r="S4089" s="6" t="s">
        <v>302</v>
      </c>
      <c r="T4089" s="6">
        <f t="shared" si="81"/>
        <v>4088</v>
      </c>
      <c r="U4089" s="4" t="s">
        <v>194</v>
      </c>
    </row>
    <row r="4090" spans="19:21" x14ac:dyDescent="0.25">
      <c r="S4090" s="6" t="s">
        <v>302</v>
      </c>
      <c r="T4090" s="6">
        <f t="shared" si="81"/>
        <v>4089</v>
      </c>
      <c r="U4090" s="4" t="s">
        <v>194</v>
      </c>
    </row>
    <row r="4091" spans="19:21" x14ac:dyDescent="0.25">
      <c r="S4091" s="6" t="s">
        <v>302</v>
      </c>
      <c r="T4091" s="6">
        <f t="shared" si="81"/>
        <v>4090</v>
      </c>
      <c r="U4091" s="4" t="s">
        <v>194</v>
      </c>
    </row>
    <row r="4092" spans="19:21" x14ac:dyDescent="0.25">
      <c r="S4092" s="6" t="s">
        <v>302</v>
      </c>
      <c r="T4092" s="6">
        <f t="shared" si="81"/>
        <v>4091</v>
      </c>
      <c r="U4092" s="4" t="s">
        <v>194</v>
      </c>
    </row>
    <row r="4093" spans="19:21" x14ac:dyDescent="0.25">
      <c r="S4093" s="6" t="s">
        <v>302</v>
      </c>
      <c r="T4093" s="6">
        <f t="shared" si="81"/>
        <v>4092</v>
      </c>
      <c r="U4093" s="4" t="s">
        <v>194</v>
      </c>
    </row>
    <row r="4094" spans="19:21" x14ac:dyDescent="0.25">
      <c r="S4094" s="6" t="s">
        <v>302</v>
      </c>
      <c r="T4094" s="6">
        <f t="shared" si="81"/>
        <v>4093</v>
      </c>
      <c r="U4094" s="4" t="s">
        <v>194</v>
      </c>
    </row>
    <row r="4095" spans="19:21" x14ac:dyDescent="0.25">
      <c r="S4095" s="6" t="s">
        <v>302</v>
      </c>
      <c r="T4095" s="6">
        <f t="shared" si="81"/>
        <v>4094</v>
      </c>
      <c r="U4095" s="4" t="s">
        <v>194</v>
      </c>
    </row>
    <row r="4096" spans="19:21" x14ac:dyDescent="0.25">
      <c r="S4096" s="6" t="s">
        <v>302</v>
      </c>
      <c r="T4096" s="6">
        <f t="shared" si="81"/>
        <v>4095</v>
      </c>
      <c r="U4096" s="4" t="s">
        <v>194</v>
      </c>
    </row>
    <row r="4097" spans="19:21" x14ac:dyDescent="0.25">
      <c r="S4097" s="6" t="s">
        <v>302</v>
      </c>
      <c r="T4097" s="6">
        <f t="shared" si="81"/>
        <v>4096</v>
      </c>
      <c r="U4097" s="4" t="s">
        <v>194</v>
      </c>
    </row>
    <row r="4098" spans="19:21" x14ac:dyDescent="0.25">
      <c r="S4098" s="6" t="s">
        <v>302</v>
      </c>
      <c r="T4098" s="6">
        <f t="shared" si="81"/>
        <v>4097</v>
      </c>
      <c r="U4098" s="4" t="s">
        <v>194</v>
      </c>
    </row>
    <row r="4099" spans="19:21" x14ac:dyDescent="0.25">
      <c r="S4099" s="6" t="s">
        <v>302</v>
      </c>
      <c r="T4099" s="6">
        <f t="shared" si="81"/>
        <v>4098</v>
      </c>
      <c r="U4099" s="4" t="s">
        <v>194</v>
      </c>
    </row>
    <row r="4100" spans="19:21" x14ac:dyDescent="0.25">
      <c r="S4100" s="6" t="s">
        <v>302</v>
      </c>
      <c r="T4100" s="6">
        <f t="shared" si="81"/>
        <v>4099</v>
      </c>
      <c r="U4100" s="4" t="s">
        <v>194</v>
      </c>
    </row>
    <row r="4101" spans="19:21" x14ac:dyDescent="0.25">
      <c r="S4101" s="6" t="s">
        <v>302</v>
      </c>
      <c r="T4101" s="6">
        <f t="shared" si="81"/>
        <v>4100</v>
      </c>
      <c r="U4101" s="4" t="s">
        <v>194</v>
      </c>
    </row>
    <row r="4102" spans="19:21" x14ac:dyDescent="0.25">
      <c r="S4102" s="6" t="s">
        <v>302</v>
      </c>
      <c r="T4102" s="6">
        <f t="shared" si="81"/>
        <v>4101</v>
      </c>
      <c r="U4102" s="4" t="s">
        <v>194</v>
      </c>
    </row>
    <row r="4103" spans="19:21" x14ac:dyDescent="0.25">
      <c r="S4103" s="6" t="s">
        <v>302</v>
      </c>
      <c r="T4103" s="6">
        <f t="shared" si="81"/>
        <v>4102</v>
      </c>
      <c r="U4103" s="4" t="s">
        <v>194</v>
      </c>
    </row>
    <row r="4104" spans="19:21" x14ac:dyDescent="0.25">
      <c r="S4104" s="6" t="s">
        <v>302</v>
      </c>
      <c r="T4104" s="6">
        <f t="shared" si="81"/>
        <v>4103</v>
      </c>
      <c r="U4104" s="4" t="s">
        <v>194</v>
      </c>
    </row>
    <row r="4105" spans="19:21" x14ac:dyDescent="0.25">
      <c r="S4105" s="6" t="s">
        <v>302</v>
      </c>
      <c r="T4105" s="6">
        <f t="shared" si="81"/>
        <v>4104</v>
      </c>
      <c r="U4105" s="4" t="s">
        <v>194</v>
      </c>
    </row>
    <row r="4106" spans="19:21" x14ac:dyDescent="0.25">
      <c r="S4106" s="6" t="s">
        <v>302</v>
      </c>
      <c r="T4106" s="6">
        <f t="shared" si="81"/>
        <v>4105</v>
      </c>
      <c r="U4106" s="4" t="s">
        <v>194</v>
      </c>
    </row>
    <row r="4107" spans="19:21" x14ac:dyDescent="0.25">
      <c r="S4107" s="6" t="s">
        <v>302</v>
      </c>
      <c r="T4107" s="6">
        <f t="shared" si="81"/>
        <v>4106</v>
      </c>
      <c r="U4107" s="4" t="s">
        <v>194</v>
      </c>
    </row>
    <row r="4108" spans="19:21" x14ac:dyDescent="0.25">
      <c r="S4108" s="6" t="s">
        <v>302</v>
      </c>
      <c r="T4108" s="6">
        <f t="shared" si="81"/>
        <v>4107</v>
      </c>
      <c r="U4108" s="4" t="s">
        <v>194</v>
      </c>
    </row>
    <row r="4109" spans="19:21" x14ac:dyDescent="0.25">
      <c r="S4109" s="6" t="s">
        <v>302</v>
      </c>
      <c r="T4109" s="6">
        <f t="shared" si="81"/>
        <v>4108</v>
      </c>
      <c r="U4109" s="4" t="s">
        <v>194</v>
      </c>
    </row>
    <row r="4110" spans="19:21" x14ac:dyDescent="0.25">
      <c r="S4110" s="6" t="s">
        <v>302</v>
      </c>
      <c r="T4110" s="6">
        <f t="shared" si="81"/>
        <v>4109</v>
      </c>
      <c r="U4110" s="4" t="s">
        <v>194</v>
      </c>
    </row>
    <row r="4111" spans="19:21" x14ac:dyDescent="0.25">
      <c r="S4111" s="6" t="s">
        <v>302</v>
      </c>
      <c r="T4111" s="6">
        <f t="shared" si="81"/>
        <v>4110</v>
      </c>
      <c r="U4111" s="4" t="s">
        <v>194</v>
      </c>
    </row>
    <row r="4112" spans="19:21" x14ac:dyDescent="0.25">
      <c r="S4112" s="6" t="s">
        <v>302</v>
      </c>
      <c r="T4112" s="6">
        <f t="shared" si="81"/>
        <v>4111</v>
      </c>
      <c r="U4112" s="4" t="s">
        <v>194</v>
      </c>
    </row>
    <row r="4113" spans="19:21" x14ac:dyDescent="0.25">
      <c r="S4113" s="6" t="s">
        <v>302</v>
      </c>
      <c r="T4113" s="6">
        <f t="shared" si="81"/>
        <v>4112</v>
      </c>
      <c r="U4113" s="4" t="s">
        <v>194</v>
      </c>
    </row>
    <row r="4114" spans="19:21" x14ac:dyDescent="0.25">
      <c r="S4114" s="6" t="s">
        <v>302</v>
      </c>
      <c r="T4114" s="6">
        <f t="shared" si="81"/>
        <v>4113</v>
      </c>
      <c r="U4114" s="4" t="s">
        <v>194</v>
      </c>
    </row>
    <row r="4115" spans="19:21" x14ac:dyDescent="0.25">
      <c r="S4115" s="6" t="s">
        <v>302</v>
      </c>
      <c r="T4115" s="6">
        <f t="shared" si="81"/>
        <v>4114</v>
      </c>
      <c r="U4115" s="4" t="s">
        <v>194</v>
      </c>
    </row>
    <row r="4116" spans="19:21" x14ac:dyDescent="0.25">
      <c r="S4116" s="6" t="s">
        <v>302</v>
      </c>
      <c r="T4116" s="6">
        <f t="shared" si="81"/>
        <v>4115</v>
      </c>
      <c r="U4116" s="4" t="s">
        <v>194</v>
      </c>
    </row>
    <row r="4117" spans="19:21" x14ac:dyDescent="0.25">
      <c r="S4117" s="6" t="s">
        <v>302</v>
      </c>
      <c r="T4117" s="6">
        <f t="shared" si="81"/>
        <v>4116</v>
      </c>
      <c r="U4117" s="4" t="s">
        <v>194</v>
      </c>
    </row>
    <row r="4118" spans="19:21" x14ac:dyDescent="0.25">
      <c r="S4118" s="6" t="s">
        <v>302</v>
      </c>
      <c r="T4118" s="6">
        <f t="shared" si="81"/>
        <v>4117</v>
      </c>
      <c r="U4118" s="4" t="s">
        <v>194</v>
      </c>
    </row>
    <row r="4119" spans="19:21" x14ac:dyDescent="0.25">
      <c r="S4119" s="6" t="s">
        <v>302</v>
      </c>
      <c r="T4119" s="6">
        <f t="shared" si="81"/>
        <v>4118</v>
      </c>
      <c r="U4119" s="4" t="s">
        <v>194</v>
      </c>
    </row>
    <row r="4120" spans="19:21" x14ac:dyDescent="0.25">
      <c r="S4120" s="6" t="s">
        <v>302</v>
      </c>
      <c r="T4120" s="6">
        <f t="shared" si="81"/>
        <v>4119</v>
      </c>
      <c r="U4120" s="4" t="s">
        <v>194</v>
      </c>
    </row>
    <row r="4121" spans="19:21" x14ac:dyDescent="0.25">
      <c r="S4121" s="6" t="s">
        <v>302</v>
      </c>
      <c r="T4121" s="6">
        <f t="shared" si="81"/>
        <v>4120</v>
      </c>
      <c r="U4121" s="4" t="s">
        <v>194</v>
      </c>
    </row>
    <row r="4122" spans="19:21" x14ac:dyDescent="0.25">
      <c r="S4122" s="6" t="s">
        <v>302</v>
      </c>
      <c r="T4122" s="6">
        <f t="shared" si="81"/>
        <v>4121</v>
      </c>
      <c r="U4122" s="4" t="s">
        <v>194</v>
      </c>
    </row>
    <row r="4123" spans="19:21" x14ac:dyDescent="0.25">
      <c r="S4123" s="6" t="s">
        <v>302</v>
      </c>
      <c r="T4123" s="6">
        <f t="shared" si="81"/>
        <v>4122</v>
      </c>
      <c r="U4123" s="4" t="s">
        <v>194</v>
      </c>
    </row>
    <row r="4124" spans="19:21" x14ac:dyDescent="0.25">
      <c r="S4124" s="6" t="s">
        <v>302</v>
      </c>
      <c r="T4124" s="6">
        <f t="shared" si="81"/>
        <v>4123</v>
      </c>
      <c r="U4124" s="4" t="s">
        <v>194</v>
      </c>
    </row>
    <row r="4125" spans="19:21" x14ac:dyDescent="0.25">
      <c r="S4125" s="6" t="s">
        <v>302</v>
      </c>
      <c r="T4125" s="6">
        <f t="shared" si="81"/>
        <v>4124</v>
      </c>
      <c r="U4125" s="4" t="s">
        <v>194</v>
      </c>
    </row>
    <row r="4126" spans="19:21" x14ac:dyDescent="0.25">
      <c r="S4126" s="6" t="s">
        <v>302</v>
      </c>
      <c r="T4126" s="6">
        <f t="shared" ref="T4126:T4189" si="82">T4125+1</f>
        <v>4125</v>
      </c>
      <c r="U4126" s="4" t="s">
        <v>194</v>
      </c>
    </row>
    <row r="4127" spans="19:21" x14ac:dyDescent="0.25">
      <c r="S4127" s="6" t="s">
        <v>302</v>
      </c>
      <c r="T4127" s="6">
        <f t="shared" si="82"/>
        <v>4126</v>
      </c>
      <c r="U4127" s="4" t="s">
        <v>194</v>
      </c>
    </row>
    <row r="4128" spans="19:21" x14ac:dyDescent="0.25">
      <c r="S4128" s="6" t="s">
        <v>302</v>
      </c>
      <c r="T4128" s="6">
        <f t="shared" si="82"/>
        <v>4127</v>
      </c>
      <c r="U4128" s="4" t="s">
        <v>194</v>
      </c>
    </row>
    <row r="4129" spans="19:21" x14ac:dyDescent="0.25">
      <c r="S4129" s="6" t="s">
        <v>302</v>
      </c>
      <c r="T4129" s="6">
        <f t="shared" si="82"/>
        <v>4128</v>
      </c>
      <c r="U4129" s="4" t="s">
        <v>194</v>
      </c>
    </row>
    <row r="4130" spans="19:21" x14ac:dyDescent="0.25">
      <c r="S4130" s="6" t="s">
        <v>302</v>
      </c>
      <c r="T4130" s="6">
        <f t="shared" si="82"/>
        <v>4129</v>
      </c>
      <c r="U4130" s="4" t="s">
        <v>194</v>
      </c>
    </row>
    <row r="4131" spans="19:21" x14ac:dyDescent="0.25">
      <c r="S4131" s="6" t="s">
        <v>302</v>
      </c>
      <c r="T4131" s="6">
        <f t="shared" si="82"/>
        <v>4130</v>
      </c>
      <c r="U4131" s="4" t="s">
        <v>194</v>
      </c>
    </row>
    <row r="4132" spans="19:21" x14ac:dyDescent="0.25">
      <c r="S4132" s="6" t="s">
        <v>302</v>
      </c>
      <c r="T4132" s="6">
        <f t="shared" si="82"/>
        <v>4131</v>
      </c>
      <c r="U4132" s="4" t="s">
        <v>194</v>
      </c>
    </row>
    <row r="4133" spans="19:21" x14ac:dyDescent="0.25">
      <c r="S4133" s="6" t="s">
        <v>302</v>
      </c>
      <c r="T4133" s="6">
        <f t="shared" si="82"/>
        <v>4132</v>
      </c>
      <c r="U4133" s="4" t="s">
        <v>194</v>
      </c>
    </row>
    <row r="4134" spans="19:21" x14ac:dyDescent="0.25">
      <c r="S4134" s="6" t="s">
        <v>302</v>
      </c>
      <c r="T4134" s="6">
        <f t="shared" si="82"/>
        <v>4133</v>
      </c>
      <c r="U4134" s="4" t="s">
        <v>194</v>
      </c>
    </row>
    <row r="4135" spans="19:21" x14ac:dyDescent="0.25">
      <c r="S4135" s="6" t="s">
        <v>302</v>
      </c>
      <c r="T4135" s="6">
        <f t="shared" si="82"/>
        <v>4134</v>
      </c>
      <c r="U4135" s="4" t="s">
        <v>194</v>
      </c>
    </row>
    <row r="4136" spans="19:21" x14ac:dyDescent="0.25">
      <c r="S4136" s="6" t="s">
        <v>302</v>
      </c>
      <c r="T4136" s="6">
        <f t="shared" si="82"/>
        <v>4135</v>
      </c>
      <c r="U4136" s="4" t="s">
        <v>194</v>
      </c>
    </row>
    <row r="4137" spans="19:21" x14ac:dyDescent="0.25">
      <c r="S4137" s="6" t="s">
        <v>302</v>
      </c>
      <c r="T4137" s="6">
        <f t="shared" si="82"/>
        <v>4136</v>
      </c>
      <c r="U4137" s="4" t="s">
        <v>194</v>
      </c>
    </row>
    <row r="4138" spans="19:21" x14ac:dyDescent="0.25">
      <c r="S4138" s="6" t="s">
        <v>302</v>
      </c>
      <c r="T4138" s="6">
        <f t="shared" si="82"/>
        <v>4137</v>
      </c>
      <c r="U4138" s="4" t="s">
        <v>194</v>
      </c>
    </row>
    <row r="4139" spans="19:21" x14ac:dyDescent="0.25">
      <c r="S4139" s="6" t="s">
        <v>302</v>
      </c>
      <c r="T4139" s="6">
        <f t="shared" si="82"/>
        <v>4138</v>
      </c>
      <c r="U4139" s="4" t="s">
        <v>194</v>
      </c>
    </row>
    <row r="4140" spans="19:21" x14ac:dyDescent="0.25">
      <c r="S4140" s="6" t="s">
        <v>302</v>
      </c>
      <c r="T4140" s="6">
        <f t="shared" si="82"/>
        <v>4139</v>
      </c>
      <c r="U4140" s="4" t="s">
        <v>194</v>
      </c>
    </row>
    <row r="4141" spans="19:21" x14ac:dyDescent="0.25">
      <c r="S4141" s="6" t="s">
        <v>302</v>
      </c>
      <c r="T4141" s="6">
        <f t="shared" si="82"/>
        <v>4140</v>
      </c>
      <c r="U4141" s="4" t="s">
        <v>194</v>
      </c>
    </row>
    <row r="4142" spans="19:21" x14ac:dyDescent="0.25">
      <c r="S4142" s="6" t="s">
        <v>302</v>
      </c>
      <c r="T4142" s="6">
        <f t="shared" si="82"/>
        <v>4141</v>
      </c>
      <c r="U4142" s="4" t="s">
        <v>194</v>
      </c>
    </row>
    <row r="4143" spans="19:21" x14ac:dyDescent="0.25">
      <c r="S4143" s="6" t="s">
        <v>302</v>
      </c>
      <c r="T4143" s="6">
        <f t="shared" si="82"/>
        <v>4142</v>
      </c>
      <c r="U4143" s="4" t="s">
        <v>194</v>
      </c>
    </row>
    <row r="4144" spans="19:21" x14ac:dyDescent="0.25">
      <c r="S4144" s="6" t="s">
        <v>302</v>
      </c>
      <c r="T4144" s="6">
        <f t="shared" si="82"/>
        <v>4143</v>
      </c>
      <c r="U4144" s="4" t="s">
        <v>194</v>
      </c>
    </row>
    <row r="4145" spans="19:21" x14ac:dyDescent="0.25">
      <c r="S4145" s="6" t="s">
        <v>302</v>
      </c>
      <c r="T4145" s="6">
        <f t="shared" si="82"/>
        <v>4144</v>
      </c>
      <c r="U4145" s="4" t="s">
        <v>194</v>
      </c>
    </row>
    <row r="4146" spans="19:21" x14ac:dyDescent="0.25">
      <c r="S4146" s="6" t="s">
        <v>302</v>
      </c>
      <c r="T4146" s="6">
        <f t="shared" si="82"/>
        <v>4145</v>
      </c>
      <c r="U4146" s="4" t="s">
        <v>194</v>
      </c>
    </row>
    <row r="4147" spans="19:21" x14ac:dyDescent="0.25">
      <c r="S4147" s="6" t="s">
        <v>302</v>
      </c>
      <c r="T4147" s="6">
        <f t="shared" si="82"/>
        <v>4146</v>
      </c>
      <c r="U4147" s="4" t="s">
        <v>194</v>
      </c>
    </row>
    <row r="4148" spans="19:21" x14ac:dyDescent="0.25">
      <c r="S4148" s="6" t="s">
        <v>302</v>
      </c>
      <c r="T4148" s="6">
        <f t="shared" si="82"/>
        <v>4147</v>
      </c>
      <c r="U4148" s="4" t="s">
        <v>194</v>
      </c>
    </row>
    <row r="4149" spans="19:21" x14ac:dyDescent="0.25">
      <c r="S4149" s="6" t="s">
        <v>302</v>
      </c>
      <c r="T4149" s="6">
        <f t="shared" si="82"/>
        <v>4148</v>
      </c>
      <c r="U4149" s="4" t="s">
        <v>194</v>
      </c>
    </row>
    <row r="4150" spans="19:21" x14ac:dyDescent="0.25">
      <c r="S4150" s="6" t="s">
        <v>302</v>
      </c>
      <c r="T4150" s="6">
        <f t="shared" si="82"/>
        <v>4149</v>
      </c>
      <c r="U4150" s="4" t="s">
        <v>194</v>
      </c>
    </row>
    <row r="4151" spans="19:21" x14ac:dyDescent="0.25">
      <c r="S4151" s="6" t="s">
        <v>302</v>
      </c>
      <c r="T4151" s="6">
        <f t="shared" si="82"/>
        <v>4150</v>
      </c>
      <c r="U4151" s="4" t="s">
        <v>194</v>
      </c>
    </row>
    <row r="4152" spans="19:21" x14ac:dyDescent="0.25">
      <c r="S4152" s="6" t="s">
        <v>302</v>
      </c>
      <c r="T4152" s="6">
        <f t="shared" si="82"/>
        <v>4151</v>
      </c>
      <c r="U4152" s="4" t="s">
        <v>194</v>
      </c>
    </row>
    <row r="4153" spans="19:21" x14ac:dyDescent="0.25">
      <c r="S4153" s="6" t="s">
        <v>302</v>
      </c>
      <c r="T4153" s="6">
        <f t="shared" si="82"/>
        <v>4152</v>
      </c>
      <c r="U4153" s="4" t="s">
        <v>194</v>
      </c>
    </row>
    <row r="4154" spans="19:21" x14ac:dyDescent="0.25">
      <c r="S4154" s="6" t="s">
        <v>302</v>
      </c>
      <c r="T4154" s="6">
        <f t="shared" si="82"/>
        <v>4153</v>
      </c>
      <c r="U4154" s="4" t="s">
        <v>194</v>
      </c>
    </row>
    <row r="4155" spans="19:21" x14ac:dyDescent="0.25">
      <c r="S4155" s="6" t="s">
        <v>302</v>
      </c>
      <c r="T4155" s="6">
        <f t="shared" si="82"/>
        <v>4154</v>
      </c>
      <c r="U4155" s="4" t="s">
        <v>194</v>
      </c>
    </row>
    <row r="4156" spans="19:21" x14ac:dyDescent="0.25">
      <c r="S4156" s="6" t="s">
        <v>302</v>
      </c>
      <c r="T4156" s="6">
        <f t="shared" si="82"/>
        <v>4155</v>
      </c>
      <c r="U4156" s="4" t="s">
        <v>194</v>
      </c>
    </row>
    <row r="4157" spans="19:21" x14ac:dyDescent="0.25">
      <c r="S4157" s="6" t="s">
        <v>302</v>
      </c>
      <c r="T4157" s="6">
        <f t="shared" si="82"/>
        <v>4156</v>
      </c>
      <c r="U4157" s="4" t="s">
        <v>194</v>
      </c>
    </row>
    <row r="4158" spans="19:21" x14ac:dyDescent="0.25">
      <c r="S4158" s="6" t="s">
        <v>302</v>
      </c>
      <c r="T4158" s="6">
        <f t="shared" si="82"/>
        <v>4157</v>
      </c>
      <c r="U4158" s="4" t="s">
        <v>194</v>
      </c>
    </row>
    <row r="4159" spans="19:21" x14ac:dyDescent="0.25">
      <c r="S4159" s="6" t="s">
        <v>302</v>
      </c>
      <c r="T4159" s="6">
        <f t="shared" si="82"/>
        <v>4158</v>
      </c>
      <c r="U4159" s="4" t="s">
        <v>194</v>
      </c>
    </row>
    <row r="4160" spans="19:21" x14ac:dyDescent="0.25">
      <c r="S4160" s="6" t="s">
        <v>302</v>
      </c>
      <c r="T4160" s="6">
        <f t="shared" si="82"/>
        <v>4159</v>
      </c>
      <c r="U4160" s="4" t="s">
        <v>194</v>
      </c>
    </row>
    <row r="4161" spans="19:21" x14ac:dyDescent="0.25">
      <c r="S4161" s="6" t="s">
        <v>302</v>
      </c>
      <c r="T4161" s="6">
        <f t="shared" si="82"/>
        <v>4160</v>
      </c>
      <c r="U4161" s="4" t="s">
        <v>194</v>
      </c>
    </row>
    <row r="4162" spans="19:21" x14ac:dyDescent="0.25">
      <c r="S4162" s="6" t="s">
        <v>302</v>
      </c>
      <c r="T4162" s="6">
        <f t="shared" si="82"/>
        <v>4161</v>
      </c>
      <c r="U4162" s="4" t="s">
        <v>194</v>
      </c>
    </row>
    <row r="4163" spans="19:21" x14ac:dyDescent="0.25">
      <c r="S4163" s="6" t="s">
        <v>302</v>
      </c>
      <c r="T4163" s="6">
        <f t="shared" si="82"/>
        <v>4162</v>
      </c>
      <c r="U4163" s="4" t="s">
        <v>194</v>
      </c>
    </row>
    <row r="4164" spans="19:21" x14ac:dyDescent="0.25">
      <c r="S4164" s="6" t="s">
        <v>302</v>
      </c>
      <c r="T4164" s="6">
        <f t="shared" si="82"/>
        <v>4163</v>
      </c>
      <c r="U4164" s="4" t="s">
        <v>194</v>
      </c>
    </row>
    <row r="4165" spans="19:21" x14ac:dyDescent="0.25">
      <c r="S4165" s="6" t="s">
        <v>302</v>
      </c>
      <c r="T4165" s="6">
        <f t="shared" si="82"/>
        <v>4164</v>
      </c>
      <c r="U4165" s="4" t="s">
        <v>194</v>
      </c>
    </row>
    <row r="4166" spans="19:21" x14ac:dyDescent="0.25">
      <c r="S4166" s="6" t="s">
        <v>302</v>
      </c>
      <c r="T4166" s="6">
        <f t="shared" si="82"/>
        <v>4165</v>
      </c>
      <c r="U4166" s="4" t="s">
        <v>194</v>
      </c>
    </row>
    <row r="4167" spans="19:21" x14ac:dyDescent="0.25">
      <c r="S4167" s="6" t="s">
        <v>302</v>
      </c>
      <c r="T4167" s="6">
        <f t="shared" si="82"/>
        <v>4166</v>
      </c>
      <c r="U4167" s="4" t="s">
        <v>194</v>
      </c>
    </row>
    <row r="4168" spans="19:21" x14ac:dyDescent="0.25">
      <c r="S4168" s="6" t="s">
        <v>302</v>
      </c>
      <c r="T4168" s="6">
        <f t="shared" si="82"/>
        <v>4167</v>
      </c>
      <c r="U4168" s="4" t="s">
        <v>194</v>
      </c>
    </row>
    <row r="4169" spans="19:21" x14ac:dyDescent="0.25">
      <c r="S4169" s="6" t="s">
        <v>302</v>
      </c>
      <c r="T4169" s="6">
        <f t="shared" si="82"/>
        <v>4168</v>
      </c>
      <c r="U4169" s="4" t="s">
        <v>194</v>
      </c>
    </row>
    <row r="4170" spans="19:21" x14ac:dyDescent="0.25">
      <c r="S4170" s="6" t="s">
        <v>302</v>
      </c>
      <c r="T4170" s="6">
        <f t="shared" si="82"/>
        <v>4169</v>
      </c>
      <c r="U4170" s="4" t="s">
        <v>194</v>
      </c>
    </row>
    <row r="4171" spans="19:21" x14ac:dyDescent="0.25">
      <c r="S4171" s="6" t="s">
        <v>302</v>
      </c>
      <c r="T4171" s="6">
        <f t="shared" si="82"/>
        <v>4170</v>
      </c>
      <c r="U4171" s="4" t="s">
        <v>194</v>
      </c>
    </row>
    <row r="4172" spans="19:21" x14ac:dyDescent="0.25">
      <c r="S4172" s="6" t="s">
        <v>302</v>
      </c>
      <c r="T4172" s="6">
        <f t="shared" si="82"/>
        <v>4171</v>
      </c>
      <c r="U4172" s="4" t="s">
        <v>194</v>
      </c>
    </row>
    <row r="4173" spans="19:21" x14ac:dyDescent="0.25">
      <c r="S4173" s="6" t="s">
        <v>302</v>
      </c>
      <c r="T4173" s="6">
        <f t="shared" si="82"/>
        <v>4172</v>
      </c>
      <c r="U4173" s="4" t="s">
        <v>194</v>
      </c>
    </row>
    <row r="4174" spans="19:21" x14ac:dyDescent="0.25">
      <c r="S4174" s="6" t="s">
        <v>302</v>
      </c>
      <c r="T4174" s="6">
        <f t="shared" si="82"/>
        <v>4173</v>
      </c>
      <c r="U4174" s="4" t="s">
        <v>194</v>
      </c>
    </row>
    <row r="4175" spans="19:21" x14ac:dyDescent="0.25">
      <c r="S4175" s="6" t="s">
        <v>302</v>
      </c>
      <c r="T4175" s="6">
        <f t="shared" si="82"/>
        <v>4174</v>
      </c>
      <c r="U4175" s="4" t="s">
        <v>194</v>
      </c>
    </row>
    <row r="4176" spans="19:21" x14ac:dyDescent="0.25">
      <c r="S4176" s="6" t="s">
        <v>302</v>
      </c>
      <c r="T4176" s="6">
        <f t="shared" si="82"/>
        <v>4175</v>
      </c>
      <c r="U4176" s="4" t="s">
        <v>194</v>
      </c>
    </row>
    <row r="4177" spans="19:21" x14ac:dyDescent="0.25">
      <c r="S4177" s="6" t="s">
        <v>302</v>
      </c>
      <c r="T4177" s="6">
        <f t="shared" si="82"/>
        <v>4176</v>
      </c>
      <c r="U4177" s="4" t="s">
        <v>194</v>
      </c>
    </row>
    <row r="4178" spans="19:21" x14ac:dyDescent="0.25">
      <c r="S4178" s="6" t="s">
        <v>302</v>
      </c>
      <c r="T4178" s="6">
        <f t="shared" si="82"/>
        <v>4177</v>
      </c>
      <c r="U4178" s="4" t="s">
        <v>194</v>
      </c>
    </row>
    <row r="4179" spans="19:21" x14ac:dyDescent="0.25">
      <c r="S4179" s="6" t="s">
        <v>302</v>
      </c>
      <c r="T4179" s="6">
        <f t="shared" si="82"/>
        <v>4178</v>
      </c>
      <c r="U4179" s="4" t="s">
        <v>194</v>
      </c>
    </row>
    <row r="4180" spans="19:21" x14ac:dyDescent="0.25">
      <c r="S4180" s="6" t="s">
        <v>302</v>
      </c>
      <c r="T4180" s="6">
        <f t="shared" si="82"/>
        <v>4179</v>
      </c>
      <c r="U4180" s="4" t="s">
        <v>194</v>
      </c>
    </row>
    <row r="4181" spans="19:21" x14ac:dyDescent="0.25">
      <c r="S4181" s="6" t="s">
        <v>302</v>
      </c>
      <c r="T4181" s="6">
        <f t="shared" si="82"/>
        <v>4180</v>
      </c>
      <c r="U4181" s="4" t="s">
        <v>194</v>
      </c>
    </row>
    <row r="4182" spans="19:21" x14ac:dyDescent="0.25">
      <c r="S4182" s="6" t="s">
        <v>302</v>
      </c>
      <c r="T4182" s="6">
        <f t="shared" si="82"/>
        <v>4181</v>
      </c>
      <c r="U4182" s="4" t="s">
        <v>194</v>
      </c>
    </row>
    <row r="4183" spans="19:21" x14ac:dyDescent="0.25">
      <c r="S4183" s="6" t="s">
        <v>302</v>
      </c>
      <c r="T4183" s="6">
        <f t="shared" si="82"/>
        <v>4182</v>
      </c>
      <c r="U4183" s="4" t="s">
        <v>194</v>
      </c>
    </row>
    <row r="4184" spans="19:21" x14ac:dyDescent="0.25">
      <c r="S4184" s="6" t="s">
        <v>302</v>
      </c>
      <c r="T4184" s="6">
        <f t="shared" si="82"/>
        <v>4183</v>
      </c>
      <c r="U4184" s="4" t="s">
        <v>194</v>
      </c>
    </row>
    <row r="4185" spans="19:21" x14ac:dyDescent="0.25">
      <c r="S4185" s="6" t="s">
        <v>302</v>
      </c>
      <c r="T4185" s="6">
        <f t="shared" si="82"/>
        <v>4184</v>
      </c>
      <c r="U4185" s="4" t="s">
        <v>194</v>
      </c>
    </row>
    <row r="4186" spans="19:21" x14ac:dyDescent="0.25">
      <c r="S4186" s="6" t="s">
        <v>302</v>
      </c>
      <c r="T4186" s="6">
        <f t="shared" si="82"/>
        <v>4185</v>
      </c>
      <c r="U4186" s="4" t="s">
        <v>194</v>
      </c>
    </row>
    <row r="4187" spans="19:21" x14ac:dyDescent="0.25">
      <c r="S4187" s="6" t="s">
        <v>302</v>
      </c>
      <c r="T4187" s="6">
        <f t="shared" si="82"/>
        <v>4186</v>
      </c>
      <c r="U4187" s="4" t="s">
        <v>194</v>
      </c>
    </row>
    <row r="4188" spans="19:21" x14ac:dyDescent="0.25">
      <c r="S4188" s="6" t="s">
        <v>302</v>
      </c>
      <c r="T4188" s="6">
        <f t="shared" si="82"/>
        <v>4187</v>
      </c>
      <c r="U4188" s="4" t="s">
        <v>194</v>
      </c>
    </row>
    <row r="4189" spans="19:21" x14ac:dyDescent="0.25">
      <c r="S4189" s="6" t="s">
        <v>302</v>
      </c>
      <c r="T4189" s="6">
        <f t="shared" si="82"/>
        <v>4188</v>
      </c>
      <c r="U4189" s="4" t="s">
        <v>194</v>
      </c>
    </row>
    <row r="4190" spans="19:21" x14ac:dyDescent="0.25">
      <c r="S4190" s="6" t="s">
        <v>302</v>
      </c>
      <c r="T4190" s="6">
        <f t="shared" ref="T4190:T4253" si="83">T4189+1</f>
        <v>4189</v>
      </c>
      <c r="U4190" s="4" t="s">
        <v>194</v>
      </c>
    </row>
    <row r="4191" spans="19:21" x14ac:dyDescent="0.25">
      <c r="S4191" s="6" t="s">
        <v>302</v>
      </c>
      <c r="T4191" s="6">
        <f t="shared" si="83"/>
        <v>4190</v>
      </c>
      <c r="U4191" s="4" t="s">
        <v>194</v>
      </c>
    </row>
    <row r="4192" spans="19:21" x14ac:dyDescent="0.25">
      <c r="S4192" s="6" t="s">
        <v>302</v>
      </c>
      <c r="T4192" s="6">
        <f t="shared" si="83"/>
        <v>4191</v>
      </c>
      <c r="U4192" s="4" t="s">
        <v>194</v>
      </c>
    </row>
    <row r="4193" spans="19:21" x14ac:dyDescent="0.25">
      <c r="S4193" s="6" t="s">
        <v>302</v>
      </c>
      <c r="T4193" s="6">
        <f t="shared" si="83"/>
        <v>4192</v>
      </c>
      <c r="U4193" s="4" t="s">
        <v>194</v>
      </c>
    </row>
    <row r="4194" spans="19:21" x14ac:dyDescent="0.25">
      <c r="S4194" s="6" t="s">
        <v>302</v>
      </c>
      <c r="T4194" s="6">
        <f t="shared" si="83"/>
        <v>4193</v>
      </c>
      <c r="U4194" s="4" t="s">
        <v>194</v>
      </c>
    </row>
    <row r="4195" spans="19:21" x14ac:dyDescent="0.25">
      <c r="S4195" s="6" t="s">
        <v>302</v>
      </c>
      <c r="T4195" s="6">
        <f t="shared" si="83"/>
        <v>4194</v>
      </c>
      <c r="U4195" s="4" t="s">
        <v>194</v>
      </c>
    </row>
    <row r="4196" spans="19:21" x14ac:dyDescent="0.25">
      <c r="S4196" s="6" t="s">
        <v>302</v>
      </c>
      <c r="T4196" s="6">
        <f t="shared" si="83"/>
        <v>4195</v>
      </c>
      <c r="U4196" s="4" t="s">
        <v>194</v>
      </c>
    </row>
    <row r="4197" spans="19:21" x14ac:dyDescent="0.25">
      <c r="S4197" s="6" t="s">
        <v>302</v>
      </c>
      <c r="T4197" s="6">
        <f t="shared" si="83"/>
        <v>4196</v>
      </c>
      <c r="U4197" s="4" t="s">
        <v>194</v>
      </c>
    </row>
    <row r="4198" spans="19:21" x14ac:dyDescent="0.25">
      <c r="S4198" s="6" t="s">
        <v>302</v>
      </c>
      <c r="T4198" s="6">
        <f t="shared" si="83"/>
        <v>4197</v>
      </c>
      <c r="U4198" s="4" t="s">
        <v>194</v>
      </c>
    </row>
    <row r="4199" spans="19:21" x14ac:dyDescent="0.25">
      <c r="S4199" s="6" t="s">
        <v>302</v>
      </c>
      <c r="T4199" s="6">
        <f t="shared" si="83"/>
        <v>4198</v>
      </c>
      <c r="U4199" s="4" t="s">
        <v>194</v>
      </c>
    </row>
    <row r="4200" spans="19:21" x14ac:dyDescent="0.25">
      <c r="S4200" s="6" t="s">
        <v>302</v>
      </c>
      <c r="T4200" s="6">
        <f t="shared" si="83"/>
        <v>4199</v>
      </c>
      <c r="U4200" s="4" t="s">
        <v>194</v>
      </c>
    </row>
    <row r="4201" spans="19:21" x14ac:dyDescent="0.25">
      <c r="S4201" s="6" t="s">
        <v>302</v>
      </c>
      <c r="T4201" s="6">
        <f t="shared" si="83"/>
        <v>4200</v>
      </c>
      <c r="U4201" s="4" t="s">
        <v>194</v>
      </c>
    </row>
    <row r="4202" spans="19:21" x14ac:dyDescent="0.25">
      <c r="S4202" s="6" t="s">
        <v>302</v>
      </c>
      <c r="T4202" s="6">
        <f t="shared" si="83"/>
        <v>4201</v>
      </c>
      <c r="U4202" s="4" t="s">
        <v>194</v>
      </c>
    </row>
    <row r="4203" spans="19:21" x14ac:dyDescent="0.25">
      <c r="S4203" s="6" t="s">
        <v>302</v>
      </c>
      <c r="T4203" s="6">
        <f t="shared" si="83"/>
        <v>4202</v>
      </c>
      <c r="U4203" s="4" t="s">
        <v>194</v>
      </c>
    </row>
    <row r="4204" spans="19:21" x14ac:dyDescent="0.25">
      <c r="S4204" s="6" t="s">
        <v>302</v>
      </c>
      <c r="T4204" s="6">
        <f t="shared" si="83"/>
        <v>4203</v>
      </c>
      <c r="U4204" s="4" t="s">
        <v>194</v>
      </c>
    </row>
    <row r="4205" spans="19:21" x14ac:dyDescent="0.25">
      <c r="S4205" s="6" t="s">
        <v>302</v>
      </c>
      <c r="T4205" s="6">
        <f t="shared" si="83"/>
        <v>4204</v>
      </c>
      <c r="U4205" s="4" t="s">
        <v>194</v>
      </c>
    </row>
    <row r="4206" spans="19:21" x14ac:dyDescent="0.25">
      <c r="S4206" s="6" t="s">
        <v>302</v>
      </c>
      <c r="T4206" s="6">
        <f t="shared" si="83"/>
        <v>4205</v>
      </c>
      <c r="U4206" s="4" t="s">
        <v>194</v>
      </c>
    </row>
    <row r="4207" spans="19:21" x14ac:dyDescent="0.25">
      <c r="S4207" s="6" t="s">
        <v>302</v>
      </c>
      <c r="T4207" s="6">
        <f t="shared" si="83"/>
        <v>4206</v>
      </c>
      <c r="U4207" s="4" t="s">
        <v>194</v>
      </c>
    </row>
    <row r="4208" spans="19:21" x14ac:dyDescent="0.25">
      <c r="S4208" s="6" t="s">
        <v>302</v>
      </c>
      <c r="T4208" s="6">
        <f t="shared" si="83"/>
        <v>4207</v>
      </c>
      <c r="U4208" s="4" t="s">
        <v>194</v>
      </c>
    </row>
    <row r="4209" spans="19:21" x14ac:dyDescent="0.25">
      <c r="S4209" s="6" t="s">
        <v>302</v>
      </c>
      <c r="T4209" s="6">
        <f t="shared" si="83"/>
        <v>4208</v>
      </c>
      <c r="U4209" s="4" t="s">
        <v>194</v>
      </c>
    </row>
    <row r="4210" spans="19:21" x14ac:dyDescent="0.25">
      <c r="S4210" s="6" t="s">
        <v>302</v>
      </c>
      <c r="T4210" s="6">
        <f t="shared" si="83"/>
        <v>4209</v>
      </c>
      <c r="U4210" s="4" t="s">
        <v>194</v>
      </c>
    </row>
    <row r="4211" spans="19:21" x14ac:dyDescent="0.25">
      <c r="S4211" s="6" t="s">
        <v>302</v>
      </c>
      <c r="T4211" s="6">
        <f t="shared" si="83"/>
        <v>4210</v>
      </c>
      <c r="U4211" s="4" t="s">
        <v>194</v>
      </c>
    </row>
    <row r="4212" spans="19:21" x14ac:dyDescent="0.25">
      <c r="S4212" s="6" t="s">
        <v>302</v>
      </c>
      <c r="T4212" s="6">
        <f t="shared" si="83"/>
        <v>4211</v>
      </c>
      <c r="U4212" s="4" t="s">
        <v>194</v>
      </c>
    </row>
    <row r="4213" spans="19:21" x14ac:dyDescent="0.25">
      <c r="S4213" s="6" t="s">
        <v>302</v>
      </c>
      <c r="T4213" s="6">
        <f t="shared" si="83"/>
        <v>4212</v>
      </c>
      <c r="U4213" s="4" t="s">
        <v>194</v>
      </c>
    </row>
    <row r="4214" spans="19:21" x14ac:dyDescent="0.25">
      <c r="S4214" s="6" t="s">
        <v>302</v>
      </c>
      <c r="T4214" s="6">
        <f t="shared" si="83"/>
        <v>4213</v>
      </c>
      <c r="U4214" s="4" t="s">
        <v>194</v>
      </c>
    </row>
    <row r="4215" spans="19:21" x14ac:dyDescent="0.25">
      <c r="S4215" s="6" t="s">
        <v>302</v>
      </c>
      <c r="T4215" s="6">
        <f t="shared" si="83"/>
        <v>4214</v>
      </c>
      <c r="U4215" s="4" t="s">
        <v>194</v>
      </c>
    </row>
    <row r="4216" spans="19:21" x14ac:dyDescent="0.25">
      <c r="S4216" s="6" t="s">
        <v>302</v>
      </c>
      <c r="T4216" s="6">
        <f t="shared" si="83"/>
        <v>4215</v>
      </c>
      <c r="U4216" s="4" t="s">
        <v>194</v>
      </c>
    </row>
    <row r="4217" spans="19:21" x14ac:dyDescent="0.25">
      <c r="S4217" s="6" t="s">
        <v>302</v>
      </c>
      <c r="T4217" s="6">
        <f t="shared" si="83"/>
        <v>4216</v>
      </c>
      <c r="U4217" s="4" t="s">
        <v>194</v>
      </c>
    </row>
    <row r="4218" spans="19:21" x14ac:dyDescent="0.25">
      <c r="S4218" s="6" t="s">
        <v>302</v>
      </c>
      <c r="T4218" s="6">
        <f t="shared" si="83"/>
        <v>4217</v>
      </c>
      <c r="U4218" s="4" t="s">
        <v>194</v>
      </c>
    </row>
    <row r="4219" spans="19:21" x14ac:dyDescent="0.25">
      <c r="S4219" s="6" t="s">
        <v>302</v>
      </c>
      <c r="T4219" s="6">
        <f t="shared" si="83"/>
        <v>4218</v>
      </c>
      <c r="U4219" s="4" t="s">
        <v>194</v>
      </c>
    </row>
    <row r="4220" spans="19:21" x14ac:dyDescent="0.25">
      <c r="S4220" s="6" t="s">
        <v>302</v>
      </c>
      <c r="T4220" s="6">
        <f t="shared" si="83"/>
        <v>4219</v>
      </c>
      <c r="U4220" s="4" t="s">
        <v>194</v>
      </c>
    </row>
    <row r="4221" spans="19:21" x14ac:dyDescent="0.25">
      <c r="S4221" s="6" t="s">
        <v>302</v>
      </c>
      <c r="T4221" s="6">
        <f t="shared" si="83"/>
        <v>4220</v>
      </c>
      <c r="U4221" s="4" t="s">
        <v>194</v>
      </c>
    </row>
    <row r="4222" spans="19:21" x14ac:dyDescent="0.25">
      <c r="S4222" s="6" t="s">
        <v>302</v>
      </c>
      <c r="T4222" s="6">
        <f t="shared" si="83"/>
        <v>4221</v>
      </c>
      <c r="U4222" s="4" t="s">
        <v>194</v>
      </c>
    </row>
    <row r="4223" spans="19:21" x14ac:dyDescent="0.25">
      <c r="S4223" s="6" t="s">
        <v>302</v>
      </c>
      <c r="T4223" s="6">
        <f t="shared" si="83"/>
        <v>4222</v>
      </c>
      <c r="U4223" s="4" t="s">
        <v>194</v>
      </c>
    </row>
    <row r="4224" spans="19:21" x14ac:dyDescent="0.25">
      <c r="S4224" s="6" t="s">
        <v>302</v>
      </c>
      <c r="T4224" s="6">
        <f t="shared" si="83"/>
        <v>4223</v>
      </c>
      <c r="U4224" s="4" t="s">
        <v>194</v>
      </c>
    </row>
    <row r="4225" spans="19:21" x14ac:dyDescent="0.25">
      <c r="S4225" s="6" t="s">
        <v>302</v>
      </c>
      <c r="T4225" s="6">
        <f t="shared" si="83"/>
        <v>4224</v>
      </c>
      <c r="U4225" s="4" t="s">
        <v>194</v>
      </c>
    </row>
    <row r="4226" spans="19:21" x14ac:dyDescent="0.25">
      <c r="S4226" s="6" t="s">
        <v>302</v>
      </c>
      <c r="T4226" s="6">
        <f t="shared" si="83"/>
        <v>4225</v>
      </c>
      <c r="U4226" s="4" t="s">
        <v>194</v>
      </c>
    </row>
    <row r="4227" spans="19:21" x14ac:dyDescent="0.25">
      <c r="S4227" s="6" t="s">
        <v>302</v>
      </c>
      <c r="T4227" s="6">
        <f t="shared" si="83"/>
        <v>4226</v>
      </c>
      <c r="U4227" s="4" t="s">
        <v>194</v>
      </c>
    </row>
    <row r="4228" spans="19:21" x14ac:dyDescent="0.25">
      <c r="S4228" s="6" t="s">
        <v>302</v>
      </c>
      <c r="T4228" s="6">
        <f t="shared" si="83"/>
        <v>4227</v>
      </c>
      <c r="U4228" s="4" t="s">
        <v>194</v>
      </c>
    </row>
    <row r="4229" spans="19:21" x14ac:dyDescent="0.25">
      <c r="S4229" s="6" t="s">
        <v>302</v>
      </c>
      <c r="T4229" s="6">
        <f t="shared" si="83"/>
        <v>4228</v>
      </c>
      <c r="U4229" s="4" t="s">
        <v>194</v>
      </c>
    </row>
    <row r="4230" spans="19:21" x14ac:dyDescent="0.25">
      <c r="S4230" s="6" t="s">
        <v>302</v>
      </c>
      <c r="T4230" s="6">
        <f t="shared" si="83"/>
        <v>4229</v>
      </c>
      <c r="U4230" s="4" t="s">
        <v>194</v>
      </c>
    </row>
    <row r="4231" spans="19:21" x14ac:dyDescent="0.25">
      <c r="S4231" s="6" t="s">
        <v>302</v>
      </c>
      <c r="T4231" s="6">
        <f t="shared" si="83"/>
        <v>4230</v>
      </c>
      <c r="U4231" s="4" t="s">
        <v>194</v>
      </c>
    </row>
    <row r="4232" spans="19:21" x14ac:dyDescent="0.25">
      <c r="S4232" s="6" t="s">
        <v>302</v>
      </c>
      <c r="T4232" s="6">
        <f t="shared" si="83"/>
        <v>4231</v>
      </c>
      <c r="U4232" s="4" t="s">
        <v>194</v>
      </c>
    </row>
    <row r="4233" spans="19:21" x14ac:dyDescent="0.25">
      <c r="S4233" s="6" t="s">
        <v>302</v>
      </c>
      <c r="T4233" s="6">
        <f t="shared" si="83"/>
        <v>4232</v>
      </c>
      <c r="U4233" s="4" t="s">
        <v>194</v>
      </c>
    </row>
    <row r="4234" spans="19:21" x14ac:dyDescent="0.25">
      <c r="S4234" s="6" t="s">
        <v>302</v>
      </c>
      <c r="T4234" s="6">
        <f t="shared" si="83"/>
        <v>4233</v>
      </c>
      <c r="U4234" s="4" t="s">
        <v>194</v>
      </c>
    </row>
    <row r="4235" spans="19:21" x14ac:dyDescent="0.25">
      <c r="S4235" s="6" t="s">
        <v>302</v>
      </c>
      <c r="T4235" s="6">
        <f t="shared" si="83"/>
        <v>4234</v>
      </c>
      <c r="U4235" s="4" t="s">
        <v>194</v>
      </c>
    </row>
    <row r="4236" spans="19:21" x14ac:dyDescent="0.25">
      <c r="S4236" s="6" t="s">
        <v>302</v>
      </c>
      <c r="T4236" s="6">
        <f t="shared" si="83"/>
        <v>4235</v>
      </c>
      <c r="U4236" s="4" t="s">
        <v>194</v>
      </c>
    </row>
    <row r="4237" spans="19:21" x14ac:dyDescent="0.25">
      <c r="S4237" s="6" t="s">
        <v>302</v>
      </c>
      <c r="T4237" s="6">
        <f t="shared" si="83"/>
        <v>4236</v>
      </c>
      <c r="U4237" s="4" t="s">
        <v>194</v>
      </c>
    </row>
    <row r="4238" spans="19:21" x14ac:dyDescent="0.25">
      <c r="S4238" s="6" t="s">
        <v>302</v>
      </c>
      <c r="T4238" s="6">
        <f t="shared" si="83"/>
        <v>4237</v>
      </c>
      <c r="U4238" s="4" t="s">
        <v>194</v>
      </c>
    </row>
    <row r="4239" spans="19:21" x14ac:dyDescent="0.25">
      <c r="S4239" s="6" t="s">
        <v>302</v>
      </c>
      <c r="T4239" s="6">
        <f t="shared" si="83"/>
        <v>4238</v>
      </c>
      <c r="U4239" s="4" t="s">
        <v>194</v>
      </c>
    </row>
    <row r="4240" spans="19:21" x14ac:dyDescent="0.25">
      <c r="S4240" s="6" t="s">
        <v>302</v>
      </c>
      <c r="T4240" s="6">
        <f t="shared" si="83"/>
        <v>4239</v>
      </c>
      <c r="U4240" s="4" t="s">
        <v>194</v>
      </c>
    </row>
    <row r="4241" spans="19:21" x14ac:dyDescent="0.25">
      <c r="S4241" s="6" t="s">
        <v>302</v>
      </c>
      <c r="T4241" s="6">
        <f t="shared" si="83"/>
        <v>4240</v>
      </c>
      <c r="U4241" s="4" t="s">
        <v>194</v>
      </c>
    </row>
    <row r="4242" spans="19:21" x14ac:dyDescent="0.25">
      <c r="S4242" s="6" t="s">
        <v>302</v>
      </c>
      <c r="T4242" s="6">
        <f t="shared" si="83"/>
        <v>4241</v>
      </c>
      <c r="U4242" s="4" t="s">
        <v>194</v>
      </c>
    </row>
    <row r="4243" spans="19:21" x14ac:dyDescent="0.25">
      <c r="S4243" s="6" t="s">
        <v>302</v>
      </c>
      <c r="T4243" s="6">
        <f t="shared" si="83"/>
        <v>4242</v>
      </c>
      <c r="U4243" s="4" t="s">
        <v>194</v>
      </c>
    </row>
    <row r="4244" spans="19:21" x14ac:dyDescent="0.25">
      <c r="S4244" s="6" t="s">
        <v>302</v>
      </c>
      <c r="T4244" s="6">
        <f t="shared" si="83"/>
        <v>4243</v>
      </c>
      <c r="U4244" s="4" t="s">
        <v>194</v>
      </c>
    </row>
    <row r="4245" spans="19:21" x14ac:dyDescent="0.25">
      <c r="S4245" s="6" t="s">
        <v>302</v>
      </c>
      <c r="T4245" s="6">
        <f t="shared" si="83"/>
        <v>4244</v>
      </c>
      <c r="U4245" s="4" t="s">
        <v>194</v>
      </c>
    </row>
    <row r="4246" spans="19:21" x14ac:dyDescent="0.25">
      <c r="S4246" s="6" t="s">
        <v>302</v>
      </c>
      <c r="T4246" s="6">
        <f t="shared" si="83"/>
        <v>4245</v>
      </c>
      <c r="U4246" s="4" t="s">
        <v>194</v>
      </c>
    </row>
    <row r="4247" spans="19:21" x14ac:dyDescent="0.25">
      <c r="S4247" s="6" t="s">
        <v>302</v>
      </c>
      <c r="T4247" s="6">
        <f t="shared" si="83"/>
        <v>4246</v>
      </c>
      <c r="U4247" s="4" t="s">
        <v>194</v>
      </c>
    </row>
    <row r="4248" spans="19:21" x14ac:dyDescent="0.25">
      <c r="S4248" s="6" t="s">
        <v>302</v>
      </c>
      <c r="T4248" s="6">
        <f t="shared" si="83"/>
        <v>4247</v>
      </c>
      <c r="U4248" s="4" t="s">
        <v>194</v>
      </c>
    </row>
    <row r="4249" spans="19:21" x14ac:dyDescent="0.25">
      <c r="S4249" s="6" t="s">
        <v>302</v>
      </c>
      <c r="T4249" s="6">
        <f t="shared" si="83"/>
        <v>4248</v>
      </c>
      <c r="U4249" s="4" t="s">
        <v>194</v>
      </c>
    </row>
    <row r="4250" spans="19:21" x14ac:dyDescent="0.25">
      <c r="S4250" s="6" t="s">
        <v>302</v>
      </c>
      <c r="T4250" s="6">
        <f t="shared" si="83"/>
        <v>4249</v>
      </c>
      <c r="U4250" s="4" t="s">
        <v>194</v>
      </c>
    </row>
    <row r="4251" spans="19:21" x14ac:dyDescent="0.25">
      <c r="S4251" s="6" t="s">
        <v>302</v>
      </c>
      <c r="T4251" s="6">
        <f t="shared" si="83"/>
        <v>4250</v>
      </c>
      <c r="U4251" s="4" t="s">
        <v>194</v>
      </c>
    </row>
    <row r="4252" spans="19:21" x14ac:dyDescent="0.25">
      <c r="S4252" s="6" t="s">
        <v>302</v>
      </c>
      <c r="T4252" s="6">
        <f t="shared" si="83"/>
        <v>4251</v>
      </c>
      <c r="U4252" s="4" t="s">
        <v>194</v>
      </c>
    </row>
    <row r="4253" spans="19:21" x14ac:dyDescent="0.25">
      <c r="S4253" s="6" t="s">
        <v>302</v>
      </c>
      <c r="T4253" s="6">
        <f t="shared" si="83"/>
        <v>4252</v>
      </c>
      <c r="U4253" s="4" t="s">
        <v>194</v>
      </c>
    </row>
    <row r="4254" spans="19:21" x14ac:dyDescent="0.25">
      <c r="S4254" s="6" t="s">
        <v>302</v>
      </c>
      <c r="T4254" s="6">
        <f t="shared" ref="T4254:T4317" si="84">T4253+1</f>
        <v>4253</v>
      </c>
      <c r="U4254" s="4" t="s">
        <v>194</v>
      </c>
    </row>
    <row r="4255" spans="19:21" x14ac:dyDescent="0.25">
      <c r="S4255" s="6" t="s">
        <v>302</v>
      </c>
      <c r="T4255" s="6">
        <f t="shared" si="84"/>
        <v>4254</v>
      </c>
      <c r="U4255" s="4" t="s">
        <v>194</v>
      </c>
    </row>
    <row r="4256" spans="19:21" x14ac:dyDescent="0.25">
      <c r="S4256" s="6" t="s">
        <v>302</v>
      </c>
      <c r="T4256" s="6">
        <f t="shared" si="84"/>
        <v>4255</v>
      </c>
      <c r="U4256" s="4" t="s">
        <v>194</v>
      </c>
    </row>
    <row r="4257" spans="19:21" x14ac:dyDescent="0.25">
      <c r="S4257" s="6" t="s">
        <v>302</v>
      </c>
      <c r="T4257" s="6">
        <f t="shared" si="84"/>
        <v>4256</v>
      </c>
      <c r="U4257" s="4" t="s">
        <v>194</v>
      </c>
    </row>
    <row r="4258" spans="19:21" x14ac:dyDescent="0.25">
      <c r="S4258" s="6" t="s">
        <v>302</v>
      </c>
      <c r="T4258" s="6">
        <f t="shared" si="84"/>
        <v>4257</v>
      </c>
      <c r="U4258" s="4" t="s">
        <v>194</v>
      </c>
    </row>
    <row r="4259" spans="19:21" x14ac:dyDescent="0.25">
      <c r="S4259" s="6" t="s">
        <v>302</v>
      </c>
      <c r="T4259" s="6">
        <f t="shared" si="84"/>
        <v>4258</v>
      </c>
      <c r="U4259" s="4" t="s">
        <v>194</v>
      </c>
    </row>
    <row r="4260" spans="19:21" x14ac:dyDescent="0.25">
      <c r="S4260" s="6" t="s">
        <v>302</v>
      </c>
      <c r="T4260" s="6">
        <f t="shared" si="84"/>
        <v>4259</v>
      </c>
      <c r="U4260" s="4" t="s">
        <v>194</v>
      </c>
    </row>
    <row r="4261" spans="19:21" x14ac:dyDescent="0.25">
      <c r="S4261" s="6" t="s">
        <v>302</v>
      </c>
      <c r="T4261" s="6">
        <f t="shared" si="84"/>
        <v>4260</v>
      </c>
      <c r="U4261" s="4" t="s">
        <v>194</v>
      </c>
    </row>
    <row r="4262" spans="19:21" x14ac:dyDescent="0.25">
      <c r="S4262" s="6" t="s">
        <v>302</v>
      </c>
      <c r="T4262" s="6">
        <f t="shared" si="84"/>
        <v>4261</v>
      </c>
      <c r="U4262" s="4" t="s">
        <v>194</v>
      </c>
    </row>
    <row r="4263" spans="19:21" x14ac:dyDescent="0.25">
      <c r="S4263" s="6" t="s">
        <v>302</v>
      </c>
      <c r="T4263" s="6">
        <f t="shared" si="84"/>
        <v>4262</v>
      </c>
      <c r="U4263" s="4" t="s">
        <v>194</v>
      </c>
    </row>
    <row r="4264" spans="19:21" x14ac:dyDescent="0.25">
      <c r="S4264" s="6" t="s">
        <v>302</v>
      </c>
      <c r="T4264" s="6">
        <f t="shared" si="84"/>
        <v>4263</v>
      </c>
      <c r="U4264" s="4" t="s">
        <v>194</v>
      </c>
    </row>
    <row r="4265" spans="19:21" x14ac:dyDescent="0.25">
      <c r="S4265" s="6" t="s">
        <v>302</v>
      </c>
      <c r="T4265" s="6">
        <f t="shared" si="84"/>
        <v>4264</v>
      </c>
      <c r="U4265" s="4" t="s">
        <v>194</v>
      </c>
    </row>
    <row r="4266" spans="19:21" x14ac:dyDescent="0.25">
      <c r="S4266" s="6" t="s">
        <v>302</v>
      </c>
      <c r="T4266" s="6">
        <f t="shared" si="84"/>
        <v>4265</v>
      </c>
      <c r="U4266" s="4" t="s">
        <v>194</v>
      </c>
    </row>
    <row r="4267" spans="19:21" x14ac:dyDescent="0.25">
      <c r="S4267" s="6" t="s">
        <v>302</v>
      </c>
      <c r="T4267" s="6">
        <f t="shared" si="84"/>
        <v>4266</v>
      </c>
      <c r="U4267" s="4" t="s">
        <v>194</v>
      </c>
    </row>
    <row r="4268" spans="19:21" x14ac:dyDescent="0.25">
      <c r="S4268" s="6" t="s">
        <v>302</v>
      </c>
      <c r="T4268" s="6">
        <f t="shared" si="84"/>
        <v>4267</v>
      </c>
      <c r="U4268" s="4" t="s">
        <v>194</v>
      </c>
    </row>
    <row r="4269" spans="19:21" x14ac:dyDescent="0.25">
      <c r="S4269" s="6" t="s">
        <v>302</v>
      </c>
      <c r="T4269" s="6">
        <f t="shared" si="84"/>
        <v>4268</v>
      </c>
      <c r="U4269" s="4" t="s">
        <v>194</v>
      </c>
    </row>
    <row r="4270" spans="19:21" x14ac:dyDescent="0.25">
      <c r="S4270" s="6" t="s">
        <v>302</v>
      </c>
      <c r="T4270" s="6">
        <f t="shared" si="84"/>
        <v>4269</v>
      </c>
      <c r="U4270" s="4" t="s">
        <v>194</v>
      </c>
    </row>
    <row r="4271" spans="19:21" x14ac:dyDescent="0.25">
      <c r="S4271" s="6" t="s">
        <v>302</v>
      </c>
      <c r="T4271" s="6">
        <f t="shared" si="84"/>
        <v>4270</v>
      </c>
      <c r="U4271" s="4" t="s">
        <v>194</v>
      </c>
    </row>
    <row r="4272" spans="19:21" x14ac:dyDescent="0.25">
      <c r="S4272" s="6" t="s">
        <v>302</v>
      </c>
      <c r="T4272" s="6">
        <f t="shared" si="84"/>
        <v>4271</v>
      </c>
      <c r="U4272" s="4" t="s">
        <v>194</v>
      </c>
    </row>
    <row r="4273" spans="19:21" x14ac:dyDescent="0.25">
      <c r="S4273" s="6" t="s">
        <v>302</v>
      </c>
      <c r="T4273" s="6">
        <f t="shared" si="84"/>
        <v>4272</v>
      </c>
      <c r="U4273" s="4" t="s">
        <v>194</v>
      </c>
    </row>
    <row r="4274" spans="19:21" x14ac:dyDescent="0.25">
      <c r="S4274" s="6" t="s">
        <v>302</v>
      </c>
      <c r="T4274" s="6">
        <f t="shared" si="84"/>
        <v>4273</v>
      </c>
      <c r="U4274" s="4" t="s">
        <v>194</v>
      </c>
    </row>
    <row r="4275" spans="19:21" x14ac:dyDescent="0.25">
      <c r="S4275" s="6" t="s">
        <v>302</v>
      </c>
      <c r="T4275" s="6">
        <f t="shared" si="84"/>
        <v>4274</v>
      </c>
      <c r="U4275" s="4" t="s">
        <v>194</v>
      </c>
    </row>
    <row r="4276" spans="19:21" x14ac:dyDescent="0.25">
      <c r="S4276" s="6" t="s">
        <v>302</v>
      </c>
      <c r="T4276" s="6">
        <f t="shared" si="84"/>
        <v>4275</v>
      </c>
      <c r="U4276" s="4" t="s">
        <v>194</v>
      </c>
    </row>
    <row r="4277" spans="19:21" x14ac:dyDescent="0.25">
      <c r="S4277" s="6" t="s">
        <v>302</v>
      </c>
      <c r="T4277" s="6">
        <f t="shared" si="84"/>
        <v>4276</v>
      </c>
      <c r="U4277" s="4" t="s">
        <v>194</v>
      </c>
    </row>
    <row r="4278" spans="19:21" x14ac:dyDescent="0.25">
      <c r="S4278" s="6" t="s">
        <v>302</v>
      </c>
      <c r="T4278" s="6">
        <f t="shared" si="84"/>
        <v>4277</v>
      </c>
      <c r="U4278" s="4" t="s">
        <v>194</v>
      </c>
    </row>
    <row r="4279" spans="19:21" x14ac:dyDescent="0.25">
      <c r="S4279" s="6" t="s">
        <v>302</v>
      </c>
      <c r="T4279" s="6">
        <f t="shared" si="84"/>
        <v>4278</v>
      </c>
      <c r="U4279" s="4" t="s">
        <v>194</v>
      </c>
    </row>
    <row r="4280" spans="19:21" x14ac:dyDescent="0.25">
      <c r="S4280" s="6" t="s">
        <v>302</v>
      </c>
      <c r="T4280" s="6">
        <f t="shared" si="84"/>
        <v>4279</v>
      </c>
      <c r="U4280" s="4" t="s">
        <v>194</v>
      </c>
    </row>
    <row r="4281" spans="19:21" x14ac:dyDescent="0.25">
      <c r="S4281" s="6" t="s">
        <v>302</v>
      </c>
      <c r="T4281" s="6">
        <f t="shared" si="84"/>
        <v>4280</v>
      </c>
      <c r="U4281" s="4" t="s">
        <v>194</v>
      </c>
    </row>
    <row r="4282" spans="19:21" x14ac:dyDescent="0.25">
      <c r="S4282" s="6" t="s">
        <v>302</v>
      </c>
      <c r="T4282" s="6">
        <f t="shared" si="84"/>
        <v>4281</v>
      </c>
      <c r="U4282" s="4" t="s">
        <v>194</v>
      </c>
    </row>
    <row r="4283" spans="19:21" x14ac:dyDescent="0.25">
      <c r="S4283" s="6" t="s">
        <v>302</v>
      </c>
      <c r="T4283" s="6">
        <f t="shared" si="84"/>
        <v>4282</v>
      </c>
      <c r="U4283" s="4" t="s">
        <v>194</v>
      </c>
    </row>
    <row r="4284" spans="19:21" x14ac:dyDescent="0.25">
      <c r="S4284" s="6" t="s">
        <v>302</v>
      </c>
      <c r="T4284" s="6">
        <f t="shared" si="84"/>
        <v>4283</v>
      </c>
      <c r="U4284" s="4" t="s">
        <v>194</v>
      </c>
    </row>
    <row r="4285" spans="19:21" x14ac:dyDescent="0.25">
      <c r="S4285" s="6" t="s">
        <v>302</v>
      </c>
      <c r="T4285" s="6">
        <f t="shared" si="84"/>
        <v>4284</v>
      </c>
      <c r="U4285" s="4" t="s">
        <v>194</v>
      </c>
    </row>
    <row r="4286" spans="19:21" x14ac:dyDescent="0.25">
      <c r="S4286" s="6" t="s">
        <v>302</v>
      </c>
      <c r="T4286" s="6">
        <f t="shared" si="84"/>
        <v>4285</v>
      </c>
      <c r="U4286" s="4" t="s">
        <v>194</v>
      </c>
    </row>
    <row r="4287" spans="19:21" x14ac:dyDescent="0.25">
      <c r="S4287" s="6" t="s">
        <v>302</v>
      </c>
      <c r="T4287" s="6">
        <f t="shared" si="84"/>
        <v>4286</v>
      </c>
      <c r="U4287" s="4" t="s">
        <v>194</v>
      </c>
    </row>
    <row r="4288" spans="19:21" x14ac:dyDescent="0.25">
      <c r="S4288" s="6" t="s">
        <v>302</v>
      </c>
      <c r="T4288" s="6">
        <f t="shared" si="84"/>
        <v>4287</v>
      </c>
      <c r="U4288" s="4" t="s">
        <v>194</v>
      </c>
    </row>
    <row r="4289" spans="19:21" x14ac:dyDescent="0.25">
      <c r="S4289" s="6" t="s">
        <v>302</v>
      </c>
      <c r="T4289" s="6">
        <f t="shared" si="84"/>
        <v>4288</v>
      </c>
      <c r="U4289" s="4" t="s">
        <v>194</v>
      </c>
    </row>
    <row r="4290" spans="19:21" x14ac:dyDescent="0.25">
      <c r="S4290" s="6" t="s">
        <v>302</v>
      </c>
      <c r="T4290" s="6">
        <f t="shared" si="84"/>
        <v>4289</v>
      </c>
      <c r="U4290" s="4" t="s">
        <v>194</v>
      </c>
    </row>
    <row r="4291" spans="19:21" x14ac:dyDescent="0.25">
      <c r="S4291" s="6" t="s">
        <v>302</v>
      </c>
      <c r="T4291" s="6">
        <f t="shared" si="84"/>
        <v>4290</v>
      </c>
      <c r="U4291" s="4" t="s">
        <v>194</v>
      </c>
    </row>
    <row r="4292" spans="19:21" x14ac:dyDescent="0.25">
      <c r="S4292" s="6" t="s">
        <v>302</v>
      </c>
      <c r="T4292" s="6">
        <f t="shared" si="84"/>
        <v>4291</v>
      </c>
      <c r="U4292" s="4" t="s">
        <v>194</v>
      </c>
    </row>
    <row r="4293" spans="19:21" x14ac:dyDescent="0.25">
      <c r="S4293" s="6" t="s">
        <v>302</v>
      </c>
      <c r="T4293" s="6">
        <f t="shared" si="84"/>
        <v>4292</v>
      </c>
      <c r="U4293" s="4" t="s">
        <v>194</v>
      </c>
    </row>
    <row r="4294" spans="19:21" x14ac:dyDescent="0.25">
      <c r="S4294" s="6" t="s">
        <v>302</v>
      </c>
      <c r="T4294" s="6">
        <f t="shared" si="84"/>
        <v>4293</v>
      </c>
      <c r="U4294" s="4" t="s">
        <v>194</v>
      </c>
    </row>
    <row r="4295" spans="19:21" x14ac:dyDescent="0.25">
      <c r="S4295" s="6" t="s">
        <v>302</v>
      </c>
      <c r="T4295" s="6">
        <f t="shared" si="84"/>
        <v>4294</v>
      </c>
      <c r="U4295" s="4" t="s">
        <v>194</v>
      </c>
    </row>
    <row r="4296" spans="19:21" x14ac:dyDescent="0.25">
      <c r="S4296" s="6" t="s">
        <v>302</v>
      </c>
      <c r="T4296" s="6">
        <f t="shared" si="84"/>
        <v>4295</v>
      </c>
      <c r="U4296" s="4" t="s">
        <v>194</v>
      </c>
    </row>
    <row r="4297" spans="19:21" x14ac:dyDescent="0.25">
      <c r="S4297" s="6" t="s">
        <v>302</v>
      </c>
      <c r="T4297" s="6">
        <f t="shared" si="84"/>
        <v>4296</v>
      </c>
      <c r="U4297" s="4" t="s">
        <v>194</v>
      </c>
    </row>
    <row r="4298" spans="19:21" x14ac:dyDescent="0.25">
      <c r="S4298" s="6" t="s">
        <v>302</v>
      </c>
      <c r="T4298" s="6">
        <f t="shared" si="84"/>
        <v>4297</v>
      </c>
      <c r="U4298" s="4" t="s">
        <v>194</v>
      </c>
    </row>
    <row r="4299" spans="19:21" x14ac:dyDescent="0.25">
      <c r="S4299" s="6" t="s">
        <v>302</v>
      </c>
      <c r="T4299" s="6">
        <f t="shared" si="84"/>
        <v>4298</v>
      </c>
      <c r="U4299" s="4" t="s">
        <v>194</v>
      </c>
    </row>
    <row r="4300" spans="19:21" x14ac:dyDescent="0.25">
      <c r="S4300" s="6" t="s">
        <v>302</v>
      </c>
      <c r="T4300" s="6">
        <f t="shared" si="84"/>
        <v>4299</v>
      </c>
      <c r="U4300" s="4" t="s">
        <v>194</v>
      </c>
    </row>
    <row r="4301" spans="19:21" x14ac:dyDescent="0.25">
      <c r="S4301" s="6" t="s">
        <v>302</v>
      </c>
      <c r="T4301" s="6">
        <f t="shared" si="84"/>
        <v>4300</v>
      </c>
      <c r="U4301" s="4" t="s">
        <v>194</v>
      </c>
    </row>
    <row r="4302" spans="19:21" x14ac:dyDescent="0.25">
      <c r="S4302" s="6" t="s">
        <v>302</v>
      </c>
      <c r="T4302" s="6">
        <f t="shared" si="84"/>
        <v>4301</v>
      </c>
      <c r="U4302" s="4" t="s">
        <v>194</v>
      </c>
    </row>
    <row r="4303" spans="19:21" x14ac:dyDescent="0.25">
      <c r="S4303" s="6" t="s">
        <v>302</v>
      </c>
      <c r="T4303" s="6">
        <f t="shared" si="84"/>
        <v>4302</v>
      </c>
      <c r="U4303" s="4" t="s">
        <v>194</v>
      </c>
    </row>
    <row r="4304" spans="19:21" x14ac:dyDescent="0.25">
      <c r="S4304" s="6" t="s">
        <v>302</v>
      </c>
      <c r="T4304" s="6">
        <f t="shared" si="84"/>
        <v>4303</v>
      </c>
      <c r="U4304" s="4" t="s">
        <v>194</v>
      </c>
    </row>
    <row r="4305" spans="19:21" x14ac:dyDescent="0.25">
      <c r="S4305" s="6" t="s">
        <v>302</v>
      </c>
      <c r="T4305" s="6">
        <f t="shared" si="84"/>
        <v>4304</v>
      </c>
      <c r="U4305" s="4" t="s">
        <v>194</v>
      </c>
    </row>
    <row r="4306" spans="19:21" x14ac:dyDescent="0.25">
      <c r="S4306" s="6" t="s">
        <v>302</v>
      </c>
      <c r="T4306" s="6">
        <f t="shared" si="84"/>
        <v>4305</v>
      </c>
      <c r="U4306" s="4" t="s">
        <v>194</v>
      </c>
    </row>
    <row r="4307" spans="19:21" x14ac:dyDescent="0.25">
      <c r="S4307" s="6" t="s">
        <v>302</v>
      </c>
      <c r="T4307" s="6">
        <f t="shared" si="84"/>
        <v>4306</v>
      </c>
      <c r="U4307" s="4" t="s">
        <v>194</v>
      </c>
    </row>
    <row r="4308" spans="19:21" x14ac:dyDescent="0.25">
      <c r="S4308" s="6" t="s">
        <v>302</v>
      </c>
      <c r="T4308" s="6">
        <f t="shared" si="84"/>
        <v>4307</v>
      </c>
      <c r="U4308" s="4" t="s">
        <v>194</v>
      </c>
    </row>
    <row r="4309" spans="19:21" x14ac:dyDescent="0.25">
      <c r="S4309" s="6" t="s">
        <v>302</v>
      </c>
      <c r="T4309" s="6">
        <f t="shared" si="84"/>
        <v>4308</v>
      </c>
      <c r="U4309" s="4" t="s">
        <v>194</v>
      </c>
    </row>
    <row r="4310" spans="19:21" x14ac:dyDescent="0.25">
      <c r="S4310" s="6" t="s">
        <v>302</v>
      </c>
      <c r="T4310" s="6">
        <f t="shared" si="84"/>
        <v>4309</v>
      </c>
      <c r="U4310" s="4" t="s">
        <v>194</v>
      </c>
    </row>
    <row r="4311" spans="19:21" x14ac:dyDescent="0.25">
      <c r="S4311" s="6" t="s">
        <v>302</v>
      </c>
      <c r="T4311" s="6">
        <f t="shared" si="84"/>
        <v>4310</v>
      </c>
      <c r="U4311" s="4" t="s">
        <v>194</v>
      </c>
    </row>
    <row r="4312" spans="19:21" x14ac:dyDescent="0.25">
      <c r="S4312" s="6" t="s">
        <v>302</v>
      </c>
      <c r="T4312" s="6">
        <f t="shared" si="84"/>
        <v>4311</v>
      </c>
      <c r="U4312" s="4" t="s">
        <v>194</v>
      </c>
    </row>
    <row r="4313" spans="19:21" x14ac:dyDescent="0.25">
      <c r="S4313" s="6" t="s">
        <v>302</v>
      </c>
      <c r="T4313" s="6">
        <f t="shared" si="84"/>
        <v>4312</v>
      </c>
      <c r="U4313" s="4" t="s">
        <v>194</v>
      </c>
    </row>
    <row r="4314" spans="19:21" x14ac:dyDescent="0.25">
      <c r="S4314" s="6" t="s">
        <v>302</v>
      </c>
      <c r="T4314" s="6">
        <f t="shared" si="84"/>
        <v>4313</v>
      </c>
      <c r="U4314" s="4" t="s">
        <v>194</v>
      </c>
    </row>
    <row r="4315" spans="19:21" x14ac:dyDescent="0.25">
      <c r="S4315" s="6" t="s">
        <v>302</v>
      </c>
      <c r="T4315" s="6">
        <f t="shared" si="84"/>
        <v>4314</v>
      </c>
      <c r="U4315" s="4" t="s">
        <v>194</v>
      </c>
    </row>
    <row r="4316" spans="19:21" x14ac:dyDescent="0.25">
      <c r="S4316" s="6" t="s">
        <v>302</v>
      </c>
      <c r="T4316" s="6">
        <f t="shared" si="84"/>
        <v>4315</v>
      </c>
      <c r="U4316" s="4" t="s">
        <v>194</v>
      </c>
    </row>
    <row r="4317" spans="19:21" x14ac:dyDescent="0.25">
      <c r="S4317" s="6" t="s">
        <v>302</v>
      </c>
      <c r="T4317" s="6">
        <f t="shared" si="84"/>
        <v>4316</v>
      </c>
      <c r="U4317" s="4" t="s">
        <v>194</v>
      </c>
    </row>
    <row r="4318" spans="19:21" x14ac:dyDescent="0.25">
      <c r="S4318" s="6" t="s">
        <v>302</v>
      </c>
      <c r="T4318" s="6">
        <f t="shared" ref="T4318:T4381" si="85">T4317+1</f>
        <v>4317</v>
      </c>
      <c r="U4318" s="4" t="s">
        <v>194</v>
      </c>
    </row>
    <row r="4319" spans="19:21" x14ac:dyDescent="0.25">
      <c r="S4319" s="6" t="s">
        <v>302</v>
      </c>
      <c r="T4319" s="6">
        <f t="shared" si="85"/>
        <v>4318</v>
      </c>
      <c r="U4319" s="4" t="s">
        <v>194</v>
      </c>
    </row>
    <row r="4320" spans="19:21" x14ac:dyDescent="0.25">
      <c r="S4320" s="6" t="s">
        <v>302</v>
      </c>
      <c r="T4320" s="6">
        <f t="shared" si="85"/>
        <v>4319</v>
      </c>
      <c r="U4320" s="4" t="s">
        <v>194</v>
      </c>
    </row>
    <row r="4321" spans="19:21" x14ac:dyDescent="0.25">
      <c r="S4321" s="6" t="s">
        <v>302</v>
      </c>
      <c r="T4321" s="6">
        <f t="shared" si="85"/>
        <v>4320</v>
      </c>
      <c r="U4321" s="4" t="s">
        <v>194</v>
      </c>
    </row>
    <row r="4322" spans="19:21" x14ac:dyDescent="0.25">
      <c r="S4322" s="6" t="s">
        <v>302</v>
      </c>
      <c r="T4322" s="6">
        <f t="shared" si="85"/>
        <v>4321</v>
      </c>
      <c r="U4322" s="4" t="s">
        <v>194</v>
      </c>
    </row>
    <row r="4323" spans="19:21" x14ac:dyDescent="0.25">
      <c r="S4323" s="6" t="s">
        <v>302</v>
      </c>
      <c r="T4323" s="6">
        <f t="shared" si="85"/>
        <v>4322</v>
      </c>
      <c r="U4323" s="4" t="s">
        <v>194</v>
      </c>
    </row>
    <row r="4324" spans="19:21" x14ac:dyDescent="0.25">
      <c r="S4324" s="6" t="s">
        <v>302</v>
      </c>
      <c r="T4324" s="6">
        <f t="shared" si="85"/>
        <v>4323</v>
      </c>
      <c r="U4324" s="4" t="s">
        <v>194</v>
      </c>
    </row>
    <row r="4325" spans="19:21" x14ac:dyDescent="0.25">
      <c r="S4325" s="6" t="s">
        <v>302</v>
      </c>
      <c r="T4325" s="6">
        <f t="shared" si="85"/>
        <v>4324</v>
      </c>
      <c r="U4325" s="4" t="s">
        <v>194</v>
      </c>
    </row>
    <row r="4326" spans="19:21" x14ac:dyDescent="0.25">
      <c r="S4326" s="6" t="s">
        <v>302</v>
      </c>
      <c r="T4326" s="6">
        <f t="shared" si="85"/>
        <v>4325</v>
      </c>
      <c r="U4326" s="4" t="s">
        <v>194</v>
      </c>
    </row>
    <row r="4327" spans="19:21" x14ac:dyDescent="0.25">
      <c r="S4327" s="6" t="s">
        <v>302</v>
      </c>
      <c r="T4327" s="6">
        <f t="shared" si="85"/>
        <v>4326</v>
      </c>
      <c r="U4327" s="4" t="s">
        <v>194</v>
      </c>
    </row>
    <row r="4328" spans="19:21" x14ac:dyDescent="0.25">
      <c r="S4328" s="6" t="s">
        <v>302</v>
      </c>
      <c r="T4328" s="6">
        <f t="shared" si="85"/>
        <v>4327</v>
      </c>
      <c r="U4328" s="4" t="s">
        <v>194</v>
      </c>
    </row>
    <row r="4329" spans="19:21" x14ac:dyDescent="0.25">
      <c r="S4329" s="6" t="s">
        <v>302</v>
      </c>
      <c r="T4329" s="6">
        <f t="shared" si="85"/>
        <v>4328</v>
      </c>
      <c r="U4329" s="4" t="s">
        <v>194</v>
      </c>
    </row>
    <row r="4330" spans="19:21" x14ac:dyDescent="0.25">
      <c r="S4330" s="6" t="s">
        <v>302</v>
      </c>
      <c r="T4330" s="6">
        <f t="shared" si="85"/>
        <v>4329</v>
      </c>
      <c r="U4330" s="4" t="s">
        <v>194</v>
      </c>
    </row>
    <row r="4331" spans="19:21" x14ac:dyDescent="0.25">
      <c r="S4331" s="6" t="s">
        <v>302</v>
      </c>
      <c r="T4331" s="6">
        <f t="shared" si="85"/>
        <v>4330</v>
      </c>
      <c r="U4331" s="4" t="s">
        <v>194</v>
      </c>
    </row>
    <row r="4332" spans="19:21" x14ac:dyDescent="0.25">
      <c r="S4332" s="6" t="s">
        <v>302</v>
      </c>
      <c r="T4332" s="6">
        <f t="shared" si="85"/>
        <v>4331</v>
      </c>
      <c r="U4332" s="4" t="s">
        <v>194</v>
      </c>
    </row>
    <row r="4333" spans="19:21" x14ac:dyDescent="0.25">
      <c r="S4333" s="6" t="s">
        <v>302</v>
      </c>
      <c r="T4333" s="6">
        <f t="shared" si="85"/>
        <v>4332</v>
      </c>
      <c r="U4333" s="4" t="s">
        <v>194</v>
      </c>
    </row>
    <row r="4334" spans="19:21" x14ac:dyDescent="0.25">
      <c r="S4334" s="6" t="s">
        <v>302</v>
      </c>
      <c r="T4334" s="6">
        <f t="shared" si="85"/>
        <v>4333</v>
      </c>
      <c r="U4334" s="4" t="s">
        <v>194</v>
      </c>
    </row>
    <row r="4335" spans="19:21" x14ac:dyDescent="0.25">
      <c r="S4335" s="6" t="s">
        <v>302</v>
      </c>
      <c r="T4335" s="6">
        <f t="shared" si="85"/>
        <v>4334</v>
      </c>
      <c r="U4335" s="4" t="s">
        <v>194</v>
      </c>
    </row>
    <row r="4336" spans="19:21" x14ac:dyDescent="0.25">
      <c r="S4336" s="6" t="s">
        <v>302</v>
      </c>
      <c r="T4336" s="6">
        <f t="shared" si="85"/>
        <v>4335</v>
      </c>
      <c r="U4336" s="4" t="s">
        <v>194</v>
      </c>
    </row>
    <row r="4337" spans="19:21" x14ac:dyDescent="0.25">
      <c r="S4337" s="6" t="s">
        <v>302</v>
      </c>
      <c r="T4337" s="6">
        <f t="shared" si="85"/>
        <v>4336</v>
      </c>
      <c r="U4337" s="4" t="s">
        <v>194</v>
      </c>
    </row>
    <row r="4338" spans="19:21" x14ac:dyDescent="0.25">
      <c r="S4338" s="6" t="s">
        <v>302</v>
      </c>
      <c r="T4338" s="6">
        <f t="shared" si="85"/>
        <v>4337</v>
      </c>
      <c r="U4338" s="4" t="s">
        <v>194</v>
      </c>
    </row>
    <row r="4339" spans="19:21" x14ac:dyDescent="0.25">
      <c r="S4339" s="6" t="s">
        <v>302</v>
      </c>
      <c r="T4339" s="6">
        <f t="shared" si="85"/>
        <v>4338</v>
      </c>
      <c r="U4339" s="4" t="s">
        <v>194</v>
      </c>
    </row>
    <row r="4340" spans="19:21" x14ac:dyDescent="0.25">
      <c r="S4340" s="6" t="s">
        <v>302</v>
      </c>
      <c r="T4340" s="6">
        <f t="shared" si="85"/>
        <v>4339</v>
      </c>
      <c r="U4340" s="4" t="s">
        <v>194</v>
      </c>
    </row>
    <row r="4341" spans="19:21" x14ac:dyDescent="0.25">
      <c r="S4341" s="6" t="s">
        <v>302</v>
      </c>
      <c r="T4341" s="6">
        <f t="shared" si="85"/>
        <v>4340</v>
      </c>
      <c r="U4341" s="4" t="s">
        <v>194</v>
      </c>
    </row>
    <row r="4342" spans="19:21" x14ac:dyDescent="0.25">
      <c r="S4342" s="6" t="s">
        <v>302</v>
      </c>
      <c r="T4342" s="6">
        <f t="shared" si="85"/>
        <v>4341</v>
      </c>
      <c r="U4342" s="4" t="s">
        <v>194</v>
      </c>
    </row>
    <row r="4343" spans="19:21" x14ac:dyDescent="0.25">
      <c r="S4343" s="6" t="s">
        <v>302</v>
      </c>
      <c r="T4343" s="6">
        <f t="shared" si="85"/>
        <v>4342</v>
      </c>
      <c r="U4343" s="4" t="s">
        <v>194</v>
      </c>
    </row>
    <row r="4344" spans="19:21" x14ac:dyDescent="0.25">
      <c r="S4344" s="6" t="s">
        <v>302</v>
      </c>
      <c r="T4344" s="6">
        <f t="shared" si="85"/>
        <v>4343</v>
      </c>
      <c r="U4344" s="4" t="s">
        <v>194</v>
      </c>
    </row>
    <row r="4345" spans="19:21" x14ac:dyDescent="0.25">
      <c r="S4345" s="6" t="s">
        <v>302</v>
      </c>
      <c r="T4345" s="6">
        <f t="shared" si="85"/>
        <v>4344</v>
      </c>
      <c r="U4345" s="4" t="s">
        <v>194</v>
      </c>
    </row>
    <row r="4346" spans="19:21" x14ac:dyDescent="0.25">
      <c r="S4346" s="6" t="s">
        <v>302</v>
      </c>
      <c r="T4346" s="6">
        <f t="shared" si="85"/>
        <v>4345</v>
      </c>
      <c r="U4346" s="4" t="s">
        <v>194</v>
      </c>
    </row>
    <row r="4347" spans="19:21" x14ac:dyDescent="0.25">
      <c r="S4347" s="6" t="s">
        <v>302</v>
      </c>
      <c r="T4347" s="6">
        <f t="shared" si="85"/>
        <v>4346</v>
      </c>
      <c r="U4347" s="4" t="s">
        <v>194</v>
      </c>
    </row>
    <row r="4348" spans="19:21" x14ac:dyDescent="0.25">
      <c r="S4348" s="6" t="s">
        <v>302</v>
      </c>
      <c r="T4348" s="6">
        <f t="shared" si="85"/>
        <v>4347</v>
      </c>
      <c r="U4348" s="4" t="s">
        <v>194</v>
      </c>
    </row>
    <row r="4349" spans="19:21" x14ac:dyDescent="0.25">
      <c r="S4349" s="6" t="s">
        <v>302</v>
      </c>
      <c r="T4349" s="6">
        <f t="shared" si="85"/>
        <v>4348</v>
      </c>
      <c r="U4349" s="4" t="s">
        <v>194</v>
      </c>
    </row>
    <row r="4350" spans="19:21" x14ac:dyDescent="0.25">
      <c r="S4350" s="6" t="s">
        <v>302</v>
      </c>
      <c r="T4350" s="6">
        <f t="shared" si="85"/>
        <v>4349</v>
      </c>
      <c r="U4350" s="4" t="s">
        <v>194</v>
      </c>
    </row>
    <row r="4351" spans="19:21" x14ac:dyDescent="0.25">
      <c r="S4351" s="6" t="s">
        <v>302</v>
      </c>
      <c r="T4351" s="6">
        <f t="shared" si="85"/>
        <v>4350</v>
      </c>
      <c r="U4351" s="4" t="s">
        <v>194</v>
      </c>
    </row>
    <row r="4352" spans="19:21" x14ac:dyDescent="0.25">
      <c r="S4352" s="6" t="s">
        <v>302</v>
      </c>
      <c r="T4352" s="6">
        <f t="shared" si="85"/>
        <v>4351</v>
      </c>
      <c r="U4352" s="4" t="s">
        <v>194</v>
      </c>
    </row>
    <row r="4353" spans="19:21" x14ac:dyDescent="0.25">
      <c r="S4353" s="6" t="s">
        <v>302</v>
      </c>
      <c r="T4353" s="6">
        <f t="shared" si="85"/>
        <v>4352</v>
      </c>
      <c r="U4353" s="4" t="s">
        <v>194</v>
      </c>
    </row>
    <row r="4354" spans="19:21" x14ac:dyDescent="0.25">
      <c r="S4354" s="6" t="s">
        <v>302</v>
      </c>
      <c r="T4354" s="6">
        <f t="shared" si="85"/>
        <v>4353</v>
      </c>
      <c r="U4354" s="4" t="s">
        <v>194</v>
      </c>
    </row>
    <row r="4355" spans="19:21" x14ac:dyDescent="0.25">
      <c r="S4355" s="6" t="s">
        <v>302</v>
      </c>
      <c r="T4355" s="6">
        <f t="shared" si="85"/>
        <v>4354</v>
      </c>
      <c r="U4355" s="4" t="s">
        <v>194</v>
      </c>
    </row>
    <row r="4356" spans="19:21" x14ac:dyDescent="0.25">
      <c r="S4356" s="6" t="s">
        <v>302</v>
      </c>
      <c r="T4356" s="6">
        <f t="shared" si="85"/>
        <v>4355</v>
      </c>
      <c r="U4356" s="4" t="s">
        <v>194</v>
      </c>
    </row>
    <row r="4357" spans="19:21" x14ac:dyDescent="0.25">
      <c r="S4357" s="6" t="s">
        <v>302</v>
      </c>
      <c r="T4357" s="6">
        <f t="shared" si="85"/>
        <v>4356</v>
      </c>
      <c r="U4357" s="4" t="s">
        <v>194</v>
      </c>
    </row>
    <row r="4358" spans="19:21" x14ac:dyDescent="0.25">
      <c r="S4358" s="6" t="s">
        <v>302</v>
      </c>
      <c r="T4358" s="6">
        <f t="shared" si="85"/>
        <v>4357</v>
      </c>
      <c r="U4358" s="4" t="s">
        <v>194</v>
      </c>
    </row>
    <row r="4359" spans="19:21" x14ac:dyDescent="0.25">
      <c r="S4359" s="6" t="s">
        <v>302</v>
      </c>
      <c r="T4359" s="6">
        <f t="shared" si="85"/>
        <v>4358</v>
      </c>
      <c r="U4359" s="4" t="s">
        <v>194</v>
      </c>
    </row>
    <row r="4360" spans="19:21" x14ac:dyDescent="0.25">
      <c r="S4360" s="6" t="s">
        <v>302</v>
      </c>
      <c r="T4360" s="6">
        <f t="shared" si="85"/>
        <v>4359</v>
      </c>
      <c r="U4360" s="4" t="s">
        <v>194</v>
      </c>
    </row>
    <row r="4361" spans="19:21" x14ac:dyDescent="0.25">
      <c r="S4361" s="6" t="s">
        <v>302</v>
      </c>
      <c r="T4361" s="6">
        <f t="shared" si="85"/>
        <v>4360</v>
      </c>
      <c r="U4361" s="4" t="s">
        <v>194</v>
      </c>
    </row>
    <row r="4362" spans="19:21" x14ac:dyDescent="0.25">
      <c r="S4362" s="6" t="s">
        <v>302</v>
      </c>
      <c r="T4362" s="6">
        <f t="shared" si="85"/>
        <v>4361</v>
      </c>
      <c r="U4362" s="4" t="s">
        <v>194</v>
      </c>
    </row>
    <row r="4363" spans="19:21" x14ac:dyDescent="0.25">
      <c r="S4363" s="6" t="s">
        <v>302</v>
      </c>
      <c r="T4363" s="6">
        <f t="shared" si="85"/>
        <v>4362</v>
      </c>
      <c r="U4363" s="4" t="s">
        <v>194</v>
      </c>
    </row>
    <row r="4364" spans="19:21" x14ac:dyDescent="0.25">
      <c r="S4364" s="6" t="s">
        <v>302</v>
      </c>
      <c r="T4364" s="6">
        <f t="shared" si="85"/>
        <v>4363</v>
      </c>
      <c r="U4364" s="4" t="s">
        <v>194</v>
      </c>
    </row>
    <row r="4365" spans="19:21" x14ac:dyDescent="0.25">
      <c r="S4365" s="6" t="s">
        <v>302</v>
      </c>
      <c r="T4365" s="6">
        <f t="shared" si="85"/>
        <v>4364</v>
      </c>
      <c r="U4365" s="4" t="s">
        <v>194</v>
      </c>
    </row>
    <row r="4366" spans="19:21" x14ac:dyDescent="0.25">
      <c r="S4366" s="6" t="s">
        <v>302</v>
      </c>
      <c r="T4366" s="6">
        <f t="shared" si="85"/>
        <v>4365</v>
      </c>
      <c r="U4366" s="4" t="s">
        <v>194</v>
      </c>
    </row>
    <row r="4367" spans="19:21" x14ac:dyDescent="0.25">
      <c r="S4367" s="6" t="s">
        <v>302</v>
      </c>
      <c r="T4367" s="6">
        <f t="shared" si="85"/>
        <v>4366</v>
      </c>
      <c r="U4367" s="4" t="s">
        <v>194</v>
      </c>
    </row>
    <row r="4368" spans="19:21" x14ac:dyDescent="0.25">
      <c r="S4368" s="6" t="s">
        <v>302</v>
      </c>
      <c r="T4368" s="6">
        <f t="shared" si="85"/>
        <v>4367</v>
      </c>
      <c r="U4368" s="4" t="s">
        <v>194</v>
      </c>
    </row>
    <row r="4369" spans="19:21" x14ac:dyDescent="0.25">
      <c r="S4369" s="6" t="s">
        <v>302</v>
      </c>
      <c r="T4369" s="6">
        <f t="shared" si="85"/>
        <v>4368</v>
      </c>
      <c r="U4369" s="4" t="s">
        <v>194</v>
      </c>
    </row>
    <row r="4370" spans="19:21" x14ac:dyDescent="0.25">
      <c r="S4370" s="6" t="s">
        <v>302</v>
      </c>
      <c r="T4370" s="6">
        <f t="shared" si="85"/>
        <v>4369</v>
      </c>
      <c r="U4370" s="4" t="s">
        <v>194</v>
      </c>
    </row>
    <row r="4371" spans="19:21" x14ac:dyDescent="0.25">
      <c r="S4371" s="6" t="s">
        <v>302</v>
      </c>
      <c r="T4371" s="6">
        <f t="shared" si="85"/>
        <v>4370</v>
      </c>
      <c r="U4371" s="4" t="s">
        <v>194</v>
      </c>
    </row>
    <row r="4372" spans="19:21" x14ac:dyDescent="0.25">
      <c r="S4372" s="6" t="s">
        <v>302</v>
      </c>
      <c r="T4372" s="6">
        <f t="shared" si="85"/>
        <v>4371</v>
      </c>
      <c r="U4372" s="4" t="s">
        <v>194</v>
      </c>
    </row>
    <row r="4373" spans="19:21" x14ac:dyDescent="0.25">
      <c r="S4373" s="6" t="s">
        <v>302</v>
      </c>
      <c r="T4373" s="6">
        <f t="shared" si="85"/>
        <v>4372</v>
      </c>
      <c r="U4373" s="4" t="s">
        <v>194</v>
      </c>
    </row>
    <row r="4374" spans="19:21" x14ac:dyDescent="0.25">
      <c r="S4374" s="6" t="s">
        <v>302</v>
      </c>
      <c r="T4374" s="6">
        <f t="shared" si="85"/>
        <v>4373</v>
      </c>
      <c r="U4374" s="4" t="s">
        <v>194</v>
      </c>
    </row>
    <row r="4375" spans="19:21" x14ac:dyDescent="0.25">
      <c r="S4375" s="6" t="s">
        <v>302</v>
      </c>
      <c r="T4375" s="6">
        <f t="shared" si="85"/>
        <v>4374</v>
      </c>
      <c r="U4375" s="4" t="s">
        <v>194</v>
      </c>
    </row>
    <row r="4376" spans="19:21" x14ac:dyDescent="0.25">
      <c r="S4376" s="6" t="s">
        <v>302</v>
      </c>
      <c r="T4376" s="6">
        <f t="shared" si="85"/>
        <v>4375</v>
      </c>
      <c r="U4376" s="4" t="s">
        <v>194</v>
      </c>
    </row>
    <row r="4377" spans="19:21" x14ac:dyDescent="0.25">
      <c r="S4377" s="6" t="s">
        <v>302</v>
      </c>
      <c r="T4377" s="6">
        <f t="shared" si="85"/>
        <v>4376</v>
      </c>
      <c r="U4377" s="4" t="s">
        <v>194</v>
      </c>
    </row>
    <row r="4378" spans="19:21" x14ac:dyDescent="0.25">
      <c r="S4378" s="6" t="s">
        <v>302</v>
      </c>
      <c r="T4378" s="6">
        <f t="shared" si="85"/>
        <v>4377</v>
      </c>
      <c r="U4378" s="4" t="s">
        <v>194</v>
      </c>
    </row>
    <row r="4379" spans="19:21" x14ac:dyDescent="0.25">
      <c r="S4379" s="6" t="s">
        <v>302</v>
      </c>
      <c r="T4379" s="6">
        <f t="shared" si="85"/>
        <v>4378</v>
      </c>
      <c r="U4379" s="4" t="s">
        <v>194</v>
      </c>
    </row>
    <row r="4380" spans="19:21" x14ac:dyDescent="0.25">
      <c r="S4380" s="6" t="s">
        <v>302</v>
      </c>
      <c r="T4380" s="6">
        <f t="shared" si="85"/>
        <v>4379</v>
      </c>
      <c r="U4380" s="4" t="s">
        <v>194</v>
      </c>
    </row>
    <row r="4381" spans="19:21" x14ac:dyDescent="0.25">
      <c r="S4381" s="6" t="s">
        <v>302</v>
      </c>
      <c r="T4381" s="6">
        <f t="shared" si="85"/>
        <v>4380</v>
      </c>
      <c r="U4381" s="4" t="s">
        <v>194</v>
      </c>
    </row>
    <row r="4382" spans="19:21" x14ac:dyDescent="0.25">
      <c r="S4382" s="6" t="s">
        <v>302</v>
      </c>
      <c r="T4382" s="6">
        <f t="shared" ref="T4382:T4445" si="86">T4381+1</f>
        <v>4381</v>
      </c>
      <c r="U4382" s="4" t="s">
        <v>194</v>
      </c>
    </row>
    <row r="4383" spans="19:21" x14ac:dyDescent="0.25">
      <c r="S4383" s="6" t="s">
        <v>302</v>
      </c>
      <c r="T4383" s="6">
        <f t="shared" si="86"/>
        <v>4382</v>
      </c>
      <c r="U4383" s="4" t="s">
        <v>194</v>
      </c>
    </row>
    <row r="4384" spans="19:21" x14ac:dyDescent="0.25">
      <c r="S4384" s="6" t="s">
        <v>302</v>
      </c>
      <c r="T4384" s="6">
        <f t="shared" si="86"/>
        <v>4383</v>
      </c>
      <c r="U4384" s="4" t="s">
        <v>194</v>
      </c>
    </row>
    <row r="4385" spans="19:21" x14ac:dyDescent="0.25">
      <c r="S4385" s="6" t="s">
        <v>302</v>
      </c>
      <c r="T4385" s="6">
        <f t="shared" si="86"/>
        <v>4384</v>
      </c>
      <c r="U4385" s="4" t="s">
        <v>194</v>
      </c>
    </row>
    <row r="4386" spans="19:21" x14ac:dyDescent="0.25">
      <c r="S4386" s="6" t="s">
        <v>302</v>
      </c>
      <c r="T4386" s="6">
        <f t="shared" si="86"/>
        <v>4385</v>
      </c>
      <c r="U4386" s="4" t="s">
        <v>194</v>
      </c>
    </row>
    <row r="4387" spans="19:21" x14ac:dyDescent="0.25">
      <c r="S4387" s="6" t="s">
        <v>302</v>
      </c>
      <c r="T4387" s="6">
        <f t="shared" si="86"/>
        <v>4386</v>
      </c>
      <c r="U4387" s="4" t="s">
        <v>194</v>
      </c>
    </row>
    <row r="4388" spans="19:21" x14ac:dyDescent="0.25">
      <c r="S4388" s="6" t="s">
        <v>302</v>
      </c>
      <c r="T4388" s="6">
        <f t="shared" si="86"/>
        <v>4387</v>
      </c>
      <c r="U4388" s="4" t="s">
        <v>194</v>
      </c>
    </row>
    <row r="4389" spans="19:21" x14ac:dyDescent="0.25">
      <c r="S4389" s="6" t="s">
        <v>302</v>
      </c>
      <c r="T4389" s="6">
        <f t="shared" si="86"/>
        <v>4388</v>
      </c>
      <c r="U4389" s="4" t="s">
        <v>194</v>
      </c>
    </row>
    <row r="4390" spans="19:21" x14ac:dyDescent="0.25">
      <c r="S4390" s="6" t="s">
        <v>302</v>
      </c>
      <c r="T4390" s="6">
        <f t="shared" si="86"/>
        <v>4389</v>
      </c>
      <c r="U4390" s="4" t="s">
        <v>194</v>
      </c>
    </row>
    <row r="4391" spans="19:21" x14ac:dyDescent="0.25">
      <c r="S4391" s="6" t="s">
        <v>302</v>
      </c>
      <c r="T4391" s="6">
        <f t="shared" si="86"/>
        <v>4390</v>
      </c>
      <c r="U4391" s="4" t="s">
        <v>194</v>
      </c>
    </row>
    <row r="4392" spans="19:21" x14ac:dyDescent="0.25">
      <c r="S4392" s="6" t="s">
        <v>302</v>
      </c>
      <c r="T4392" s="6">
        <f t="shared" si="86"/>
        <v>4391</v>
      </c>
      <c r="U4392" s="4" t="s">
        <v>194</v>
      </c>
    </row>
    <row r="4393" spans="19:21" x14ac:dyDescent="0.25">
      <c r="S4393" s="6" t="s">
        <v>302</v>
      </c>
      <c r="T4393" s="6">
        <f t="shared" si="86"/>
        <v>4392</v>
      </c>
      <c r="U4393" s="4" t="s">
        <v>194</v>
      </c>
    </row>
    <row r="4394" spans="19:21" x14ac:dyDescent="0.25">
      <c r="S4394" s="6" t="s">
        <v>302</v>
      </c>
      <c r="T4394" s="6">
        <f t="shared" si="86"/>
        <v>4393</v>
      </c>
      <c r="U4394" s="4" t="s">
        <v>194</v>
      </c>
    </row>
    <row r="4395" spans="19:21" x14ac:dyDescent="0.25">
      <c r="S4395" s="6" t="s">
        <v>302</v>
      </c>
      <c r="T4395" s="6">
        <f t="shared" si="86"/>
        <v>4394</v>
      </c>
      <c r="U4395" s="4" t="s">
        <v>194</v>
      </c>
    </row>
    <row r="4396" spans="19:21" x14ac:dyDescent="0.25">
      <c r="S4396" s="6" t="s">
        <v>302</v>
      </c>
      <c r="T4396" s="6">
        <f t="shared" si="86"/>
        <v>4395</v>
      </c>
      <c r="U4396" s="4" t="s">
        <v>194</v>
      </c>
    </row>
    <row r="4397" spans="19:21" x14ac:dyDescent="0.25">
      <c r="S4397" s="6" t="s">
        <v>302</v>
      </c>
      <c r="T4397" s="6">
        <f t="shared" si="86"/>
        <v>4396</v>
      </c>
      <c r="U4397" s="4" t="s">
        <v>194</v>
      </c>
    </row>
    <row r="4398" spans="19:21" x14ac:dyDescent="0.25">
      <c r="S4398" s="6" t="s">
        <v>302</v>
      </c>
      <c r="T4398" s="6">
        <f t="shared" si="86"/>
        <v>4397</v>
      </c>
      <c r="U4398" s="4" t="s">
        <v>194</v>
      </c>
    </row>
    <row r="4399" spans="19:21" x14ac:dyDescent="0.25">
      <c r="S4399" s="6" t="s">
        <v>302</v>
      </c>
      <c r="T4399" s="6">
        <f t="shared" si="86"/>
        <v>4398</v>
      </c>
      <c r="U4399" s="4" t="s">
        <v>194</v>
      </c>
    </row>
    <row r="4400" spans="19:21" x14ac:dyDescent="0.25">
      <c r="S4400" s="6" t="s">
        <v>302</v>
      </c>
      <c r="T4400" s="6">
        <f t="shared" si="86"/>
        <v>4399</v>
      </c>
      <c r="U4400" s="4" t="s">
        <v>194</v>
      </c>
    </row>
    <row r="4401" spans="19:21" x14ac:dyDescent="0.25">
      <c r="S4401" s="6" t="s">
        <v>302</v>
      </c>
      <c r="T4401" s="6">
        <f t="shared" si="86"/>
        <v>4400</v>
      </c>
      <c r="U4401" s="4" t="s">
        <v>194</v>
      </c>
    </row>
    <row r="4402" spans="19:21" x14ac:dyDescent="0.25">
      <c r="S4402" s="6" t="s">
        <v>302</v>
      </c>
      <c r="T4402" s="6">
        <f t="shared" si="86"/>
        <v>4401</v>
      </c>
      <c r="U4402" s="4" t="s">
        <v>194</v>
      </c>
    </row>
    <row r="4403" spans="19:21" x14ac:dyDescent="0.25">
      <c r="S4403" s="6" t="s">
        <v>302</v>
      </c>
      <c r="T4403" s="6">
        <f t="shared" si="86"/>
        <v>4402</v>
      </c>
      <c r="U4403" s="4" t="s">
        <v>194</v>
      </c>
    </row>
    <row r="4404" spans="19:21" x14ac:dyDescent="0.25">
      <c r="S4404" s="6" t="s">
        <v>302</v>
      </c>
      <c r="T4404" s="6">
        <f t="shared" si="86"/>
        <v>4403</v>
      </c>
      <c r="U4404" s="4" t="s">
        <v>194</v>
      </c>
    </row>
    <row r="4405" spans="19:21" x14ac:dyDescent="0.25">
      <c r="S4405" s="6" t="s">
        <v>302</v>
      </c>
      <c r="T4405" s="6">
        <f t="shared" si="86"/>
        <v>4404</v>
      </c>
      <c r="U4405" s="4" t="s">
        <v>194</v>
      </c>
    </row>
    <row r="4406" spans="19:21" x14ac:dyDescent="0.25">
      <c r="S4406" s="6" t="s">
        <v>302</v>
      </c>
      <c r="T4406" s="6">
        <f t="shared" si="86"/>
        <v>4405</v>
      </c>
      <c r="U4406" s="4" t="s">
        <v>194</v>
      </c>
    </row>
    <row r="4407" spans="19:21" x14ac:dyDescent="0.25">
      <c r="S4407" s="6" t="s">
        <v>302</v>
      </c>
      <c r="T4407" s="6">
        <f t="shared" si="86"/>
        <v>4406</v>
      </c>
      <c r="U4407" s="4" t="s">
        <v>194</v>
      </c>
    </row>
    <row r="4408" spans="19:21" x14ac:dyDescent="0.25">
      <c r="S4408" s="6" t="s">
        <v>302</v>
      </c>
      <c r="T4408" s="6">
        <f t="shared" si="86"/>
        <v>4407</v>
      </c>
      <c r="U4408" s="4" t="s">
        <v>194</v>
      </c>
    </row>
    <row r="4409" spans="19:21" x14ac:dyDescent="0.25">
      <c r="S4409" s="6" t="s">
        <v>302</v>
      </c>
      <c r="T4409" s="6">
        <f t="shared" si="86"/>
        <v>4408</v>
      </c>
      <c r="U4409" s="4" t="s">
        <v>194</v>
      </c>
    </row>
    <row r="4410" spans="19:21" x14ac:dyDescent="0.25">
      <c r="S4410" s="6" t="s">
        <v>302</v>
      </c>
      <c r="T4410" s="6">
        <f t="shared" si="86"/>
        <v>4409</v>
      </c>
      <c r="U4410" s="4" t="s">
        <v>194</v>
      </c>
    </row>
    <row r="4411" spans="19:21" x14ac:dyDescent="0.25">
      <c r="S4411" s="6" t="s">
        <v>302</v>
      </c>
      <c r="T4411" s="6">
        <f t="shared" si="86"/>
        <v>4410</v>
      </c>
      <c r="U4411" s="4" t="s">
        <v>194</v>
      </c>
    </row>
    <row r="4412" spans="19:21" x14ac:dyDescent="0.25">
      <c r="S4412" s="6" t="s">
        <v>302</v>
      </c>
      <c r="T4412" s="6">
        <f t="shared" si="86"/>
        <v>4411</v>
      </c>
      <c r="U4412" s="4" t="s">
        <v>194</v>
      </c>
    </row>
    <row r="4413" spans="19:21" x14ac:dyDescent="0.25">
      <c r="S4413" s="6" t="s">
        <v>302</v>
      </c>
      <c r="T4413" s="6">
        <f t="shared" si="86"/>
        <v>4412</v>
      </c>
      <c r="U4413" s="4" t="s">
        <v>194</v>
      </c>
    </row>
    <row r="4414" spans="19:21" x14ac:dyDescent="0.25">
      <c r="S4414" s="6" t="s">
        <v>302</v>
      </c>
      <c r="T4414" s="6">
        <f t="shared" si="86"/>
        <v>4413</v>
      </c>
      <c r="U4414" s="4" t="s">
        <v>194</v>
      </c>
    </row>
    <row r="4415" spans="19:21" x14ac:dyDescent="0.25">
      <c r="S4415" s="6" t="s">
        <v>302</v>
      </c>
      <c r="T4415" s="6">
        <f t="shared" si="86"/>
        <v>4414</v>
      </c>
      <c r="U4415" s="4" t="s">
        <v>194</v>
      </c>
    </row>
    <row r="4416" spans="19:21" x14ac:dyDescent="0.25">
      <c r="S4416" s="6" t="s">
        <v>302</v>
      </c>
      <c r="T4416" s="6">
        <f t="shared" si="86"/>
        <v>4415</v>
      </c>
      <c r="U4416" s="4" t="s">
        <v>194</v>
      </c>
    </row>
    <row r="4417" spans="19:21" x14ac:dyDescent="0.25">
      <c r="S4417" s="6" t="s">
        <v>302</v>
      </c>
      <c r="T4417" s="6">
        <f t="shared" si="86"/>
        <v>4416</v>
      </c>
      <c r="U4417" s="4" t="s">
        <v>194</v>
      </c>
    </row>
    <row r="4418" spans="19:21" x14ac:dyDescent="0.25">
      <c r="S4418" s="6" t="s">
        <v>302</v>
      </c>
      <c r="T4418" s="6">
        <f t="shared" si="86"/>
        <v>4417</v>
      </c>
      <c r="U4418" s="4" t="s">
        <v>194</v>
      </c>
    </row>
    <row r="4419" spans="19:21" x14ac:dyDescent="0.25">
      <c r="S4419" s="6" t="s">
        <v>302</v>
      </c>
      <c r="T4419" s="6">
        <f t="shared" si="86"/>
        <v>4418</v>
      </c>
      <c r="U4419" s="4" t="s">
        <v>194</v>
      </c>
    </row>
    <row r="4420" spans="19:21" x14ac:dyDescent="0.25">
      <c r="S4420" s="6" t="s">
        <v>302</v>
      </c>
      <c r="T4420" s="6">
        <f t="shared" si="86"/>
        <v>4419</v>
      </c>
      <c r="U4420" s="4" t="s">
        <v>194</v>
      </c>
    </row>
    <row r="4421" spans="19:21" x14ac:dyDescent="0.25">
      <c r="S4421" s="6" t="s">
        <v>302</v>
      </c>
      <c r="T4421" s="6">
        <f t="shared" si="86"/>
        <v>4420</v>
      </c>
      <c r="U4421" s="4" t="s">
        <v>194</v>
      </c>
    </row>
    <row r="4422" spans="19:21" x14ac:dyDescent="0.25">
      <c r="S4422" s="6" t="s">
        <v>302</v>
      </c>
      <c r="T4422" s="6">
        <f t="shared" si="86"/>
        <v>4421</v>
      </c>
      <c r="U4422" s="4" t="s">
        <v>194</v>
      </c>
    </row>
    <row r="4423" spans="19:21" x14ac:dyDescent="0.25">
      <c r="S4423" s="6" t="s">
        <v>302</v>
      </c>
      <c r="T4423" s="6">
        <f t="shared" si="86"/>
        <v>4422</v>
      </c>
      <c r="U4423" s="4" t="s">
        <v>194</v>
      </c>
    </row>
    <row r="4424" spans="19:21" x14ac:dyDescent="0.25">
      <c r="S4424" s="6" t="s">
        <v>302</v>
      </c>
      <c r="T4424" s="6">
        <f t="shared" si="86"/>
        <v>4423</v>
      </c>
      <c r="U4424" s="4" t="s">
        <v>194</v>
      </c>
    </row>
    <row r="4425" spans="19:21" x14ac:dyDescent="0.25">
      <c r="S4425" s="6" t="s">
        <v>302</v>
      </c>
      <c r="T4425" s="6">
        <f t="shared" si="86"/>
        <v>4424</v>
      </c>
      <c r="U4425" s="4" t="s">
        <v>194</v>
      </c>
    </row>
    <row r="4426" spans="19:21" x14ac:dyDescent="0.25">
      <c r="S4426" s="6" t="s">
        <v>302</v>
      </c>
      <c r="T4426" s="6">
        <f t="shared" si="86"/>
        <v>4425</v>
      </c>
      <c r="U4426" s="4" t="s">
        <v>194</v>
      </c>
    </row>
    <row r="4427" spans="19:21" x14ac:dyDescent="0.25">
      <c r="S4427" s="6" t="s">
        <v>302</v>
      </c>
      <c r="T4427" s="6">
        <f t="shared" si="86"/>
        <v>4426</v>
      </c>
      <c r="U4427" s="4" t="s">
        <v>194</v>
      </c>
    </row>
    <row r="4428" spans="19:21" x14ac:dyDescent="0.25">
      <c r="S4428" s="6" t="s">
        <v>302</v>
      </c>
      <c r="T4428" s="6">
        <f t="shared" si="86"/>
        <v>4427</v>
      </c>
      <c r="U4428" s="4" t="s">
        <v>194</v>
      </c>
    </row>
    <row r="4429" spans="19:21" x14ac:dyDescent="0.25">
      <c r="S4429" s="6" t="s">
        <v>302</v>
      </c>
      <c r="T4429" s="6">
        <f t="shared" si="86"/>
        <v>4428</v>
      </c>
      <c r="U4429" s="4" t="s">
        <v>194</v>
      </c>
    </row>
    <row r="4430" spans="19:21" x14ac:dyDescent="0.25">
      <c r="S4430" s="6" t="s">
        <v>302</v>
      </c>
      <c r="T4430" s="6">
        <f t="shared" si="86"/>
        <v>4429</v>
      </c>
      <c r="U4430" s="4" t="s">
        <v>194</v>
      </c>
    </row>
    <row r="4431" spans="19:21" x14ac:dyDescent="0.25">
      <c r="S4431" s="6" t="s">
        <v>302</v>
      </c>
      <c r="T4431" s="6">
        <f t="shared" si="86"/>
        <v>4430</v>
      </c>
      <c r="U4431" s="4" t="s">
        <v>194</v>
      </c>
    </row>
    <row r="4432" spans="19:21" x14ac:dyDescent="0.25">
      <c r="S4432" s="6" t="s">
        <v>302</v>
      </c>
      <c r="T4432" s="6">
        <f t="shared" si="86"/>
        <v>4431</v>
      </c>
      <c r="U4432" s="4" t="s">
        <v>194</v>
      </c>
    </row>
    <row r="4433" spans="19:21" x14ac:dyDescent="0.25">
      <c r="S4433" s="6" t="s">
        <v>302</v>
      </c>
      <c r="T4433" s="6">
        <f t="shared" si="86"/>
        <v>4432</v>
      </c>
      <c r="U4433" s="4" t="s">
        <v>194</v>
      </c>
    </row>
    <row r="4434" spans="19:21" x14ac:dyDescent="0.25">
      <c r="S4434" s="6" t="s">
        <v>302</v>
      </c>
      <c r="T4434" s="6">
        <f t="shared" si="86"/>
        <v>4433</v>
      </c>
      <c r="U4434" s="4" t="s">
        <v>194</v>
      </c>
    </row>
    <row r="4435" spans="19:21" x14ac:dyDescent="0.25">
      <c r="S4435" s="6" t="s">
        <v>302</v>
      </c>
      <c r="T4435" s="6">
        <f t="shared" si="86"/>
        <v>4434</v>
      </c>
      <c r="U4435" s="4" t="s">
        <v>194</v>
      </c>
    </row>
    <row r="4436" spans="19:21" x14ac:dyDescent="0.25">
      <c r="S4436" s="6" t="s">
        <v>302</v>
      </c>
      <c r="T4436" s="6">
        <f t="shared" si="86"/>
        <v>4435</v>
      </c>
      <c r="U4436" s="4" t="s">
        <v>194</v>
      </c>
    </row>
    <row r="4437" spans="19:21" x14ac:dyDescent="0.25">
      <c r="S4437" s="6" t="s">
        <v>302</v>
      </c>
      <c r="T4437" s="6">
        <f t="shared" si="86"/>
        <v>4436</v>
      </c>
      <c r="U4437" s="4" t="s">
        <v>194</v>
      </c>
    </row>
    <row r="4438" spans="19:21" x14ac:dyDescent="0.25">
      <c r="S4438" s="6" t="s">
        <v>302</v>
      </c>
      <c r="T4438" s="6">
        <f t="shared" si="86"/>
        <v>4437</v>
      </c>
      <c r="U4438" s="4" t="s">
        <v>194</v>
      </c>
    </row>
    <row r="4439" spans="19:21" x14ac:dyDescent="0.25">
      <c r="S4439" s="6" t="s">
        <v>302</v>
      </c>
      <c r="T4439" s="6">
        <f t="shared" si="86"/>
        <v>4438</v>
      </c>
      <c r="U4439" s="4" t="s">
        <v>194</v>
      </c>
    </row>
    <row r="4440" spans="19:21" x14ac:dyDescent="0.25">
      <c r="S4440" s="6" t="s">
        <v>302</v>
      </c>
      <c r="T4440" s="6">
        <f t="shared" si="86"/>
        <v>4439</v>
      </c>
      <c r="U4440" s="4" t="s">
        <v>194</v>
      </c>
    </row>
    <row r="4441" spans="19:21" x14ac:dyDescent="0.25">
      <c r="S4441" s="6" t="s">
        <v>302</v>
      </c>
      <c r="T4441" s="6">
        <f t="shared" si="86"/>
        <v>4440</v>
      </c>
      <c r="U4441" s="4" t="s">
        <v>194</v>
      </c>
    </row>
    <row r="4442" spans="19:21" x14ac:dyDescent="0.25">
      <c r="S4442" s="6" t="s">
        <v>302</v>
      </c>
      <c r="T4442" s="6">
        <f t="shared" si="86"/>
        <v>4441</v>
      </c>
      <c r="U4442" s="4" t="s">
        <v>194</v>
      </c>
    </row>
    <row r="4443" spans="19:21" x14ac:dyDescent="0.25">
      <c r="S4443" s="6" t="s">
        <v>302</v>
      </c>
      <c r="T4443" s="6">
        <f t="shared" si="86"/>
        <v>4442</v>
      </c>
      <c r="U4443" s="4" t="s">
        <v>194</v>
      </c>
    </row>
    <row r="4444" spans="19:21" x14ac:dyDescent="0.25">
      <c r="S4444" s="6" t="s">
        <v>302</v>
      </c>
      <c r="T4444" s="6">
        <f t="shared" si="86"/>
        <v>4443</v>
      </c>
      <c r="U4444" s="4" t="s">
        <v>194</v>
      </c>
    </row>
    <row r="4445" spans="19:21" x14ac:dyDescent="0.25">
      <c r="S4445" s="6" t="s">
        <v>302</v>
      </c>
      <c r="T4445" s="6">
        <f t="shared" si="86"/>
        <v>4444</v>
      </c>
      <c r="U4445" s="4" t="s">
        <v>194</v>
      </c>
    </row>
    <row r="4446" spans="19:21" x14ac:dyDescent="0.25">
      <c r="S4446" s="6" t="s">
        <v>302</v>
      </c>
      <c r="T4446" s="6">
        <f t="shared" ref="T4446:T4509" si="87">T4445+1</f>
        <v>4445</v>
      </c>
      <c r="U4446" s="4" t="s">
        <v>194</v>
      </c>
    </row>
    <row r="4447" spans="19:21" x14ac:dyDescent="0.25">
      <c r="S4447" s="6" t="s">
        <v>302</v>
      </c>
      <c r="T4447" s="6">
        <f t="shared" si="87"/>
        <v>4446</v>
      </c>
      <c r="U4447" s="4" t="s">
        <v>194</v>
      </c>
    </row>
    <row r="4448" spans="19:21" x14ac:dyDescent="0.25">
      <c r="S4448" s="6" t="s">
        <v>302</v>
      </c>
      <c r="T4448" s="6">
        <f t="shared" si="87"/>
        <v>4447</v>
      </c>
      <c r="U4448" s="4" t="s">
        <v>194</v>
      </c>
    </row>
    <row r="4449" spans="19:21" x14ac:dyDescent="0.25">
      <c r="S4449" s="6" t="s">
        <v>302</v>
      </c>
      <c r="T4449" s="6">
        <f t="shared" si="87"/>
        <v>4448</v>
      </c>
      <c r="U4449" s="4" t="s">
        <v>194</v>
      </c>
    </row>
    <row r="4450" spans="19:21" x14ac:dyDescent="0.25">
      <c r="S4450" s="6" t="s">
        <v>302</v>
      </c>
      <c r="T4450" s="6">
        <f t="shared" si="87"/>
        <v>4449</v>
      </c>
      <c r="U4450" s="4" t="s">
        <v>194</v>
      </c>
    </row>
    <row r="4451" spans="19:21" x14ac:dyDescent="0.25">
      <c r="S4451" s="6" t="s">
        <v>302</v>
      </c>
      <c r="T4451" s="6">
        <f t="shared" si="87"/>
        <v>4450</v>
      </c>
      <c r="U4451" s="4" t="s">
        <v>194</v>
      </c>
    </row>
    <row r="4452" spans="19:21" x14ac:dyDescent="0.25">
      <c r="S4452" s="6" t="s">
        <v>302</v>
      </c>
      <c r="T4452" s="6">
        <f t="shared" si="87"/>
        <v>4451</v>
      </c>
      <c r="U4452" s="4" t="s">
        <v>194</v>
      </c>
    </row>
    <row r="4453" spans="19:21" x14ac:dyDescent="0.25">
      <c r="S4453" s="6" t="s">
        <v>302</v>
      </c>
      <c r="T4453" s="6">
        <f t="shared" si="87"/>
        <v>4452</v>
      </c>
      <c r="U4453" s="4" t="s">
        <v>194</v>
      </c>
    </row>
    <row r="4454" spans="19:21" x14ac:dyDescent="0.25">
      <c r="S4454" s="6" t="s">
        <v>302</v>
      </c>
      <c r="T4454" s="6">
        <f t="shared" si="87"/>
        <v>4453</v>
      </c>
      <c r="U4454" s="4" t="s">
        <v>194</v>
      </c>
    </row>
    <row r="4455" spans="19:21" x14ac:dyDescent="0.25">
      <c r="S4455" s="6" t="s">
        <v>302</v>
      </c>
      <c r="T4455" s="6">
        <f t="shared" si="87"/>
        <v>4454</v>
      </c>
      <c r="U4455" s="4" t="s">
        <v>194</v>
      </c>
    </row>
    <row r="4456" spans="19:21" x14ac:dyDescent="0.25">
      <c r="S4456" s="6" t="s">
        <v>302</v>
      </c>
      <c r="T4456" s="6">
        <f t="shared" si="87"/>
        <v>4455</v>
      </c>
      <c r="U4456" s="4" t="s">
        <v>194</v>
      </c>
    </row>
    <row r="4457" spans="19:21" x14ac:dyDescent="0.25">
      <c r="S4457" s="6" t="s">
        <v>302</v>
      </c>
      <c r="T4457" s="6">
        <f t="shared" si="87"/>
        <v>4456</v>
      </c>
      <c r="U4457" s="4" t="s">
        <v>194</v>
      </c>
    </row>
    <row r="4458" spans="19:21" x14ac:dyDescent="0.25">
      <c r="S4458" s="6" t="s">
        <v>302</v>
      </c>
      <c r="T4458" s="6">
        <f t="shared" si="87"/>
        <v>4457</v>
      </c>
      <c r="U4458" s="4" t="s">
        <v>194</v>
      </c>
    </row>
    <row r="4459" spans="19:21" x14ac:dyDescent="0.25">
      <c r="S4459" s="6" t="s">
        <v>302</v>
      </c>
      <c r="T4459" s="6">
        <f t="shared" si="87"/>
        <v>4458</v>
      </c>
      <c r="U4459" s="4" t="s">
        <v>194</v>
      </c>
    </row>
    <row r="4460" spans="19:21" x14ac:dyDescent="0.25">
      <c r="S4460" s="6" t="s">
        <v>302</v>
      </c>
      <c r="T4460" s="6">
        <f t="shared" si="87"/>
        <v>4459</v>
      </c>
      <c r="U4460" s="4" t="s">
        <v>194</v>
      </c>
    </row>
    <row r="4461" spans="19:21" x14ac:dyDescent="0.25">
      <c r="S4461" s="6" t="s">
        <v>302</v>
      </c>
      <c r="T4461" s="6">
        <f t="shared" si="87"/>
        <v>4460</v>
      </c>
      <c r="U4461" s="4" t="s">
        <v>194</v>
      </c>
    </row>
    <row r="4462" spans="19:21" x14ac:dyDescent="0.25">
      <c r="S4462" s="6" t="s">
        <v>302</v>
      </c>
      <c r="T4462" s="6">
        <f t="shared" si="87"/>
        <v>4461</v>
      </c>
      <c r="U4462" s="4" t="s">
        <v>194</v>
      </c>
    </row>
    <row r="4463" spans="19:21" x14ac:dyDescent="0.25">
      <c r="S4463" s="6" t="s">
        <v>302</v>
      </c>
      <c r="T4463" s="6">
        <f t="shared" si="87"/>
        <v>4462</v>
      </c>
      <c r="U4463" s="4" t="s">
        <v>194</v>
      </c>
    </row>
    <row r="4464" spans="19:21" x14ac:dyDescent="0.25">
      <c r="S4464" s="6" t="s">
        <v>302</v>
      </c>
      <c r="T4464" s="6">
        <f t="shared" si="87"/>
        <v>4463</v>
      </c>
      <c r="U4464" s="4" t="s">
        <v>194</v>
      </c>
    </row>
    <row r="4465" spans="19:21" x14ac:dyDescent="0.25">
      <c r="S4465" s="6" t="s">
        <v>302</v>
      </c>
      <c r="T4465" s="6">
        <f t="shared" si="87"/>
        <v>4464</v>
      </c>
      <c r="U4465" s="4" t="s">
        <v>194</v>
      </c>
    </row>
    <row r="4466" spans="19:21" x14ac:dyDescent="0.25">
      <c r="S4466" s="6" t="s">
        <v>302</v>
      </c>
      <c r="T4466" s="6">
        <f t="shared" si="87"/>
        <v>4465</v>
      </c>
      <c r="U4466" s="4" t="s">
        <v>194</v>
      </c>
    </row>
    <row r="4467" spans="19:21" x14ac:dyDescent="0.25">
      <c r="S4467" s="6" t="s">
        <v>302</v>
      </c>
      <c r="T4467" s="6">
        <f t="shared" si="87"/>
        <v>4466</v>
      </c>
      <c r="U4467" s="4" t="s">
        <v>194</v>
      </c>
    </row>
    <row r="4468" spans="19:21" x14ac:dyDescent="0.25">
      <c r="S4468" s="6" t="s">
        <v>302</v>
      </c>
      <c r="T4468" s="6">
        <f t="shared" si="87"/>
        <v>4467</v>
      </c>
      <c r="U4468" s="4" t="s">
        <v>194</v>
      </c>
    </row>
    <row r="4469" spans="19:21" x14ac:dyDescent="0.25">
      <c r="S4469" s="6" t="s">
        <v>302</v>
      </c>
      <c r="T4469" s="6">
        <f t="shared" si="87"/>
        <v>4468</v>
      </c>
      <c r="U4469" s="4" t="s">
        <v>194</v>
      </c>
    </row>
    <row r="4470" spans="19:21" x14ac:dyDescent="0.25">
      <c r="S4470" s="6" t="s">
        <v>302</v>
      </c>
      <c r="T4470" s="6">
        <f t="shared" si="87"/>
        <v>4469</v>
      </c>
      <c r="U4470" s="4" t="s">
        <v>194</v>
      </c>
    </row>
    <row r="4471" spans="19:21" x14ac:dyDescent="0.25">
      <c r="S4471" s="6" t="s">
        <v>302</v>
      </c>
      <c r="T4471" s="6">
        <f t="shared" si="87"/>
        <v>4470</v>
      </c>
      <c r="U4471" s="4" t="s">
        <v>194</v>
      </c>
    </row>
    <row r="4472" spans="19:21" x14ac:dyDescent="0.25">
      <c r="S4472" s="6" t="s">
        <v>302</v>
      </c>
      <c r="T4472" s="6">
        <f t="shared" si="87"/>
        <v>4471</v>
      </c>
      <c r="U4472" s="4" t="s">
        <v>194</v>
      </c>
    </row>
    <row r="4473" spans="19:21" x14ac:dyDescent="0.25">
      <c r="S4473" s="6" t="s">
        <v>302</v>
      </c>
      <c r="T4473" s="6">
        <f t="shared" si="87"/>
        <v>4472</v>
      </c>
      <c r="U4473" s="4" t="s">
        <v>194</v>
      </c>
    </row>
    <row r="4474" spans="19:21" x14ac:dyDescent="0.25">
      <c r="S4474" s="6" t="s">
        <v>302</v>
      </c>
      <c r="T4474" s="6">
        <f t="shared" si="87"/>
        <v>4473</v>
      </c>
      <c r="U4474" s="4" t="s">
        <v>194</v>
      </c>
    </row>
    <row r="4475" spans="19:21" x14ac:dyDescent="0.25">
      <c r="S4475" s="6" t="s">
        <v>302</v>
      </c>
      <c r="T4475" s="6">
        <f t="shared" si="87"/>
        <v>4474</v>
      </c>
      <c r="U4475" s="4" t="s">
        <v>194</v>
      </c>
    </row>
    <row r="4476" spans="19:21" x14ac:dyDescent="0.25">
      <c r="S4476" s="6" t="s">
        <v>302</v>
      </c>
      <c r="T4476" s="6">
        <f t="shared" si="87"/>
        <v>4475</v>
      </c>
      <c r="U4476" s="4" t="s">
        <v>194</v>
      </c>
    </row>
    <row r="4477" spans="19:21" x14ac:dyDescent="0.25">
      <c r="S4477" s="6" t="s">
        <v>302</v>
      </c>
      <c r="T4477" s="6">
        <f t="shared" si="87"/>
        <v>4476</v>
      </c>
      <c r="U4477" s="4" t="s">
        <v>194</v>
      </c>
    </row>
    <row r="4478" spans="19:21" x14ac:dyDescent="0.25">
      <c r="S4478" s="6" t="s">
        <v>302</v>
      </c>
      <c r="T4478" s="6">
        <f t="shared" si="87"/>
        <v>4477</v>
      </c>
      <c r="U4478" s="4" t="s">
        <v>194</v>
      </c>
    </row>
    <row r="4479" spans="19:21" x14ac:dyDescent="0.25">
      <c r="S4479" s="6" t="s">
        <v>302</v>
      </c>
      <c r="T4479" s="6">
        <f t="shared" si="87"/>
        <v>4478</v>
      </c>
      <c r="U4479" s="4" t="s">
        <v>194</v>
      </c>
    </row>
    <row r="4480" spans="19:21" x14ac:dyDescent="0.25">
      <c r="S4480" s="6" t="s">
        <v>302</v>
      </c>
      <c r="T4480" s="6">
        <f t="shared" si="87"/>
        <v>4479</v>
      </c>
      <c r="U4480" s="4" t="s">
        <v>194</v>
      </c>
    </row>
    <row r="4481" spans="19:21" x14ac:dyDescent="0.25">
      <c r="S4481" s="6" t="s">
        <v>302</v>
      </c>
      <c r="T4481" s="6">
        <f t="shared" si="87"/>
        <v>4480</v>
      </c>
      <c r="U4481" s="4" t="s">
        <v>194</v>
      </c>
    </row>
    <row r="4482" spans="19:21" x14ac:dyDescent="0.25">
      <c r="S4482" s="6" t="s">
        <v>302</v>
      </c>
      <c r="T4482" s="6">
        <f t="shared" si="87"/>
        <v>4481</v>
      </c>
      <c r="U4482" s="4" t="s">
        <v>194</v>
      </c>
    </row>
    <row r="4483" spans="19:21" x14ac:dyDescent="0.25">
      <c r="S4483" s="6" t="s">
        <v>302</v>
      </c>
      <c r="T4483" s="6">
        <f t="shared" si="87"/>
        <v>4482</v>
      </c>
      <c r="U4483" s="4" t="s">
        <v>194</v>
      </c>
    </row>
    <row r="4484" spans="19:21" x14ac:dyDescent="0.25">
      <c r="S4484" s="6" t="s">
        <v>302</v>
      </c>
      <c r="T4484" s="6">
        <f t="shared" si="87"/>
        <v>4483</v>
      </c>
      <c r="U4484" s="4" t="s">
        <v>194</v>
      </c>
    </row>
    <row r="4485" spans="19:21" x14ac:dyDescent="0.25">
      <c r="S4485" s="6" t="s">
        <v>302</v>
      </c>
      <c r="T4485" s="6">
        <f t="shared" si="87"/>
        <v>4484</v>
      </c>
      <c r="U4485" s="4" t="s">
        <v>194</v>
      </c>
    </row>
    <row r="4486" spans="19:21" x14ac:dyDescent="0.25">
      <c r="S4486" s="6" t="s">
        <v>302</v>
      </c>
      <c r="T4486" s="6">
        <f t="shared" si="87"/>
        <v>4485</v>
      </c>
      <c r="U4486" s="4" t="s">
        <v>194</v>
      </c>
    </row>
    <row r="4487" spans="19:21" x14ac:dyDescent="0.25">
      <c r="S4487" s="6" t="s">
        <v>302</v>
      </c>
      <c r="T4487" s="6">
        <f t="shared" si="87"/>
        <v>4486</v>
      </c>
      <c r="U4487" s="4" t="s">
        <v>194</v>
      </c>
    </row>
    <row r="4488" spans="19:21" x14ac:dyDescent="0.25">
      <c r="S4488" s="6" t="s">
        <v>302</v>
      </c>
      <c r="T4488" s="6">
        <f t="shared" si="87"/>
        <v>4487</v>
      </c>
      <c r="U4488" s="4" t="s">
        <v>194</v>
      </c>
    </row>
    <row r="4489" spans="19:21" x14ac:dyDescent="0.25">
      <c r="S4489" s="6" t="s">
        <v>302</v>
      </c>
      <c r="T4489" s="6">
        <f t="shared" si="87"/>
        <v>4488</v>
      </c>
      <c r="U4489" s="4" t="s">
        <v>194</v>
      </c>
    </row>
    <row r="4490" spans="19:21" x14ac:dyDescent="0.25">
      <c r="S4490" s="6" t="s">
        <v>302</v>
      </c>
      <c r="T4490" s="6">
        <f t="shared" si="87"/>
        <v>4489</v>
      </c>
      <c r="U4490" s="4" t="s">
        <v>194</v>
      </c>
    </row>
    <row r="4491" spans="19:21" x14ac:dyDescent="0.25">
      <c r="S4491" s="6" t="s">
        <v>302</v>
      </c>
      <c r="T4491" s="6">
        <f t="shared" si="87"/>
        <v>4490</v>
      </c>
      <c r="U4491" s="4" t="s">
        <v>194</v>
      </c>
    </row>
    <row r="4492" spans="19:21" x14ac:dyDescent="0.25">
      <c r="S4492" s="6" t="s">
        <v>302</v>
      </c>
      <c r="T4492" s="6">
        <f t="shared" si="87"/>
        <v>4491</v>
      </c>
      <c r="U4492" s="4" t="s">
        <v>194</v>
      </c>
    </row>
    <row r="4493" spans="19:21" x14ac:dyDescent="0.25">
      <c r="S4493" s="6" t="s">
        <v>302</v>
      </c>
      <c r="T4493" s="6">
        <f t="shared" si="87"/>
        <v>4492</v>
      </c>
      <c r="U4493" s="4" t="s">
        <v>194</v>
      </c>
    </row>
    <row r="4494" spans="19:21" x14ac:dyDescent="0.25">
      <c r="S4494" s="6" t="s">
        <v>302</v>
      </c>
      <c r="T4494" s="6">
        <f t="shared" si="87"/>
        <v>4493</v>
      </c>
      <c r="U4494" s="4" t="s">
        <v>194</v>
      </c>
    </row>
    <row r="4495" spans="19:21" x14ac:dyDescent="0.25">
      <c r="S4495" s="6" t="s">
        <v>302</v>
      </c>
      <c r="T4495" s="6">
        <f t="shared" si="87"/>
        <v>4494</v>
      </c>
      <c r="U4495" s="4" t="s">
        <v>194</v>
      </c>
    </row>
    <row r="4496" spans="19:21" x14ac:dyDescent="0.25">
      <c r="S4496" s="6" t="s">
        <v>302</v>
      </c>
      <c r="T4496" s="6">
        <f t="shared" si="87"/>
        <v>4495</v>
      </c>
      <c r="U4496" s="4" t="s">
        <v>194</v>
      </c>
    </row>
    <row r="4497" spans="19:21" x14ac:dyDescent="0.25">
      <c r="S4497" s="6" t="s">
        <v>302</v>
      </c>
      <c r="T4497" s="6">
        <f t="shared" si="87"/>
        <v>4496</v>
      </c>
      <c r="U4497" s="4" t="s">
        <v>194</v>
      </c>
    </row>
    <row r="4498" spans="19:21" x14ac:dyDescent="0.25">
      <c r="S4498" s="6" t="s">
        <v>302</v>
      </c>
      <c r="T4498" s="6">
        <f t="shared" si="87"/>
        <v>4497</v>
      </c>
      <c r="U4498" s="4" t="s">
        <v>194</v>
      </c>
    </row>
    <row r="4499" spans="19:21" x14ac:dyDescent="0.25">
      <c r="S4499" s="6" t="s">
        <v>302</v>
      </c>
      <c r="T4499" s="6">
        <f t="shared" si="87"/>
        <v>4498</v>
      </c>
      <c r="U4499" s="4" t="s">
        <v>194</v>
      </c>
    </row>
    <row r="4500" spans="19:21" x14ac:dyDescent="0.25">
      <c r="S4500" s="6" t="s">
        <v>302</v>
      </c>
      <c r="T4500" s="6">
        <f t="shared" si="87"/>
        <v>4499</v>
      </c>
      <c r="U4500" s="4" t="s">
        <v>194</v>
      </c>
    </row>
    <row r="4501" spans="19:21" x14ac:dyDescent="0.25">
      <c r="S4501" s="6" t="s">
        <v>302</v>
      </c>
      <c r="T4501" s="6">
        <f t="shared" si="87"/>
        <v>4500</v>
      </c>
      <c r="U4501" s="4" t="s">
        <v>194</v>
      </c>
    </row>
    <row r="4502" spans="19:21" x14ac:dyDescent="0.25">
      <c r="S4502" s="6" t="s">
        <v>302</v>
      </c>
      <c r="T4502" s="6">
        <f t="shared" si="87"/>
        <v>4501</v>
      </c>
      <c r="U4502" s="4" t="s">
        <v>194</v>
      </c>
    </row>
    <row r="4503" spans="19:21" x14ac:dyDescent="0.25">
      <c r="S4503" s="6" t="s">
        <v>302</v>
      </c>
      <c r="T4503" s="6">
        <f t="shared" si="87"/>
        <v>4502</v>
      </c>
      <c r="U4503" s="4" t="s">
        <v>194</v>
      </c>
    </row>
    <row r="4504" spans="19:21" x14ac:dyDescent="0.25">
      <c r="S4504" s="6" t="s">
        <v>302</v>
      </c>
      <c r="T4504" s="6">
        <f t="shared" si="87"/>
        <v>4503</v>
      </c>
      <c r="U4504" s="4" t="s">
        <v>194</v>
      </c>
    </row>
    <row r="4505" spans="19:21" x14ac:dyDescent="0.25">
      <c r="S4505" s="6" t="s">
        <v>302</v>
      </c>
      <c r="T4505" s="6">
        <f t="shared" si="87"/>
        <v>4504</v>
      </c>
      <c r="U4505" s="4" t="s">
        <v>194</v>
      </c>
    </row>
    <row r="4506" spans="19:21" x14ac:dyDescent="0.25">
      <c r="S4506" s="6" t="s">
        <v>302</v>
      </c>
      <c r="T4506" s="6">
        <f t="shared" si="87"/>
        <v>4505</v>
      </c>
      <c r="U4506" s="4" t="s">
        <v>194</v>
      </c>
    </row>
    <row r="4507" spans="19:21" x14ac:dyDescent="0.25">
      <c r="S4507" s="6" t="s">
        <v>302</v>
      </c>
      <c r="T4507" s="6">
        <f t="shared" si="87"/>
        <v>4506</v>
      </c>
      <c r="U4507" s="4" t="s">
        <v>194</v>
      </c>
    </row>
    <row r="4508" spans="19:21" x14ac:dyDescent="0.25">
      <c r="S4508" s="6" t="s">
        <v>302</v>
      </c>
      <c r="T4508" s="6">
        <f t="shared" si="87"/>
        <v>4507</v>
      </c>
      <c r="U4508" s="4" t="s">
        <v>194</v>
      </c>
    </row>
    <row r="4509" spans="19:21" x14ac:dyDescent="0.25">
      <c r="S4509" s="6" t="s">
        <v>302</v>
      </c>
      <c r="T4509" s="6">
        <f t="shared" si="87"/>
        <v>4508</v>
      </c>
      <c r="U4509" s="4" t="s">
        <v>194</v>
      </c>
    </row>
    <row r="4510" spans="19:21" x14ac:dyDescent="0.25">
      <c r="S4510" s="6" t="s">
        <v>302</v>
      </c>
      <c r="T4510" s="6">
        <f t="shared" ref="T4510:T4573" si="88">T4509+1</f>
        <v>4509</v>
      </c>
      <c r="U4510" s="4" t="s">
        <v>194</v>
      </c>
    </row>
    <row r="4511" spans="19:21" x14ac:dyDescent="0.25">
      <c r="S4511" s="6" t="s">
        <v>302</v>
      </c>
      <c r="T4511" s="6">
        <f t="shared" si="88"/>
        <v>4510</v>
      </c>
      <c r="U4511" s="4" t="s">
        <v>194</v>
      </c>
    </row>
    <row r="4512" spans="19:21" x14ac:dyDescent="0.25">
      <c r="S4512" s="6" t="s">
        <v>302</v>
      </c>
      <c r="T4512" s="6">
        <f t="shared" si="88"/>
        <v>4511</v>
      </c>
      <c r="U4512" s="4" t="s">
        <v>194</v>
      </c>
    </row>
    <row r="4513" spans="19:21" x14ac:dyDescent="0.25">
      <c r="S4513" s="6" t="s">
        <v>302</v>
      </c>
      <c r="T4513" s="6">
        <f t="shared" si="88"/>
        <v>4512</v>
      </c>
      <c r="U4513" s="4" t="s">
        <v>194</v>
      </c>
    </row>
    <row r="4514" spans="19:21" x14ac:dyDescent="0.25">
      <c r="S4514" s="6" t="s">
        <v>302</v>
      </c>
      <c r="T4514" s="6">
        <f t="shared" si="88"/>
        <v>4513</v>
      </c>
      <c r="U4514" s="4" t="s">
        <v>194</v>
      </c>
    </row>
    <row r="4515" spans="19:21" x14ac:dyDescent="0.25">
      <c r="S4515" s="6" t="s">
        <v>302</v>
      </c>
      <c r="T4515" s="6">
        <f t="shared" si="88"/>
        <v>4514</v>
      </c>
      <c r="U4515" s="4" t="s">
        <v>194</v>
      </c>
    </row>
    <row r="4516" spans="19:21" x14ac:dyDescent="0.25">
      <c r="S4516" s="6" t="s">
        <v>302</v>
      </c>
      <c r="T4516" s="6">
        <f t="shared" si="88"/>
        <v>4515</v>
      </c>
      <c r="U4516" s="4" t="s">
        <v>194</v>
      </c>
    </row>
    <row r="4517" spans="19:21" x14ac:dyDescent="0.25">
      <c r="S4517" s="6" t="s">
        <v>302</v>
      </c>
      <c r="T4517" s="6">
        <f t="shared" si="88"/>
        <v>4516</v>
      </c>
      <c r="U4517" s="4" t="s">
        <v>194</v>
      </c>
    </row>
    <row r="4518" spans="19:21" x14ac:dyDescent="0.25">
      <c r="S4518" s="6" t="s">
        <v>302</v>
      </c>
      <c r="T4518" s="6">
        <f t="shared" si="88"/>
        <v>4517</v>
      </c>
      <c r="U4518" s="4" t="s">
        <v>194</v>
      </c>
    </row>
    <row r="4519" spans="19:21" x14ac:dyDescent="0.25">
      <c r="S4519" s="6" t="s">
        <v>302</v>
      </c>
      <c r="T4519" s="6">
        <f t="shared" si="88"/>
        <v>4518</v>
      </c>
      <c r="U4519" s="4" t="s">
        <v>194</v>
      </c>
    </row>
    <row r="4520" spans="19:21" x14ac:dyDescent="0.25">
      <c r="S4520" s="6" t="s">
        <v>302</v>
      </c>
      <c r="T4520" s="6">
        <f t="shared" si="88"/>
        <v>4519</v>
      </c>
      <c r="U4520" s="4" t="s">
        <v>194</v>
      </c>
    </row>
    <row r="4521" spans="19:21" x14ac:dyDescent="0.25">
      <c r="S4521" s="6" t="s">
        <v>302</v>
      </c>
      <c r="T4521" s="6">
        <f t="shared" si="88"/>
        <v>4520</v>
      </c>
      <c r="U4521" s="4" t="s">
        <v>194</v>
      </c>
    </row>
    <row r="4522" spans="19:21" x14ac:dyDescent="0.25">
      <c r="S4522" s="6" t="s">
        <v>302</v>
      </c>
      <c r="T4522" s="6">
        <f t="shared" si="88"/>
        <v>4521</v>
      </c>
      <c r="U4522" s="4" t="s">
        <v>194</v>
      </c>
    </row>
    <row r="4523" spans="19:21" x14ac:dyDescent="0.25">
      <c r="S4523" s="6" t="s">
        <v>302</v>
      </c>
      <c r="T4523" s="6">
        <f t="shared" si="88"/>
        <v>4522</v>
      </c>
      <c r="U4523" s="4" t="s">
        <v>194</v>
      </c>
    </row>
    <row r="4524" spans="19:21" x14ac:dyDescent="0.25">
      <c r="S4524" s="6" t="s">
        <v>302</v>
      </c>
      <c r="T4524" s="6">
        <f t="shared" si="88"/>
        <v>4523</v>
      </c>
      <c r="U4524" s="4" t="s">
        <v>194</v>
      </c>
    </row>
    <row r="4525" spans="19:21" x14ac:dyDescent="0.25">
      <c r="S4525" s="6" t="s">
        <v>302</v>
      </c>
      <c r="T4525" s="6">
        <f t="shared" si="88"/>
        <v>4524</v>
      </c>
      <c r="U4525" s="4" t="s">
        <v>194</v>
      </c>
    </row>
    <row r="4526" spans="19:21" x14ac:dyDescent="0.25">
      <c r="S4526" s="6" t="s">
        <v>302</v>
      </c>
      <c r="T4526" s="6">
        <f t="shared" si="88"/>
        <v>4525</v>
      </c>
      <c r="U4526" s="4" t="s">
        <v>194</v>
      </c>
    </row>
    <row r="4527" spans="19:21" x14ac:dyDescent="0.25">
      <c r="S4527" s="6" t="s">
        <v>302</v>
      </c>
      <c r="T4527" s="6">
        <f t="shared" si="88"/>
        <v>4526</v>
      </c>
      <c r="U4527" s="4" t="s">
        <v>194</v>
      </c>
    </row>
    <row r="4528" spans="19:21" x14ac:dyDescent="0.25">
      <c r="S4528" s="6" t="s">
        <v>302</v>
      </c>
      <c r="T4528" s="6">
        <f t="shared" si="88"/>
        <v>4527</v>
      </c>
      <c r="U4528" s="4" t="s">
        <v>194</v>
      </c>
    </row>
    <row r="4529" spans="19:21" x14ac:dyDescent="0.25">
      <c r="S4529" s="6" t="s">
        <v>302</v>
      </c>
      <c r="T4529" s="6">
        <f t="shared" si="88"/>
        <v>4528</v>
      </c>
      <c r="U4529" s="4" t="s">
        <v>194</v>
      </c>
    </row>
    <row r="4530" spans="19:21" x14ac:dyDescent="0.25">
      <c r="S4530" s="6" t="s">
        <v>302</v>
      </c>
      <c r="T4530" s="6">
        <f t="shared" si="88"/>
        <v>4529</v>
      </c>
      <c r="U4530" s="4" t="s">
        <v>194</v>
      </c>
    </row>
    <row r="4531" spans="19:21" x14ac:dyDescent="0.25">
      <c r="S4531" s="6" t="s">
        <v>302</v>
      </c>
      <c r="T4531" s="6">
        <f t="shared" si="88"/>
        <v>4530</v>
      </c>
      <c r="U4531" s="4" t="s">
        <v>194</v>
      </c>
    </row>
    <row r="4532" spans="19:21" x14ac:dyDescent="0.25">
      <c r="S4532" s="6" t="s">
        <v>302</v>
      </c>
      <c r="T4532" s="6">
        <f t="shared" si="88"/>
        <v>4531</v>
      </c>
      <c r="U4532" s="4" t="s">
        <v>194</v>
      </c>
    </row>
    <row r="4533" spans="19:21" x14ac:dyDescent="0.25">
      <c r="S4533" s="6" t="s">
        <v>302</v>
      </c>
      <c r="T4533" s="6">
        <f t="shared" si="88"/>
        <v>4532</v>
      </c>
      <c r="U4533" s="4" t="s">
        <v>194</v>
      </c>
    </row>
    <row r="4534" spans="19:21" x14ac:dyDescent="0.25">
      <c r="S4534" s="6" t="s">
        <v>302</v>
      </c>
      <c r="T4534" s="6">
        <f t="shared" si="88"/>
        <v>4533</v>
      </c>
      <c r="U4534" s="4" t="s">
        <v>194</v>
      </c>
    </row>
    <row r="4535" spans="19:21" x14ac:dyDescent="0.25">
      <c r="S4535" s="6" t="s">
        <v>302</v>
      </c>
      <c r="T4535" s="6">
        <f t="shared" si="88"/>
        <v>4534</v>
      </c>
      <c r="U4535" s="4" t="s">
        <v>194</v>
      </c>
    </row>
    <row r="4536" spans="19:21" x14ac:dyDescent="0.25">
      <c r="S4536" s="6" t="s">
        <v>302</v>
      </c>
      <c r="T4536" s="6">
        <f t="shared" si="88"/>
        <v>4535</v>
      </c>
      <c r="U4536" s="4" t="s">
        <v>194</v>
      </c>
    </row>
    <row r="4537" spans="19:21" x14ac:dyDescent="0.25">
      <c r="S4537" s="6" t="s">
        <v>302</v>
      </c>
      <c r="T4537" s="6">
        <f t="shared" si="88"/>
        <v>4536</v>
      </c>
      <c r="U4537" s="4" t="s">
        <v>194</v>
      </c>
    </row>
    <row r="4538" spans="19:21" x14ac:dyDescent="0.25">
      <c r="S4538" s="6" t="s">
        <v>302</v>
      </c>
      <c r="T4538" s="6">
        <f t="shared" si="88"/>
        <v>4537</v>
      </c>
      <c r="U4538" s="4" t="s">
        <v>194</v>
      </c>
    </row>
    <row r="4539" spans="19:21" x14ac:dyDescent="0.25">
      <c r="S4539" s="6" t="s">
        <v>302</v>
      </c>
      <c r="T4539" s="6">
        <f t="shared" si="88"/>
        <v>4538</v>
      </c>
      <c r="U4539" s="4" t="s">
        <v>194</v>
      </c>
    </row>
    <row r="4540" spans="19:21" x14ac:dyDescent="0.25">
      <c r="S4540" s="6" t="s">
        <v>302</v>
      </c>
      <c r="T4540" s="6">
        <f t="shared" si="88"/>
        <v>4539</v>
      </c>
      <c r="U4540" s="4" t="s">
        <v>194</v>
      </c>
    </row>
    <row r="4541" spans="19:21" x14ac:dyDescent="0.25">
      <c r="S4541" s="6" t="s">
        <v>302</v>
      </c>
      <c r="T4541" s="6">
        <f t="shared" si="88"/>
        <v>4540</v>
      </c>
      <c r="U4541" s="4" t="s">
        <v>194</v>
      </c>
    </row>
    <row r="4542" spans="19:21" x14ac:dyDescent="0.25">
      <c r="S4542" s="6" t="s">
        <v>302</v>
      </c>
      <c r="T4542" s="6">
        <f t="shared" si="88"/>
        <v>4541</v>
      </c>
      <c r="U4542" s="4" t="s">
        <v>194</v>
      </c>
    </row>
    <row r="4543" spans="19:21" x14ac:dyDescent="0.25">
      <c r="S4543" s="6" t="s">
        <v>302</v>
      </c>
      <c r="T4543" s="6">
        <f t="shared" si="88"/>
        <v>4542</v>
      </c>
      <c r="U4543" s="4" t="s">
        <v>194</v>
      </c>
    </row>
    <row r="4544" spans="19:21" x14ac:dyDescent="0.25">
      <c r="S4544" s="6" t="s">
        <v>302</v>
      </c>
      <c r="T4544" s="6">
        <f t="shared" si="88"/>
        <v>4543</v>
      </c>
      <c r="U4544" s="4" t="s">
        <v>194</v>
      </c>
    </row>
    <row r="4545" spans="19:21" x14ac:dyDescent="0.25">
      <c r="S4545" s="6" t="s">
        <v>302</v>
      </c>
      <c r="T4545" s="6">
        <f t="shared" si="88"/>
        <v>4544</v>
      </c>
      <c r="U4545" s="4" t="s">
        <v>194</v>
      </c>
    </row>
    <row r="4546" spans="19:21" x14ac:dyDescent="0.25">
      <c r="S4546" s="6" t="s">
        <v>302</v>
      </c>
      <c r="T4546" s="6">
        <f t="shared" si="88"/>
        <v>4545</v>
      </c>
      <c r="U4546" s="4" t="s">
        <v>194</v>
      </c>
    </row>
    <row r="4547" spans="19:21" x14ac:dyDescent="0.25">
      <c r="S4547" s="6" t="s">
        <v>302</v>
      </c>
      <c r="T4547" s="6">
        <f t="shared" si="88"/>
        <v>4546</v>
      </c>
      <c r="U4547" s="4" t="s">
        <v>194</v>
      </c>
    </row>
    <row r="4548" spans="19:21" x14ac:dyDescent="0.25">
      <c r="S4548" s="6" t="s">
        <v>302</v>
      </c>
      <c r="T4548" s="6">
        <f t="shared" si="88"/>
        <v>4547</v>
      </c>
      <c r="U4548" s="4" t="s">
        <v>194</v>
      </c>
    </row>
    <row r="4549" spans="19:21" x14ac:dyDescent="0.25">
      <c r="S4549" s="6" t="s">
        <v>302</v>
      </c>
      <c r="T4549" s="6">
        <f t="shared" si="88"/>
        <v>4548</v>
      </c>
      <c r="U4549" s="4" t="s">
        <v>194</v>
      </c>
    </row>
    <row r="4550" spans="19:21" x14ac:dyDescent="0.25">
      <c r="S4550" s="6" t="s">
        <v>302</v>
      </c>
      <c r="T4550" s="6">
        <f t="shared" si="88"/>
        <v>4549</v>
      </c>
      <c r="U4550" s="4" t="s">
        <v>194</v>
      </c>
    </row>
    <row r="4551" spans="19:21" x14ac:dyDescent="0.25">
      <c r="S4551" s="6" t="s">
        <v>302</v>
      </c>
      <c r="T4551" s="6">
        <f t="shared" si="88"/>
        <v>4550</v>
      </c>
      <c r="U4551" s="4" t="s">
        <v>194</v>
      </c>
    </row>
    <row r="4552" spans="19:21" x14ac:dyDescent="0.25">
      <c r="S4552" s="6" t="s">
        <v>302</v>
      </c>
      <c r="T4552" s="6">
        <f t="shared" si="88"/>
        <v>4551</v>
      </c>
      <c r="U4552" s="4" t="s">
        <v>194</v>
      </c>
    </row>
    <row r="4553" spans="19:21" x14ac:dyDescent="0.25">
      <c r="S4553" s="6" t="s">
        <v>302</v>
      </c>
      <c r="T4553" s="6">
        <f t="shared" si="88"/>
        <v>4552</v>
      </c>
      <c r="U4553" s="4" t="s">
        <v>194</v>
      </c>
    </row>
    <row r="4554" spans="19:21" x14ac:dyDescent="0.25">
      <c r="S4554" s="6" t="s">
        <v>302</v>
      </c>
      <c r="T4554" s="6">
        <f t="shared" si="88"/>
        <v>4553</v>
      </c>
      <c r="U4554" s="4" t="s">
        <v>194</v>
      </c>
    </row>
    <row r="4555" spans="19:21" x14ac:dyDescent="0.25">
      <c r="S4555" s="6" t="s">
        <v>302</v>
      </c>
      <c r="T4555" s="6">
        <f t="shared" si="88"/>
        <v>4554</v>
      </c>
      <c r="U4555" s="4" t="s">
        <v>194</v>
      </c>
    </row>
    <row r="4556" spans="19:21" x14ac:dyDescent="0.25">
      <c r="S4556" s="6" t="s">
        <v>302</v>
      </c>
      <c r="T4556" s="6">
        <f t="shared" si="88"/>
        <v>4555</v>
      </c>
      <c r="U4556" s="4" t="s">
        <v>194</v>
      </c>
    </row>
    <row r="4557" spans="19:21" x14ac:dyDescent="0.25">
      <c r="S4557" s="6" t="s">
        <v>302</v>
      </c>
      <c r="T4557" s="6">
        <f t="shared" si="88"/>
        <v>4556</v>
      </c>
      <c r="U4557" s="4" t="s">
        <v>194</v>
      </c>
    </row>
    <row r="4558" spans="19:21" x14ac:dyDescent="0.25">
      <c r="S4558" s="6" t="s">
        <v>302</v>
      </c>
      <c r="T4558" s="6">
        <f t="shared" si="88"/>
        <v>4557</v>
      </c>
      <c r="U4558" s="4" t="s">
        <v>194</v>
      </c>
    </row>
    <row r="4559" spans="19:21" x14ac:dyDescent="0.25">
      <c r="S4559" s="6" t="s">
        <v>302</v>
      </c>
      <c r="T4559" s="6">
        <f t="shared" si="88"/>
        <v>4558</v>
      </c>
      <c r="U4559" s="4" t="s">
        <v>194</v>
      </c>
    </row>
    <row r="4560" spans="19:21" x14ac:dyDescent="0.25">
      <c r="S4560" s="6" t="s">
        <v>302</v>
      </c>
      <c r="T4560" s="6">
        <f t="shared" si="88"/>
        <v>4559</v>
      </c>
      <c r="U4560" s="4" t="s">
        <v>194</v>
      </c>
    </row>
    <row r="4561" spans="19:21" x14ac:dyDescent="0.25">
      <c r="S4561" s="6" t="s">
        <v>302</v>
      </c>
      <c r="T4561" s="6">
        <f t="shared" si="88"/>
        <v>4560</v>
      </c>
      <c r="U4561" s="4" t="s">
        <v>194</v>
      </c>
    </row>
    <row r="4562" spans="19:21" x14ac:dyDescent="0.25">
      <c r="S4562" s="6" t="s">
        <v>302</v>
      </c>
      <c r="T4562" s="6">
        <f t="shared" si="88"/>
        <v>4561</v>
      </c>
      <c r="U4562" s="4" t="s">
        <v>194</v>
      </c>
    </row>
    <row r="4563" spans="19:21" x14ac:dyDescent="0.25">
      <c r="S4563" s="6" t="s">
        <v>302</v>
      </c>
      <c r="T4563" s="6">
        <f t="shared" si="88"/>
        <v>4562</v>
      </c>
      <c r="U4563" s="4" t="s">
        <v>194</v>
      </c>
    </row>
    <row r="4564" spans="19:21" x14ac:dyDescent="0.25">
      <c r="S4564" s="6" t="s">
        <v>302</v>
      </c>
      <c r="T4564" s="6">
        <f t="shared" si="88"/>
        <v>4563</v>
      </c>
      <c r="U4564" s="4" t="s">
        <v>194</v>
      </c>
    </row>
    <row r="4565" spans="19:21" x14ac:dyDescent="0.25">
      <c r="S4565" s="6" t="s">
        <v>302</v>
      </c>
      <c r="T4565" s="6">
        <f t="shared" si="88"/>
        <v>4564</v>
      </c>
      <c r="U4565" s="4" t="s">
        <v>194</v>
      </c>
    </row>
    <row r="4566" spans="19:21" x14ac:dyDescent="0.25">
      <c r="S4566" s="6" t="s">
        <v>302</v>
      </c>
      <c r="T4566" s="6">
        <f t="shared" si="88"/>
        <v>4565</v>
      </c>
      <c r="U4566" s="4" t="s">
        <v>194</v>
      </c>
    </row>
    <row r="4567" spans="19:21" x14ac:dyDescent="0.25">
      <c r="S4567" s="6" t="s">
        <v>302</v>
      </c>
      <c r="T4567" s="6">
        <f t="shared" si="88"/>
        <v>4566</v>
      </c>
      <c r="U4567" s="4" t="s">
        <v>194</v>
      </c>
    </row>
    <row r="4568" spans="19:21" x14ac:dyDescent="0.25">
      <c r="S4568" s="6" t="s">
        <v>302</v>
      </c>
      <c r="T4568" s="6">
        <f t="shared" si="88"/>
        <v>4567</v>
      </c>
      <c r="U4568" s="4" t="s">
        <v>194</v>
      </c>
    </row>
    <row r="4569" spans="19:21" x14ac:dyDescent="0.25">
      <c r="S4569" s="6" t="s">
        <v>302</v>
      </c>
      <c r="T4569" s="6">
        <f t="shared" si="88"/>
        <v>4568</v>
      </c>
      <c r="U4569" s="4" t="s">
        <v>194</v>
      </c>
    </row>
    <row r="4570" spans="19:21" x14ac:dyDescent="0.25">
      <c r="S4570" s="6" t="s">
        <v>302</v>
      </c>
      <c r="T4570" s="6">
        <f t="shared" si="88"/>
        <v>4569</v>
      </c>
      <c r="U4570" s="4" t="s">
        <v>194</v>
      </c>
    </row>
    <row r="4571" spans="19:21" x14ac:dyDescent="0.25">
      <c r="S4571" s="6" t="s">
        <v>302</v>
      </c>
      <c r="T4571" s="6">
        <f t="shared" si="88"/>
        <v>4570</v>
      </c>
      <c r="U4571" s="4" t="s">
        <v>194</v>
      </c>
    </row>
    <row r="4572" spans="19:21" x14ac:dyDescent="0.25">
      <c r="S4572" s="6" t="s">
        <v>302</v>
      </c>
      <c r="T4572" s="6">
        <f t="shared" si="88"/>
        <v>4571</v>
      </c>
      <c r="U4572" s="4" t="s">
        <v>194</v>
      </c>
    </row>
    <row r="4573" spans="19:21" x14ac:dyDescent="0.25">
      <c r="S4573" s="6" t="s">
        <v>302</v>
      </c>
      <c r="T4573" s="6">
        <f t="shared" si="88"/>
        <v>4572</v>
      </c>
      <c r="U4573" s="4" t="s">
        <v>194</v>
      </c>
    </row>
    <row r="4574" spans="19:21" x14ac:dyDescent="0.25">
      <c r="S4574" s="6" t="s">
        <v>302</v>
      </c>
      <c r="T4574" s="6">
        <f t="shared" ref="T4574:T4637" si="89">T4573+1</f>
        <v>4573</v>
      </c>
      <c r="U4574" s="4" t="s">
        <v>194</v>
      </c>
    </row>
    <row r="4575" spans="19:21" x14ac:dyDescent="0.25">
      <c r="S4575" s="6" t="s">
        <v>302</v>
      </c>
      <c r="T4575" s="6">
        <f t="shared" si="89"/>
        <v>4574</v>
      </c>
      <c r="U4575" s="4" t="s">
        <v>194</v>
      </c>
    </row>
    <row r="4576" spans="19:21" x14ac:dyDescent="0.25">
      <c r="S4576" s="6" t="s">
        <v>302</v>
      </c>
      <c r="T4576" s="6">
        <f t="shared" si="89"/>
        <v>4575</v>
      </c>
      <c r="U4576" s="4" t="s">
        <v>194</v>
      </c>
    </row>
    <row r="4577" spans="19:21" x14ac:dyDescent="0.25">
      <c r="S4577" s="6" t="s">
        <v>302</v>
      </c>
      <c r="T4577" s="6">
        <f t="shared" si="89"/>
        <v>4576</v>
      </c>
      <c r="U4577" s="4" t="s">
        <v>194</v>
      </c>
    </row>
    <row r="4578" spans="19:21" x14ac:dyDescent="0.25">
      <c r="S4578" s="6" t="s">
        <v>302</v>
      </c>
      <c r="T4578" s="6">
        <f t="shared" si="89"/>
        <v>4577</v>
      </c>
      <c r="U4578" s="4" t="s">
        <v>194</v>
      </c>
    </row>
    <row r="4579" spans="19:21" x14ac:dyDescent="0.25">
      <c r="S4579" s="6" t="s">
        <v>302</v>
      </c>
      <c r="T4579" s="6">
        <f t="shared" si="89"/>
        <v>4578</v>
      </c>
      <c r="U4579" s="4" t="s">
        <v>194</v>
      </c>
    </row>
    <row r="4580" spans="19:21" x14ac:dyDescent="0.25">
      <c r="S4580" s="6" t="s">
        <v>302</v>
      </c>
      <c r="T4580" s="6">
        <f t="shared" si="89"/>
        <v>4579</v>
      </c>
      <c r="U4580" s="4" t="s">
        <v>194</v>
      </c>
    </row>
    <row r="4581" spans="19:21" x14ac:dyDescent="0.25">
      <c r="S4581" s="6" t="s">
        <v>302</v>
      </c>
      <c r="T4581" s="6">
        <f t="shared" si="89"/>
        <v>4580</v>
      </c>
      <c r="U4581" s="4" t="s">
        <v>194</v>
      </c>
    </row>
    <row r="4582" spans="19:21" x14ac:dyDescent="0.25">
      <c r="S4582" s="6" t="s">
        <v>302</v>
      </c>
      <c r="T4582" s="6">
        <f t="shared" si="89"/>
        <v>4581</v>
      </c>
      <c r="U4582" s="4" t="s">
        <v>194</v>
      </c>
    </row>
    <row r="4583" spans="19:21" x14ac:dyDescent="0.25">
      <c r="S4583" s="6" t="s">
        <v>302</v>
      </c>
      <c r="T4583" s="6">
        <f t="shared" si="89"/>
        <v>4582</v>
      </c>
      <c r="U4583" s="4" t="s">
        <v>194</v>
      </c>
    </row>
    <row r="4584" spans="19:21" x14ac:dyDescent="0.25">
      <c r="S4584" s="6" t="s">
        <v>302</v>
      </c>
      <c r="T4584" s="6">
        <f t="shared" si="89"/>
        <v>4583</v>
      </c>
      <c r="U4584" s="4" t="s">
        <v>194</v>
      </c>
    </row>
    <row r="4585" spans="19:21" x14ac:dyDescent="0.25">
      <c r="S4585" s="6" t="s">
        <v>302</v>
      </c>
      <c r="T4585" s="6">
        <f t="shared" si="89"/>
        <v>4584</v>
      </c>
      <c r="U4585" s="4" t="s">
        <v>194</v>
      </c>
    </row>
    <row r="4586" spans="19:21" x14ac:dyDescent="0.25">
      <c r="S4586" s="6" t="s">
        <v>302</v>
      </c>
      <c r="T4586" s="6">
        <f t="shared" si="89"/>
        <v>4585</v>
      </c>
      <c r="U4586" s="4" t="s">
        <v>194</v>
      </c>
    </row>
    <row r="4587" spans="19:21" x14ac:dyDescent="0.25">
      <c r="S4587" s="6" t="s">
        <v>302</v>
      </c>
      <c r="T4587" s="6">
        <f t="shared" si="89"/>
        <v>4586</v>
      </c>
      <c r="U4587" s="4" t="s">
        <v>194</v>
      </c>
    </row>
    <row r="4588" spans="19:21" x14ac:dyDescent="0.25">
      <c r="S4588" s="6" t="s">
        <v>302</v>
      </c>
      <c r="T4588" s="6">
        <f t="shared" si="89"/>
        <v>4587</v>
      </c>
      <c r="U4588" s="4" t="s">
        <v>194</v>
      </c>
    </row>
    <row r="4589" spans="19:21" x14ac:dyDescent="0.25">
      <c r="S4589" s="6" t="s">
        <v>302</v>
      </c>
      <c r="T4589" s="6">
        <f t="shared" si="89"/>
        <v>4588</v>
      </c>
      <c r="U4589" s="4" t="s">
        <v>194</v>
      </c>
    </row>
    <row r="4590" spans="19:21" x14ac:dyDescent="0.25">
      <c r="S4590" s="6" t="s">
        <v>302</v>
      </c>
      <c r="T4590" s="6">
        <f t="shared" si="89"/>
        <v>4589</v>
      </c>
      <c r="U4590" s="4" t="s">
        <v>194</v>
      </c>
    </row>
    <row r="4591" spans="19:21" x14ac:dyDescent="0.25">
      <c r="S4591" s="6" t="s">
        <v>302</v>
      </c>
      <c r="T4591" s="6">
        <f t="shared" si="89"/>
        <v>4590</v>
      </c>
      <c r="U4591" s="4" t="s">
        <v>194</v>
      </c>
    </row>
    <row r="4592" spans="19:21" x14ac:dyDescent="0.25">
      <c r="S4592" s="6" t="s">
        <v>302</v>
      </c>
      <c r="T4592" s="6">
        <f t="shared" si="89"/>
        <v>4591</v>
      </c>
      <c r="U4592" s="4" t="s">
        <v>194</v>
      </c>
    </row>
    <row r="4593" spans="19:21" x14ac:dyDescent="0.25">
      <c r="S4593" s="6" t="s">
        <v>302</v>
      </c>
      <c r="T4593" s="6">
        <f t="shared" si="89"/>
        <v>4592</v>
      </c>
      <c r="U4593" s="4" t="s">
        <v>194</v>
      </c>
    </row>
    <row r="4594" spans="19:21" x14ac:dyDescent="0.25">
      <c r="S4594" s="6" t="s">
        <v>302</v>
      </c>
      <c r="T4594" s="6">
        <f t="shared" si="89"/>
        <v>4593</v>
      </c>
      <c r="U4594" s="4" t="s">
        <v>194</v>
      </c>
    </row>
    <row r="4595" spans="19:21" x14ac:dyDescent="0.25">
      <c r="S4595" s="6" t="s">
        <v>302</v>
      </c>
      <c r="T4595" s="6">
        <f t="shared" si="89"/>
        <v>4594</v>
      </c>
      <c r="U4595" s="4" t="s">
        <v>194</v>
      </c>
    </row>
    <row r="4596" spans="19:21" x14ac:dyDescent="0.25">
      <c r="S4596" s="6" t="s">
        <v>302</v>
      </c>
      <c r="T4596" s="6">
        <f t="shared" si="89"/>
        <v>4595</v>
      </c>
      <c r="U4596" s="4" t="s">
        <v>194</v>
      </c>
    </row>
    <row r="4597" spans="19:21" x14ac:dyDescent="0.25">
      <c r="S4597" s="6" t="s">
        <v>302</v>
      </c>
      <c r="T4597" s="6">
        <f t="shared" si="89"/>
        <v>4596</v>
      </c>
      <c r="U4597" s="4" t="s">
        <v>194</v>
      </c>
    </row>
    <row r="4598" spans="19:21" x14ac:dyDescent="0.25">
      <c r="S4598" s="6" t="s">
        <v>302</v>
      </c>
      <c r="T4598" s="6">
        <f t="shared" si="89"/>
        <v>4597</v>
      </c>
      <c r="U4598" s="4" t="s">
        <v>194</v>
      </c>
    </row>
    <row r="4599" spans="19:21" x14ac:dyDescent="0.25">
      <c r="S4599" s="6" t="s">
        <v>302</v>
      </c>
      <c r="T4599" s="6">
        <f t="shared" si="89"/>
        <v>4598</v>
      </c>
      <c r="U4599" s="4" t="s">
        <v>194</v>
      </c>
    </row>
    <row r="4600" spans="19:21" x14ac:dyDescent="0.25">
      <c r="S4600" s="6" t="s">
        <v>302</v>
      </c>
      <c r="T4600" s="6">
        <f t="shared" si="89"/>
        <v>4599</v>
      </c>
      <c r="U4600" s="4" t="s">
        <v>194</v>
      </c>
    </row>
    <row r="4601" spans="19:21" x14ac:dyDescent="0.25">
      <c r="S4601" s="6" t="s">
        <v>302</v>
      </c>
      <c r="T4601" s="6">
        <f t="shared" si="89"/>
        <v>4600</v>
      </c>
      <c r="U4601" s="4" t="s">
        <v>194</v>
      </c>
    </row>
    <row r="4602" spans="19:21" x14ac:dyDescent="0.25">
      <c r="S4602" s="6" t="s">
        <v>302</v>
      </c>
      <c r="T4602" s="6">
        <f t="shared" si="89"/>
        <v>4601</v>
      </c>
      <c r="U4602" s="4" t="s">
        <v>194</v>
      </c>
    </row>
    <row r="4603" spans="19:21" x14ac:dyDescent="0.25">
      <c r="S4603" s="6" t="s">
        <v>302</v>
      </c>
      <c r="T4603" s="6">
        <f t="shared" si="89"/>
        <v>4602</v>
      </c>
      <c r="U4603" s="4" t="s">
        <v>194</v>
      </c>
    </row>
    <row r="4604" spans="19:21" x14ac:dyDescent="0.25">
      <c r="S4604" s="6" t="s">
        <v>302</v>
      </c>
      <c r="T4604" s="6">
        <f t="shared" si="89"/>
        <v>4603</v>
      </c>
      <c r="U4604" s="4" t="s">
        <v>194</v>
      </c>
    </row>
    <row r="4605" spans="19:21" x14ac:dyDescent="0.25">
      <c r="S4605" s="6" t="s">
        <v>302</v>
      </c>
      <c r="T4605" s="6">
        <f t="shared" si="89"/>
        <v>4604</v>
      </c>
      <c r="U4605" s="4" t="s">
        <v>194</v>
      </c>
    </row>
    <row r="4606" spans="19:21" x14ac:dyDescent="0.25">
      <c r="S4606" s="6" t="s">
        <v>302</v>
      </c>
      <c r="T4606" s="6">
        <f t="shared" si="89"/>
        <v>4605</v>
      </c>
      <c r="U4606" s="4" t="s">
        <v>194</v>
      </c>
    </row>
    <row r="4607" spans="19:21" x14ac:dyDescent="0.25">
      <c r="S4607" s="6" t="s">
        <v>302</v>
      </c>
      <c r="T4607" s="6">
        <f t="shared" si="89"/>
        <v>4606</v>
      </c>
      <c r="U4607" s="4" t="s">
        <v>194</v>
      </c>
    </row>
    <row r="4608" spans="19:21" x14ac:dyDescent="0.25">
      <c r="S4608" s="6" t="s">
        <v>302</v>
      </c>
      <c r="T4608" s="6">
        <f t="shared" si="89"/>
        <v>4607</v>
      </c>
      <c r="U4608" s="4" t="s">
        <v>194</v>
      </c>
    </row>
    <row r="4609" spans="19:21" x14ac:dyDescent="0.25">
      <c r="S4609" s="6" t="s">
        <v>302</v>
      </c>
      <c r="T4609" s="6">
        <f t="shared" si="89"/>
        <v>4608</v>
      </c>
      <c r="U4609" s="4" t="s">
        <v>194</v>
      </c>
    </row>
    <row r="4610" spans="19:21" x14ac:dyDescent="0.25">
      <c r="S4610" s="6" t="s">
        <v>302</v>
      </c>
      <c r="T4610" s="6">
        <f t="shared" si="89"/>
        <v>4609</v>
      </c>
      <c r="U4610" s="4" t="s">
        <v>194</v>
      </c>
    </row>
    <row r="4611" spans="19:21" x14ac:dyDescent="0.25">
      <c r="S4611" s="6" t="s">
        <v>302</v>
      </c>
      <c r="T4611" s="6">
        <f t="shared" si="89"/>
        <v>4610</v>
      </c>
      <c r="U4611" s="4" t="s">
        <v>194</v>
      </c>
    </row>
    <row r="4612" spans="19:21" x14ac:dyDescent="0.25">
      <c r="S4612" s="6" t="s">
        <v>302</v>
      </c>
      <c r="T4612" s="6">
        <f t="shared" si="89"/>
        <v>4611</v>
      </c>
      <c r="U4612" s="4" t="s">
        <v>194</v>
      </c>
    </row>
    <row r="4613" spans="19:21" x14ac:dyDescent="0.25">
      <c r="S4613" s="6" t="s">
        <v>302</v>
      </c>
      <c r="T4613" s="6">
        <f t="shared" si="89"/>
        <v>4612</v>
      </c>
      <c r="U4613" s="4" t="s">
        <v>194</v>
      </c>
    </row>
    <row r="4614" spans="19:21" x14ac:dyDescent="0.25">
      <c r="S4614" s="6" t="s">
        <v>302</v>
      </c>
      <c r="T4614" s="6">
        <f t="shared" si="89"/>
        <v>4613</v>
      </c>
      <c r="U4614" s="4" t="s">
        <v>194</v>
      </c>
    </row>
    <row r="4615" spans="19:21" x14ac:dyDescent="0.25">
      <c r="S4615" s="6" t="s">
        <v>302</v>
      </c>
      <c r="T4615" s="6">
        <f t="shared" si="89"/>
        <v>4614</v>
      </c>
      <c r="U4615" s="4" t="s">
        <v>194</v>
      </c>
    </row>
    <row r="4616" spans="19:21" x14ac:dyDescent="0.25">
      <c r="S4616" s="6" t="s">
        <v>302</v>
      </c>
      <c r="T4616" s="6">
        <f t="shared" si="89"/>
        <v>4615</v>
      </c>
      <c r="U4616" s="4" t="s">
        <v>194</v>
      </c>
    </row>
    <row r="4617" spans="19:21" x14ac:dyDescent="0.25">
      <c r="S4617" s="6" t="s">
        <v>302</v>
      </c>
      <c r="T4617" s="6">
        <f t="shared" si="89"/>
        <v>4616</v>
      </c>
      <c r="U4617" s="4" t="s">
        <v>194</v>
      </c>
    </row>
    <row r="4618" spans="19:21" x14ac:dyDescent="0.25">
      <c r="S4618" s="6" t="s">
        <v>302</v>
      </c>
      <c r="T4618" s="6">
        <f t="shared" si="89"/>
        <v>4617</v>
      </c>
      <c r="U4618" s="4" t="s">
        <v>194</v>
      </c>
    </row>
    <row r="4619" spans="19:21" x14ac:dyDescent="0.25">
      <c r="S4619" s="6" t="s">
        <v>302</v>
      </c>
      <c r="T4619" s="6">
        <f t="shared" si="89"/>
        <v>4618</v>
      </c>
      <c r="U4619" s="4" t="s">
        <v>194</v>
      </c>
    </row>
    <row r="4620" spans="19:21" x14ac:dyDescent="0.25">
      <c r="S4620" s="6" t="s">
        <v>302</v>
      </c>
      <c r="T4620" s="6">
        <f t="shared" si="89"/>
        <v>4619</v>
      </c>
      <c r="U4620" s="4" t="s">
        <v>194</v>
      </c>
    </row>
    <row r="4621" spans="19:21" x14ac:dyDescent="0.25">
      <c r="S4621" s="6" t="s">
        <v>302</v>
      </c>
      <c r="T4621" s="6">
        <f t="shared" si="89"/>
        <v>4620</v>
      </c>
      <c r="U4621" s="4" t="s">
        <v>194</v>
      </c>
    </row>
    <row r="4622" spans="19:21" x14ac:dyDescent="0.25">
      <c r="S4622" s="6" t="s">
        <v>302</v>
      </c>
      <c r="T4622" s="6">
        <f t="shared" si="89"/>
        <v>4621</v>
      </c>
      <c r="U4622" s="4" t="s">
        <v>194</v>
      </c>
    </row>
    <row r="4623" spans="19:21" x14ac:dyDescent="0.25">
      <c r="S4623" s="6" t="s">
        <v>302</v>
      </c>
      <c r="T4623" s="6">
        <f t="shared" si="89"/>
        <v>4622</v>
      </c>
      <c r="U4623" s="4" t="s">
        <v>194</v>
      </c>
    </row>
    <row r="4624" spans="19:21" x14ac:dyDescent="0.25">
      <c r="S4624" s="6" t="s">
        <v>302</v>
      </c>
      <c r="T4624" s="6">
        <f t="shared" si="89"/>
        <v>4623</v>
      </c>
      <c r="U4624" s="4" t="s">
        <v>194</v>
      </c>
    </row>
    <row r="4625" spans="19:21" x14ac:dyDescent="0.25">
      <c r="S4625" s="6" t="s">
        <v>302</v>
      </c>
      <c r="T4625" s="6">
        <f t="shared" si="89"/>
        <v>4624</v>
      </c>
      <c r="U4625" s="4" t="s">
        <v>194</v>
      </c>
    </row>
    <row r="4626" spans="19:21" x14ac:dyDescent="0.25">
      <c r="S4626" s="6" t="s">
        <v>302</v>
      </c>
      <c r="T4626" s="6">
        <f t="shared" si="89"/>
        <v>4625</v>
      </c>
      <c r="U4626" s="4" t="s">
        <v>194</v>
      </c>
    </row>
    <row r="4627" spans="19:21" x14ac:dyDescent="0.25">
      <c r="S4627" s="6" t="s">
        <v>302</v>
      </c>
      <c r="T4627" s="6">
        <f t="shared" si="89"/>
        <v>4626</v>
      </c>
      <c r="U4627" s="4" t="s">
        <v>194</v>
      </c>
    </row>
    <row r="4628" spans="19:21" x14ac:dyDescent="0.25">
      <c r="S4628" s="6" t="s">
        <v>302</v>
      </c>
      <c r="T4628" s="6">
        <f t="shared" si="89"/>
        <v>4627</v>
      </c>
      <c r="U4628" s="4" t="s">
        <v>194</v>
      </c>
    </row>
    <row r="4629" spans="19:21" x14ac:dyDescent="0.25">
      <c r="S4629" s="6" t="s">
        <v>302</v>
      </c>
      <c r="T4629" s="6">
        <f t="shared" si="89"/>
        <v>4628</v>
      </c>
      <c r="U4629" s="4" t="s">
        <v>194</v>
      </c>
    </row>
    <row r="4630" spans="19:21" x14ac:dyDescent="0.25">
      <c r="S4630" s="6" t="s">
        <v>302</v>
      </c>
      <c r="T4630" s="6">
        <f t="shared" si="89"/>
        <v>4629</v>
      </c>
      <c r="U4630" s="4" t="s">
        <v>194</v>
      </c>
    </row>
    <row r="4631" spans="19:21" x14ac:dyDescent="0.25">
      <c r="S4631" s="6" t="s">
        <v>302</v>
      </c>
      <c r="T4631" s="6">
        <f t="shared" si="89"/>
        <v>4630</v>
      </c>
      <c r="U4631" s="4" t="s">
        <v>194</v>
      </c>
    </row>
    <row r="4632" spans="19:21" x14ac:dyDescent="0.25">
      <c r="S4632" s="6" t="s">
        <v>302</v>
      </c>
      <c r="T4632" s="6">
        <f t="shared" si="89"/>
        <v>4631</v>
      </c>
      <c r="U4632" s="4" t="s">
        <v>194</v>
      </c>
    </row>
    <row r="4633" spans="19:21" x14ac:dyDescent="0.25">
      <c r="S4633" s="6" t="s">
        <v>302</v>
      </c>
      <c r="T4633" s="6">
        <f t="shared" si="89"/>
        <v>4632</v>
      </c>
      <c r="U4633" s="4" t="s">
        <v>194</v>
      </c>
    </row>
    <row r="4634" spans="19:21" x14ac:dyDescent="0.25">
      <c r="S4634" s="6" t="s">
        <v>302</v>
      </c>
      <c r="T4634" s="6">
        <f t="shared" si="89"/>
        <v>4633</v>
      </c>
      <c r="U4634" s="4" t="s">
        <v>194</v>
      </c>
    </row>
    <row r="4635" spans="19:21" x14ac:dyDescent="0.25">
      <c r="S4635" s="6" t="s">
        <v>302</v>
      </c>
      <c r="T4635" s="6">
        <f t="shared" si="89"/>
        <v>4634</v>
      </c>
      <c r="U4635" s="4" t="s">
        <v>194</v>
      </c>
    </row>
    <row r="4636" spans="19:21" x14ac:dyDescent="0.25">
      <c r="S4636" s="6" t="s">
        <v>302</v>
      </c>
      <c r="T4636" s="6">
        <f t="shared" si="89"/>
        <v>4635</v>
      </c>
      <c r="U4636" s="4" t="s">
        <v>194</v>
      </c>
    </row>
    <row r="4637" spans="19:21" x14ac:dyDescent="0.25">
      <c r="S4637" s="6" t="s">
        <v>302</v>
      </c>
      <c r="T4637" s="6">
        <f t="shared" si="89"/>
        <v>4636</v>
      </c>
      <c r="U4637" s="4" t="s">
        <v>194</v>
      </c>
    </row>
    <row r="4638" spans="19:21" x14ac:dyDescent="0.25">
      <c r="S4638" s="6" t="s">
        <v>302</v>
      </c>
      <c r="T4638" s="6">
        <f t="shared" ref="T4638:T4701" si="90">T4637+1</f>
        <v>4637</v>
      </c>
      <c r="U4638" s="4" t="s">
        <v>194</v>
      </c>
    </row>
    <row r="4639" spans="19:21" x14ac:dyDescent="0.25">
      <c r="S4639" s="6" t="s">
        <v>302</v>
      </c>
      <c r="T4639" s="6">
        <f t="shared" si="90"/>
        <v>4638</v>
      </c>
      <c r="U4639" s="4" t="s">
        <v>194</v>
      </c>
    </row>
    <row r="4640" spans="19:21" x14ac:dyDescent="0.25">
      <c r="S4640" s="6" t="s">
        <v>302</v>
      </c>
      <c r="T4640" s="6">
        <f t="shared" si="90"/>
        <v>4639</v>
      </c>
      <c r="U4640" s="4" t="s">
        <v>194</v>
      </c>
    </row>
    <row r="4641" spans="19:21" x14ac:dyDescent="0.25">
      <c r="S4641" s="6" t="s">
        <v>302</v>
      </c>
      <c r="T4641" s="6">
        <f t="shared" si="90"/>
        <v>4640</v>
      </c>
      <c r="U4641" s="4" t="s">
        <v>194</v>
      </c>
    </row>
    <row r="4642" spans="19:21" x14ac:dyDescent="0.25">
      <c r="S4642" s="6" t="s">
        <v>302</v>
      </c>
      <c r="T4642" s="6">
        <f t="shared" si="90"/>
        <v>4641</v>
      </c>
      <c r="U4642" s="4" t="s">
        <v>194</v>
      </c>
    </row>
    <row r="4643" spans="19:21" x14ac:dyDescent="0.25">
      <c r="S4643" s="6" t="s">
        <v>302</v>
      </c>
      <c r="T4643" s="6">
        <f t="shared" si="90"/>
        <v>4642</v>
      </c>
      <c r="U4643" s="4" t="s">
        <v>194</v>
      </c>
    </row>
    <row r="4644" spans="19:21" x14ac:dyDescent="0.25">
      <c r="S4644" s="6" t="s">
        <v>302</v>
      </c>
      <c r="T4644" s="6">
        <f t="shared" si="90"/>
        <v>4643</v>
      </c>
      <c r="U4644" s="4" t="s">
        <v>194</v>
      </c>
    </row>
    <row r="4645" spans="19:21" x14ac:dyDescent="0.25">
      <c r="S4645" s="6" t="s">
        <v>302</v>
      </c>
      <c r="T4645" s="6">
        <f t="shared" si="90"/>
        <v>4644</v>
      </c>
      <c r="U4645" s="4" t="s">
        <v>194</v>
      </c>
    </row>
    <row r="4646" spans="19:21" x14ac:dyDescent="0.25">
      <c r="S4646" s="6" t="s">
        <v>302</v>
      </c>
      <c r="T4646" s="6">
        <f t="shared" si="90"/>
        <v>4645</v>
      </c>
      <c r="U4646" s="4" t="s">
        <v>194</v>
      </c>
    </row>
    <row r="4647" spans="19:21" x14ac:dyDescent="0.25">
      <c r="S4647" s="6" t="s">
        <v>302</v>
      </c>
      <c r="T4647" s="6">
        <f t="shared" si="90"/>
        <v>4646</v>
      </c>
      <c r="U4647" s="4" t="s">
        <v>194</v>
      </c>
    </row>
    <row r="4648" spans="19:21" x14ac:dyDescent="0.25">
      <c r="S4648" s="6" t="s">
        <v>302</v>
      </c>
      <c r="T4648" s="6">
        <f t="shared" si="90"/>
        <v>4647</v>
      </c>
      <c r="U4648" s="4" t="s">
        <v>194</v>
      </c>
    </row>
    <row r="4649" spans="19:21" x14ac:dyDescent="0.25">
      <c r="S4649" s="6" t="s">
        <v>302</v>
      </c>
      <c r="T4649" s="6">
        <f t="shared" si="90"/>
        <v>4648</v>
      </c>
      <c r="U4649" s="4" t="s">
        <v>194</v>
      </c>
    </row>
    <row r="4650" spans="19:21" x14ac:dyDescent="0.25">
      <c r="S4650" s="6" t="s">
        <v>302</v>
      </c>
      <c r="T4650" s="6">
        <f t="shared" si="90"/>
        <v>4649</v>
      </c>
      <c r="U4650" s="4" t="s">
        <v>194</v>
      </c>
    </row>
    <row r="4651" spans="19:21" x14ac:dyDescent="0.25">
      <c r="S4651" s="6" t="s">
        <v>302</v>
      </c>
      <c r="T4651" s="6">
        <f t="shared" si="90"/>
        <v>4650</v>
      </c>
      <c r="U4651" s="4" t="s">
        <v>194</v>
      </c>
    </row>
    <row r="4652" spans="19:21" x14ac:dyDescent="0.25">
      <c r="S4652" s="6" t="s">
        <v>302</v>
      </c>
      <c r="T4652" s="6">
        <f t="shared" si="90"/>
        <v>4651</v>
      </c>
      <c r="U4652" s="4" t="s">
        <v>194</v>
      </c>
    </row>
    <row r="4653" spans="19:21" x14ac:dyDescent="0.25">
      <c r="S4653" s="6" t="s">
        <v>302</v>
      </c>
      <c r="T4653" s="6">
        <f t="shared" si="90"/>
        <v>4652</v>
      </c>
      <c r="U4653" s="4" t="s">
        <v>194</v>
      </c>
    </row>
    <row r="4654" spans="19:21" x14ac:dyDescent="0.25">
      <c r="S4654" s="6" t="s">
        <v>302</v>
      </c>
      <c r="T4654" s="6">
        <f t="shared" si="90"/>
        <v>4653</v>
      </c>
      <c r="U4654" s="4" t="s">
        <v>194</v>
      </c>
    </row>
    <row r="4655" spans="19:21" x14ac:dyDescent="0.25">
      <c r="S4655" s="6" t="s">
        <v>302</v>
      </c>
      <c r="T4655" s="6">
        <f t="shared" si="90"/>
        <v>4654</v>
      </c>
      <c r="U4655" s="4" t="s">
        <v>194</v>
      </c>
    </row>
    <row r="4656" spans="19:21" x14ac:dyDescent="0.25">
      <c r="S4656" s="6" t="s">
        <v>302</v>
      </c>
      <c r="T4656" s="6">
        <f t="shared" si="90"/>
        <v>4655</v>
      </c>
      <c r="U4656" s="4" t="s">
        <v>194</v>
      </c>
    </row>
    <row r="4657" spans="19:21" x14ac:dyDescent="0.25">
      <c r="S4657" s="6" t="s">
        <v>302</v>
      </c>
      <c r="T4657" s="6">
        <f t="shared" si="90"/>
        <v>4656</v>
      </c>
      <c r="U4657" s="4" t="s">
        <v>194</v>
      </c>
    </row>
    <row r="4658" spans="19:21" x14ac:dyDescent="0.25">
      <c r="S4658" s="6" t="s">
        <v>302</v>
      </c>
      <c r="T4658" s="6">
        <f t="shared" si="90"/>
        <v>4657</v>
      </c>
      <c r="U4658" s="4" t="s">
        <v>194</v>
      </c>
    </row>
    <row r="4659" spans="19:21" x14ac:dyDescent="0.25">
      <c r="S4659" s="6" t="s">
        <v>302</v>
      </c>
      <c r="T4659" s="6">
        <f t="shared" si="90"/>
        <v>4658</v>
      </c>
      <c r="U4659" s="4" t="s">
        <v>194</v>
      </c>
    </row>
    <row r="4660" spans="19:21" x14ac:dyDescent="0.25">
      <c r="S4660" s="6" t="s">
        <v>302</v>
      </c>
      <c r="T4660" s="6">
        <f t="shared" si="90"/>
        <v>4659</v>
      </c>
      <c r="U4660" s="4" t="s">
        <v>194</v>
      </c>
    </row>
    <row r="4661" spans="19:21" x14ac:dyDescent="0.25">
      <c r="S4661" s="6" t="s">
        <v>302</v>
      </c>
      <c r="T4661" s="6">
        <f t="shared" si="90"/>
        <v>4660</v>
      </c>
      <c r="U4661" s="4" t="s">
        <v>194</v>
      </c>
    </row>
    <row r="4662" spans="19:21" x14ac:dyDescent="0.25">
      <c r="S4662" s="6" t="s">
        <v>302</v>
      </c>
      <c r="T4662" s="6">
        <f t="shared" si="90"/>
        <v>4661</v>
      </c>
      <c r="U4662" s="4" t="s">
        <v>194</v>
      </c>
    </row>
    <row r="4663" spans="19:21" x14ac:dyDescent="0.25">
      <c r="S4663" s="6" t="s">
        <v>302</v>
      </c>
      <c r="T4663" s="6">
        <f t="shared" si="90"/>
        <v>4662</v>
      </c>
      <c r="U4663" s="4" t="s">
        <v>194</v>
      </c>
    </row>
    <row r="4664" spans="19:21" x14ac:dyDescent="0.25">
      <c r="S4664" s="6" t="s">
        <v>302</v>
      </c>
      <c r="T4664" s="6">
        <f t="shared" si="90"/>
        <v>4663</v>
      </c>
      <c r="U4664" s="4" t="s">
        <v>194</v>
      </c>
    </row>
    <row r="4665" spans="19:21" x14ac:dyDescent="0.25">
      <c r="S4665" s="6" t="s">
        <v>302</v>
      </c>
      <c r="T4665" s="6">
        <f t="shared" si="90"/>
        <v>4664</v>
      </c>
      <c r="U4665" s="4" t="s">
        <v>194</v>
      </c>
    </row>
    <row r="4666" spans="19:21" x14ac:dyDescent="0.25">
      <c r="S4666" s="6" t="s">
        <v>302</v>
      </c>
      <c r="T4666" s="6">
        <f t="shared" si="90"/>
        <v>4665</v>
      </c>
      <c r="U4666" s="4" t="s">
        <v>194</v>
      </c>
    </row>
    <row r="4667" spans="19:21" x14ac:dyDescent="0.25">
      <c r="S4667" s="6" t="s">
        <v>302</v>
      </c>
      <c r="T4667" s="6">
        <f t="shared" si="90"/>
        <v>4666</v>
      </c>
      <c r="U4667" s="4" t="s">
        <v>194</v>
      </c>
    </row>
    <row r="4668" spans="19:21" x14ac:dyDescent="0.25">
      <c r="S4668" s="6" t="s">
        <v>302</v>
      </c>
      <c r="T4668" s="6">
        <f t="shared" si="90"/>
        <v>4667</v>
      </c>
      <c r="U4668" s="4" t="s">
        <v>194</v>
      </c>
    </row>
    <row r="4669" spans="19:21" x14ac:dyDescent="0.25">
      <c r="S4669" s="6" t="s">
        <v>302</v>
      </c>
      <c r="T4669" s="6">
        <f t="shared" si="90"/>
        <v>4668</v>
      </c>
      <c r="U4669" s="4" t="s">
        <v>194</v>
      </c>
    </row>
    <row r="4670" spans="19:21" x14ac:dyDescent="0.25">
      <c r="S4670" s="6" t="s">
        <v>302</v>
      </c>
      <c r="T4670" s="6">
        <f t="shared" si="90"/>
        <v>4669</v>
      </c>
      <c r="U4670" s="4" t="s">
        <v>194</v>
      </c>
    </row>
    <row r="4671" spans="19:21" x14ac:dyDescent="0.25">
      <c r="S4671" s="6" t="s">
        <v>302</v>
      </c>
      <c r="T4671" s="6">
        <f t="shared" si="90"/>
        <v>4670</v>
      </c>
      <c r="U4671" s="4" t="s">
        <v>194</v>
      </c>
    </row>
    <row r="4672" spans="19:21" x14ac:dyDescent="0.25">
      <c r="S4672" s="6" t="s">
        <v>302</v>
      </c>
      <c r="T4672" s="6">
        <f t="shared" si="90"/>
        <v>4671</v>
      </c>
      <c r="U4672" s="4" t="s">
        <v>194</v>
      </c>
    </row>
    <row r="4673" spans="19:21" x14ac:dyDescent="0.25">
      <c r="S4673" s="6" t="s">
        <v>302</v>
      </c>
      <c r="T4673" s="6">
        <f t="shared" si="90"/>
        <v>4672</v>
      </c>
      <c r="U4673" s="4" t="s">
        <v>194</v>
      </c>
    </row>
    <row r="4674" spans="19:21" x14ac:dyDescent="0.25">
      <c r="S4674" s="6" t="s">
        <v>302</v>
      </c>
      <c r="T4674" s="6">
        <f t="shared" si="90"/>
        <v>4673</v>
      </c>
      <c r="U4674" s="4" t="s">
        <v>194</v>
      </c>
    </row>
    <row r="4675" spans="19:21" x14ac:dyDescent="0.25">
      <c r="S4675" s="6" t="s">
        <v>302</v>
      </c>
      <c r="T4675" s="6">
        <f t="shared" si="90"/>
        <v>4674</v>
      </c>
      <c r="U4675" s="4" t="s">
        <v>194</v>
      </c>
    </row>
    <row r="4676" spans="19:21" x14ac:dyDescent="0.25">
      <c r="S4676" s="6" t="s">
        <v>302</v>
      </c>
      <c r="T4676" s="6">
        <f t="shared" si="90"/>
        <v>4675</v>
      </c>
      <c r="U4676" s="4" t="s">
        <v>194</v>
      </c>
    </row>
    <row r="4677" spans="19:21" x14ac:dyDescent="0.25">
      <c r="S4677" s="6" t="s">
        <v>302</v>
      </c>
      <c r="T4677" s="6">
        <f t="shared" si="90"/>
        <v>4676</v>
      </c>
      <c r="U4677" s="4" t="s">
        <v>194</v>
      </c>
    </row>
    <row r="4678" spans="19:21" x14ac:dyDescent="0.25">
      <c r="S4678" s="6" t="s">
        <v>302</v>
      </c>
      <c r="T4678" s="6">
        <f t="shared" si="90"/>
        <v>4677</v>
      </c>
      <c r="U4678" s="4" t="s">
        <v>194</v>
      </c>
    </row>
    <row r="4679" spans="19:21" x14ac:dyDescent="0.25">
      <c r="S4679" s="6" t="s">
        <v>302</v>
      </c>
      <c r="T4679" s="6">
        <f t="shared" si="90"/>
        <v>4678</v>
      </c>
      <c r="U4679" s="4" t="s">
        <v>194</v>
      </c>
    </row>
    <row r="4680" spans="19:21" x14ac:dyDescent="0.25">
      <c r="S4680" s="6" t="s">
        <v>302</v>
      </c>
      <c r="T4680" s="6">
        <f t="shared" si="90"/>
        <v>4679</v>
      </c>
      <c r="U4680" s="4" t="s">
        <v>194</v>
      </c>
    </row>
    <row r="4681" spans="19:21" x14ac:dyDescent="0.25">
      <c r="S4681" s="6" t="s">
        <v>302</v>
      </c>
      <c r="T4681" s="6">
        <f t="shared" si="90"/>
        <v>4680</v>
      </c>
      <c r="U4681" s="4" t="s">
        <v>194</v>
      </c>
    </row>
    <row r="4682" spans="19:21" x14ac:dyDescent="0.25">
      <c r="S4682" s="6" t="s">
        <v>302</v>
      </c>
      <c r="T4682" s="6">
        <f t="shared" si="90"/>
        <v>4681</v>
      </c>
      <c r="U4682" s="4" t="s">
        <v>194</v>
      </c>
    </row>
    <row r="4683" spans="19:21" x14ac:dyDescent="0.25">
      <c r="S4683" s="6" t="s">
        <v>302</v>
      </c>
      <c r="T4683" s="6">
        <f t="shared" si="90"/>
        <v>4682</v>
      </c>
      <c r="U4683" s="4" t="s">
        <v>194</v>
      </c>
    </row>
    <row r="4684" spans="19:21" x14ac:dyDescent="0.25">
      <c r="S4684" s="6" t="s">
        <v>302</v>
      </c>
      <c r="T4684" s="6">
        <f t="shared" si="90"/>
        <v>4683</v>
      </c>
      <c r="U4684" s="4" t="s">
        <v>194</v>
      </c>
    </row>
    <row r="4685" spans="19:21" x14ac:dyDescent="0.25">
      <c r="S4685" s="6" t="s">
        <v>302</v>
      </c>
      <c r="T4685" s="6">
        <f t="shared" si="90"/>
        <v>4684</v>
      </c>
      <c r="U4685" s="4" t="s">
        <v>194</v>
      </c>
    </row>
    <row r="4686" spans="19:21" x14ac:dyDescent="0.25">
      <c r="S4686" s="6" t="s">
        <v>302</v>
      </c>
      <c r="T4686" s="6">
        <f t="shared" si="90"/>
        <v>4685</v>
      </c>
      <c r="U4686" s="4" t="s">
        <v>194</v>
      </c>
    </row>
    <row r="4687" spans="19:21" x14ac:dyDescent="0.25">
      <c r="S4687" s="6" t="s">
        <v>302</v>
      </c>
      <c r="T4687" s="6">
        <f t="shared" si="90"/>
        <v>4686</v>
      </c>
      <c r="U4687" s="4" t="s">
        <v>194</v>
      </c>
    </row>
    <row r="4688" spans="19:21" x14ac:dyDescent="0.25">
      <c r="S4688" s="6" t="s">
        <v>302</v>
      </c>
      <c r="T4688" s="6">
        <f t="shared" si="90"/>
        <v>4687</v>
      </c>
      <c r="U4688" s="4" t="s">
        <v>194</v>
      </c>
    </row>
    <row r="4689" spans="19:21" x14ac:dyDescent="0.25">
      <c r="S4689" s="6" t="s">
        <v>302</v>
      </c>
      <c r="T4689" s="6">
        <f t="shared" si="90"/>
        <v>4688</v>
      </c>
      <c r="U4689" s="4" t="s">
        <v>194</v>
      </c>
    </row>
    <row r="4690" spans="19:21" x14ac:dyDescent="0.25">
      <c r="S4690" s="6" t="s">
        <v>302</v>
      </c>
      <c r="T4690" s="6">
        <f t="shared" si="90"/>
        <v>4689</v>
      </c>
      <c r="U4690" s="4" t="s">
        <v>194</v>
      </c>
    </row>
    <row r="4691" spans="19:21" x14ac:dyDescent="0.25">
      <c r="S4691" s="6" t="s">
        <v>302</v>
      </c>
      <c r="T4691" s="6">
        <f t="shared" si="90"/>
        <v>4690</v>
      </c>
      <c r="U4691" s="4" t="s">
        <v>194</v>
      </c>
    </row>
    <row r="4692" spans="19:21" x14ac:dyDescent="0.25">
      <c r="S4692" s="6" t="s">
        <v>302</v>
      </c>
      <c r="T4692" s="6">
        <f t="shared" si="90"/>
        <v>4691</v>
      </c>
      <c r="U4692" s="4" t="s">
        <v>194</v>
      </c>
    </row>
    <row r="4693" spans="19:21" x14ac:dyDescent="0.25">
      <c r="S4693" s="6" t="s">
        <v>302</v>
      </c>
      <c r="T4693" s="6">
        <f t="shared" si="90"/>
        <v>4692</v>
      </c>
      <c r="U4693" s="4" t="s">
        <v>194</v>
      </c>
    </row>
    <row r="4694" spans="19:21" x14ac:dyDescent="0.25">
      <c r="S4694" s="6" t="s">
        <v>302</v>
      </c>
      <c r="T4694" s="6">
        <f t="shared" si="90"/>
        <v>4693</v>
      </c>
      <c r="U4694" s="4" t="s">
        <v>194</v>
      </c>
    </row>
    <row r="4695" spans="19:21" x14ac:dyDescent="0.25">
      <c r="S4695" s="6" t="s">
        <v>302</v>
      </c>
      <c r="T4695" s="6">
        <f t="shared" si="90"/>
        <v>4694</v>
      </c>
      <c r="U4695" s="4" t="s">
        <v>194</v>
      </c>
    </row>
    <row r="4696" spans="19:21" x14ac:dyDescent="0.25">
      <c r="S4696" s="6" t="s">
        <v>302</v>
      </c>
      <c r="T4696" s="6">
        <f t="shared" si="90"/>
        <v>4695</v>
      </c>
      <c r="U4696" s="4" t="s">
        <v>194</v>
      </c>
    </row>
    <row r="4697" spans="19:21" x14ac:dyDescent="0.25">
      <c r="S4697" s="6" t="s">
        <v>302</v>
      </c>
      <c r="T4697" s="6">
        <f t="shared" si="90"/>
        <v>4696</v>
      </c>
      <c r="U4697" s="4" t="s">
        <v>194</v>
      </c>
    </row>
    <row r="4698" spans="19:21" x14ac:dyDescent="0.25">
      <c r="S4698" s="6" t="s">
        <v>302</v>
      </c>
      <c r="T4698" s="6">
        <f t="shared" si="90"/>
        <v>4697</v>
      </c>
      <c r="U4698" s="4" t="s">
        <v>194</v>
      </c>
    </row>
    <row r="4699" spans="19:21" x14ac:dyDescent="0.25">
      <c r="S4699" s="6" t="s">
        <v>302</v>
      </c>
      <c r="T4699" s="6">
        <f t="shared" si="90"/>
        <v>4698</v>
      </c>
      <c r="U4699" s="4" t="s">
        <v>194</v>
      </c>
    </row>
    <row r="4700" spans="19:21" x14ac:dyDescent="0.25">
      <c r="S4700" s="6" t="s">
        <v>302</v>
      </c>
      <c r="T4700" s="6">
        <f t="shared" si="90"/>
        <v>4699</v>
      </c>
      <c r="U4700" s="4" t="s">
        <v>194</v>
      </c>
    </row>
    <row r="4701" spans="19:21" x14ac:dyDescent="0.25">
      <c r="S4701" s="6" t="s">
        <v>302</v>
      </c>
      <c r="T4701" s="6">
        <f t="shared" si="90"/>
        <v>4700</v>
      </c>
      <c r="U4701" s="4" t="s">
        <v>194</v>
      </c>
    </row>
    <row r="4702" spans="19:21" x14ac:dyDescent="0.25">
      <c r="S4702" s="6" t="s">
        <v>302</v>
      </c>
      <c r="T4702" s="6">
        <f t="shared" ref="T4702:T4765" si="91">T4701+1</f>
        <v>4701</v>
      </c>
      <c r="U4702" s="4" t="s">
        <v>194</v>
      </c>
    </row>
    <row r="4703" spans="19:21" x14ac:dyDescent="0.25">
      <c r="S4703" s="6" t="s">
        <v>302</v>
      </c>
      <c r="T4703" s="6">
        <f t="shared" si="91"/>
        <v>4702</v>
      </c>
      <c r="U4703" s="4" t="s">
        <v>194</v>
      </c>
    </row>
    <row r="4704" spans="19:21" x14ac:dyDescent="0.25">
      <c r="S4704" s="6" t="s">
        <v>302</v>
      </c>
      <c r="T4704" s="6">
        <f t="shared" si="91"/>
        <v>4703</v>
      </c>
      <c r="U4704" s="4" t="s">
        <v>194</v>
      </c>
    </row>
    <row r="4705" spans="19:21" x14ac:dyDescent="0.25">
      <c r="S4705" s="6" t="s">
        <v>302</v>
      </c>
      <c r="T4705" s="6">
        <f t="shared" si="91"/>
        <v>4704</v>
      </c>
      <c r="U4705" s="4" t="s">
        <v>194</v>
      </c>
    </row>
    <row r="4706" spans="19:21" x14ac:dyDescent="0.25">
      <c r="S4706" s="6" t="s">
        <v>302</v>
      </c>
      <c r="T4706" s="6">
        <f t="shared" si="91"/>
        <v>4705</v>
      </c>
      <c r="U4706" s="4" t="s">
        <v>194</v>
      </c>
    </row>
    <row r="4707" spans="19:21" x14ac:dyDescent="0.25">
      <c r="S4707" s="6" t="s">
        <v>302</v>
      </c>
      <c r="T4707" s="6">
        <f t="shared" si="91"/>
        <v>4706</v>
      </c>
      <c r="U4707" s="4" t="s">
        <v>194</v>
      </c>
    </row>
    <row r="4708" spans="19:21" x14ac:dyDescent="0.25">
      <c r="S4708" s="6" t="s">
        <v>302</v>
      </c>
      <c r="T4708" s="6">
        <f t="shared" si="91"/>
        <v>4707</v>
      </c>
      <c r="U4708" s="4" t="s">
        <v>194</v>
      </c>
    </row>
    <row r="4709" spans="19:21" x14ac:dyDescent="0.25">
      <c r="S4709" s="6" t="s">
        <v>302</v>
      </c>
      <c r="T4709" s="6">
        <f t="shared" si="91"/>
        <v>4708</v>
      </c>
      <c r="U4709" s="4" t="s">
        <v>194</v>
      </c>
    </row>
    <row r="4710" spans="19:21" x14ac:dyDescent="0.25">
      <c r="S4710" s="6" t="s">
        <v>302</v>
      </c>
      <c r="T4710" s="6">
        <f t="shared" si="91"/>
        <v>4709</v>
      </c>
      <c r="U4710" s="4" t="s">
        <v>194</v>
      </c>
    </row>
    <row r="4711" spans="19:21" x14ac:dyDescent="0.25">
      <c r="S4711" s="6" t="s">
        <v>302</v>
      </c>
      <c r="T4711" s="6">
        <f t="shared" si="91"/>
        <v>4710</v>
      </c>
      <c r="U4711" s="4" t="s">
        <v>194</v>
      </c>
    </row>
    <row r="4712" spans="19:21" x14ac:dyDescent="0.25">
      <c r="S4712" s="6" t="s">
        <v>302</v>
      </c>
      <c r="T4712" s="6">
        <f t="shared" si="91"/>
        <v>4711</v>
      </c>
      <c r="U4712" s="4" t="s">
        <v>194</v>
      </c>
    </row>
    <row r="4713" spans="19:21" x14ac:dyDescent="0.25">
      <c r="S4713" s="6" t="s">
        <v>302</v>
      </c>
      <c r="T4713" s="6">
        <f t="shared" si="91"/>
        <v>4712</v>
      </c>
      <c r="U4713" s="4" t="s">
        <v>194</v>
      </c>
    </row>
    <row r="4714" spans="19:21" x14ac:dyDescent="0.25">
      <c r="S4714" s="6" t="s">
        <v>302</v>
      </c>
      <c r="T4714" s="6">
        <f t="shared" si="91"/>
        <v>4713</v>
      </c>
      <c r="U4714" s="4" t="s">
        <v>194</v>
      </c>
    </row>
    <row r="4715" spans="19:21" x14ac:dyDescent="0.25">
      <c r="S4715" s="6" t="s">
        <v>302</v>
      </c>
      <c r="T4715" s="6">
        <f t="shared" si="91"/>
        <v>4714</v>
      </c>
      <c r="U4715" s="4" t="s">
        <v>194</v>
      </c>
    </row>
    <row r="4716" spans="19:21" x14ac:dyDescent="0.25">
      <c r="S4716" s="6" t="s">
        <v>302</v>
      </c>
      <c r="T4716" s="6">
        <f t="shared" si="91"/>
        <v>4715</v>
      </c>
      <c r="U4716" s="4" t="s">
        <v>194</v>
      </c>
    </row>
    <row r="4717" spans="19:21" x14ac:dyDescent="0.25">
      <c r="S4717" s="6" t="s">
        <v>302</v>
      </c>
      <c r="T4717" s="6">
        <f t="shared" si="91"/>
        <v>4716</v>
      </c>
      <c r="U4717" s="4" t="s">
        <v>194</v>
      </c>
    </row>
    <row r="4718" spans="19:21" x14ac:dyDescent="0.25">
      <c r="S4718" s="6" t="s">
        <v>302</v>
      </c>
      <c r="T4718" s="6">
        <f t="shared" si="91"/>
        <v>4717</v>
      </c>
      <c r="U4718" s="4" t="s">
        <v>194</v>
      </c>
    </row>
    <row r="4719" spans="19:21" x14ac:dyDescent="0.25">
      <c r="S4719" s="6" t="s">
        <v>302</v>
      </c>
      <c r="T4719" s="6">
        <f t="shared" si="91"/>
        <v>4718</v>
      </c>
      <c r="U4719" s="4" t="s">
        <v>194</v>
      </c>
    </row>
    <row r="4720" spans="19:21" x14ac:dyDescent="0.25">
      <c r="S4720" s="6" t="s">
        <v>302</v>
      </c>
      <c r="T4720" s="6">
        <f t="shared" si="91"/>
        <v>4719</v>
      </c>
      <c r="U4720" s="4" t="s">
        <v>194</v>
      </c>
    </row>
    <row r="4721" spans="19:21" x14ac:dyDescent="0.25">
      <c r="S4721" s="6" t="s">
        <v>302</v>
      </c>
      <c r="T4721" s="6">
        <f t="shared" si="91"/>
        <v>4720</v>
      </c>
      <c r="U4721" s="4" t="s">
        <v>194</v>
      </c>
    </row>
    <row r="4722" spans="19:21" x14ac:dyDescent="0.25">
      <c r="S4722" s="6" t="s">
        <v>302</v>
      </c>
      <c r="T4722" s="6">
        <f t="shared" si="91"/>
        <v>4721</v>
      </c>
      <c r="U4722" s="4" t="s">
        <v>194</v>
      </c>
    </row>
    <row r="4723" spans="19:21" x14ac:dyDescent="0.25">
      <c r="S4723" s="6" t="s">
        <v>302</v>
      </c>
      <c r="T4723" s="6">
        <f t="shared" si="91"/>
        <v>4722</v>
      </c>
      <c r="U4723" s="4" t="s">
        <v>194</v>
      </c>
    </row>
    <row r="4724" spans="19:21" x14ac:dyDescent="0.25">
      <c r="S4724" s="6" t="s">
        <v>302</v>
      </c>
      <c r="T4724" s="6">
        <f t="shared" si="91"/>
        <v>4723</v>
      </c>
      <c r="U4724" s="4" t="s">
        <v>194</v>
      </c>
    </row>
    <row r="4725" spans="19:21" x14ac:dyDescent="0.25">
      <c r="S4725" s="6" t="s">
        <v>302</v>
      </c>
      <c r="T4725" s="6">
        <f t="shared" si="91"/>
        <v>4724</v>
      </c>
      <c r="U4725" s="4" t="s">
        <v>194</v>
      </c>
    </row>
    <row r="4726" spans="19:21" x14ac:dyDescent="0.25">
      <c r="S4726" s="6" t="s">
        <v>302</v>
      </c>
      <c r="T4726" s="6">
        <f t="shared" si="91"/>
        <v>4725</v>
      </c>
      <c r="U4726" s="4" t="s">
        <v>194</v>
      </c>
    </row>
    <row r="4727" spans="19:21" x14ac:dyDescent="0.25">
      <c r="S4727" s="6" t="s">
        <v>302</v>
      </c>
      <c r="T4727" s="6">
        <f t="shared" si="91"/>
        <v>4726</v>
      </c>
      <c r="U4727" s="4" t="s">
        <v>194</v>
      </c>
    </row>
    <row r="4728" spans="19:21" x14ac:dyDescent="0.25">
      <c r="S4728" s="6" t="s">
        <v>302</v>
      </c>
      <c r="T4728" s="6">
        <f t="shared" si="91"/>
        <v>4727</v>
      </c>
      <c r="U4728" s="4" t="s">
        <v>194</v>
      </c>
    </row>
    <row r="4729" spans="19:21" x14ac:dyDescent="0.25">
      <c r="S4729" s="6" t="s">
        <v>302</v>
      </c>
      <c r="T4729" s="6">
        <f t="shared" si="91"/>
        <v>4728</v>
      </c>
      <c r="U4729" s="4" t="s">
        <v>194</v>
      </c>
    </row>
    <row r="4730" spans="19:21" x14ac:dyDescent="0.25">
      <c r="S4730" s="6" t="s">
        <v>302</v>
      </c>
      <c r="T4730" s="6">
        <f t="shared" si="91"/>
        <v>4729</v>
      </c>
      <c r="U4730" s="4" t="s">
        <v>194</v>
      </c>
    </row>
    <row r="4731" spans="19:21" x14ac:dyDescent="0.25">
      <c r="S4731" s="6" t="s">
        <v>302</v>
      </c>
      <c r="T4731" s="6">
        <f t="shared" si="91"/>
        <v>4730</v>
      </c>
      <c r="U4731" s="4" t="s">
        <v>194</v>
      </c>
    </row>
    <row r="4732" spans="19:21" x14ac:dyDescent="0.25">
      <c r="S4732" s="6" t="s">
        <v>302</v>
      </c>
      <c r="T4732" s="6">
        <f t="shared" si="91"/>
        <v>4731</v>
      </c>
      <c r="U4732" s="4" t="s">
        <v>194</v>
      </c>
    </row>
    <row r="4733" spans="19:21" x14ac:dyDescent="0.25">
      <c r="S4733" s="6" t="s">
        <v>302</v>
      </c>
      <c r="T4733" s="6">
        <f t="shared" si="91"/>
        <v>4732</v>
      </c>
      <c r="U4733" s="4" t="s">
        <v>194</v>
      </c>
    </row>
    <row r="4734" spans="19:21" x14ac:dyDescent="0.25">
      <c r="S4734" s="6" t="s">
        <v>302</v>
      </c>
      <c r="T4734" s="6">
        <f t="shared" si="91"/>
        <v>4733</v>
      </c>
      <c r="U4734" s="4" t="s">
        <v>194</v>
      </c>
    </row>
    <row r="4735" spans="19:21" x14ac:dyDescent="0.25">
      <c r="S4735" s="6" t="s">
        <v>302</v>
      </c>
      <c r="T4735" s="6">
        <f t="shared" si="91"/>
        <v>4734</v>
      </c>
      <c r="U4735" s="4" t="s">
        <v>194</v>
      </c>
    </row>
    <row r="4736" spans="19:21" x14ac:dyDescent="0.25">
      <c r="S4736" s="6" t="s">
        <v>302</v>
      </c>
      <c r="T4736" s="6">
        <f t="shared" si="91"/>
        <v>4735</v>
      </c>
      <c r="U4736" s="4" t="s">
        <v>194</v>
      </c>
    </row>
    <row r="4737" spans="19:21" x14ac:dyDescent="0.25">
      <c r="S4737" s="6" t="s">
        <v>302</v>
      </c>
      <c r="T4737" s="6">
        <f t="shared" si="91"/>
        <v>4736</v>
      </c>
      <c r="U4737" s="4" t="s">
        <v>194</v>
      </c>
    </row>
    <row r="4738" spans="19:21" x14ac:dyDescent="0.25">
      <c r="S4738" s="6" t="s">
        <v>302</v>
      </c>
      <c r="T4738" s="6">
        <f t="shared" si="91"/>
        <v>4737</v>
      </c>
      <c r="U4738" s="4" t="s">
        <v>194</v>
      </c>
    </row>
    <row r="4739" spans="19:21" x14ac:dyDescent="0.25">
      <c r="S4739" s="6" t="s">
        <v>302</v>
      </c>
      <c r="T4739" s="6">
        <f t="shared" si="91"/>
        <v>4738</v>
      </c>
      <c r="U4739" s="4" t="s">
        <v>194</v>
      </c>
    </row>
    <row r="4740" spans="19:21" x14ac:dyDescent="0.25">
      <c r="S4740" s="6" t="s">
        <v>302</v>
      </c>
      <c r="T4740" s="6">
        <f t="shared" si="91"/>
        <v>4739</v>
      </c>
      <c r="U4740" s="4" t="s">
        <v>194</v>
      </c>
    </row>
    <row r="4741" spans="19:21" x14ac:dyDescent="0.25">
      <c r="S4741" s="6" t="s">
        <v>302</v>
      </c>
      <c r="T4741" s="6">
        <f t="shared" si="91"/>
        <v>4740</v>
      </c>
      <c r="U4741" s="4" t="s">
        <v>194</v>
      </c>
    </row>
    <row r="4742" spans="19:21" x14ac:dyDescent="0.25">
      <c r="S4742" s="6" t="s">
        <v>302</v>
      </c>
      <c r="T4742" s="6">
        <f t="shared" si="91"/>
        <v>4741</v>
      </c>
      <c r="U4742" s="4" t="s">
        <v>194</v>
      </c>
    </row>
    <row r="4743" spans="19:21" x14ac:dyDescent="0.25">
      <c r="S4743" s="6" t="s">
        <v>302</v>
      </c>
      <c r="T4743" s="6">
        <f t="shared" si="91"/>
        <v>4742</v>
      </c>
      <c r="U4743" s="4" t="s">
        <v>194</v>
      </c>
    </row>
    <row r="4744" spans="19:21" x14ac:dyDescent="0.25">
      <c r="S4744" s="6" t="s">
        <v>302</v>
      </c>
      <c r="T4744" s="6">
        <f t="shared" si="91"/>
        <v>4743</v>
      </c>
      <c r="U4744" s="4" t="s">
        <v>194</v>
      </c>
    </row>
    <row r="4745" spans="19:21" x14ac:dyDescent="0.25">
      <c r="S4745" s="6" t="s">
        <v>302</v>
      </c>
      <c r="T4745" s="6">
        <f t="shared" si="91"/>
        <v>4744</v>
      </c>
      <c r="U4745" s="4" t="s">
        <v>194</v>
      </c>
    </row>
    <row r="4746" spans="19:21" x14ac:dyDescent="0.25">
      <c r="S4746" s="6" t="s">
        <v>302</v>
      </c>
      <c r="T4746" s="6">
        <f t="shared" si="91"/>
        <v>4745</v>
      </c>
      <c r="U4746" s="4" t="s">
        <v>194</v>
      </c>
    </row>
    <row r="4747" spans="19:21" x14ac:dyDescent="0.25">
      <c r="S4747" s="6" t="s">
        <v>302</v>
      </c>
      <c r="T4747" s="6">
        <f t="shared" si="91"/>
        <v>4746</v>
      </c>
      <c r="U4747" s="4" t="s">
        <v>194</v>
      </c>
    </row>
    <row r="4748" spans="19:21" x14ac:dyDescent="0.25">
      <c r="S4748" s="6" t="s">
        <v>302</v>
      </c>
      <c r="T4748" s="6">
        <f t="shared" si="91"/>
        <v>4747</v>
      </c>
      <c r="U4748" s="4" t="s">
        <v>194</v>
      </c>
    </row>
    <row r="4749" spans="19:21" x14ac:dyDescent="0.25">
      <c r="S4749" s="6" t="s">
        <v>302</v>
      </c>
      <c r="T4749" s="6">
        <f t="shared" si="91"/>
        <v>4748</v>
      </c>
      <c r="U4749" s="4" t="s">
        <v>194</v>
      </c>
    </row>
    <row r="4750" spans="19:21" x14ac:dyDescent="0.25">
      <c r="S4750" s="6" t="s">
        <v>302</v>
      </c>
      <c r="T4750" s="6">
        <f t="shared" si="91"/>
        <v>4749</v>
      </c>
      <c r="U4750" s="4" t="s">
        <v>194</v>
      </c>
    </row>
    <row r="4751" spans="19:21" x14ac:dyDescent="0.25">
      <c r="S4751" s="6" t="s">
        <v>302</v>
      </c>
      <c r="T4751" s="6">
        <f t="shared" si="91"/>
        <v>4750</v>
      </c>
      <c r="U4751" s="4" t="s">
        <v>194</v>
      </c>
    </row>
    <row r="4752" spans="19:21" x14ac:dyDescent="0.25">
      <c r="S4752" s="6" t="s">
        <v>302</v>
      </c>
      <c r="T4752" s="6">
        <f t="shared" si="91"/>
        <v>4751</v>
      </c>
      <c r="U4752" s="4" t="s">
        <v>194</v>
      </c>
    </row>
    <row r="4753" spans="19:21" x14ac:dyDescent="0.25">
      <c r="S4753" s="6" t="s">
        <v>302</v>
      </c>
      <c r="T4753" s="6">
        <f t="shared" si="91"/>
        <v>4752</v>
      </c>
      <c r="U4753" s="4" t="s">
        <v>194</v>
      </c>
    </row>
    <row r="4754" spans="19:21" x14ac:dyDescent="0.25">
      <c r="S4754" s="6" t="s">
        <v>302</v>
      </c>
      <c r="T4754" s="6">
        <f t="shared" si="91"/>
        <v>4753</v>
      </c>
      <c r="U4754" s="4" t="s">
        <v>194</v>
      </c>
    </row>
    <row r="4755" spans="19:21" x14ac:dyDescent="0.25">
      <c r="S4755" s="6" t="s">
        <v>302</v>
      </c>
      <c r="T4755" s="6">
        <f t="shared" si="91"/>
        <v>4754</v>
      </c>
      <c r="U4755" s="4" t="s">
        <v>194</v>
      </c>
    </row>
    <row r="4756" spans="19:21" x14ac:dyDescent="0.25">
      <c r="S4756" s="6" t="s">
        <v>302</v>
      </c>
      <c r="T4756" s="6">
        <f t="shared" si="91"/>
        <v>4755</v>
      </c>
      <c r="U4756" s="4" t="s">
        <v>194</v>
      </c>
    </row>
    <row r="4757" spans="19:21" x14ac:dyDescent="0.25">
      <c r="S4757" s="6" t="s">
        <v>302</v>
      </c>
      <c r="T4757" s="6">
        <f t="shared" si="91"/>
        <v>4756</v>
      </c>
      <c r="U4757" s="4" t="s">
        <v>194</v>
      </c>
    </row>
    <row r="4758" spans="19:21" x14ac:dyDescent="0.25">
      <c r="S4758" s="6" t="s">
        <v>302</v>
      </c>
      <c r="T4758" s="6">
        <f t="shared" si="91"/>
        <v>4757</v>
      </c>
      <c r="U4758" s="4" t="s">
        <v>194</v>
      </c>
    </row>
    <row r="4759" spans="19:21" x14ac:dyDescent="0.25">
      <c r="S4759" s="6" t="s">
        <v>302</v>
      </c>
      <c r="T4759" s="6">
        <f t="shared" si="91"/>
        <v>4758</v>
      </c>
      <c r="U4759" s="4" t="s">
        <v>194</v>
      </c>
    </row>
    <row r="4760" spans="19:21" x14ac:dyDescent="0.25">
      <c r="S4760" s="6" t="s">
        <v>302</v>
      </c>
      <c r="T4760" s="6">
        <f t="shared" si="91"/>
        <v>4759</v>
      </c>
      <c r="U4760" s="4" t="s">
        <v>194</v>
      </c>
    </row>
    <row r="4761" spans="19:21" x14ac:dyDescent="0.25">
      <c r="S4761" s="6" t="s">
        <v>302</v>
      </c>
      <c r="T4761" s="6">
        <f t="shared" si="91"/>
        <v>4760</v>
      </c>
      <c r="U4761" s="4" t="s">
        <v>194</v>
      </c>
    </row>
    <row r="4762" spans="19:21" x14ac:dyDescent="0.25">
      <c r="S4762" s="6" t="s">
        <v>302</v>
      </c>
      <c r="T4762" s="6">
        <f t="shared" si="91"/>
        <v>4761</v>
      </c>
      <c r="U4762" s="4" t="s">
        <v>194</v>
      </c>
    </row>
    <row r="4763" spans="19:21" x14ac:dyDescent="0.25">
      <c r="S4763" s="6" t="s">
        <v>302</v>
      </c>
      <c r="T4763" s="6">
        <f t="shared" si="91"/>
        <v>4762</v>
      </c>
      <c r="U4763" s="4" t="s">
        <v>194</v>
      </c>
    </row>
    <row r="4764" spans="19:21" x14ac:dyDescent="0.25">
      <c r="S4764" s="6" t="s">
        <v>302</v>
      </c>
      <c r="T4764" s="6">
        <f t="shared" si="91"/>
        <v>4763</v>
      </c>
      <c r="U4764" s="4" t="s">
        <v>194</v>
      </c>
    </row>
    <row r="4765" spans="19:21" x14ac:dyDescent="0.25">
      <c r="S4765" s="6" t="s">
        <v>302</v>
      </c>
      <c r="T4765" s="6">
        <f t="shared" si="91"/>
        <v>4764</v>
      </c>
      <c r="U4765" s="4" t="s">
        <v>194</v>
      </c>
    </row>
    <row r="4766" spans="19:21" x14ac:dyDescent="0.25">
      <c r="S4766" s="6" t="s">
        <v>302</v>
      </c>
      <c r="T4766" s="6">
        <f t="shared" ref="T4766:T4829" si="92">T4765+1</f>
        <v>4765</v>
      </c>
      <c r="U4766" s="4" t="s">
        <v>194</v>
      </c>
    </row>
    <row r="4767" spans="19:21" x14ac:dyDescent="0.25">
      <c r="S4767" s="6" t="s">
        <v>302</v>
      </c>
      <c r="T4767" s="6">
        <f t="shared" si="92"/>
        <v>4766</v>
      </c>
      <c r="U4767" s="4" t="s">
        <v>194</v>
      </c>
    </row>
    <row r="4768" spans="19:21" x14ac:dyDescent="0.25">
      <c r="S4768" s="6" t="s">
        <v>302</v>
      </c>
      <c r="T4768" s="6">
        <f t="shared" si="92"/>
        <v>4767</v>
      </c>
      <c r="U4768" s="4" t="s">
        <v>194</v>
      </c>
    </row>
    <row r="4769" spans="19:21" x14ac:dyDescent="0.25">
      <c r="S4769" s="6" t="s">
        <v>302</v>
      </c>
      <c r="T4769" s="6">
        <f t="shared" si="92"/>
        <v>4768</v>
      </c>
      <c r="U4769" s="4" t="s">
        <v>194</v>
      </c>
    </row>
    <row r="4770" spans="19:21" x14ac:dyDescent="0.25">
      <c r="S4770" s="6" t="s">
        <v>302</v>
      </c>
      <c r="T4770" s="6">
        <f t="shared" si="92"/>
        <v>4769</v>
      </c>
      <c r="U4770" s="4" t="s">
        <v>194</v>
      </c>
    </row>
    <row r="4771" spans="19:21" x14ac:dyDescent="0.25">
      <c r="S4771" s="6" t="s">
        <v>302</v>
      </c>
      <c r="T4771" s="6">
        <f t="shared" si="92"/>
        <v>4770</v>
      </c>
      <c r="U4771" s="4" t="s">
        <v>194</v>
      </c>
    </row>
    <row r="4772" spans="19:21" x14ac:dyDescent="0.25">
      <c r="S4772" s="6" t="s">
        <v>302</v>
      </c>
      <c r="T4772" s="6">
        <f t="shared" si="92"/>
        <v>4771</v>
      </c>
      <c r="U4772" s="4" t="s">
        <v>194</v>
      </c>
    </row>
    <row r="4773" spans="19:21" x14ac:dyDescent="0.25">
      <c r="S4773" s="6" t="s">
        <v>302</v>
      </c>
      <c r="T4773" s="6">
        <f t="shared" si="92"/>
        <v>4772</v>
      </c>
      <c r="U4773" s="4" t="s">
        <v>194</v>
      </c>
    </row>
    <row r="4774" spans="19:21" x14ac:dyDescent="0.25">
      <c r="S4774" s="6" t="s">
        <v>302</v>
      </c>
      <c r="T4774" s="6">
        <f t="shared" si="92"/>
        <v>4773</v>
      </c>
      <c r="U4774" s="4" t="s">
        <v>194</v>
      </c>
    </row>
    <row r="4775" spans="19:21" x14ac:dyDescent="0.25">
      <c r="S4775" s="6" t="s">
        <v>302</v>
      </c>
      <c r="T4775" s="6">
        <f t="shared" si="92"/>
        <v>4774</v>
      </c>
      <c r="U4775" s="4" t="s">
        <v>194</v>
      </c>
    </row>
    <row r="4776" spans="19:21" x14ac:dyDescent="0.25">
      <c r="S4776" s="6" t="s">
        <v>302</v>
      </c>
      <c r="T4776" s="6">
        <f t="shared" si="92"/>
        <v>4775</v>
      </c>
      <c r="U4776" s="4" t="s">
        <v>194</v>
      </c>
    </row>
    <row r="4777" spans="19:21" x14ac:dyDescent="0.25">
      <c r="S4777" s="6" t="s">
        <v>302</v>
      </c>
      <c r="T4777" s="6">
        <f t="shared" si="92"/>
        <v>4776</v>
      </c>
      <c r="U4777" s="4" t="s">
        <v>194</v>
      </c>
    </row>
    <row r="4778" spans="19:21" x14ac:dyDescent="0.25">
      <c r="S4778" s="6" t="s">
        <v>302</v>
      </c>
      <c r="T4778" s="6">
        <f t="shared" si="92"/>
        <v>4777</v>
      </c>
      <c r="U4778" s="4" t="s">
        <v>194</v>
      </c>
    </row>
    <row r="4779" spans="19:21" x14ac:dyDescent="0.25">
      <c r="S4779" s="6" t="s">
        <v>302</v>
      </c>
      <c r="T4779" s="6">
        <f t="shared" si="92"/>
        <v>4778</v>
      </c>
      <c r="U4779" s="4" t="s">
        <v>194</v>
      </c>
    </row>
    <row r="4780" spans="19:21" x14ac:dyDescent="0.25">
      <c r="S4780" s="6" t="s">
        <v>302</v>
      </c>
      <c r="T4780" s="6">
        <f t="shared" si="92"/>
        <v>4779</v>
      </c>
      <c r="U4780" s="4" t="s">
        <v>194</v>
      </c>
    </row>
    <row r="4781" spans="19:21" x14ac:dyDescent="0.25">
      <c r="S4781" s="6" t="s">
        <v>302</v>
      </c>
      <c r="T4781" s="6">
        <f t="shared" si="92"/>
        <v>4780</v>
      </c>
      <c r="U4781" s="4" t="s">
        <v>194</v>
      </c>
    </row>
    <row r="4782" spans="19:21" x14ac:dyDescent="0.25">
      <c r="S4782" s="6" t="s">
        <v>302</v>
      </c>
      <c r="T4782" s="6">
        <f t="shared" si="92"/>
        <v>4781</v>
      </c>
      <c r="U4782" s="4" t="s">
        <v>194</v>
      </c>
    </row>
    <row r="4783" spans="19:21" x14ac:dyDescent="0.25">
      <c r="S4783" s="6" t="s">
        <v>302</v>
      </c>
      <c r="T4783" s="6">
        <f t="shared" si="92"/>
        <v>4782</v>
      </c>
      <c r="U4783" s="4" t="s">
        <v>194</v>
      </c>
    </row>
    <row r="4784" spans="19:21" x14ac:dyDescent="0.25">
      <c r="S4784" s="6" t="s">
        <v>302</v>
      </c>
      <c r="T4784" s="6">
        <f t="shared" si="92"/>
        <v>4783</v>
      </c>
      <c r="U4784" s="4" t="s">
        <v>194</v>
      </c>
    </row>
    <row r="4785" spans="19:21" x14ac:dyDescent="0.25">
      <c r="S4785" s="6" t="s">
        <v>302</v>
      </c>
      <c r="T4785" s="6">
        <f t="shared" si="92"/>
        <v>4784</v>
      </c>
      <c r="U4785" s="4" t="s">
        <v>194</v>
      </c>
    </row>
    <row r="4786" spans="19:21" x14ac:dyDescent="0.25">
      <c r="S4786" s="6" t="s">
        <v>302</v>
      </c>
      <c r="T4786" s="6">
        <f t="shared" si="92"/>
        <v>4785</v>
      </c>
      <c r="U4786" s="4" t="s">
        <v>194</v>
      </c>
    </row>
    <row r="4787" spans="19:21" x14ac:dyDescent="0.25">
      <c r="S4787" s="6" t="s">
        <v>302</v>
      </c>
      <c r="T4787" s="6">
        <f t="shared" si="92"/>
        <v>4786</v>
      </c>
      <c r="U4787" s="4" t="s">
        <v>194</v>
      </c>
    </row>
    <row r="4788" spans="19:21" x14ac:dyDescent="0.25">
      <c r="S4788" s="6" t="s">
        <v>302</v>
      </c>
      <c r="T4788" s="6">
        <f t="shared" si="92"/>
        <v>4787</v>
      </c>
      <c r="U4788" s="4" t="s">
        <v>194</v>
      </c>
    </row>
    <row r="4789" spans="19:21" x14ac:dyDescent="0.25">
      <c r="S4789" s="6" t="s">
        <v>302</v>
      </c>
      <c r="T4789" s="6">
        <f t="shared" si="92"/>
        <v>4788</v>
      </c>
      <c r="U4789" s="4" t="s">
        <v>194</v>
      </c>
    </row>
    <row r="4790" spans="19:21" x14ac:dyDescent="0.25">
      <c r="S4790" s="6" t="s">
        <v>302</v>
      </c>
      <c r="T4790" s="6">
        <f t="shared" si="92"/>
        <v>4789</v>
      </c>
      <c r="U4790" s="4" t="s">
        <v>194</v>
      </c>
    </row>
    <row r="4791" spans="19:21" x14ac:dyDescent="0.25">
      <c r="S4791" s="6" t="s">
        <v>302</v>
      </c>
      <c r="T4791" s="6">
        <f t="shared" si="92"/>
        <v>4790</v>
      </c>
      <c r="U4791" s="4" t="s">
        <v>194</v>
      </c>
    </row>
    <row r="4792" spans="19:21" x14ac:dyDescent="0.25">
      <c r="S4792" s="6" t="s">
        <v>302</v>
      </c>
      <c r="T4792" s="6">
        <f t="shared" si="92"/>
        <v>4791</v>
      </c>
      <c r="U4792" s="4" t="s">
        <v>194</v>
      </c>
    </row>
    <row r="4793" spans="19:21" x14ac:dyDescent="0.25">
      <c r="S4793" s="6" t="s">
        <v>302</v>
      </c>
      <c r="T4793" s="6">
        <f t="shared" si="92"/>
        <v>4792</v>
      </c>
      <c r="U4793" s="4" t="s">
        <v>194</v>
      </c>
    </row>
    <row r="4794" spans="19:21" x14ac:dyDescent="0.25">
      <c r="S4794" s="6" t="s">
        <v>302</v>
      </c>
      <c r="T4794" s="6">
        <f t="shared" si="92"/>
        <v>4793</v>
      </c>
      <c r="U4794" s="4" t="s">
        <v>194</v>
      </c>
    </row>
    <row r="4795" spans="19:21" x14ac:dyDescent="0.25">
      <c r="S4795" s="6" t="s">
        <v>302</v>
      </c>
      <c r="T4795" s="6">
        <f t="shared" si="92"/>
        <v>4794</v>
      </c>
      <c r="U4795" s="4" t="s">
        <v>194</v>
      </c>
    </row>
    <row r="4796" spans="19:21" x14ac:dyDescent="0.25">
      <c r="S4796" s="6" t="s">
        <v>302</v>
      </c>
      <c r="T4796" s="6">
        <f t="shared" si="92"/>
        <v>4795</v>
      </c>
      <c r="U4796" s="4" t="s">
        <v>194</v>
      </c>
    </row>
    <row r="4797" spans="19:21" x14ac:dyDescent="0.25">
      <c r="S4797" s="6" t="s">
        <v>302</v>
      </c>
      <c r="T4797" s="6">
        <f t="shared" si="92"/>
        <v>4796</v>
      </c>
      <c r="U4797" s="4" t="s">
        <v>194</v>
      </c>
    </row>
    <row r="4798" spans="19:21" x14ac:dyDescent="0.25">
      <c r="S4798" s="6" t="s">
        <v>302</v>
      </c>
      <c r="T4798" s="6">
        <f t="shared" si="92"/>
        <v>4797</v>
      </c>
      <c r="U4798" s="4" t="s">
        <v>194</v>
      </c>
    </row>
    <row r="4799" spans="19:21" x14ac:dyDescent="0.25">
      <c r="S4799" s="6" t="s">
        <v>302</v>
      </c>
      <c r="T4799" s="6">
        <f t="shared" si="92"/>
        <v>4798</v>
      </c>
      <c r="U4799" s="4" t="s">
        <v>194</v>
      </c>
    </row>
    <row r="4800" spans="19:21" x14ac:dyDescent="0.25">
      <c r="S4800" s="6" t="s">
        <v>302</v>
      </c>
      <c r="T4800" s="6">
        <f t="shared" si="92"/>
        <v>4799</v>
      </c>
      <c r="U4800" s="4" t="s">
        <v>194</v>
      </c>
    </row>
    <row r="4801" spans="19:21" x14ac:dyDescent="0.25">
      <c r="S4801" s="6" t="s">
        <v>302</v>
      </c>
      <c r="T4801" s="6">
        <f t="shared" si="92"/>
        <v>4800</v>
      </c>
      <c r="U4801" s="4" t="s">
        <v>194</v>
      </c>
    </row>
    <row r="4802" spans="19:21" x14ac:dyDescent="0.25">
      <c r="S4802" s="6" t="s">
        <v>302</v>
      </c>
      <c r="T4802" s="6">
        <f t="shared" si="92"/>
        <v>4801</v>
      </c>
      <c r="U4802" s="4" t="s">
        <v>194</v>
      </c>
    </row>
    <row r="4803" spans="19:21" x14ac:dyDescent="0.25">
      <c r="S4803" s="6" t="s">
        <v>302</v>
      </c>
      <c r="T4803" s="6">
        <f t="shared" si="92"/>
        <v>4802</v>
      </c>
      <c r="U4803" s="4" t="s">
        <v>194</v>
      </c>
    </row>
    <row r="4804" spans="19:21" x14ac:dyDescent="0.25">
      <c r="S4804" s="6" t="s">
        <v>302</v>
      </c>
      <c r="T4804" s="6">
        <f t="shared" si="92"/>
        <v>4803</v>
      </c>
      <c r="U4804" s="4" t="s">
        <v>194</v>
      </c>
    </row>
    <row r="4805" spans="19:21" x14ac:dyDescent="0.25">
      <c r="S4805" s="6" t="s">
        <v>302</v>
      </c>
      <c r="T4805" s="6">
        <f t="shared" si="92"/>
        <v>4804</v>
      </c>
      <c r="U4805" s="4" t="s">
        <v>194</v>
      </c>
    </row>
    <row r="4806" spans="19:21" x14ac:dyDescent="0.25">
      <c r="S4806" s="6" t="s">
        <v>302</v>
      </c>
      <c r="T4806" s="6">
        <f t="shared" si="92"/>
        <v>4805</v>
      </c>
      <c r="U4806" s="4" t="s">
        <v>194</v>
      </c>
    </row>
    <row r="4807" spans="19:21" x14ac:dyDescent="0.25">
      <c r="S4807" s="6" t="s">
        <v>302</v>
      </c>
      <c r="T4807" s="6">
        <f t="shared" si="92"/>
        <v>4806</v>
      </c>
      <c r="U4807" s="4" t="s">
        <v>194</v>
      </c>
    </row>
    <row r="4808" spans="19:21" x14ac:dyDescent="0.25">
      <c r="S4808" s="6" t="s">
        <v>302</v>
      </c>
      <c r="T4808" s="6">
        <f t="shared" si="92"/>
        <v>4807</v>
      </c>
      <c r="U4808" s="4" t="s">
        <v>194</v>
      </c>
    </row>
    <row r="4809" spans="19:21" x14ac:dyDescent="0.25">
      <c r="S4809" s="6" t="s">
        <v>302</v>
      </c>
      <c r="T4809" s="6">
        <f t="shared" si="92"/>
        <v>4808</v>
      </c>
      <c r="U4809" s="4" t="s">
        <v>194</v>
      </c>
    </row>
    <row r="4810" spans="19:21" x14ac:dyDescent="0.25">
      <c r="S4810" s="6" t="s">
        <v>302</v>
      </c>
      <c r="T4810" s="6">
        <f t="shared" si="92"/>
        <v>4809</v>
      </c>
      <c r="U4810" s="4" t="s">
        <v>194</v>
      </c>
    </row>
    <row r="4811" spans="19:21" x14ac:dyDescent="0.25">
      <c r="S4811" s="6" t="s">
        <v>302</v>
      </c>
      <c r="T4811" s="6">
        <f t="shared" si="92"/>
        <v>4810</v>
      </c>
      <c r="U4811" s="4" t="s">
        <v>194</v>
      </c>
    </row>
    <row r="4812" spans="19:21" x14ac:dyDescent="0.25">
      <c r="S4812" s="6" t="s">
        <v>302</v>
      </c>
      <c r="T4812" s="6">
        <f t="shared" si="92"/>
        <v>4811</v>
      </c>
      <c r="U4812" s="4" t="s">
        <v>194</v>
      </c>
    </row>
    <row r="4813" spans="19:21" x14ac:dyDescent="0.25">
      <c r="S4813" s="6" t="s">
        <v>302</v>
      </c>
      <c r="T4813" s="6">
        <f t="shared" si="92"/>
        <v>4812</v>
      </c>
      <c r="U4813" s="4" t="s">
        <v>194</v>
      </c>
    </row>
    <row r="4814" spans="19:21" x14ac:dyDescent="0.25">
      <c r="S4814" s="6" t="s">
        <v>302</v>
      </c>
      <c r="T4814" s="6">
        <f t="shared" si="92"/>
        <v>4813</v>
      </c>
      <c r="U4814" s="4" t="s">
        <v>194</v>
      </c>
    </row>
    <row r="4815" spans="19:21" x14ac:dyDescent="0.25">
      <c r="S4815" s="6" t="s">
        <v>302</v>
      </c>
      <c r="T4815" s="6">
        <f t="shared" si="92"/>
        <v>4814</v>
      </c>
      <c r="U4815" s="4" t="s">
        <v>194</v>
      </c>
    </row>
    <row r="4816" spans="19:21" x14ac:dyDescent="0.25">
      <c r="S4816" s="6" t="s">
        <v>302</v>
      </c>
      <c r="T4816" s="6">
        <f t="shared" si="92"/>
        <v>4815</v>
      </c>
      <c r="U4816" s="4" t="s">
        <v>194</v>
      </c>
    </row>
    <row r="4817" spans="19:21" x14ac:dyDescent="0.25">
      <c r="S4817" s="6" t="s">
        <v>302</v>
      </c>
      <c r="T4817" s="6">
        <f t="shared" si="92"/>
        <v>4816</v>
      </c>
      <c r="U4817" s="4" t="s">
        <v>194</v>
      </c>
    </row>
    <row r="4818" spans="19:21" x14ac:dyDescent="0.25">
      <c r="S4818" s="6" t="s">
        <v>302</v>
      </c>
      <c r="T4818" s="6">
        <f t="shared" si="92"/>
        <v>4817</v>
      </c>
      <c r="U4818" s="4" t="s">
        <v>194</v>
      </c>
    </row>
    <row r="4819" spans="19:21" x14ac:dyDescent="0.25">
      <c r="S4819" s="6" t="s">
        <v>302</v>
      </c>
      <c r="T4819" s="6">
        <f t="shared" si="92"/>
        <v>4818</v>
      </c>
      <c r="U4819" s="4" t="s">
        <v>194</v>
      </c>
    </row>
    <row r="4820" spans="19:21" x14ac:dyDescent="0.25">
      <c r="S4820" s="6" t="s">
        <v>302</v>
      </c>
      <c r="T4820" s="6">
        <f t="shared" si="92"/>
        <v>4819</v>
      </c>
      <c r="U4820" s="4" t="s">
        <v>194</v>
      </c>
    </row>
    <row r="4821" spans="19:21" x14ac:dyDescent="0.25">
      <c r="S4821" s="6" t="s">
        <v>302</v>
      </c>
      <c r="T4821" s="6">
        <f t="shared" si="92"/>
        <v>4820</v>
      </c>
      <c r="U4821" s="4" t="s">
        <v>194</v>
      </c>
    </row>
    <row r="4822" spans="19:21" x14ac:dyDescent="0.25">
      <c r="S4822" s="6" t="s">
        <v>302</v>
      </c>
      <c r="T4822" s="6">
        <f t="shared" si="92"/>
        <v>4821</v>
      </c>
      <c r="U4822" s="4" t="s">
        <v>194</v>
      </c>
    </row>
    <row r="4823" spans="19:21" x14ac:dyDescent="0.25">
      <c r="S4823" s="6" t="s">
        <v>302</v>
      </c>
      <c r="T4823" s="6">
        <f t="shared" si="92"/>
        <v>4822</v>
      </c>
      <c r="U4823" s="4" t="s">
        <v>194</v>
      </c>
    </row>
    <row r="4824" spans="19:21" x14ac:dyDescent="0.25">
      <c r="S4824" s="6" t="s">
        <v>302</v>
      </c>
      <c r="T4824" s="6">
        <f t="shared" si="92"/>
        <v>4823</v>
      </c>
      <c r="U4824" s="4" t="s">
        <v>194</v>
      </c>
    </row>
    <row r="4825" spans="19:21" x14ac:dyDescent="0.25">
      <c r="S4825" s="6" t="s">
        <v>302</v>
      </c>
      <c r="T4825" s="6">
        <f t="shared" si="92"/>
        <v>4824</v>
      </c>
      <c r="U4825" s="4" t="s">
        <v>194</v>
      </c>
    </row>
    <row r="4826" spans="19:21" x14ac:dyDescent="0.25">
      <c r="S4826" s="6" t="s">
        <v>302</v>
      </c>
      <c r="T4826" s="6">
        <f t="shared" si="92"/>
        <v>4825</v>
      </c>
      <c r="U4826" s="4" t="s">
        <v>194</v>
      </c>
    </row>
    <row r="4827" spans="19:21" x14ac:dyDescent="0.25">
      <c r="S4827" s="6" t="s">
        <v>302</v>
      </c>
      <c r="T4827" s="6">
        <f t="shared" si="92"/>
        <v>4826</v>
      </c>
      <c r="U4827" s="4" t="s">
        <v>194</v>
      </c>
    </row>
    <row r="4828" spans="19:21" x14ac:dyDescent="0.25">
      <c r="S4828" s="6" t="s">
        <v>302</v>
      </c>
      <c r="T4828" s="6">
        <f t="shared" si="92"/>
        <v>4827</v>
      </c>
      <c r="U4828" s="4" t="s">
        <v>194</v>
      </c>
    </row>
    <row r="4829" spans="19:21" x14ac:dyDescent="0.25">
      <c r="S4829" s="6" t="s">
        <v>302</v>
      </c>
      <c r="T4829" s="6">
        <f t="shared" si="92"/>
        <v>4828</v>
      </c>
      <c r="U4829" s="4" t="s">
        <v>194</v>
      </c>
    </row>
    <row r="4830" spans="19:21" x14ac:dyDescent="0.25">
      <c r="S4830" s="6" t="s">
        <v>302</v>
      </c>
      <c r="T4830" s="6">
        <f t="shared" ref="T4830:T4893" si="93">T4829+1</f>
        <v>4829</v>
      </c>
      <c r="U4830" s="4" t="s">
        <v>194</v>
      </c>
    </row>
    <row r="4831" spans="19:21" x14ac:dyDescent="0.25">
      <c r="S4831" s="6" t="s">
        <v>302</v>
      </c>
      <c r="T4831" s="6">
        <f t="shared" si="93"/>
        <v>4830</v>
      </c>
      <c r="U4831" s="4" t="s">
        <v>194</v>
      </c>
    </row>
    <row r="4832" spans="19:21" x14ac:dyDescent="0.25">
      <c r="S4832" s="6" t="s">
        <v>302</v>
      </c>
      <c r="T4832" s="6">
        <f t="shared" si="93"/>
        <v>4831</v>
      </c>
      <c r="U4832" s="4" t="s">
        <v>194</v>
      </c>
    </row>
    <row r="4833" spans="19:21" x14ac:dyDescent="0.25">
      <c r="S4833" s="6" t="s">
        <v>302</v>
      </c>
      <c r="T4833" s="6">
        <f t="shared" si="93"/>
        <v>4832</v>
      </c>
      <c r="U4833" s="4" t="s">
        <v>194</v>
      </c>
    </row>
    <row r="4834" spans="19:21" x14ac:dyDescent="0.25">
      <c r="S4834" s="6" t="s">
        <v>302</v>
      </c>
      <c r="T4834" s="6">
        <f t="shared" si="93"/>
        <v>4833</v>
      </c>
      <c r="U4834" s="4" t="s">
        <v>194</v>
      </c>
    </row>
    <row r="4835" spans="19:21" x14ac:dyDescent="0.25">
      <c r="S4835" s="6" t="s">
        <v>302</v>
      </c>
      <c r="T4835" s="6">
        <f t="shared" si="93"/>
        <v>4834</v>
      </c>
      <c r="U4835" s="4" t="s">
        <v>194</v>
      </c>
    </row>
    <row r="4836" spans="19:21" x14ac:dyDescent="0.25">
      <c r="S4836" s="6" t="s">
        <v>302</v>
      </c>
      <c r="T4836" s="6">
        <f t="shared" si="93"/>
        <v>4835</v>
      </c>
      <c r="U4836" s="4" t="s">
        <v>194</v>
      </c>
    </row>
    <row r="4837" spans="19:21" x14ac:dyDescent="0.25">
      <c r="S4837" s="6" t="s">
        <v>302</v>
      </c>
      <c r="T4837" s="6">
        <f t="shared" si="93"/>
        <v>4836</v>
      </c>
      <c r="U4837" s="4" t="s">
        <v>194</v>
      </c>
    </row>
    <row r="4838" spans="19:21" x14ac:dyDescent="0.25">
      <c r="S4838" s="6" t="s">
        <v>302</v>
      </c>
      <c r="T4838" s="6">
        <f t="shared" si="93"/>
        <v>4837</v>
      </c>
      <c r="U4838" s="4" t="s">
        <v>194</v>
      </c>
    </row>
    <row r="4839" spans="19:21" x14ac:dyDescent="0.25">
      <c r="S4839" s="6" t="s">
        <v>302</v>
      </c>
      <c r="T4839" s="6">
        <f t="shared" si="93"/>
        <v>4838</v>
      </c>
      <c r="U4839" s="4" t="s">
        <v>194</v>
      </c>
    </row>
    <row r="4840" spans="19:21" x14ac:dyDescent="0.25">
      <c r="S4840" s="6" t="s">
        <v>302</v>
      </c>
      <c r="T4840" s="6">
        <f t="shared" si="93"/>
        <v>4839</v>
      </c>
      <c r="U4840" s="4" t="s">
        <v>194</v>
      </c>
    </row>
    <row r="4841" spans="19:21" x14ac:dyDescent="0.25">
      <c r="S4841" s="6" t="s">
        <v>302</v>
      </c>
      <c r="T4841" s="6">
        <f t="shared" si="93"/>
        <v>4840</v>
      </c>
      <c r="U4841" s="4" t="s">
        <v>194</v>
      </c>
    </row>
    <row r="4842" spans="19:21" x14ac:dyDescent="0.25">
      <c r="S4842" s="6" t="s">
        <v>302</v>
      </c>
      <c r="T4842" s="6">
        <f t="shared" si="93"/>
        <v>4841</v>
      </c>
      <c r="U4842" s="4" t="s">
        <v>194</v>
      </c>
    </row>
    <row r="4843" spans="19:21" x14ac:dyDescent="0.25">
      <c r="S4843" s="6" t="s">
        <v>302</v>
      </c>
      <c r="T4843" s="6">
        <f t="shared" si="93"/>
        <v>4842</v>
      </c>
      <c r="U4843" s="4" t="s">
        <v>194</v>
      </c>
    </row>
    <row r="4844" spans="19:21" x14ac:dyDescent="0.25">
      <c r="S4844" s="6" t="s">
        <v>302</v>
      </c>
      <c r="T4844" s="6">
        <f t="shared" si="93"/>
        <v>4843</v>
      </c>
      <c r="U4844" s="4" t="s">
        <v>194</v>
      </c>
    </row>
    <row r="4845" spans="19:21" x14ac:dyDescent="0.25">
      <c r="S4845" s="6" t="s">
        <v>302</v>
      </c>
      <c r="T4845" s="6">
        <f t="shared" si="93"/>
        <v>4844</v>
      </c>
      <c r="U4845" s="4" t="s">
        <v>194</v>
      </c>
    </row>
    <row r="4846" spans="19:21" x14ac:dyDescent="0.25">
      <c r="S4846" s="6" t="s">
        <v>302</v>
      </c>
      <c r="T4846" s="6">
        <f t="shared" si="93"/>
        <v>4845</v>
      </c>
      <c r="U4846" s="4" t="s">
        <v>194</v>
      </c>
    </row>
    <row r="4847" spans="19:21" x14ac:dyDescent="0.25">
      <c r="S4847" s="6" t="s">
        <v>302</v>
      </c>
      <c r="T4847" s="6">
        <f t="shared" si="93"/>
        <v>4846</v>
      </c>
      <c r="U4847" s="4" t="s">
        <v>194</v>
      </c>
    </row>
    <row r="4848" spans="19:21" x14ac:dyDescent="0.25">
      <c r="S4848" s="6" t="s">
        <v>302</v>
      </c>
      <c r="T4848" s="6">
        <f t="shared" si="93"/>
        <v>4847</v>
      </c>
      <c r="U4848" s="4" t="s">
        <v>194</v>
      </c>
    </row>
    <row r="4849" spans="19:21" x14ac:dyDescent="0.25">
      <c r="S4849" s="6" t="s">
        <v>302</v>
      </c>
      <c r="T4849" s="6">
        <f t="shared" si="93"/>
        <v>4848</v>
      </c>
      <c r="U4849" s="4" t="s">
        <v>194</v>
      </c>
    </row>
    <row r="4850" spans="19:21" x14ac:dyDescent="0.25">
      <c r="S4850" s="6" t="s">
        <v>302</v>
      </c>
      <c r="T4850" s="6">
        <f t="shared" si="93"/>
        <v>4849</v>
      </c>
      <c r="U4850" s="4" t="s">
        <v>194</v>
      </c>
    </row>
    <row r="4851" spans="19:21" x14ac:dyDescent="0.25">
      <c r="S4851" s="6" t="s">
        <v>302</v>
      </c>
      <c r="T4851" s="6">
        <f t="shared" si="93"/>
        <v>4850</v>
      </c>
      <c r="U4851" s="4" t="s">
        <v>194</v>
      </c>
    </row>
    <row r="4852" spans="19:21" x14ac:dyDescent="0.25">
      <c r="S4852" s="6" t="s">
        <v>302</v>
      </c>
      <c r="T4852" s="6">
        <f t="shared" si="93"/>
        <v>4851</v>
      </c>
      <c r="U4852" s="4" t="s">
        <v>194</v>
      </c>
    </row>
    <row r="4853" spans="19:21" x14ac:dyDescent="0.25">
      <c r="S4853" s="6" t="s">
        <v>302</v>
      </c>
      <c r="T4853" s="6">
        <f t="shared" si="93"/>
        <v>4852</v>
      </c>
      <c r="U4853" s="4" t="s">
        <v>194</v>
      </c>
    </row>
    <row r="4854" spans="19:21" x14ac:dyDescent="0.25">
      <c r="S4854" s="6" t="s">
        <v>302</v>
      </c>
      <c r="T4854" s="6">
        <f t="shared" si="93"/>
        <v>4853</v>
      </c>
      <c r="U4854" s="4" t="s">
        <v>194</v>
      </c>
    </row>
    <row r="4855" spans="19:21" x14ac:dyDescent="0.25">
      <c r="S4855" s="6" t="s">
        <v>302</v>
      </c>
      <c r="T4855" s="6">
        <f t="shared" si="93"/>
        <v>4854</v>
      </c>
      <c r="U4855" s="4" t="s">
        <v>194</v>
      </c>
    </row>
    <row r="4856" spans="19:21" x14ac:dyDescent="0.25">
      <c r="S4856" s="6" t="s">
        <v>302</v>
      </c>
      <c r="T4856" s="6">
        <f t="shared" si="93"/>
        <v>4855</v>
      </c>
      <c r="U4856" s="4" t="s">
        <v>194</v>
      </c>
    </row>
    <row r="4857" spans="19:21" x14ac:dyDescent="0.25">
      <c r="S4857" s="6" t="s">
        <v>302</v>
      </c>
      <c r="T4857" s="6">
        <f t="shared" si="93"/>
        <v>4856</v>
      </c>
      <c r="U4857" s="4" t="s">
        <v>194</v>
      </c>
    </row>
    <row r="4858" spans="19:21" x14ac:dyDescent="0.25">
      <c r="S4858" s="6" t="s">
        <v>302</v>
      </c>
      <c r="T4858" s="6">
        <f t="shared" si="93"/>
        <v>4857</v>
      </c>
      <c r="U4858" s="4" t="s">
        <v>194</v>
      </c>
    </row>
    <row r="4859" spans="19:21" x14ac:dyDescent="0.25">
      <c r="S4859" s="6" t="s">
        <v>302</v>
      </c>
      <c r="T4859" s="6">
        <f t="shared" si="93"/>
        <v>4858</v>
      </c>
      <c r="U4859" s="4" t="s">
        <v>194</v>
      </c>
    </row>
    <row r="4860" spans="19:21" x14ac:dyDescent="0.25">
      <c r="S4860" s="6" t="s">
        <v>302</v>
      </c>
      <c r="T4860" s="6">
        <f t="shared" si="93"/>
        <v>4859</v>
      </c>
      <c r="U4860" s="4" t="s">
        <v>194</v>
      </c>
    </row>
    <row r="4861" spans="19:21" x14ac:dyDescent="0.25">
      <c r="S4861" s="6" t="s">
        <v>302</v>
      </c>
      <c r="T4861" s="6">
        <f t="shared" si="93"/>
        <v>4860</v>
      </c>
      <c r="U4861" s="4" t="s">
        <v>194</v>
      </c>
    </row>
    <row r="4862" spans="19:21" x14ac:dyDescent="0.25">
      <c r="S4862" s="6" t="s">
        <v>302</v>
      </c>
      <c r="T4862" s="6">
        <f t="shared" si="93"/>
        <v>4861</v>
      </c>
      <c r="U4862" s="4" t="s">
        <v>194</v>
      </c>
    </row>
    <row r="4863" spans="19:21" x14ac:dyDescent="0.25">
      <c r="S4863" s="6" t="s">
        <v>302</v>
      </c>
      <c r="T4863" s="6">
        <f t="shared" si="93"/>
        <v>4862</v>
      </c>
      <c r="U4863" s="4" t="s">
        <v>194</v>
      </c>
    </row>
    <row r="4864" spans="19:21" x14ac:dyDescent="0.25">
      <c r="S4864" s="6" t="s">
        <v>302</v>
      </c>
      <c r="T4864" s="6">
        <f t="shared" si="93"/>
        <v>4863</v>
      </c>
      <c r="U4864" s="4" t="s">
        <v>194</v>
      </c>
    </row>
    <row r="4865" spans="19:21" x14ac:dyDescent="0.25">
      <c r="S4865" s="6" t="s">
        <v>302</v>
      </c>
      <c r="T4865" s="6">
        <f t="shared" si="93"/>
        <v>4864</v>
      </c>
      <c r="U4865" s="4" t="s">
        <v>194</v>
      </c>
    </row>
    <row r="4866" spans="19:21" x14ac:dyDescent="0.25">
      <c r="S4866" s="6" t="s">
        <v>302</v>
      </c>
      <c r="T4866" s="6">
        <f t="shared" si="93"/>
        <v>4865</v>
      </c>
      <c r="U4866" s="4" t="s">
        <v>194</v>
      </c>
    </row>
    <row r="4867" spans="19:21" x14ac:dyDescent="0.25">
      <c r="S4867" s="6" t="s">
        <v>302</v>
      </c>
      <c r="T4867" s="6">
        <f t="shared" si="93"/>
        <v>4866</v>
      </c>
      <c r="U4867" s="4" t="s">
        <v>194</v>
      </c>
    </row>
    <row r="4868" spans="19:21" x14ac:dyDescent="0.25">
      <c r="S4868" s="6" t="s">
        <v>302</v>
      </c>
      <c r="T4868" s="6">
        <f t="shared" si="93"/>
        <v>4867</v>
      </c>
      <c r="U4868" s="4" t="s">
        <v>194</v>
      </c>
    </row>
    <row r="4869" spans="19:21" x14ac:dyDescent="0.25">
      <c r="S4869" s="6" t="s">
        <v>302</v>
      </c>
      <c r="T4869" s="6">
        <f t="shared" si="93"/>
        <v>4868</v>
      </c>
      <c r="U4869" s="4" t="s">
        <v>194</v>
      </c>
    </row>
    <row r="4870" spans="19:21" x14ac:dyDescent="0.25">
      <c r="S4870" s="6" t="s">
        <v>302</v>
      </c>
      <c r="T4870" s="6">
        <f t="shared" si="93"/>
        <v>4869</v>
      </c>
      <c r="U4870" s="4" t="s">
        <v>194</v>
      </c>
    </row>
    <row r="4871" spans="19:21" x14ac:dyDescent="0.25">
      <c r="S4871" s="6" t="s">
        <v>302</v>
      </c>
      <c r="T4871" s="6">
        <f t="shared" si="93"/>
        <v>4870</v>
      </c>
      <c r="U4871" s="4" t="s">
        <v>194</v>
      </c>
    </row>
    <row r="4872" spans="19:21" x14ac:dyDescent="0.25">
      <c r="S4872" s="6" t="s">
        <v>302</v>
      </c>
      <c r="T4872" s="6">
        <f t="shared" si="93"/>
        <v>4871</v>
      </c>
      <c r="U4872" s="4" t="s">
        <v>194</v>
      </c>
    </row>
    <row r="4873" spans="19:21" x14ac:dyDescent="0.25">
      <c r="S4873" s="6" t="s">
        <v>302</v>
      </c>
      <c r="T4873" s="6">
        <f t="shared" si="93"/>
        <v>4872</v>
      </c>
      <c r="U4873" s="4" t="s">
        <v>194</v>
      </c>
    </row>
    <row r="4874" spans="19:21" x14ac:dyDescent="0.25">
      <c r="S4874" s="6" t="s">
        <v>302</v>
      </c>
      <c r="T4874" s="6">
        <f t="shared" si="93"/>
        <v>4873</v>
      </c>
      <c r="U4874" s="4" t="s">
        <v>194</v>
      </c>
    </row>
    <row r="4875" spans="19:21" x14ac:dyDescent="0.25">
      <c r="S4875" s="6" t="s">
        <v>302</v>
      </c>
      <c r="T4875" s="6">
        <f t="shared" si="93"/>
        <v>4874</v>
      </c>
      <c r="U4875" s="4" t="s">
        <v>194</v>
      </c>
    </row>
    <row r="4876" spans="19:21" x14ac:dyDescent="0.25">
      <c r="S4876" s="6" t="s">
        <v>302</v>
      </c>
      <c r="T4876" s="6">
        <f t="shared" si="93"/>
        <v>4875</v>
      </c>
      <c r="U4876" s="4" t="s">
        <v>194</v>
      </c>
    </row>
    <row r="4877" spans="19:21" x14ac:dyDescent="0.25">
      <c r="S4877" s="6" t="s">
        <v>302</v>
      </c>
      <c r="T4877" s="6">
        <f t="shared" si="93"/>
        <v>4876</v>
      </c>
      <c r="U4877" s="4" t="s">
        <v>194</v>
      </c>
    </row>
    <row r="4878" spans="19:21" x14ac:dyDescent="0.25">
      <c r="S4878" s="6" t="s">
        <v>302</v>
      </c>
      <c r="T4878" s="6">
        <f t="shared" si="93"/>
        <v>4877</v>
      </c>
      <c r="U4878" s="4" t="s">
        <v>194</v>
      </c>
    </row>
    <row r="4879" spans="19:21" x14ac:dyDescent="0.25">
      <c r="S4879" s="6" t="s">
        <v>302</v>
      </c>
      <c r="T4879" s="6">
        <f t="shared" si="93"/>
        <v>4878</v>
      </c>
      <c r="U4879" s="4" t="s">
        <v>194</v>
      </c>
    </row>
    <row r="4880" spans="19:21" x14ac:dyDescent="0.25">
      <c r="S4880" s="6" t="s">
        <v>302</v>
      </c>
      <c r="T4880" s="6">
        <f t="shared" si="93"/>
        <v>4879</v>
      </c>
      <c r="U4880" s="4" t="s">
        <v>194</v>
      </c>
    </row>
    <row r="4881" spans="19:21" x14ac:dyDescent="0.25">
      <c r="S4881" s="6" t="s">
        <v>302</v>
      </c>
      <c r="T4881" s="6">
        <f t="shared" si="93"/>
        <v>4880</v>
      </c>
      <c r="U4881" s="4" t="s">
        <v>194</v>
      </c>
    </row>
    <row r="4882" spans="19:21" x14ac:dyDescent="0.25">
      <c r="S4882" s="6" t="s">
        <v>302</v>
      </c>
      <c r="T4882" s="6">
        <f t="shared" si="93"/>
        <v>4881</v>
      </c>
      <c r="U4882" s="4" t="s">
        <v>194</v>
      </c>
    </row>
    <row r="4883" spans="19:21" x14ac:dyDescent="0.25">
      <c r="S4883" s="6" t="s">
        <v>302</v>
      </c>
      <c r="T4883" s="6">
        <f t="shared" si="93"/>
        <v>4882</v>
      </c>
      <c r="U4883" s="4" t="s">
        <v>194</v>
      </c>
    </row>
    <row r="4884" spans="19:21" x14ac:dyDescent="0.25">
      <c r="S4884" s="6" t="s">
        <v>302</v>
      </c>
      <c r="T4884" s="6">
        <f t="shared" si="93"/>
        <v>4883</v>
      </c>
      <c r="U4884" s="4" t="s">
        <v>194</v>
      </c>
    </row>
    <row r="4885" spans="19:21" x14ac:dyDescent="0.25">
      <c r="S4885" s="6" t="s">
        <v>302</v>
      </c>
      <c r="T4885" s="6">
        <f t="shared" si="93"/>
        <v>4884</v>
      </c>
      <c r="U4885" s="4" t="s">
        <v>194</v>
      </c>
    </row>
    <row r="4886" spans="19:21" x14ac:dyDescent="0.25">
      <c r="S4886" s="6" t="s">
        <v>302</v>
      </c>
      <c r="T4886" s="6">
        <f t="shared" si="93"/>
        <v>4885</v>
      </c>
      <c r="U4886" s="4" t="s">
        <v>194</v>
      </c>
    </row>
    <row r="4887" spans="19:21" x14ac:dyDescent="0.25">
      <c r="S4887" s="6" t="s">
        <v>302</v>
      </c>
      <c r="T4887" s="6">
        <f t="shared" si="93"/>
        <v>4886</v>
      </c>
      <c r="U4887" s="4" t="s">
        <v>194</v>
      </c>
    </row>
    <row r="4888" spans="19:21" x14ac:dyDescent="0.25">
      <c r="S4888" s="6" t="s">
        <v>302</v>
      </c>
      <c r="T4888" s="6">
        <f t="shared" si="93"/>
        <v>4887</v>
      </c>
      <c r="U4888" s="4" t="s">
        <v>194</v>
      </c>
    </row>
    <row r="4889" spans="19:21" x14ac:dyDescent="0.25">
      <c r="S4889" s="6" t="s">
        <v>302</v>
      </c>
      <c r="T4889" s="6">
        <f t="shared" si="93"/>
        <v>4888</v>
      </c>
      <c r="U4889" s="4" t="s">
        <v>194</v>
      </c>
    </row>
    <row r="4890" spans="19:21" x14ac:dyDescent="0.25">
      <c r="S4890" s="6" t="s">
        <v>302</v>
      </c>
      <c r="T4890" s="6">
        <f t="shared" si="93"/>
        <v>4889</v>
      </c>
      <c r="U4890" s="4" t="s">
        <v>194</v>
      </c>
    </row>
    <row r="4891" spans="19:21" x14ac:dyDescent="0.25">
      <c r="S4891" s="6" t="s">
        <v>302</v>
      </c>
      <c r="T4891" s="6">
        <f t="shared" si="93"/>
        <v>4890</v>
      </c>
      <c r="U4891" s="4" t="s">
        <v>194</v>
      </c>
    </row>
    <row r="4892" spans="19:21" x14ac:dyDescent="0.25">
      <c r="S4892" s="6" t="s">
        <v>302</v>
      </c>
      <c r="T4892" s="6">
        <f t="shared" si="93"/>
        <v>4891</v>
      </c>
      <c r="U4892" s="4" t="s">
        <v>194</v>
      </c>
    </row>
    <row r="4893" spans="19:21" x14ac:dyDescent="0.25">
      <c r="S4893" s="6" t="s">
        <v>302</v>
      </c>
      <c r="T4893" s="6">
        <f t="shared" si="93"/>
        <v>4892</v>
      </c>
      <c r="U4893" s="4" t="s">
        <v>194</v>
      </c>
    </row>
    <row r="4894" spans="19:21" x14ac:dyDescent="0.25">
      <c r="S4894" s="6" t="s">
        <v>302</v>
      </c>
      <c r="T4894" s="6">
        <f t="shared" ref="T4894:T4957" si="94">T4893+1</f>
        <v>4893</v>
      </c>
      <c r="U4894" s="4" t="s">
        <v>194</v>
      </c>
    </row>
    <row r="4895" spans="19:21" x14ac:dyDescent="0.25">
      <c r="S4895" s="6" t="s">
        <v>302</v>
      </c>
      <c r="T4895" s="6">
        <f t="shared" si="94"/>
        <v>4894</v>
      </c>
      <c r="U4895" s="4" t="s">
        <v>194</v>
      </c>
    </row>
    <row r="4896" spans="19:21" x14ac:dyDescent="0.25">
      <c r="S4896" s="6" t="s">
        <v>302</v>
      </c>
      <c r="T4896" s="6">
        <f t="shared" si="94"/>
        <v>4895</v>
      </c>
      <c r="U4896" s="4" t="s">
        <v>194</v>
      </c>
    </row>
    <row r="4897" spans="19:21" x14ac:dyDescent="0.25">
      <c r="S4897" s="6" t="s">
        <v>302</v>
      </c>
      <c r="T4897" s="6">
        <f t="shared" si="94"/>
        <v>4896</v>
      </c>
      <c r="U4897" s="4" t="s">
        <v>194</v>
      </c>
    </row>
    <row r="4898" spans="19:21" x14ac:dyDescent="0.25">
      <c r="S4898" s="6" t="s">
        <v>302</v>
      </c>
      <c r="T4898" s="6">
        <f t="shared" si="94"/>
        <v>4897</v>
      </c>
      <c r="U4898" s="4" t="s">
        <v>194</v>
      </c>
    </row>
    <row r="4899" spans="19:21" x14ac:dyDescent="0.25">
      <c r="S4899" s="6" t="s">
        <v>302</v>
      </c>
      <c r="T4899" s="6">
        <f t="shared" si="94"/>
        <v>4898</v>
      </c>
      <c r="U4899" s="4" t="s">
        <v>194</v>
      </c>
    </row>
    <row r="4900" spans="19:21" x14ac:dyDescent="0.25">
      <c r="S4900" s="6" t="s">
        <v>302</v>
      </c>
      <c r="T4900" s="6">
        <f t="shared" si="94"/>
        <v>4899</v>
      </c>
      <c r="U4900" s="4" t="s">
        <v>194</v>
      </c>
    </row>
    <row r="4901" spans="19:21" x14ac:dyDescent="0.25">
      <c r="S4901" s="6" t="s">
        <v>302</v>
      </c>
      <c r="T4901" s="6">
        <f t="shared" si="94"/>
        <v>4900</v>
      </c>
      <c r="U4901" s="4" t="s">
        <v>194</v>
      </c>
    </row>
    <row r="4902" spans="19:21" x14ac:dyDescent="0.25">
      <c r="S4902" s="6" t="s">
        <v>302</v>
      </c>
      <c r="T4902" s="6">
        <f t="shared" si="94"/>
        <v>4901</v>
      </c>
      <c r="U4902" s="4" t="s">
        <v>194</v>
      </c>
    </row>
    <row r="4903" spans="19:21" x14ac:dyDescent="0.25">
      <c r="S4903" s="6" t="s">
        <v>302</v>
      </c>
      <c r="T4903" s="6">
        <f t="shared" si="94"/>
        <v>4902</v>
      </c>
      <c r="U4903" s="4" t="s">
        <v>194</v>
      </c>
    </row>
    <row r="4904" spans="19:21" x14ac:dyDescent="0.25">
      <c r="S4904" s="6" t="s">
        <v>302</v>
      </c>
      <c r="T4904" s="6">
        <f t="shared" si="94"/>
        <v>4903</v>
      </c>
      <c r="U4904" s="4" t="s">
        <v>194</v>
      </c>
    </row>
    <row r="4905" spans="19:21" x14ac:dyDescent="0.25">
      <c r="S4905" s="6" t="s">
        <v>302</v>
      </c>
      <c r="T4905" s="6">
        <f t="shared" si="94"/>
        <v>4904</v>
      </c>
      <c r="U4905" s="4" t="s">
        <v>194</v>
      </c>
    </row>
    <row r="4906" spans="19:21" x14ac:dyDescent="0.25">
      <c r="S4906" s="6" t="s">
        <v>302</v>
      </c>
      <c r="T4906" s="6">
        <f t="shared" si="94"/>
        <v>4905</v>
      </c>
      <c r="U4906" s="4" t="s">
        <v>194</v>
      </c>
    </row>
    <row r="4907" spans="19:21" x14ac:dyDescent="0.25">
      <c r="S4907" s="6" t="s">
        <v>302</v>
      </c>
      <c r="T4907" s="6">
        <f t="shared" si="94"/>
        <v>4906</v>
      </c>
      <c r="U4907" s="4" t="s">
        <v>194</v>
      </c>
    </row>
    <row r="4908" spans="19:21" x14ac:dyDescent="0.25">
      <c r="S4908" s="6" t="s">
        <v>302</v>
      </c>
      <c r="T4908" s="6">
        <f t="shared" si="94"/>
        <v>4907</v>
      </c>
      <c r="U4908" s="4" t="s">
        <v>194</v>
      </c>
    </row>
    <row r="4909" spans="19:21" x14ac:dyDescent="0.25">
      <c r="S4909" s="6" t="s">
        <v>302</v>
      </c>
      <c r="T4909" s="6">
        <f t="shared" si="94"/>
        <v>4908</v>
      </c>
      <c r="U4909" s="4" t="s">
        <v>194</v>
      </c>
    </row>
    <row r="4910" spans="19:21" x14ac:dyDescent="0.25">
      <c r="S4910" s="6" t="s">
        <v>302</v>
      </c>
      <c r="T4910" s="6">
        <f t="shared" si="94"/>
        <v>4909</v>
      </c>
      <c r="U4910" s="4" t="s">
        <v>194</v>
      </c>
    </row>
    <row r="4911" spans="19:21" x14ac:dyDescent="0.25">
      <c r="S4911" s="6" t="s">
        <v>302</v>
      </c>
      <c r="T4911" s="6">
        <f t="shared" si="94"/>
        <v>4910</v>
      </c>
      <c r="U4911" s="4" t="s">
        <v>194</v>
      </c>
    </row>
    <row r="4912" spans="19:21" x14ac:dyDescent="0.25">
      <c r="S4912" s="6" t="s">
        <v>302</v>
      </c>
      <c r="T4912" s="6">
        <f t="shared" si="94"/>
        <v>4911</v>
      </c>
      <c r="U4912" s="4" t="s">
        <v>194</v>
      </c>
    </row>
    <row r="4913" spans="19:21" x14ac:dyDescent="0.25">
      <c r="S4913" s="6" t="s">
        <v>302</v>
      </c>
      <c r="T4913" s="6">
        <f t="shared" si="94"/>
        <v>4912</v>
      </c>
      <c r="U4913" s="4" t="s">
        <v>194</v>
      </c>
    </row>
    <row r="4914" spans="19:21" x14ac:dyDescent="0.25">
      <c r="S4914" s="6" t="s">
        <v>302</v>
      </c>
      <c r="T4914" s="6">
        <f t="shared" si="94"/>
        <v>4913</v>
      </c>
      <c r="U4914" s="4" t="s">
        <v>194</v>
      </c>
    </row>
    <row r="4915" spans="19:21" x14ac:dyDescent="0.25">
      <c r="S4915" s="6" t="s">
        <v>302</v>
      </c>
      <c r="T4915" s="6">
        <f t="shared" si="94"/>
        <v>4914</v>
      </c>
      <c r="U4915" s="4" t="s">
        <v>194</v>
      </c>
    </row>
    <row r="4916" spans="19:21" x14ac:dyDescent="0.25">
      <c r="S4916" s="6" t="s">
        <v>302</v>
      </c>
      <c r="T4916" s="6">
        <f t="shared" si="94"/>
        <v>4915</v>
      </c>
      <c r="U4916" s="4" t="s">
        <v>194</v>
      </c>
    </row>
    <row r="4917" spans="19:21" x14ac:dyDescent="0.25">
      <c r="S4917" s="6" t="s">
        <v>302</v>
      </c>
      <c r="T4917" s="6">
        <f t="shared" si="94"/>
        <v>4916</v>
      </c>
      <c r="U4917" s="4" t="s">
        <v>194</v>
      </c>
    </row>
    <row r="4918" spans="19:21" x14ac:dyDescent="0.25">
      <c r="S4918" s="6" t="s">
        <v>302</v>
      </c>
      <c r="T4918" s="6">
        <f t="shared" si="94"/>
        <v>4917</v>
      </c>
      <c r="U4918" s="4" t="s">
        <v>194</v>
      </c>
    </row>
    <row r="4919" spans="19:21" x14ac:dyDescent="0.25">
      <c r="S4919" s="6" t="s">
        <v>302</v>
      </c>
      <c r="T4919" s="6">
        <f t="shared" si="94"/>
        <v>4918</v>
      </c>
      <c r="U4919" s="4" t="s">
        <v>194</v>
      </c>
    </row>
    <row r="4920" spans="19:21" x14ac:dyDescent="0.25">
      <c r="S4920" s="6" t="s">
        <v>302</v>
      </c>
      <c r="T4920" s="6">
        <f t="shared" si="94"/>
        <v>4919</v>
      </c>
      <c r="U4920" s="4" t="s">
        <v>194</v>
      </c>
    </row>
    <row r="4921" spans="19:21" x14ac:dyDescent="0.25">
      <c r="S4921" s="6" t="s">
        <v>302</v>
      </c>
      <c r="T4921" s="6">
        <f t="shared" si="94"/>
        <v>4920</v>
      </c>
      <c r="U4921" s="4" t="s">
        <v>194</v>
      </c>
    </row>
    <row r="4922" spans="19:21" x14ac:dyDescent="0.25">
      <c r="S4922" s="6" t="s">
        <v>302</v>
      </c>
      <c r="T4922" s="6">
        <f t="shared" si="94"/>
        <v>4921</v>
      </c>
      <c r="U4922" s="4" t="s">
        <v>194</v>
      </c>
    </row>
    <row r="4923" spans="19:21" x14ac:dyDescent="0.25">
      <c r="S4923" s="6" t="s">
        <v>302</v>
      </c>
      <c r="T4923" s="6">
        <f t="shared" si="94"/>
        <v>4922</v>
      </c>
      <c r="U4923" s="4" t="s">
        <v>194</v>
      </c>
    </row>
    <row r="4924" spans="19:21" x14ac:dyDescent="0.25">
      <c r="S4924" s="6" t="s">
        <v>302</v>
      </c>
      <c r="T4924" s="6">
        <f t="shared" si="94"/>
        <v>4923</v>
      </c>
      <c r="U4924" s="4" t="s">
        <v>194</v>
      </c>
    </row>
    <row r="4925" spans="19:21" x14ac:dyDescent="0.25">
      <c r="S4925" s="6" t="s">
        <v>302</v>
      </c>
      <c r="T4925" s="6">
        <f t="shared" si="94"/>
        <v>4924</v>
      </c>
      <c r="U4925" s="4" t="s">
        <v>194</v>
      </c>
    </row>
    <row r="4926" spans="19:21" x14ac:dyDescent="0.25">
      <c r="S4926" s="6" t="s">
        <v>302</v>
      </c>
      <c r="T4926" s="6">
        <f t="shared" si="94"/>
        <v>4925</v>
      </c>
      <c r="U4926" s="4" t="s">
        <v>194</v>
      </c>
    </row>
    <row r="4927" spans="19:21" x14ac:dyDescent="0.25">
      <c r="S4927" s="6" t="s">
        <v>302</v>
      </c>
      <c r="T4927" s="6">
        <f t="shared" si="94"/>
        <v>4926</v>
      </c>
      <c r="U4927" s="4" t="s">
        <v>194</v>
      </c>
    </row>
    <row r="4928" spans="19:21" x14ac:dyDescent="0.25">
      <c r="S4928" s="6" t="s">
        <v>302</v>
      </c>
      <c r="T4928" s="6">
        <f t="shared" si="94"/>
        <v>4927</v>
      </c>
      <c r="U4928" s="4" t="s">
        <v>194</v>
      </c>
    </row>
    <row r="4929" spans="19:21" x14ac:dyDescent="0.25">
      <c r="S4929" s="6" t="s">
        <v>302</v>
      </c>
      <c r="T4929" s="6">
        <f t="shared" si="94"/>
        <v>4928</v>
      </c>
      <c r="U4929" s="4" t="s">
        <v>194</v>
      </c>
    </row>
    <row r="4930" spans="19:21" x14ac:dyDescent="0.25">
      <c r="S4930" s="6" t="s">
        <v>302</v>
      </c>
      <c r="T4930" s="6">
        <f t="shared" si="94"/>
        <v>4929</v>
      </c>
      <c r="U4930" s="4" t="s">
        <v>194</v>
      </c>
    </row>
    <row r="4931" spans="19:21" x14ac:dyDescent="0.25">
      <c r="S4931" s="6" t="s">
        <v>302</v>
      </c>
      <c r="T4931" s="6">
        <f t="shared" si="94"/>
        <v>4930</v>
      </c>
      <c r="U4931" s="4" t="s">
        <v>194</v>
      </c>
    </row>
    <row r="4932" spans="19:21" x14ac:dyDescent="0.25">
      <c r="S4932" s="6" t="s">
        <v>302</v>
      </c>
      <c r="T4932" s="6">
        <f t="shared" si="94"/>
        <v>4931</v>
      </c>
      <c r="U4932" s="4" t="s">
        <v>194</v>
      </c>
    </row>
    <row r="4933" spans="19:21" x14ac:dyDescent="0.25">
      <c r="S4933" s="6" t="s">
        <v>302</v>
      </c>
      <c r="T4933" s="6">
        <f t="shared" si="94"/>
        <v>4932</v>
      </c>
      <c r="U4933" s="4" t="s">
        <v>194</v>
      </c>
    </row>
    <row r="4934" spans="19:21" x14ac:dyDescent="0.25">
      <c r="S4934" s="6" t="s">
        <v>302</v>
      </c>
      <c r="T4934" s="6">
        <f t="shared" si="94"/>
        <v>4933</v>
      </c>
      <c r="U4934" s="4" t="s">
        <v>194</v>
      </c>
    </row>
    <row r="4935" spans="19:21" x14ac:dyDescent="0.25">
      <c r="S4935" s="6" t="s">
        <v>302</v>
      </c>
      <c r="T4935" s="6">
        <f t="shared" si="94"/>
        <v>4934</v>
      </c>
      <c r="U4935" s="4" t="s">
        <v>194</v>
      </c>
    </row>
    <row r="4936" spans="19:21" x14ac:dyDescent="0.25">
      <c r="S4936" s="6" t="s">
        <v>302</v>
      </c>
      <c r="T4936" s="6">
        <f t="shared" si="94"/>
        <v>4935</v>
      </c>
      <c r="U4936" s="4" t="s">
        <v>194</v>
      </c>
    </row>
    <row r="4937" spans="19:21" x14ac:dyDescent="0.25">
      <c r="S4937" s="6" t="s">
        <v>302</v>
      </c>
      <c r="T4937" s="6">
        <f t="shared" si="94"/>
        <v>4936</v>
      </c>
      <c r="U4937" s="4" t="s">
        <v>194</v>
      </c>
    </row>
    <row r="4938" spans="19:21" x14ac:dyDescent="0.25">
      <c r="S4938" s="6" t="s">
        <v>302</v>
      </c>
      <c r="T4938" s="6">
        <f t="shared" si="94"/>
        <v>4937</v>
      </c>
      <c r="U4938" s="4" t="s">
        <v>194</v>
      </c>
    </row>
    <row r="4939" spans="19:21" x14ac:dyDescent="0.25">
      <c r="S4939" s="6" t="s">
        <v>302</v>
      </c>
      <c r="T4939" s="6">
        <f t="shared" si="94"/>
        <v>4938</v>
      </c>
      <c r="U4939" s="4" t="s">
        <v>194</v>
      </c>
    </row>
    <row r="4940" spans="19:21" x14ac:dyDescent="0.25">
      <c r="S4940" s="6" t="s">
        <v>302</v>
      </c>
      <c r="T4940" s="6">
        <f t="shared" si="94"/>
        <v>4939</v>
      </c>
      <c r="U4940" s="4" t="s">
        <v>194</v>
      </c>
    </row>
    <row r="4941" spans="19:21" x14ac:dyDescent="0.25">
      <c r="S4941" s="6" t="s">
        <v>302</v>
      </c>
      <c r="T4941" s="6">
        <f t="shared" si="94"/>
        <v>4940</v>
      </c>
      <c r="U4941" s="4" t="s">
        <v>194</v>
      </c>
    </row>
    <row r="4942" spans="19:21" x14ac:dyDescent="0.25">
      <c r="S4942" s="6" t="s">
        <v>302</v>
      </c>
      <c r="T4942" s="6">
        <f t="shared" si="94"/>
        <v>4941</v>
      </c>
      <c r="U4942" s="4" t="s">
        <v>194</v>
      </c>
    </row>
    <row r="4943" spans="19:21" x14ac:dyDescent="0.25">
      <c r="S4943" s="6" t="s">
        <v>302</v>
      </c>
      <c r="T4943" s="6">
        <f t="shared" si="94"/>
        <v>4942</v>
      </c>
      <c r="U4943" s="4" t="s">
        <v>194</v>
      </c>
    </row>
    <row r="4944" spans="19:21" x14ac:dyDescent="0.25">
      <c r="S4944" s="6" t="s">
        <v>302</v>
      </c>
      <c r="T4944" s="6">
        <f t="shared" si="94"/>
        <v>4943</v>
      </c>
      <c r="U4944" s="4" t="s">
        <v>194</v>
      </c>
    </row>
    <row r="4945" spans="19:21" x14ac:dyDescent="0.25">
      <c r="S4945" s="6" t="s">
        <v>302</v>
      </c>
      <c r="T4945" s="6">
        <f t="shared" si="94"/>
        <v>4944</v>
      </c>
      <c r="U4945" s="4" t="s">
        <v>194</v>
      </c>
    </row>
    <row r="4946" spans="19:21" x14ac:dyDescent="0.25">
      <c r="S4946" s="6" t="s">
        <v>302</v>
      </c>
      <c r="T4946" s="6">
        <f t="shared" si="94"/>
        <v>4945</v>
      </c>
      <c r="U4946" s="4" t="s">
        <v>194</v>
      </c>
    </row>
    <row r="4947" spans="19:21" x14ac:dyDescent="0.25">
      <c r="S4947" s="6" t="s">
        <v>302</v>
      </c>
      <c r="T4947" s="6">
        <f t="shared" si="94"/>
        <v>4946</v>
      </c>
      <c r="U4947" s="4" t="s">
        <v>194</v>
      </c>
    </row>
    <row r="4948" spans="19:21" x14ac:dyDescent="0.25">
      <c r="S4948" s="6" t="s">
        <v>302</v>
      </c>
      <c r="T4948" s="6">
        <f t="shared" si="94"/>
        <v>4947</v>
      </c>
      <c r="U4948" s="4" t="s">
        <v>194</v>
      </c>
    </row>
    <row r="4949" spans="19:21" x14ac:dyDescent="0.25">
      <c r="S4949" s="6" t="s">
        <v>302</v>
      </c>
      <c r="T4949" s="6">
        <f t="shared" si="94"/>
        <v>4948</v>
      </c>
      <c r="U4949" s="4" t="s">
        <v>194</v>
      </c>
    </row>
    <row r="4950" spans="19:21" x14ac:dyDescent="0.25">
      <c r="S4950" s="6" t="s">
        <v>302</v>
      </c>
      <c r="T4950" s="6">
        <f t="shared" si="94"/>
        <v>4949</v>
      </c>
      <c r="U4950" s="4" t="s">
        <v>194</v>
      </c>
    </row>
    <row r="4951" spans="19:21" x14ac:dyDescent="0.25">
      <c r="S4951" s="6" t="s">
        <v>302</v>
      </c>
      <c r="T4951" s="6">
        <f t="shared" si="94"/>
        <v>4950</v>
      </c>
      <c r="U4951" s="4" t="s">
        <v>194</v>
      </c>
    </row>
    <row r="4952" spans="19:21" x14ac:dyDescent="0.25">
      <c r="S4952" s="6" t="s">
        <v>302</v>
      </c>
      <c r="T4952" s="6">
        <f t="shared" si="94"/>
        <v>4951</v>
      </c>
      <c r="U4952" s="4" t="s">
        <v>194</v>
      </c>
    </row>
    <row r="4953" spans="19:21" x14ac:dyDescent="0.25">
      <c r="S4953" s="6" t="s">
        <v>302</v>
      </c>
      <c r="T4953" s="6">
        <f t="shared" si="94"/>
        <v>4952</v>
      </c>
      <c r="U4953" s="4" t="s">
        <v>194</v>
      </c>
    </row>
    <row r="4954" spans="19:21" x14ac:dyDescent="0.25">
      <c r="S4954" s="6" t="s">
        <v>302</v>
      </c>
      <c r="T4954" s="6">
        <f t="shared" si="94"/>
        <v>4953</v>
      </c>
      <c r="U4954" s="4" t="s">
        <v>194</v>
      </c>
    </row>
    <row r="4955" spans="19:21" x14ac:dyDescent="0.25">
      <c r="S4955" s="6" t="s">
        <v>302</v>
      </c>
      <c r="T4955" s="6">
        <f t="shared" si="94"/>
        <v>4954</v>
      </c>
      <c r="U4955" s="4" t="s">
        <v>194</v>
      </c>
    </row>
    <row r="4956" spans="19:21" x14ac:dyDescent="0.25">
      <c r="S4956" s="6" t="s">
        <v>302</v>
      </c>
      <c r="T4956" s="6">
        <f t="shared" si="94"/>
        <v>4955</v>
      </c>
      <c r="U4956" s="4" t="s">
        <v>194</v>
      </c>
    </row>
    <row r="4957" spans="19:21" x14ac:dyDescent="0.25">
      <c r="S4957" s="6" t="s">
        <v>302</v>
      </c>
      <c r="T4957" s="6">
        <f t="shared" si="94"/>
        <v>4956</v>
      </c>
      <c r="U4957" s="4" t="s">
        <v>194</v>
      </c>
    </row>
    <row r="4958" spans="19:21" x14ac:dyDescent="0.25">
      <c r="S4958" s="6" t="s">
        <v>302</v>
      </c>
      <c r="T4958" s="6">
        <f t="shared" ref="T4958:T5021" si="95">T4957+1</f>
        <v>4957</v>
      </c>
      <c r="U4958" s="4" t="s">
        <v>194</v>
      </c>
    </row>
    <row r="4959" spans="19:21" x14ac:dyDescent="0.25">
      <c r="S4959" s="6" t="s">
        <v>302</v>
      </c>
      <c r="T4959" s="6">
        <f t="shared" si="95"/>
        <v>4958</v>
      </c>
      <c r="U4959" s="4" t="s">
        <v>194</v>
      </c>
    </row>
    <row r="4960" spans="19:21" x14ac:dyDescent="0.25">
      <c r="S4960" s="6" t="s">
        <v>302</v>
      </c>
      <c r="T4960" s="6">
        <f t="shared" si="95"/>
        <v>4959</v>
      </c>
      <c r="U4960" s="4" t="s">
        <v>194</v>
      </c>
    </row>
    <row r="4961" spans="19:21" x14ac:dyDescent="0.25">
      <c r="S4961" s="6" t="s">
        <v>302</v>
      </c>
      <c r="T4961" s="6">
        <f t="shared" si="95"/>
        <v>4960</v>
      </c>
      <c r="U4961" s="4" t="s">
        <v>194</v>
      </c>
    </row>
    <row r="4962" spans="19:21" x14ac:dyDescent="0.25">
      <c r="S4962" s="6" t="s">
        <v>302</v>
      </c>
      <c r="T4962" s="6">
        <f t="shared" si="95"/>
        <v>4961</v>
      </c>
      <c r="U4962" s="4" t="s">
        <v>194</v>
      </c>
    </row>
    <row r="4963" spans="19:21" x14ac:dyDescent="0.25">
      <c r="S4963" s="6" t="s">
        <v>302</v>
      </c>
      <c r="T4963" s="6">
        <f t="shared" si="95"/>
        <v>4962</v>
      </c>
      <c r="U4963" s="4" t="s">
        <v>194</v>
      </c>
    </row>
    <row r="4964" spans="19:21" x14ac:dyDescent="0.25">
      <c r="S4964" s="6" t="s">
        <v>302</v>
      </c>
      <c r="T4964" s="6">
        <f t="shared" si="95"/>
        <v>4963</v>
      </c>
      <c r="U4964" s="4" t="s">
        <v>194</v>
      </c>
    </row>
    <row r="4965" spans="19:21" x14ac:dyDescent="0.25">
      <c r="S4965" s="6" t="s">
        <v>302</v>
      </c>
      <c r="T4965" s="6">
        <f t="shared" si="95"/>
        <v>4964</v>
      </c>
      <c r="U4965" s="4" t="s">
        <v>194</v>
      </c>
    </row>
    <row r="4966" spans="19:21" x14ac:dyDescent="0.25">
      <c r="S4966" s="6" t="s">
        <v>302</v>
      </c>
      <c r="T4966" s="6">
        <f t="shared" si="95"/>
        <v>4965</v>
      </c>
      <c r="U4966" s="4" t="s">
        <v>194</v>
      </c>
    </row>
    <row r="4967" spans="19:21" x14ac:dyDescent="0.25">
      <c r="S4967" s="6" t="s">
        <v>302</v>
      </c>
      <c r="T4967" s="6">
        <f t="shared" si="95"/>
        <v>4966</v>
      </c>
      <c r="U4967" s="4" t="s">
        <v>194</v>
      </c>
    </row>
    <row r="4968" spans="19:21" x14ac:dyDescent="0.25">
      <c r="S4968" s="6" t="s">
        <v>302</v>
      </c>
      <c r="T4968" s="6">
        <f t="shared" si="95"/>
        <v>4967</v>
      </c>
      <c r="U4968" s="4" t="s">
        <v>194</v>
      </c>
    </row>
    <row r="4969" spans="19:21" x14ac:dyDescent="0.25">
      <c r="S4969" s="6" t="s">
        <v>302</v>
      </c>
      <c r="T4969" s="6">
        <f t="shared" si="95"/>
        <v>4968</v>
      </c>
      <c r="U4969" s="4" t="s">
        <v>194</v>
      </c>
    </row>
    <row r="4970" spans="19:21" x14ac:dyDescent="0.25">
      <c r="S4970" s="6" t="s">
        <v>302</v>
      </c>
      <c r="T4970" s="6">
        <f t="shared" si="95"/>
        <v>4969</v>
      </c>
      <c r="U4970" s="4" t="s">
        <v>194</v>
      </c>
    </row>
    <row r="4971" spans="19:21" x14ac:dyDescent="0.25">
      <c r="S4971" s="6" t="s">
        <v>302</v>
      </c>
      <c r="T4971" s="6">
        <f t="shared" si="95"/>
        <v>4970</v>
      </c>
      <c r="U4971" s="4" t="s">
        <v>194</v>
      </c>
    </row>
    <row r="4972" spans="19:21" x14ac:dyDescent="0.25">
      <c r="S4972" s="6" t="s">
        <v>302</v>
      </c>
      <c r="T4972" s="6">
        <f t="shared" si="95"/>
        <v>4971</v>
      </c>
      <c r="U4972" s="4" t="s">
        <v>194</v>
      </c>
    </row>
    <row r="4973" spans="19:21" x14ac:dyDescent="0.25">
      <c r="S4973" s="6" t="s">
        <v>302</v>
      </c>
      <c r="T4973" s="6">
        <f t="shared" si="95"/>
        <v>4972</v>
      </c>
      <c r="U4973" s="4" t="s">
        <v>194</v>
      </c>
    </row>
    <row r="4974" spans="19:21" x14ac:dyDescent="0.25">
      <c r="S4974" s="6" t="s">
        <v>302</v>
      </c>
      <c r="T4974" s="6">
        <f t="shared" si="95"/>
        <v>4973</v>
      </c>
      <c r="U4974" s="4" t="s">
        <v>194</v>
      </c>
    </row>
    <row r="4975" spans="19:21" x14ac:dyDescent="0.25">
      <c r="S4975" s="6" t="s">
        <v>302</v>
      </c>
      <c r="T4975" s="6">
        <f t="shared" si="95"/>
        <v>4974</v>
      </c>
      <c r="U4975" s="4" t="s">
        <v>194</v>
      </c>
    </row>
    <row r="4976" spans="19:21" x14ac:dyDescent="0.25">
      <c r="S4976" s="6" t="s">
        <v>302</v>
      </c>
      <c r="T4976" s="6">
        <f t="shared" si="95"/>
        <v>4975</v>
      </c>
      <c r="U4976" s="4" t="s">
        <v>194</v>
      </c>
    </row>
    <row r="4977" spans="19:21" x14ac:dyDescent="0.25">
      <c r="S4977" s="6" t="s">
        <v>302</v>
      </c>
      <c r="T4977" s="6">
        <f t="shared" si="95"/>
        <v>4976</v>
      </c>
      <c r="U4977" s="4" t="s">
        <v>194</v>
      </c>
    </row>
    <row r="4978" spans="19:21" x14ac:dyDescent="0.25">
      <c r="S4978" s="6" t="s">
        <v>302</v>
      </c>
      <c r="T4978" s="6">
        <f t="shared" si="95"/>
        <v>4977</v>
      </c>
      <c r="U4978" s="4" t="s">
        <v>194</v>
      </c>
    </row>
    <row r="4979" spans="19:21" x14ac:dyDescent="0.25">
      <c r="S4979" s="6" t="s">
        <v>302</v>
      </c>
      <c r="T4979" s="6">
        <f t="shared" si="95"/>
        <v>4978</v>
      </c>
      <c r="U4979" s="4" t="s">
        <v>194</v>
      </c>
    </row>
    <row r="4980" spans="19:21" x14ac:dyDescent="0.25">
      <c r="S4980" s="6" t="s">
        <v>302</v>
      </c>
      <c r="T4980" s="6">
        <f t="shared" si="95"/>
        <v>4979</v>
      </c>
      <c r="U4980" s="4" t="s">
        <v>194</v>
      </c>
    </row>
    <row r="4981" spans="19:21" x14ac:dyDescent="0.25">
      <c r="S4981" s="6" t="s">
        <v>302</v>
      </c>
      <c r="T4981" s="6">
        <f t="shared" si="95"/>
        <v>4980</v>
      </c>
      <c r="U4981" s="4" t="s">
        <v>194</v>
      </c>
    </row>
    <row r="4982" spans="19:21" x14ac:dyDescent="0.25">
      <c r="S4982" s="6" t="s">
        <v>302</v>
      </c>
      <c r="T4982" s="6">
        <f t="shared" si="95"/>
        <v>4981</v>
      </c>
      <c r="U4982" s="4" t="s">
        <v>194</v>
      </c>
    </row>
    <row r="4983" spans="19:21" x14ac:dyDescent="0.25">
      <c r="S4983" s="6" t="s">
        <v>302</v>
      </c>
      <c r="T4983" s="6">
        <f t="shared" si="95"/>
        <v>4982</v>
      </c>
      <c r="U4983" s="4" t="s">
        <v>194</v>
      </c>
    </row>
    <row r="4984" spans="19:21" x14ac:dyDescent="0.25">
      <c r="S4984" s="6" t="s">
        <v>302</v>
      </c>
      <c r="T4984" s="6">
        <f t="shared" si="95"/>
        <v>4983</v>
      </c>
      <c r="U4984" s="4" t="s">
        <v>194</v>
      </c>
    </row>
    <row r="4985" spans="19:21" x14ac:dyDescent="0.25">
      <c r="S4985" s="6" t="s">
        <v>302</v>
      </c>
      <c r="T4985" s="6">
        <f t="shared" si="95"/>
        <v>4984</v>
      </c>
      <c r="U4985" s="4" t="s">
        <v>194</v>
      </c>
    </row>
    <row r="4986" spans="19:21" x14ac:dyDescent="0.25">
      <c r="S4986" s="6" t="s">
        <v>302</v>
      </c>
      <c r="T4986" s="6">
        <f t="shared" si="95"/>
        <v>4985</v>
      </c>
      <c r="U4986" s="4" t="s">
        <v>194</v>
      </c>
    </row>
    <row r="4987" spans="19:21" x14ac:dyDescent="0.25">
      <c r="S4987" s="6" t="s">
        <v>302</v>
      </c>
      <c r="T4987" s="6">
        <f t="shared" si="95"/>
        <v>4986</v>
      </c>
      <c r="U4987" s="4" t="s">
        <v>194</v>
      </c>
    </row>
    <row r="4988" spans="19:21" x14ac:dyDescent="0.25">
      <c r="S4988" s="6" t="s">
        <v>302</v>
      </c>
      <c r="T4988" s="6">
        <f t="shared" si="95"/>
        <v>4987</v>
      </c>
      <c r="U4988" s="4" t="s">
        <v>194</v>
      </c>
    </row>
    <row r="4989" spans="19:21" x14ac:dyDescent="0.25">
      <c r="S4989" s="6" t="s">
        <v>302</v>
      </c>
      <c r="T4989" s="6">
        <f t="shared" si="95"/>
        <v>4988</v>
      </c>
      <c r="U4989" s="4" t="s">
        <v>194</v>
      </c>
    </row>
    <row r="4990" spans="19:21" x14ac:dyDescent="0.25">
      <c r="S4990" s="6" t="s">
        <v>302</v>
      </c>
      <c r="T4990" s="6">
        <f t="shared" si="95"/>
        <v>4989</v>
      </c>
      <c r="U4990" s="4" t="s">
        <v>194</v>
      </c>
    </row>
    <row r="4991" spans="19:21" x14ac:dyDescent="0.25">
      <c r="S4991" s="6" t="s">
        <v>302</v>
      </c>
      <c r="T4991" s="6">
        <f t="shared" si="95"/>
        <v>4990</v>
      </c>
      <c r="U4991" s="4" t="s">
        <v>194</v>
      </c>
    </row>
    <row r="4992" spans="19:21" x14ac:dyDescent="0.25">
      <c r="S4992" s="6" t="s">
        <v>302</v>
      </c>
      <c r="T4992" s="6">
        <f t="shared" si="95"/>
        <v>4991</v>
      </c>
      <c r="U4992" s="4" t="s">
        <v>194</v>
      </c>
    </row>
    <row r="4993" spans="19:21" x14ac:dyDescent="0.25">
      <c r="S4993" s="6" t="s">
        <v>302</v>
      </c>
      <c r="T4993" s="6">
        <f t="shared" si="95"/>
        <v>4992</v>
      </c>
      <c r="U4993" s="4" t="s">
        <v>194</v>
      </c>
    </row>
    <row r="4994" spans="19:21" x14ac:dyDescent="0.25">
      <c r="S4994" s="6" t="s">
        <v>302</v>
      </c>
      <c r="T4994" s="6">
        <f t="shared" si="95"/>
        <v>4993</v>
      </c>
      <c r="U4994" s="4" t="s">
        <v>194</v>
      </c>
    </row>
    <row r="4995" spans="19:21" x14ac:dyDescent="0.25">
      <c r="S4995" s="6" t="s">
        <v>302</v>
      </c>
      <c r="T4995" s="6">
        <f t="shared" si="95"/>
        <v>4994</v>
      </c>
      <c r="U4995" s="4" t="s">
        <v>194</v>
      </c>
    </row>
    <row r="4996" spans="19:21" x14ac:dyDescent="0.25">
      <c r="S4996" s="6" t="s">
        <v>302</v>
      </c>
      <c r="T4996" s="6">
        <f t="shared" si="95"/>
        <v>4995</v>
      </c>
      <c r="U4996" s="4" t="s">
        <v>194</v>
      </c>
    </row>
    <row r="4997" spans="19:21" x14ac:dyDescent="0.25">
      <c r="S4997" s="6" t="s">
        <v>302</v>
      </c>
      <c r="T4997" s="6">
        <f t="shared" si="95"/>
        <v>4996</v>
      </c>
      <c r="U4997" s="4" t="s">
        <v>194</v>
      </c>
    </row>
    <row r="4998" spans="19:21" x14ac:dyDescent="0.25">
      <c r="S4998" s="6" t="s">
        <v>302</v>
      </c>
      <c r="T4998" s="6">
        <f t="shared" si="95"/>
        <v>4997</v>
      </c>
      <c r="U4998" s="4" t="s">
        <v>194</v>
      </c>
    </row>
    <row r="4999" spans="19:21" x14ac:dyDescent="0.25">
      <c r="S4999" s="6" t="s">
        <v>302</v>
      </c>
      <c r="T4999" s="6">
        <f t="shared" si="95"/>
        <v>4998</v>
      </c>
      <c r="U4999" s="4" t="s">
        <v>194</v>
      </c>
    </row>
    <row r="5000" spans="19:21" x14ac:dyDescent="0.25">
      <c r="S5000" s="6" t="s">
        <v>302</v>
      </c>
      <c r="T5000" s="6">
        <f t="shared" si="95"/>
        <v>4999</v>
      </c>
      <c r="U5000" s="4" t="s">
        <v>194</v>
      </c>
    </row>
    <row r="5001" spans="19:21" x14ac:dyDescent="0.25">
      <c r="S5001" s="6" t="s">
        <v>302</v>
      </c>
      <c r="T5001" s="6">
        <f t="shared" si="95"/>
        <v>5000</v>
      </c>
      <c r="U5001" s="4" t="s">
        <v>194</v>
      </c>
    </row>
    <row r="5002" spans="19:21" x14ac:dyDescent="0.25">
      <c r="S5002" s="6" t="s">
        <v>302</v>
      </c>
      <c r="T5002" s="6">
        <f t="shared" si="95"/>
        <v>5001</v>
      </c>
      <c r="U5002" s="4" t="s">
        <v>194</v>
      </c>
    </row>
    <row r="5003" spans="19:21" x14ac:dyDescent="0.25">
      <c r="S5003" s="6" t="s">
        <v>302</v>
      </c>
      <c r="T5003" s="6">
        <f t="shared" si="95"/>
        <v>5002</v>
      </c>
      <c r="U5003" s="4" t="s">
        <v>194</v>
      </c>
    </row>
    <row r="5004" spans="19:21" x14ac:dyDescent="0.25">
      <c r="S5004" s="6" t="s">
        <v>302</v>
      </c>
      <c r="T5004" s="6">
        <f t="shared" si="95"/>
        <v>5003</v>
      </c>
      <c r="U5004" s="4" t="s">
        <v>194</v>
      </c>
    </row>
    <row r="5005" spans="19:21" x14ac:dyDescent="0.25">
      <c r="S5005" s="6" t="s">
        <v>302</v>
      </c>
      <c r="T5005" s="6">
        <f t="shared" si="95"/>
        <v>5004</v>
      </c>
      <c r="U5005" s="4" t="s">
        <v>194</v>
      </c>
    </row>
    <row r="5006" spans="19:21" x14ac:dyDescent="0.25">
      <c r="S5006" s="6" t="s">
        <v>302</v>
      </c>
      <c r="T5006" s="6">
        <f t="shared" si="95"/>
        <v>5005</v>
      </c>
      <c r="U5006" s="4" t="s">
        <v>194</v>
      </c>
    </row>
    <row r="5007" spans="19:21" x14ac:dyDescent="0.25">
      <c r="S5007" s="6" t="s">
        <v>302</v>
      </c>
      <c r="T5007" s="6">
        <f t="shared" si="95"/>
        <v>5006</v>
      </c>
      <c r="U5007" s="4" t="s">
        <v>194</v>
      </c>
    </row>
    <row r="5008" spans="19:21" x14ac:dyDescent="0.25">
      <c r="S5008" s="6" t="s">
        <v>302</v>
      </c>
      <c r="T5008" s="6">
        <f t="shared" si="95"/>
        <v>5007</v>
      </c>
      <c r="U5008" s="4" t="s">
        <v>194</v>
      </c>
    </row>
    <row r="5009" spans="19:21" x14ac:dyDescent="0.25">
      <c r="S5009" s="6" t="s">
        <v>302</v>
      </c>
      <c r="T5009" s="6">
        <f t="shared" si="95"/>
        <v>5008</v>
      </c>
      <c r="U5009" s="4" t="s">
        <v>194</v>
      </c>
    </row>
    <row r="5010" spans="19:21" x14ac:dyDescent="0.25">
      <c r="S5010" s="6" t="s">
        <v>302</v>
      </c>
      <c r="T5010" s="6">
        <f t="shared" si="95"/>
        <v>5009</v>
      </c>
      <c r="U5010" s="4" t="s">
        <v>194</v>
      </c>
    </row>
    <row r="5011" spans="19:21" x14ac:dyDescent="0.25">
      <c r="S5011" s="6" t="s">
        <v>302</v>
      </c>
      <c r="T5011" s="6">
        <f t="shared" si="95"/>
        <v>5010</v>
      </c>
      <c r="U5011" s="4" t="s">
        <v>194</v>
      </c>
    </row>
    <row r="5012" spans="19:21" x14ac:dyDescent="0.25">
      <c r="S5012" s="6" t="s">
        <v>302</v>
      </c>
      <c r="T5012" s="6">
        <f t="shared" si="95"/>
        <v>5011</v>
      </c>
      <c r="U5012" s="4" t="s">
        <v>194</v>
      </c>
    </row>
    <row r="5013" spans="19:21" x14ac:dyDescent="0.25">
      <c r="S5013" s="6" t="s">
        <v>302</v>
      </c>
      <c r="T5013" s="6">
        <f t="shared" si="95"/>
        <v>5012</v>
      </c>
      <c r="U5013" s="4" t="s">
        <v>194</v>
      </c>
    </row>
    <row r="5014" spans="19:21" x14ac:dyDescent="0.25">
      <c r="S5014" s="6" t="s">
        <v>302</v>
      </c>
      <c r="T5014" s="6">
        <f t="shared" si="95"/>
        <v>5013</v>
      </c>
      <c r="U5014" s="4" t="s">
        <v>194</v>
      </c>
    </row>
    <row r="5015" spans="19:21" x14ac:dyDescent="0.25">
      <c r="S5015" s="6" t="s">
        <v>302</v>
      </c>
      <c r="T5015" s="6">
        <f t="shared" si="95"/>
        <v>5014</v>
      </c>
      <c r="U5015" s="4" t="s">
        <v>194</v>
      </c>
    </row>
    <row r="5016" spans="19:21" x14ac:dyDescent="0.25">
      <c r="S5016" s="6" t="s">
        <v>302</v>
      </c>
      <c r="T5016" s="6">
        <f t="shared" si="95"/>
        <v>5015</v>
      </c>
      <c r="U5016" s="4" t="s">
        <v>194</v>
      </c>
    </row>
    <row r="5017" spans="19:21" x14ac:dyDescent="0.25">
      <c r="S5017" s="6" t="s">
        <v>302</v>
      </c>
      <c r="T5017" s="6">
        <f t="shared" si="95"/>
        <v>5016</v>
      </c>
      <c r="U5017" s="4" t="s">
        <v>194</v>
      </c>
    </row>
    <row r="5018" spans="19:21" x14ac:dyDescent="0.25">
      <c r="S5018" s="6" t="s">
        <v>302</v>
      </c>
      <c r="T5018" s="6">
        <f t="shared" si="95"/>
        <v>5017</v>
      </c>
      <c r="U5018" s="4" t="s">
        <v>194</v>
      </c>
    </row>
    <row r="5019" spans="19:21" x14ac:dyDescent="0.25">
      <c r="S5019" s="6" t="s">
        <v>302</v>
      </c>
      <c r="T5019" s="6">
        <f t="shared" si="95"/>
        <v>5018</v>
      </c>
      <c r="U5019" s="4" t="s">
        <v>194</v>
      </c>
    </row>
    <row r="5020" spans="19:21" x14ac:dyDescent="0.25">
      <c r="S5020" s="6" t="s">
        <v>302</v>
      </c>
      <c r="T5020" s="6">
        <f t="shared" si="95"/>
        <v>5019</v>
      </c>
      <c r="U5020" s="4" t="s">
        <v>194</v>
      </c>
    </row>
    <row r="5021" spans="19:21" x14ac:dyDescent="0.25">
      <c r="S5021" s="6" t="s">
        <v>302</v>
      </c>
      <c r="T5021" s="6">
        <f t="shared" si="95"/>
        <v>5020</v>
      </c>
      <c r="U5021" s="4" t="s">
        <v>194</v>
      </c>
    </row>
    <row r="5022" spans="19:21" x14ac:dyDescent="0.25">
      <c r="S5022" s="6" t="s">
        <v>302</v>
      </c>
      <c r="T5022" s="6">
        <f t="shared" ref="T5022:T5085" si="96">T5021+1</f>
        <v>5021</v>
      </c>
      <c r="U5022" s="4" t="s">
        <v>194</v>
      </c>
    </row>
    <row r="5023" spans="19:21" x14ac:dyDescent="0.25">
      <c r="S5023" s="6" t="s">
        <v>302</v>
      </c>
      <c r="T5023" s="6">
        <f t="shared" si="96"/>
        <v>5022</v>
      </c>
      <c r="U5023" s="4" t="s">
        <v>194</v>
      </c>
    </row>
    <row r="5024" spans="19:21" x14ac:dyDescent="0.25">
      <c r="S5024" s="6" t="s">
        <v>302</v>
      </c>
      <c r="T5024" s="6">
        <f t="shared" si="96"/>
        <v>5023</v>
      </c>
      <c r="U5024" s="4" t="s">
        <v>194</v>
      </c>
    </row>
    <row r="5025" spans="19:21" x14ac:dyDescent="0.25">
      <c r="S5025" s="6" t="s">
        <v>302</v>
      </c>
      <c r="T5025" s="6">
        <f t="shared" si="96"/>
        <v>5024</v>
      </c>
      <c r="U5025" s="4" t="s">
        <v>194</v>
      </c>
    </row>
    <row r="5026" spans="19:21" x14ac:dyDescent="0.25">
      <c r="S5026" s="6" t="s">
        <v>302</v>
      </c>
      <c r="T5026" s="6">
        <f t="shared" si="96"/>
        <v>5025</v>
      </c>
      <c r="U5026" s="4" t="s">
        <v>194</v>
      </c>
    </row>
    <row r="5027" spans="19:21" x14ac:dyDescent="0.25">
      <c r="S5027" s="6" t="s">
        <v>302</v>
      </c>
      <c r="T5027" s="6">
        <f t="shared" si="96"/>
        <v>5026</v>
      </c>
      <c r="U5027" s="4" t="s">
        <v>194</v>
      </c>
    </row>
    <row r="5028" spans="19:21" x14ac:dyDescent="0.25">
      <c r="S5028" s="6" t="s">
        <v>302</v>
      </c>
      <c r="T5028" s="6">
        <f t="shared" si="96"/>
        <v>5027</v>
      </c>
      <c r="U5028" s="4" t="s">
        <v>194</v>
      </c>
    </row>
    <row r="5029" spans="19:21" x14ac:dyDescent="0.25">
      <c r="S5029" s="6" t="s">
        <v>302</v>
      </c>
      <c r="T5029" s="6">
        <f t="shared" si="96"/>
        <v>5028</v>
      </c>
      <c r="U5029" s="4" t="s">
        <v>194</v>
      </c>
    </row>
    <row r="5030" spans="19:21" x14ac:dyDescent="0.25">
      <c r="S5030" s="6" t="s">
        <v>302</v>
      </c>
      <c r="T5030" s="6">
        <f t="shared" si="96"/>
        <v>5029</v>
      </c>
      <c r="U5030" s="4" t="s">
        <v>194</v>
      </c>
    </row>
    <row r="5031" spans="19:21" x14ac:dyDescent="0.25">
      <c r="S5031" s="6" t="s">
        <v>302</v>
      </c>
      <c r="T5031" s="6">
        <f t="shared" si="96"/>
        <v>5030</v>
      </c>
      <c r="U5031" s="4" t="s">
        <v>194</v>
      </c>
    </row>
    <row r="5032" spans="19:21" x14ac:dyDescent="0.25">
      <c r="S5032" s="6" t="s">
        <v>302</v>
      </c>
      <c r="T5032" s="6">
        <f t="shared" si="96"/>
        <v>5031</v>
      </c>
      <c r="U5032" s="4" t="s">
        <v>194</v>
      </c>
    </row>
    <row r="5033" spans="19:21" x14ac:dyDescent="0.25">
      <c r="S5033" s="6" t="s">
        <v>302</v>
      </c>
      <c r="T5033" s="6">
        <f t="shared" si="96"/>
        <v>5032</v>
      </c>
      <c r="U5033" s="4" t="s">
        <v>194</v>
      </c>
    </row>
    <row r="5034" spans="19:21" x14ac:dyDescent="0.25">
      <c r="S5034" s="6" t="s">
        <v>302</v>
      </c>
      <c r="T5034" s="6">
        <f t="shared" si="96"/>
        <v>5033</v>
      </c>
      <c r="U5034" s="4" t="s">
        <v>194</v>
      </c>
    </row>
    <row r="5035" spans="19:21" x14ac:dyDescent="0.25">
      <c r="S5035" s="6" t="s">
        <v>302</v>
      </c>
      <c r="T5035" s="6">
        <f t="shared" si="96"/>
        <v>5034</v>
      </c>
      <c r="U5035" s="4" t="s">
        <v>194</v>
      </c>
    </row>
    <row r="5036" spans="19:21" x14ac:dyDescent="0.25">
      <c r="S5036" s="6" t="s">
        <v>302</v>
      </c>
      <c r="T5036" s="6">
        <f t="shared" si="96"/>
        <v>5035</v>
      </c>
      <c r="U5036" s="4" t="s">
        <v>194</v>
      </c>
    </row>
    <row r="5037" spans="19:21" x14ac:dyDescent="0.25">
      <c r="S5037" s="6" t="s">
        <v>302</v>
      </c>
      <c r="T5037" s="6">
        <f t="shared" si="96"/>
        <v>5036</v>
      </c>
      <c r="U5037" s="4" t="s">
        <v>194</v>
      </c>
    </row>
    <row r="5038" spans="19:21" x14ac:dyDescent="0.25">
      <c r="S5038" s="6" t="s">
        <v>302</v>
      </c>
      <c r="T5038" s="6">
        <f t="shared" si="96"/>
        <v>5037</v>
      </c>
      <c r="U5038" s="4" t="s">
        <v>194</v>
      </c>
    </row>
    <row r="5039" spans="19:21" x14ac:dyDescent="0.25">
      <c r="S5039" s="6" t="s">
        <v>302</v>
      </c>
      <c r="T5039" s="6">
        <f t="shared" si="96"/>
        <v>5038</v>
      </c>
      <c r="U5039" s="4" t="s">
        <v>194</v>
      </c>
    </row>
    <row r="5040" spans="19:21" x14ac:dyDescent="0.25">
      <c r="S5040" s="6" t="s">
        <v>302</v>
      </c>
      <c r="T5040" s="6">
        <f t="shared" si="96"/>
        <v>5039</v>
      </c>
      <c r="U5040" s="4" t="s">
        <v>194</v>
      </c>
    </row>
    <row r="5041" spans="19:21" x14ac:dyDescent="0.25">
      <c r="S5041" s="6" t="s">
        <v>302</v>
      </c>
      <c r="T5041" s="6">
        <f t="shared" si="96"/>
        <v>5040</v>
      </c>
      <c r="U5041" s="4" t="s">
        <v>194</v>
      </c>
    </row>
    <row r="5042" spans="19:21" x14ac:dyDescent="0.25">
      <c r="S5042" s="6" t="s">
        <v>302</v>
      </c>
      <c r="T5042" s="6">
        <f t="shared" si="96"/>
        <v>5041</v>
      </c>
      <c r="U5042" s="4" t="s">
        <v>194</v>
      </c>
    </row>
    <row r="5043" spans="19:21" x14ac:dyDescent="0.25">
      <c r="S5043" s="6" t="s">
        <v>302</v>
      </c>
      <c r="T5043" s="6">
        <f t="shared" si="96"/>
        <v>5042</v>
      </c>
      <c r="U5043" s="4" t="s">
        <v>194</v>
      </c>
    </row>
    <row r="5044" spans="19:21" x14ac:dyDescent="0.25">
      <c r="S5044" s="6" t="s">
        <v>302</v>
      </c>
      <c r="T5044" s="6">
        <f t="shared" si="96"/>
        <v>5043</v>
      </c>
      <c r="U5044" s="4" t="s">
        <v>194</v>
      </c>
    </row>
    <row r="5045" spans="19:21" x14ac:dyDescent="0.25">
      <c r="S5045" s="6" t="s">
        <v>302</v>
      </c>
      <c r="T5045" s="6">
        <f t="shared" si="96"/>
        <v>5044</v>
      </c>
      <c r="U5045" s="4" t="s">
        <v>194</v>
      </c>
    </row>
    <row r="5046" spans="19:21" x14ac:dyDescent="0.25">
      <c r="S5046" s="6" t="s">
        <v>302</v>
      </c>
      <c r="T5046" s="6">
        <f t="shared" si="96"/>
        <v>5045</v>
      </c>
      <c r="U5046" s="4" t="s">
        <v>194</v>
      </c>
    </row>
    <row r="5047" spans="19:21" x14ac:dyDescent="0.25">
      <c r="S5047" s="6" t="s">
        <v>302</v>
      </c>
      <c r="T5047" s="6">
        <f t="shared" si="96"/>
        <v>5046</v>
      </c>
      <c r="U5047" s="4" t="s">
        <v>194</v>
      </c>
    </row>
    <row r="5048" spans="19:21" x14ac:dyDescent="0.25">
      <c r="S5048" s="6" t="s">
        <v>302</v>
      </c>
      <c r="T5048" s="6">
        <f t="shared" si="96"/>
        <v>5047</v>
      </c>
      <c r="U5048" s="4" t="s">
        <v>194</v>
      </c>
    </row>
    <row r="5049" spans="19:21" x14ac:dyDescent="0.25">
      <c r="S5049" s="6" t="s">
        <v>302</v>
      </c>
      <c r="T5049" s="6">
        <f t="shared" si="96"/>
        <v>5048</v>
      </c>
      <c r="U5049" s="4" t="s">
        <v>194</v>
      </c>
    </row>
    <row r="5050" spans="19:21" x14ac:dyDescent="0.25">
      <c r="S5050" s="6" t="s">
        <v>302</v>
      </c>
      <c r="T5050" s="6">
        <f t="shared" si="96"/>
        <v>5049</v>
      </c>
      <c r="U5050" s="4" t="s">
        <v>194</v>
      </c>
    </row>
    <row r="5051" spans="19:21" x14ac:dyDescent="0.25">
      <c r="S5051" s="6" t="s">
        <v>302</v>
      </c>
      <c r="T5051" s="6">
        <f t="shared" si="96"/>
        <v>5050</v>
      </c>
      <c r="U5051" s="4" t="s">
        <v>194</v>
      </c>
    </row>
    <row r="5052" spans="19:21" x14ac:dyDescent="0.25">
      <c r="S5052" s="6" t="s">
        <v>302</v>
      </c>
      <c r="T5052" s="6">
        <f t="shared" si="96"/>
        <v>5051</v>
      </c>
      <c r="U5052" s="4" t="s">
        <v>194</v>
      </c>
    </row>
    <row r="5053" spans="19:21" x14ac:dyDescent="0.25">
      <c r="S5053" s="6" t="s">
        <v>302</v>
      </c>
      <c r="T5053" s="6">
        <f t="shared" si="96"/>
        <v>5052</v>
      </c>
      <c r="U5053" s="4" t="s">
        <v>194</v>
      </c>
    </row>
    <row r="5054" spans="19:21" x14ac:dyDescent="0.25">
      <c r="S5054" s="6" t="s">
        <v>302</v>
      </c>
      <c r="T5054" s="6">
        <f t="shared" si="96"/>
        <v>5053</v>
      </c>
      <c r="U5054" s="4" t="s">
        <v>194</v>
      </c>
    </row>
    <row r="5055" spans="19:21" x14ac:dyDescent="0.25">
      <c r="S5055" s="6" t="s">
        <v>302</v>
      </c>
      <c r="T5055" s="6">
        <f t="shared" si="96"/>
        <v>5054</v>
      </c>
      <c r="U5055" s="4" t="s">
        <v>194</v>
      </c>
    </row>
    <row r="5056" spans="19:21" x14ac:dyDescent="0.25">
      <c r="S5056" s="6" t="s">
        <v>302</v>
      </c>
      <c r="T5056" s="6">
        <f t="shared" si="96"/>
        <v>5055</v>
      </c>
      <c r="U5056" s="4" t="s">
        <v>194</v>
      </c>
    </row>
    <row r="5057" spans="19:21" x14ac:dyDescent="0.25">
      <c r="S5057" s="6" t="s">
        <v>302</v>
      </c>
      <c r="T5057" s="6">
        <f t="shared" si="96"/>
        <v>5056</v>
      </c>
      <c r="U5057" s="4" t="s">
        <v>194</v>
      </c>
    </row>
    <row r="5058" spans="19:21" x14ac:dyDescent="0.25">
      <c r="S5058" s="6" t="s">
        <v>302</v>
      </c>
      <c r="T5058" s="6">
        <f t="shared" si="96"/>
        <v>5057</v>
      </c>
      <c r="U5058" s="4" t="s">
        <v>194</v>
      </c>
    </row>
    <row r="5059" spans="19:21" x14ac:dyDescent="0.25">
      <c r="S5059" s="6" t="s">
        <v>302</v>
      </c>
      <c r="T5059" s="6">
        <f t="shared" si="96"/>
        <v>5058</v>
      </c>
      <c r="U5059" s="4" t="s">
        <v>194</v>
      </c>
    </row>
    <row r="5060" spans="19:21" x14ac:dyDescent="0.25">
      <c r="S5060" s="6" t="s">
        <v>302</v>
      </c>
      <c r="T5060" s="6">
        <f t="shared" si="96"/>
        <v>5059</v>
      </c>
      <c r="U5060" s="4" t="s">
        <v>194</v>
      </c>
    </row>
    <row r="5061" spans="19:21" x14ac:dyDescent="0.25">
      <c r="S5061" s="6" t="s">
        <v>302</v>
      </c>
      <c r="T5061" s="6">
        <f t="shared" si="96"/>
        <v>5060</v>
      </c>
      <c r="U5061" s="4" t="s">
        <v>194</v>
      </c>
    </row>
    <row r="5062" spans="19:21" x14ac:dyDescent="0.25">
      <c r="S5062" s="6" t="s">
        <v>302</v>
      </c>
      <c r="T5062" s="6">
        <f t="shared" si="96"/>
        <v>5061</v>
      </c>
      <c r="U5062" s="4" t="s">
        <v>194</v>
      </c>
    </row>
    <row r="5063" spans="19:21" x14ac:dyDescent="0.25">
      <c r="S5063" s="6" t="s">
        <v>302</v>
      </c>
      <c r="T5063" s="6">
        <f t="shared" si="96"/>
        <v>5062</v>
      </c>
      <c r="U5063" s="4" t="s">
        <v>194</v>
      </c>
    </row>
    <row r="5064" spans="19:21" x14ac:dyDescent="0.25">
      <c r="S5064" s="6" t="s">
        <v>302</v>
      </c>
      <c r="T5064" s="6">
        <f t="shared" si="96"/>
        <v>5063</v>
      </c>
      <c r="U5064" s="4" t="s">
        <v>194</v>
      </c>
    </row>
    <row r="5065" spans="19:21" x14ac:dyDescent="0.25">
      <c r="S5065" s="6" t="s">
        <v>302</v>
      </c>
      <c r="T5065" s="6">
        <f t="shared" si="96"/>
        <v>5064</v>
      </c>
      <c r="U5065" s="4" t="s">
        <v>194</v>
      </c>
    </row>
    <row r="5066" spans="19:21" x14ac:dyDescent="0.25">
      <c r="S5066" s="6" t="s">
        <v>302</v>
      </c>
      <c r="T5066" s="6">
        <f t="shared" si="96"/>
        <v>5065</v>
      </c>
      <c r="U5066" s="4" t="s">
        <v>194</v>
      </c>
    </row>
    <row r="5067" spans="19:21" x14ac:dyDescent="0.25">
      <c r="S5067" s="6" t="s">
        <v>302</v>
      </c>
      <c r="T5067" s="6">
        <f t="shared" si="96"/>
        <v>5066</v>
      </c>
      <c r="U5067" s="4" t="s">
        <v>194</v>
      </c>
    </row>
    <row r="5068" spans="19:21" x14ac:dyDescent="0.25">
      <c r="S5068" s="6" t="s">
        <v>302</v>
      </c>
      <c r="T5068" s="6">
        <f t="shared" si="96"/>
        <v>5067</v>
      </c>
      <c r="U5068" s="4" t="s">
        <v>194</v>
      </c>
    </row>
    <row r="5069" spans="19:21" x14ac:dyDescent="0.25">
      <c r="S5069" s="6" t="s">
        <v>302</v>
      </c>
      <c r="T5069" s="6">
        <f t="shared" si="96"/>
        <v>5068</v>
      </c>
      <c r="U5069" s="4" t="s">
        <v>194</v>
      </c>
    </row>
    <row r="5070" spans="19:21" x14ac:dyDescent="0.25">
      <c r="S5070" s="6" t="s">
        <v>302</v>
      </c>
      <c r="T5070" s="6">
        <f t="shared" si="96"/>
        <v>5069</v>
      </c>
      <c r="U5070" s="4" t="s">
        <v>194</v>
      </c>
    </row>
    <row r="5071" spans="19:21" x14ac:dyDescent="0.25">
      <c r="S5071" s="6" t="s">
        <v>302</v>
      </c>
      <c r="T5071" s="6">
        <f t="shared" si="96"/>
        <v>5070</v>
      </c>
      <c r="U5071" s="4" t="s">
        <v>194</v>
      </c>
    </row>
    <row r="5072" spans="19:21" x14ac:dyDescent="0.25">
      <c r="S5072" s="6" t="s">
        <v>302</v>
      </c>
      <c r="T5072" s="6">
        <f t="shared" si="96"/>
        <v>5071</v>
      </c>
      <c r="U5072" s="4" t="s">
        <v>194</v>
      </c>
    </row>
    <row r="5073" spans="19:21" x14ac:dyDescent="0.25">
      <c r="S5073" s="6" t="s">
        <v>302</v>
      </c>
      <c r="T5073" s="6">
        <f t="shared" si="96"/>
        <v>5072</v>
      </c>
      <c r="U5073" s="4" t="s">
        <v>194</v>
      </c>
    </row>
    <row r="5074" spans="19:21" x14ac:dyDescent="0.25">
      <c r="S5074" s="6" t="s">
        <v>302</v>
      </c>
      <c r="T5074" s="6">
        <f t="shared" si="96"/>
        <v>5073</v>
      </c>
      <c r="U5074" s="4" t="s">
        <v>194</v>
      </c>
    </row>
    <row r="5075" spans="19:21" x14ac:dyDescent="0.25">
      <c r="S5075" s="6" t="s">
        <v>302</v>
      </c>
      <c r="T5075" s="6">
        <f t="shared" si="96"/>
        <v>5074</v>
      </c>
      <c r="U5075" s="4" t="s">
        <v>194</v>
      </c>
    </row>
    <row r="5076" spans="19:21" x14ac:dyDescent="0.25">
      <c r="S5076" s="6" t="s">
        <v>302</v>
      </c>
      <c r="T5076" s="6">
        <f t="shared" si="96"/>
        <v>5075</v>
      </c>
      <c r="U5076" s="4" t="s">
        <v>194</v>
      </c>
    </row>
    <row r="5077" spans="19:21" x14ac:dyDescent="0.25">
      <c r="S5077" s="6" t="s">
        <v>302</v>
      </c>
      <c r="T5077" s="6">
        <f t="shared" si="96"/>
        <v>5076</v>
      </c>
      <c r="U5077" s="4" t="s">
        <v>194</v>
      </c>
    </row>
    <row r="5078" spans="19:21" x14ac:dyDescent="0.25">
      <c r="S5078" s="6" t="s">
        <v>302</v>
      </c>
      <c r="T5078" s="6">
        <f t="shared" si="96"/>
        <v>5077</v>
      </c>
      <c r="U5078" s="4" t="s">
        <v>194</v>
      </c>
    </row>
    <row r="5079" spans="19:21" x14ac:dyDescent="0.25">
      <c r="S5079" s="6" t="s">
        <v>302</v>
      </c>
      <c r="T5079" s="6">
        <f t="shared" si="96"/>
        <v>5078</v>
      </c>
      <c r="U5079" s="4" t="s">
        <v>194</v>
      </c>
    </row>
    <row r="5080" spans="19:21" x14ac:dyDescent="0.25">
      <c r="S5080" s="6" t="s">
        <v>302</v>
      </c>
      <c r="T5080" s="6">
        <f t="shared" si="96"/>
        <v>5079</v>
      </c>
      <c r="U5080" s="4" t="s">
        <v>194</v>
      </c>
    </row>
    <row r="5081" spans="19:21" x14ac:dyDescent="0.25">
      <c r="S5081" s="6" t="s">
        <v>302</v>
      </c>
      <c r="T5081" s="6">
        <f t="shared" si="96"/>
        <v>5080</v>
      </c>
      <c r="U5081" s="4" t="s">
        <v>194</v>
      </c>
    </row>
    <row r="5082" spans="19:21" x14ac:dyDescent="0.25">
      <c r="S5082" s="6" t="s">
        <v>302</v>
      </c>
      <c r="T5082" s="6">
        <f t="shared" si="96"/>
        <v>5081</v>
      </c>
      <c r="U5082" s="4" t="s">
        <v>194</v>
      </c>
    </row>
    <row r="5083" spans="19:21" x14ac:dyDescent="0.25">
      <c r="S5083" s="6" t="s">
        <v>302</v>
      </c>
      <c r="T5083" s="6">
        <f t="shared" si="96"/>
        <v>5082</v>
      </c>
      <c r="U5083" s="4" t="s">
        <v>194</v>
      </c>
    </row>
    <row r="5084" spans="19:21" x14ac:dyDescent="0.25">
      <c r="S5084" s="6" t="s">
        <v>302</v>
      </c>
      <c r="T5084" s="6">
        <f t="shared" si="96"/>
        <v>5083</v>
      </c>
      <c r="U5084" s="4" t="s">
        <v>194</v>
      </c>
    </row>
    <row r="5085" spans="19:21" x14ac:dyDescent="0.25">
      <c r="S5085" s="6" t="s">
        <v>302</v>
      </c>
      <c r="T5085" s="6">
        <f t="shared" si="96"/>
        <v>5084</v>
      </c>
      <c r="U5085" s="4" t="s">
        <v>194</v>
      </c>
    </row>
    <row r="5086" spans="19:21" x14ac:dyDescent="0.25">
      <c r="S5086" s="6" t="s">
        <v>302</v>
      </c>
      <c r="T5086" s="6">
        <f t="shared" ref="T5086:T5149" si="97">T5085+1</f>
        <v>5085</v>
      </c>
      <c r="U5086" s="4" t="s">
        <v>194</v>
      </c>
    </row>
    <row r="5087" spans="19:21" x14ac:dyDescent="0.25">
      <c r="S5087" s="6" t="s">
        <v>302</v>
      </c>
      <c r="T5087" s="6">
        <f t="shared" si="97"/>
        <v>5086</v>
      </c>
      <c r="U5087" s="4" t="s">
        <v>194</v>
      </c>
    </row>
    <row r="5088" spans="19:21" x14ac:dyDescent="0.25">
      <c r="S5088" s="6" t="s">
        <v>302</v>
      </c>
      <c r="T5088" s="6">
        <f t="shared" si="97"/>
        <v>5087</v>
      </c>
      <c r="U5088" s="4" t="s">
        <v>194</v>
      </c>
    </row>
    <row r="5089" spans="19:21" x14ac:dyDescent="0.25">
      <c r="S5089" s="6" t="s">
        <v>302</v>
      </c>
      <c r="T5089" s="6">
        <f t="shared" si="97"/>
        <v>5088</v>
      </c>
      <c r="U5089" s="4" t="s">
        <v>194</v>
      </c>
    </row>
    <row r="5090" spans="19:21" x14ac:dyDescent="0.25">
      <c r="S5090" s="6" t="s">
        <v>302</v>
      </c>
      <c r="T5090" s="6">
        <f t="shared" si="97"/>
        <v>5089</v>
      </c>
      <c r="U5090" s="4" t="s">
        <v>194</v>
      </c>
    </row>
    <row r="5091" spans="19:21" x14ac:dyDescent="0.25">
      <c r="S5091" s="6" t="s">
        <v>302</v>
      </c>
      <c r="T5091" s="6">
        <f t="shared" si="97"/>
        <v>5090</v>
      </c>
      <c r="U5091" s="4" t="s">
        <v>194</v>
      </c>
    </row>
    <row r="5092" spans="19:21" x14ac:dyDescent="0.25">
      <c r="S5092" s="6" t="s">
        <v>302</v>
      </c>
      <c r="T5092" s="6">
        <f t="shared" si="97"/>
        <v>5091</v>
      </c>
      <c r="U5092" s="4" t="s">
        <v>194</v>
      </c>
    </row>
    <row r="5093" spans="19:21" x14ac:dyDescent="0.25">
      <c r="S5093" s="6" t="s">
        <v>302</v>
      </c>
      <c r="T5093" s="6">
        <f t="shared" si="97"/>
        <v>5092</v>
      </c>
      <c r="U5093" s="4" t="s">
        <v>194</v>
      </c>
    </row>
    <row r="5094" spans="19:21" x14ac:dyDescent="0.25">
      <c r="S5094" s="6" t="s">
        <v>302</v>
      </c>
      <c r="T5094" s="6">
        <f t="shared" si="97"/>
        <v>5093</v>
      </c>
      <c r="U5094" s="4" t="s">
        <v>194</v>
      </c>
    </row>
    <row r="5095" spans="19:21" x14ac:dyDescent="0.25">
      <c r="S5095" s="6" t="s">
        <v>302</v>
      </c>
      <c r="T5095" s="6">
        <f t="shared" si="97"/>
        <v>5094</v>
      </c>
      <c r="U5095" s="4" t="s">
        <v>194</v>
      </c>
    </row>
    <row r="5096" spans="19:21" x14ac:dyDescent="0.25">
      <c r="S5096" s="6" t="s">
        <v>302</v>
      </c>
      <c r="T5096" s="6">
        <f t="shared" si="97"/>
        <v>5095</v>
      </c>
      <c r="U5096" s="4" t="s">
        <v>194</v>
      </c>
    </row>
    <row r="5097" spans="19:21" x14ac:dyDescent="0.25">
      <c r="S5097" s="6" t="s">
        <v>302</v>
      </c>
      <c r="T5097" s="6">
        <f t="shared" si="97"/>
        <v>5096</v>
      </c>
      <c r="U5097" s="4" t="s">
        <v>194</v>
      </c>
    </row>
    <row r="5098" spans="19:21" x14ac:dyDescent="0.25">
      <c r="S5098" s="6" t="s">
        <v>302</v>
      </c>
      <c r="T5098" s="6">
        <f t="shared" si="97"/>
        <v>5097</v>
      </c>
      <c r="U5098" s="4" t="s">
        <v>194</v>
      </c>
    </row>
    <row r="5099" spans="19:21" x14ac:dyDescent="0.25">
      <c r="S5099" s="6" t="s">
        <v>302</v>
      </c>
      <c r="T5099" s="6">
        <f t="shared" si="97"/>
        <v>5098</v>
      </c>
      <c r="U5099" s="4" t="s">
        <v>194</v>
      </c>
    </row>
    <row r="5100" spans="19:21" x14ac:dyDescent="0.25">
      <c r="S5100" s="6" t="s">
        <v>302</v>
      </c>
      <c r="T5100" s="6">
        <f t="shared" si="97"/>
        <v>5099</v>
      </c>
      <c r="U5100" s="4" t="s">
        <v>194</v>
      </c>
    </row>
    <row r="5101" spans="19:21" x14ac:dyDescent="0.25">
      <c r="S5101" s="6" t="s">
        <v>302</v>
      </c>
      <c r="T5101" s="6">
        <f t="shared" si="97"/>
        <v>5100</v>
      </c>
      <c r="U5101" s="4" t="s">
        <v>194</v>
      </c>
    </row>
    <row r="5102" spans="19:21" x14ac:dyDescent="0.25">
      <c r="S5102" s="6" t="s">
        <v>302</v>
      </c>
      <c r="T5102" s="6">
        <f t="shared" si="97"/>
        <v>5101</v>
      </c>
      <c r="U5102" s="4" t="s">
        <v>194</v>
      </c>
    </row>
    <row r="5103" spans="19:21" x14ac:dyDescent="0.25">
      <c r="S5103" s="6" t="s">
        <v>302</v>
      </c>
      <c r="T5103" s="6">
        <f t="shared" si="97"/>
        <v>5102</v>
      </c>
      <c r="U5103" s="4" t="s">
        <v>194</v>
      </c>
    </row>
    <row r="5104" spans="19:21" x14ac:dyDescent="0.25">
      <c r="S5104" s="6" t="s">
        <v>302</v>
      </c>
      <c r="T5104" s="6">
        <f t="shared" si="97"/>
        <v>5103</v>
      </c>
      <c r="U5104" s="4" t="s">
        <v>194</v>
      </c>
    </row>
    <row r="5105" spans="19:21" x14ac:dyDescent="0.25">
      <c r="S5105" s="6" t="s">
        <v>302</v>
      </c>
      <c r="T5105" s="6">
        <f t="shared" si="97"/>
        <v>5104</v>
      </c>
      <c r="U5105" s="4" t="s">
        <v>194</v>
      </c>
    </row>
    <row r="5106" spans="19:21" x14ac:dyDescent="0.25">
      <c r="S5106" s="6" t="s">
        <v>302</v>
      </c>
      <c r="T5106" s="6">
        <f t="shared" si="97"/>
        <v>5105</v>
      </c>
      <c r="U5106" s="4" t="s">
        <v>194</v>
      </c>
    </row>
    <row r="5107" spans="19:21" x14ac:dyDescent="0.25">
      <c r="S5107" s="6" t="s">
        <v>302</v>
      </c>
      <c r="T5107" s="6">
        <f t="shared" si="97"/>
        <v>5106</v>
      </c>
      <c r="U5107" s="4" t="s">
        <v>194</v>
      </c>
    </row>
    <row r="5108" spans="19:21" x14ac:dyDescent="0.25">
      <c r="S5108" s="6" t="s">
        <v>302</v>
      </c>
      <c r="T5108" s="6">
        <f t="shared" si="97"/>
        <v>5107</v>
      </c>
      <c r="U5108" s="4" t="s">
        <v>194</v>
      </c>
    </row>
    <row r="5109" spans="19:21" x14ac:dyDescent="0.25">
      <c r="S5109" s="6" t="s">
        <v>302</v>
      </c>
      <c r="T5109" s="6">
        <f t="shared" si="97"/>
        <v>5108</v>
      </c>
      <c r="U5109" s="4" t="s">
        <v>194</v>
      </c>
    </row>
    <row r="5110" spans="19:21" x14ac:dyDescent="0.25">
      <c r="S5110" s="6" t="s">
        <v>302</v>
      </c>
      <c r="T5110" s="6">
        <f t="shared" si="97"/>
        <v>5109</v>
      </c>
      <c r="U5110" s="4" t="s">
        <v>194</v>
      </c>
    </row>
    <row r="5111" spans="19:21" x14ac:dyDescent="0.25">
      <c r="S5111" s="6" t="s">
        <v>302</v>
      </c>
      <c r="T5111" s="6">
        <f t="shared" si="97"/>
        <v>5110</v>
      </c>
      <c r="U5111" s="4" t="s">
        <v>194</v>
      </c>
    </row>
    <row r="5112" spans="19:21" x14ac:dyDescent="0.25">
      <c r="S5112" s="6" t="s">
        <v>302</v>
      </c>
      <c r="T5112" s="6">
        <f t="shared" si="97"/>
        <v>5111</v>
      </c>
      <c r="U5112" s="4" t="s">
        <v>194</v>
      </c>
    </row>
    <row r="5113" spans="19:21" x14ac:dyDescent="0.25">
      <c r="S5113" s="6" t="s">
        <v>302</v>
      </c>
      <c r="T5113" s="6">
        <f t="shared" si="97"/>
        <v>5112</v>
      </c>
      <c r="U5113" s="4" t="s">
        <v>194</v>
      </c>
    </row>
    <row r="5114" spans="19:21" x14ac:dyDescent="0.25">
      <c r="S5114" s="6" t="s">
        <v>302</v>
      </c>
      <c r="T5114" s="6">
        <f t="shared" si="97"/>
        <v>5113</v>
      </c>
      <c r="U5114" s="4" t="s">
        <v>194</v>
      </c>
    </row>
    <row r="5115" spans="19:21" x14ac:dyDescent="0.25">
      <c r="S5115" s="6" t="s">
        <v>302</v>
      </c>
      <c r="T5115" s="6">
        <f t="shared" si="97"/>
        <v>5114</v>
      </c>
      <c r="U5115" s="4" t="s">
        <v>194</v>
      </c>
    </row>
    <row r="5116" spans="19:21" x14ac:dyDescent="0.25">
      <c r="S5116" s="6" t="s">
        <v>302</v>
      </c>
      <c r="T5116" s="6">
        <f t="shared" si="97"/>
        <v>5115</v>
      </c>
      <c r="U5116" s="4" t="s">
        <v>194</v>
      </c>
    </row>
    <row r="5117" spans="19:21" x14ac:dyDescent="0.25">
      <c r="S5117" s="6" t="s">
        <v>302</v>
      </c>
      <c r="T5117" s="6">
        <f t="shared" si="97"/>
        <v>5116</v>
      </c>
      <c r="U5117" s="4" t="s">
        <v>194</v>
      </c>
    </row>
    <row r="5118" spans="19:21" x14ac:dyDescent="0.25">
      <c r="S5118" s="6" t="s">
        <v>302</v>
      </c>
      <c r="T5118" s="6">
        <f t="shared" si="97"/>
        <v>5117</v>
      </c>
      <c r="U5118" s="4" t="s">
        <v>194</v>
      </c>
    </row>
    <row r="5119" spans="19:21" x14ac:dyDescent="0.25">
      <c r="S5119" s="6" t="s">
        <v>302</v>
      </c>
      <c r="T5119" s="6">
        <f t="shared" si="97"/>
        <v>5118</v>
      </c>
      <c r="U5119" s="4" t="s">
        <v>194</v>
      </c>
    </row>
    <row r="5120" spans="19:21" x14ac:dyDescent="0.25">
      <c r="S5120" s="6" t="s">
        <v>302</v>
      </c>
      <c r="T5120" s="6">
        <f t="shared" si="97"/>
        <v>5119</v>
      </c>
      <c r="U5120" s="4" t="s">
        <v>194</v>
      </c>
    </row>
    <row r="5121" spans="19:21" x14ac:dyDescent="0.25">
      <c r="S5121" s="6" t="s">
        <v>302</v>
      </c>
      <c r="T5121" s="6">
        <f t="shared" si="97"/>
        <v>5120</v>
      </c>
      <c r="U5121" s="4" t="s">
        <v>194</v>
      </c>
    </row>
    <row r="5122" spans="19:21" x14ac:dyDescent="0.25">
      <c r="S5122" s="6" t="s">
        <v>302</v>
      </c>
      <c r="T5122" s="6">
        <f t="shared" si="97"/>
        <v>5121</v>
      </c>
      <c r="U5122" s="4" t="s">
        <v>194</v>
      </c>
    </row>
    <row r="5123" spans="19:21" x14ac:dyDescent="0.25">
      <c r="S5123" s="6" t="s">
        <v>302</v>
      </c>
      <c r="T5123" s="6">
        <f t="shared" si="97"/>
        <v>5122</v>
      </c>
      <c r="U5123" s="4" t="s">
        <v>194</v>
      </c>
    </row>
    <row r="5124" spans="19:21" x14ac:dyDescent="0.25">
      <c r="S5124" s="6" t="s">
        <v>302</v>
      </c>
      <c r="T5124" s="6">
        <f t="shared" si="97"/>
        <v>5123</v>
      </c>
      <c r="U5124" s="4" t="s">
        <v>194</v>
      </c>
    </row>
    <row r="5125" spans="19:21" x14ac:dyDescent="0.25">
      <c r="S5125" s="6" t="s">
        <v>302</v>
      </c>
      <c r="T5125" s="6">
        <f t="shared" si="97"/>
        <v>5124</v>
      </c>
      <c r="U5125" s="4" t="s">
        <v>194</v>
      </c>
    </row>
    <row r="5126" spans="19:21" x14ac:dyDescent="0.25">
      <c r="S5126" s="6" t="s">
        <v>302</v>
      </c>
      <c r="T5126" s="6">
        <f t="shared" si="97"/>
        <v>5125</v>
      </c>
      <c r="U5126" s="4" t="s">
        <v>194</v>
      </c>
    </row>
    <row r="5127" spans="19:21" x14ac:dyDescent="0.25">
      <c r="S5127" s="6" t="s">
        <v>302</v>
      </c>
      <c r="T5127" s="6">
        <f t="shared" si="97"/>
        <v>5126</v>
      </c>
      <c r="U5127" s="4" t="s">
        <v>194</v>
      </c>
    </row>
    <row r="5128" spans="19:21" x14ac:dyDescent="0.25">
      <c r="S5128" s="6" t="s">
        <v>302</v>
      </c>
      <c r="T5128" s="6">
        <f t="shared" si="97"/>
        <v>5127</v>
      </c>
      <c r="U5128" s="4" t="s">
        <v>194</v>
      </c>
    </row>
    <row r="5129" spans="19:21" x14ac:dyDescent="0.25">
      <c r="S5129" s="6" t="s">
        <v>302</v>
      </c>
      <c r="T5129" s="6">
        <f t="shared" si="97"/>
        <v>5128</v>
      </c>
      <c r="U5129" s="4" t="s">
        <v>194</v>
      </c>
    </row>
    <row r="5130" spans="19:21" x14ac:dyDescent="0.25">
      <c r="S5130" s="6" t="s">
        <v>302</v>
      </c>
      <c r="T5130" s="6">
        <f t="shared" si="97"/>
        <v>5129</v>
      </c>
      <c r="U5130" s="4" t="s">
        <v>194</v>
      </c>
    </row>
    <row r="5131" spans="19:21" x14ac:dyDescent="0.25">
      <c r="S5131" s="6" t="s">
        <v>302</v>
      </c>
      <c r="T5131" s="6">
        <f t="shared" si="97"/>
        <v>5130</v>
      </c>
      <c r="U5131" s="4" t="s">
        <v>194</v>
      </c>
    </row>
    <row r="5132" spans="19:21" x14ac:dyDescent="0.25">
      <c r="S5132" s="6" t="s">
        <v>302</v>
      </c>
      <c r="T5132" s="6">
        <f t="shared" si="97"/>
        <v>5131</v>
      </c>
      <c r="U5132" s="4" t="s">
        <v>194</v>
      </c>
    </row>
    <row r="5133" spans="19:21" x14ac:dyDescent="0.25">
      <c r="S5133" s="6" t="s">
        <v>302</v>
      </c>
      <c r="T5133" s="6">
        <f t="shared" si="97"/>
        <v>5132</v>
      </c>
      <c r="U5133" s="4" t="s">
        <v>194</v>
      </c>
    </row>
    <row r="5134" spans="19:21" x14ac:dyDescent="0.25">
      <c r="S5134" s="6" t="s">
        <v>302</v>
      </c>
      <c r="T5134" s="6">
        <f t="shared" si="97"/>
        <v>5133</v>
      </c>
      <c r="U5134" s="4" t="s">
        <v>194</v>
      </c>
    </row>
    <row r="5135" spans="19:21" x14ac:dyDescent="0.25">
      <c r="S5135" s="6" t="s">
        <v>302</v>
      </c>
      <c r="T5135" s="6">
        <f t="shared" si="97"/>
        <v>5134</v>
      </c>
      <c r="U5135" s="4" t="s">
        <v>194</v>
      </c>
    </row>
    <row r="5136" spans="19:21" x14ac:dyDescent="0.25">
      <c r="S5136" s="6" t="s">
        <v>302</v>
      </c>
      <c r="T5136" s="6">
        <f t="shared" si="97"/>
        <v>5135</v>
      </c>
      <c r="U5136" s="4" t="s">
        <v>194</v>
      </c>
    </row>
    <row r="5137" spans="19:21" x14ac:dyDescent="0.25">
      <c r="S5137" s="6" t="s">
        <v>302</v>
      </c>
      <c r="T5137" s="6">
        <f t="shared" si="97"/>
        <v>5136</v>
      </c>
      <c r="U5137" s="4" t="s">
        <v>194</v>
      </c>
    </row>
    <row r="5138" spans="19:21" x14ac:dyDescent="0.25">
      <c r="S5138" s="6" t="s">
        <v>302</v>
      </c>
      <c r="T5138" s="6">
        <f t="shared" si="97"/>
        <v>5137</v>
      </c>
      <c r="U5138" s="4" t="s">
        <v>194</v>
      </c>
    </row>
    <row r="5139" spans="19:21" x14ac:dyDescent="0.25">
      <c r="S5139" s="6" t="s">
        <v>302</v>
      </c>
      <c r="T5139" s="6">
        <f t="shared" si="97"/>
        <v>5138</v>
      </c>
      <c r="U5139" s="4" t="s">
        <v>194</v>
      </c>
    </row>
    <row r="5140" spans="19:21" x14ac:dyDescent="0.25">
      <c r="S5140" s="6" t="s">
        <v>302</v>
      </c>
      <c r="T5140" s="6">
        <f t="shared" si="97"/>
        <v>5139</v>
      </c>
      <c r="U5140" s="4" t="s">
        <v>194</v>
      </c>
    </row>
    <row r="5141" spans="19:21" x14ac:dyDescent="0.25">
      <c r="S5141" s="6" t="s">
        <v>302</v>
      </c>
      <c r="T5141" s="6">
        <f t="shared" si="97"/>
        <v>5140</v>
      </c>
      <c r="U5141" s="4" t="s">
        <v>194</v>
      </c>
    </row>
    <row r="5142" spans="19:21" x14ac:dyDescent="0.25">
      <c r="S5142" s="6" t="s">
        <v>302</v>
      </c>
      <c r="T5142" s="6">
        <f t="shared" si="97"/>
        <v>5141</v>
      </c>
      <c r="U5142" s="4" t="s">
        <v>194</v>
      </c>
    </row>
    <row r="5143" spans="19:21" x14ac:dyDescent="0.25">
      <c r="S5143" s="6" t="s">
        <v>302</v>
      </c>
      <c r="T5143" s="6">
        <f t="shared" si="97"/>
        <v>5142</v>
      </c>
      <c r="U5143" s="4" t="s">
        <v>194</v>
      </c>
    </row>
    <row r="5144" spans="19:21" x14ac:dyDescent="0.25">
      <c r="S5144" s="6" t="s">
        <v>302</v>
      </c>
      <c r="T5144" s="6">
        <f t="shared" si="97"/>
        <v>5143</v>
      </c>
      <c r="U5144" s="4" t="s">
        <v>194</v>
      </c>
    </row>
    <row r="5145" spans="19:21" x14ac:dyDescent="0.25">
      <c r="S5145" s="6" t="s">
        <v>302</v>
      </c>
      <c r="T5145" s="6">
        <f t="shared" si="97"/>
        <v>5144</v>
      </c>
      <c r="U5145" s="4" t="s">
        <v>194</v>
      </c>
    </row>
    <row r="5146" spans="19:21" x14ac:dyDescent="0.25">
      <c r="S5146" s="6" t="s">
        <v>302</v>
      </c>
      <c r="T5146" s="6">
        <f t="shared" si="97"/>
        <v>5145</v>
      </c>
      <c r="U5146" s="4" t="s">
        <v>194</v>
      </c>
    </row>
    <row r="5147" spans="19:21" x14ac:dyDescent="0.25">
      <c r="S5147" s="6" t="s">
        <v>302</v>
      </c>
      <c r="T5147" s="6">
        <f t="shared" si="97"/>
        <v>5146</v>
      </c>
      <c r="U5147" s="4" t="s">
        <v>194</v>
      </c>
    </row>
    <row r="5148" spans="19:21" x14ac:dyDescent="0.25">
      <c r="S5148" s="6" t="s">
        <v>302</v>
      </c>
      <c r="T5148" s="6">
        <f t="shared" si="97"/>
        <v>5147</v>
      </c>
      <c r="U5148" s="4" t="s">
        <v>194</v>
      </c>
    </row>
    <row r="5149" spans="19:21" x14ac:dyDescent="0.25">
      <c r="S5149" s="6" t="s">
        <v>302</v>
      </c>
      <c r="T5149" s="6">
        <f t="shared" si="97"/>
        <v>5148</v>
      </c>
      <c r="U5149" s="4" t="s">
        <v>194</v>
      </c>
    </row>
    <row r="5150" spans="19:21" x14ac:dyDescent="0.25">
      <c r="S5150" s="6" t="s">
        <v>302</v>
      </c>
      <c r="T5150" s="6">
        <f t="shared" ref="T5150:T5213" si="98">T5149+1</f>
        <v>5149</v>
      </c>
      <c r="U5150" s="4" t="s">
        <v>194</v>
      </c>
    </row>
    <row r="5151" spans="19:21" x14ac:dyDescent="0.25">
      <c r="S5151" s="6" t="s">
        <v>302</v>
      </c>
      <c r="T5151" s="6">
        <f t="shared" si="98"/>
        <v>5150</v>
      </c>
      <c r="U5151" s="4" t="s">
        <v>194</v>
      </c>
    </row>
    <row r="5152" spans="19:21" x14ac:dyDescent="0.25">
      <c r="S5152" s="6" t="s">
        <v>302</v>
      </c>
      <c r="T5152" s="6">
        <f t="shared" si="98"/>
        <v>5151</v>
      </c>
      <c r="U5152" s="4" t="s">
        <v>194</v>
      </c>
    </row>
    <row r="5153" spans="19:21" x14ac:dyDescent="0.25">
      <c r="S5153" s="6" t="s">
        <v>302</v>
      </c>
      <c r="T5153" s="6">
        <f t="shared" si="98"/>
        <v>5152</v>
      </c>
      <c r="U5153" s="4" t="s">
        <v>194</v>
      </c>
    </row>
    <row r="5154" spans="19:21" x14ac:dyDescent="0.25">
      <c r="S5154" s="6" t="s">
        <v>302</v>
      </c>
      <c r="T5154" s="6">
        <f t="shared" si="98"/>
        <v>5153</v>
      </c>
      <c r="U5154" s="4" t="s">
        <v>194</v>
      </c>
    </row>
    <row r="5155" spans="19:21" x14ac:dyDescent="0.25">
      <c r="S5155" s="6" t="s">
        <v>302</v>
      </c>
      <c r="T5155" s="6">
        <f t="shared" si="98"/>
        <v>5154</v>
      </c>
      <c r="U5155" s="4" t="s">
        <v>194</v>
      </c>
    </row>
    <row r="5156" spans="19:21" x14ac:dyDescent="0.25">
      <c r="S5156" s="6" t="s">
        <v>302</v>
      </c>
      <c r="T5156" s="6">
        <f t="shared" si="98"/>
        <v>5155</v>
      </c>
      <c r="U5156" s="4" t="s">
        <v>194</v>
      </c>
    </row>
    <row r="5157" spans="19:21" x14ac:dyDescent="0.25">
      <c r="S5157" s="6" t="s">
        <v>302</v>
      </c>
      <c r="T5157" s="6">
        <f t="shared" si="98"/>
        <v>5156</v>
      </c>
      <c r="U5157" s="4" t="s">
        <v>194</v>
      </c>
    </row>
    <row r="5158" spans="19:21" x14ac:dyDescent="0.25">
      <c r="S5158" s="6" t="s">
        <v>302</v>
      </c>
      <c r="T5158" s="6">
        <f t="shared" si="98"/>
        <v>5157</v>
      </c>
      <c r="U5158" s="4" t="s">
        <v>194</v>
      </c>
    </row>
    <row r="5159" spans="19:21" x14ac:dyDescent="0.25">
      <c r="S5159" s="6" t="s">
        <v>302</v>
      </c>
      <c r="T5159" s="6">
        <f t="shared" si="98"/>
        <v>5158</v>
      </c>
      <c r="U5159" s="4" t="s">
        <v>194</v>
      </c>
    </row>
    <row r="5160" spans="19:21" x14ac:dyDescent="0.25">
      <c r="S5160" s="6" t="s">
        <v>302</v>
      </c>
      <c r="T5160" s="6">
        <f t="shared" si="98"/>
        <v>5159</v>
      </c>
      <c r="U5160" s="4" t="s">
        <v>194</v>
      </c>
    </row>
    <row r="5161" spans="19:21" x14ac:dyDescent="0.25">
      <c r="S5161" s="6" t="s">
        <v>302</v>
      </c>
      <c r="T5161" s="6">
        <f t="shared" si="98"/>
        <v>5160</v>
      </c>
      <c r="U5161" s="4" t="s">
        <v>194</v>
      </c>
    </row>
    <row r="5162" spans="19:21" x14ac:dyDescent="0.25">
      <c r="S5162" s="6" t="s">
        <v>302</v>
      </c>
      <c r="T5162" s="6">
        <f t="shared" si="98"/>
        <v>5161</v>
      </c>
      <c r="U5162" s="4" t="s">
        <v>194</v>
      </c>
    </row>
    <row r="5163" spans="19:21" x14ac:dyDescent="0.25">
      <c r="S5163" s="6" t="s">
        <v>302</v>
      </c>
      <c r="T5163" s="6">
        <f t="shared" si="98"/>
        <v>5162</v>
      </c>
      <c r="U5163" s="4" t="s">
        <v>194</v>
      </c>
    </row>
    <row r="5164" spans="19:21" x14ac:dyDescent="0.25">
      <c r="S5164" s="6" t="s">
        <v>302</v>
      </c>
      <c r="T5164" s="6">
        <f t="shared" si="98"/>
        <v>5163</v>
      </c>
      <c r="U5164" s="4" t="s">
        <v>194</v>
      </c>
    </row>
    <row r="5165" spans="19:21" x14ac:dyDescent="0.25">
      <c r="S5165" s="6" t="s">
        <v>302</v>
      </c>
      <c r="T5165" s="6">
        <f t="shared" si="98"/>
        <v>5164</v>
      </c>
      <c r="U5165" s="4" t="s">
        <v>194</v>
      </c>
    </row>
    <row r="5166" spans="19:21" x14ac:dyDescent="0.25">
      <c r="S5166" s="6" t="s">
        <v>302</v>
      </c>
      <c r="T5166" s="6">
        <f t="shared" si="98"/>
        <v>5165</v>
      </c>
      <c r="U5166" s="4" t="s">
        <v>194</v>
      </c>
    </row>
    <row r="5167" spans="19:21" x14ac:dyDescent="0.25">
      <c r="S5167" s="6" t="s">
        <v>302</v>
      </c>
      <c r="T5167" s="6">
        <f t="shared" si="98"/>
        <v>5166</v>
      </c>
      <c r="U5167" s="4" t="s">
        <v>194</v>
      </c>
    </row>
    <row r="5168" spans="19:21" x14ac:dyDescent="0.25">
      <c r="S5168" s="6" t="s">
        <v>302</v>
      </c>
      <c r="T5168" s="6">
        <f t="shared" si="98"/>
        <v>5167</v>
      </c>
      <c r="U5168" s="4" t="s">
        <v>194</v>
      </c>
    </row>
    <row r="5169" spans="19:21" x14ac:dyDescent="0.25">
      <c r="S5169" s="6" t="s">
        <v>302</v>
      </c>
      <c r="T5169" s="6">
        <f t="shared" si="98"/>
        <v>5168</v>
      </c>
      <c r="U5169" s="4" t="s">
        <v>194</v>
      </c>
    </row>
    <row r="5170" spans="19:21" x14ac:dyDescent="0.25">
      <c r="S5170" s="6" t="s">
        <v>302</v>
      </c>
      <c r="T5170" s="6">
        <f t="shared" si="98"/>
        <v>5169</v>
      </c>
      <c r="U5170" s="4" t="s">
        <v>194</v>
      </c>
    </row>
    <row r="5171" spans="19:21" x14ac:dyDescent="0.25">
      <c r="S5171" s="6" t="s">
        <v>302</v>
      </c>
      <c r="T5171" s="6">
        <f t="shared" si="98"/>
        <v>5170</v>
      </c>
      <c r="U5171" s="4" t="s">
        <v>194</v>
      </c>
    </row>
    <row r="5172" spans="19:21" x14ac:dyDescent="0.25">
      <c r="S5172" s="6" t="s">
        <v>302</v>
      </c>
      <c r="T5172" s="6">
        <f t="shared" si="98"/>
        <v>5171</v>
      </c>
      <c r="U5172" s="4" t="s">
        <v>194</v>
      </c>
    </row>
    <row r="5173" spans="19:21" x14ac:dyDescent="0.25">
      <c r="S5173" s="6" t="s">
        <v>302</v>
      </c>
      <c r="T5173" s="6">
        <f t="shared" si="98"/>
        <v>5172</v>
      </c>
      <c r="U5173" s="4" t="s">
        <v>194</v>
      </c>
    </row>
    <row r="5174" spans="19:21" x14ac:dyDescent="0.25">
      <c r="S5174" s="6" t="s">
        <v>302</v>
      </c>
      <c r="T5174" s="6">
        <f t="shared" si="98"/>
        <v>5173</v>
      </c>
      <c r="U5174" s="4" t="s">
        <v>194</v>
      </c>
    </row>
    <row r="5175" spans="19:21" x14ac:dyDescent="0.25">
      <c r="S5175" s="6" t="s">
        <v>302</v>
      </c>
      <c r="T5175" s="6">
        <f t="shared" si="98"/>
        <v>5174</v>
      </c>
      <c r="U5175" s="4" t="s">
        <v>194</v>
      </c>
    </row>
    <row r="5176" spans="19:21" x14ac:dyDescent="0.25">
      <c r="S5176" s="6" t="s">
        <v>302</v>
      </c>
      <c r="T5176" s="6">
        <f t="shared" si="98"/>
        <v>5175</v>
      </c>
      <c r="U5176" s="4" t="s">
        <v>194</v>
      </c>
    </row>
    <row r="5177" spans="19:21" x14ac:dyDescent="0.25">
      <c r="S5177" s="6" t="s">
        <v>302</v>
      </c>
      <c r="T5177" s="6">
        <f t="shared" si="98"/>
        <v>5176</v>
      </c>
      <c r="U5177" s="4" t="s">
        <v>194</v>
      </c>
    </row>
    <row r="5178" spans="19:21" x14ac:dyDescent="0.25">
      <c r="S5178" s="6" t="s">
        <v>302</v>
      </c>
      <c r="T5178" s="6">
        <f t="shared" si="98"/>
        <v>5177</v>
      </c>
      <c r="U5178" s="4" t="s">
        <v>194</v>
      </c>
    </row>
    <row r="5179" spans="19:21" x14ac:dyDescent="0.25">
      <c r="S5179" s="6" t="s">
        <v>302</v>
      </c>
      <c r="T5179" s="6">
        <f t="shared" si="98"/>
        <v>5178</v>
      </c>
      <c r="U5179" s="4" t="s">
        <v>194</v>
      </c>
    </row>
    <row r="5180" spans="19:21" x14ac:dyDescent="0.25">
      <c r="S5180" s="6" t="s">
        <v>302</v>
      </c>
      <c r="T5180" s="6">
        <f t="shared" si="98"/>
        <v>5179</v>
      </c>
      <c r="U5180" s="4" t="s">
        <v>194</v>
      </c>
    </row>
    <row r="5181" spans="19:21" x14ac:dyDescent="0.25">
      <c r="S5181" s="6" t="s">
        <v>302</v>
      </c>
      <c r="T5181" s="6">
        <f t="shared" si="98"/>
        <v>5180</v>
      </c>
      <c r="U5181" s="4" t="s">
        <v>194</v>
      </c>
    </row>
    <row r="5182" spans="19:21" x14ac:dyDescent="0.25">
      <c r="S5182" s="6" t="s">
        <v>302</v>
      </c>
      <c r="T5182" s="6">
        <f t="shared" si="98"/>
        <v>5181</v>
      </c>
      <c r="U5182" s="4" t="s">
        <v>194</v>
      </c>
    </row>
    <row r="5183" spans="19:21" x14ac:dyDescent="0.25">
      <c r="S5183" s="6" t="s">
        <v>302</v>
      </c>
      <c r="T5183" s="6">
        <f t="shared" si="98"/>
        <v>5182</v>
      </c>
      <c r="U5183" s="4" t="s">
        <v>194</v>
      </c>
    </row>
    <row r="5184" spans="19:21" x14ac:dyDescent="0.25">
      <c r="S5184" s="6" t="s">
        <v>302</v>
      </c>
      <c r="T5184" s="6">
        <f t="shared" si="98"/>
        <v>5183</v>
      </c>
      <c r="U5184" s="4" t="s">
        <v>194</v>
      </c>
    </row>
    <row r="5185" spans="19:21" x14ac:dyDescent="0.25">
      <c r="S5185" s="6" t="s">
        <v>302</v>
      </c>
      <c r="T5185" s="6">
        <f t="shared" si="98"/>
        <v>5184</v>
      </c>
      <c r="U5185" s="4" t="s">
        <v>194</v>
      </c>
    </row>
    <row r="5186" spans="19:21" x14ac:dyDescent="0.25">
      <c r="S5186" s="6" t="s">
        <v>302</v>
      </c>
      <c r="T5186" s="6">
        <f t="shared" si="98"/>
        <v>5185</v>
      </c>
      <c r="U5186" s="4" t="s">
        <v>194</v>
      </c>
    </row>
    <row r="5187" spans="19:21" x14ac:dyDescent="0.25">
      <c r="S5187" s="6" t="s">
        <v>302</v>
      </c>
      <c r="T5187" s="6">
        <f t="shared" si="98"/>
        <v>5186</v>
      </c>
      <c r="U5187" s="4" t="s">
        <v>194</v>
      </c>
    </row>
    <row r="5188" spans="19:21" x14ac:dyDescent="0.25">
      <c r="S5188" s="6" t="s">
        <v>302</v>
      </c>
      <c r="T5188" s="6">
        <f t="shared" si="98"/>
        <v>5187</v>
      </c>
      <c r="U5188" s="4" t="s">
        <v>194</v>
      </c>
    </row>
    <row r="5189" spans="19:21" x14ac:dyDescent="0.25">
      <c r="S5189" s="6" t="s">
        <v>302</v>
      </c>
      <c r="T5189" s="6">
        <f t="shared" si="98"/>
        <v>5188</v>
      </c>
      <c r="U5189" s="4" t="s">
        <v>194</v>
      </c>
    </row>
    <row r="5190" spans="19:21" x14ac:dyDescent="0.25">
      <c r="S5190" s="6" t="s">
        <v>302</v>
      </c>
      <c r="T5190" s="6">
        <f t="shared" si="98"/>
        <v>5189</v>
      </c>
      <c r="U5190" s="4" t="s">
        <v>194</v>
      </c>
    </row>
    <row r="5191" spans="19:21" x14ac:dyDescent="0.25">
      <c r="S5191" s="6" t="s">
        <v>302</v>
      </c>
      <c r="T5191" s="6">
        <f t="shared" si="98"/>
        <v>5190</v>
      </c>
      <c r="U5191" s="4" t="s">
        <v>194</v>
      </c>
    </row>
    <row r="5192" spans="19:21" x14ac:dyDescent="0.25">
      <c r="S5192" s="6" t="s">
        <v>302</v>
      </c>
      <c r="T5192" s="6">
        <f t="shared" si="98"/>
        <v>5191</v>
      </c>
      <c r="U5192" s="4" t="s">
        <v>194</v>
      </c>
    </row>
    <row r="5193" spans="19:21" x14ac:dyDescent="0.25">
      <c r="S5193" s="6" t="s">
        <v>302</v>
      </c>
      <c r="T5193" s="6">
        <f t="shared" si="98"/>
        <v>5192</v>
      </c>
      <c r="U5193" s="4" t="s">
        <v>194</v>
      </c>
    </row>
    <row r="5194" spans="19:21" x14ac:dyDescent="0.25">
      <c r="S5194" s="6" t="s">
        <v>302</v>
      </c>
      <c r="T5194" s="6">
        <f t="shared" si="98"/>
        <v>5193</v>
      </c>
      <c r="U5194" s="4" t="s">
        <v>194</v>
      </c>
    </row>
    <row r="5195" spans="19:21" x14ac:dyDescent="0.25">
      <c r="S5195" s="6" t="s">
        <v>302</v>
      </c>
      <c r="T5195" s="6">
        <f t="shared" si="98"/>
        <v>5194</v>
      </c>
      <c r="U5195" s="4" t="s">
        <v>194</v>
      </c>
    </row>
    <row r="5196" spans="19:21" x14ac:dyDescent="0.25">
      <c r="S5196" s="6" t="s">
        <v>302</v>
      </c>
      <c r="T5196" s="6">
        <f t="shared" si="98"/>
        <v>5195</v>
      </c>
      <c r="U5196" s="4" t="s">
        <v>194</v>
      </c>
    </row>
    <row r="5197" spans="19:21" x14ac:dyDescent="0.25">
      <c r="S5197" s="6" t="s">
        <v>302</v>
      </c>
      <c r="T5197" s="6">
        <f t="shared" si="98"/>
        <v>5196</v>
      </c>
      <c r="U5197" s="4" t="s">
        <v>194</v>
      </c>
    </row>
    <row r="5198" spans="19:21" x14ac:dyDescent="0.25">
      <c r="S5198" s="6" t="s">
        <v>302</v>
      </c>
      <c r="T5198" s="6">
        <f t="shared" si="98"/>
        <v>5197</v>
      </c>
      <c r="U5198" s="4" t="s">
        <v>194</v>
      </c>
    </row>
    <row r="5199" spans="19:21" x14ac:dyDescent="0.25">
      <c r="S5199" s="6" t="s">
        <v>302</v>
      </c>
      <c r="T5199" s="6">
        <f t="shared" si="98"/>
        <v>5198</v>
      </c>
      <c r="U5199" s="4" t="s">
        <v>194</v>
      </c>
    </row>
    <row r="5200" spans="19:21" x14ac:dyDescent="0.25">
      <c r="S5200" s="6" t="s">
        <v>302</v>
      </c>
      <c r="T5200" s="6">
        <f t="shared" si="98"/>
        <v>5199</v>
      </c>
      <c r="U5200" s="4" t="s">
        <v>194</v>
      </c>
    </row>
    <row r="5201" spans="19:21" x14ac:dyDescent="0.25">
      <c r="S5201" s="6" t="s">
        <v>302</v>
      </c>
      <c r="T5201" s="6">
        <f t="shared" si="98"/>
        <v>5200</v>
      </c>
      <c r="U5201" s="4" t="s">
        <v>194</v>
      </c>
    </row>
    <row r="5202" spans="19:21" x14ac:dyDescent="0.25">
      <c r="S5202" s="6" t="s">
        <v>302</v>
      </c>
      <c r="T5202" s="6">
        <f t="shared" si="98"/>
        <v>5201</v>
      </c>
      <c r="U5202" s="4" t="s">
        <v>194</v>
      </c>
    </row>
    <row r="5203" spans="19:21" x14ac:dyDescent="0.25">
      <c r="S5203" s="6" t="s">
        <v>302</v>
      </c>
      <c r="T5203" s="6">
        <f t="shared" si="98"/>
        <v>5202</v>
      </c>
      <c r="U5203" s="4" t="s">
        <v>194</v>
      </c>
    </row>
    <row r="5204" spans="19:21" x14ac:dyDescent="0.25">
      <c r="S5204" s="6" t="s">
        <v>302</v>
      </c>
      <c r="T5204" s="6">
        <f t="shared" si="98"/>
        <v>5203</v>
      </c>
      <c r="U5204" s="4" t="s">
        <v>194</v>
      </c>
    </row>
    <row r="5205" spans="19:21" x14ac:dyDescent="0.25">
      <c r="S5205" s="6" t="s">
        <v>302</v>
      </c>
      <c r="T5205" s="6">
        <f t="shared" si="98"/>
        <v>5204</v>
      </c>
      <c r="U5205" s="4" t="s">
        <v>194</v>
      </c>
    </row>
    <row r="5206" spans="19:21" x14ac:dyDescent="0.25">
      <c r="S5206" s="6" t="s">
        <v>302</v>
      </c>
      <c r="T5206" s="6">
        <f t="shared" si="98"/>
        <v>5205</v>
      </c>
      <c r="U5206" s="4" t="s">
        <v>194</v>
      </c>
    </row>
    <row r="5207" spans="19:21" x14ac:dyDescent="0.25">
      <c r="S5207" s="6" t="s">
        <v>302</v>
      </c>
      <c r="T5207" s="6">
        <f t="shared" si="98"/>
        <v>5206</v>
      </c>
      <c r="U5207" s="4" t="s">
        <v>194</v>
      </c>
    </row>
    <row r="5208" spans="19:21" x14ac:dyDescent="0.25">
      <c r="S5208" s="6" t="s">
        <v>302</v>
      </c>
      <c r="T5208" s="6">
        <f t="shared" si="98"/>
        <v>5207</v>
      </c>
      <c r="U5208" s="4" t="s">
        <v>194</v>
      </c>
    </row>
    <row r="5209" spans="19:21" x14ac:dyDescent="0.25">
      <c r="S5209" s="6" t="s">
        <v>302</v>
      </c>
      <c r="T5209" s="6">
        <f t="shared" si="98"/>
        <v>5208</v>
      </c>
      <c r="U5209" s="4" t="s">
        <v>194</v>
      </c>
    </row>
    <row r="5210" spans="19:21" x14ac:dyDescent="0.25">
      <c r="S5210" s="6" t="s">
        <v>302</v>
      </c>
      <c r="T5210" s="6">
        <f t="shared" si="98"/>
        <v>5209</v>
      </c>
      <c r="U5210" s="4" t="s">
        <v>194</v>
      </c>
    </row>
    <row r="5211" spans="19:21" x14ac:dyDescent="0.25">
      <c r="S5211" s="6" t="s">
        <v>302</v>
      </c>
      <c r="T5211" s="6">
        <f t="shared" si="98"/>
        <v>5210</v>
      </c>
      <c r="U5211" s="4" t="s">
        <v>194</v>
      </c>
    </row>
    <row r="5212" spans="19:21" x14ac:dyDescent="0.25">
      <c r="S5212" s="6" t="s">
        <v>302</v>
      </c>
      <c r="T5212" s="6">
        <f t="shared" si="98"/>
        <v>5211</v>
      </c>
      <c r="U5212" s="4" t="s">
        <v>194</v>
      </c>
    </row>
    <row r="5213" spans="19:21" x14ac:dyDescent="0.25">
      <c r="S5213" s="6" t="s">
        <v>302</v>
      </c>
      <c r="T5213" s="6">
        <f t="shared" si="98"/>
        <v>5212</v>
      </c>
      <c r="U5213" s="4" t="s">
        <v>194</v>
      </c>
    </row>
    <row r="5214" spans="19:21" x14ac:dyDescent="0.25">
      <c r="S5214" s="6" t="s">
        <v>302</v>
      </c>
      <c r="T5214" s="6">
        <f t="shared" ref="T5214:T5277" si="99">T5213+1</f>
        <v>5213</v>
      </c>
      <c r="U5214" s="4" t="s">
        <v>194</v>
      </c>
    </row>
    <row r="5215" spans="19:21" x14ac:dyDescent="0.25">
      <c r="S5215" s="6" t="s">
        <v>302</v>
      </c>
      <c r="T5215" s="6">
        <f t="shared" si="99"/>
        <v>5214</v>
      </c>
      <c r="U5215" s="4" t="s">
        <v>194</v>
      </c>
    </row>
    <row r="5216" spans="19:21" x14ac:dyDescent="0.25">
      <c r="S5216" s="6" t="s">
        <v>302</v>
      </c>
      <c r="T5216" s="6">
        <f t="shared" si="99"/>
        <v>5215</v>
      </c>
      <c r="U5216" s="4" t="s">
        <v>194</v>
      </c>
    </row>
    <row r="5217" spans="19:21" x14ac:dyDescent="0.25">
      <c r="S5217" s="6" t="s">
        <v>302</v>
      </c>
      <c r="T5217" s="6">
        <f t="shared" si="99"/>
        <v>5216</v>
      </c>
      <c r="U5217" s="4" t="s">
        <v>194</v>
      </c>
    </row>
    <row r="5218" spans="19:21" x14ac:dyDescent="0.25">
      <c r="S5218" s="6" t="s">
        <v>302</v>
      </c>
      <c r="T5218" s="6">
        <f t="shared" si="99"/>
        <v>5217</v>
      </c>
      <c r="U5218" s="4" t="s">
        <v>194</v>
      </c>
    </row>
    <row r="5219" spans="19:21" x14ac:dyDescent="0.25">
      <c r="S5219" s="6" t="s">
        <v>302</v>
      </c>
      <c r="T5219" s="6">
        <f t="shared" si="99"/>
        <v>5218</v>
      </c>
      <c r="U5219" s="4" t="s">
        <v>194</v>
      </c>
    </row>
    <row r="5220" spans="19:21" x14ac:dyDescent="0.25">
      <c r="S5220" s="6" t="s">
        <v>302</v>
      </c>
      <c r="T5220" s="6">
        <f t="shared" si="99"/>
        <v>5219</v>
      </c>
      <c r="U5220" s="4" t="s">
        <v>194</v>
      </c>
    </row>
    <row r="5221" spans="19:21" x14ac:dyDescent="0.25">
      <c r="S5221" s="6" t="s">
        <v>302</v>
      </c>
      <c r="T5221" s="6">
        <f t="shared" si="99"/>
        <v>5220</v>
      </c>
      <c r="U5221" s="4" t="s">
        <v>194</v>
      </c>
    </row>
    <row r="5222" spans="19:21" x14ac:dyDescent="0.25">
      <c r="S5222" s="6" t="s">
        <v>302</v>
      </c>
      <c r="T5222" s="6">
        <f t="shared" si="99"/>
        <v>5221</v>
      </c>
      <c r="U5222" s="4" t="s">
        <v>194</v>
      </c>
    </row>
    <row r="5223" spans="19:21" x14ac:dyDescent="0.25">
      <c r="S5223" s="6" t="s">
        <v>302</v>
      </c>
      <c r="T5223" s="6">
        <f t="shared" si="99"/>
        <v>5222</v>
      </c>
      <c r="U5223" s="4" t="s">
        <v>194</v>
      </c>
    </row>
    <row r="5224" spans="19:21" x14ac:dyDescent="0.25">
      <c r="S5224" s="6" t="s">
        <v>302</v>
      </c>
      <c r="T5224" s="6">
        <f t="shared" si="99"/>
        <v>5223</v>
      </c>
      <c r="U5224" s="4" t="s">
        <v>194</v>
      </c>
    </row>
    <row r="5225" spans="19:21" x14ac:dyDescent="0.25">
      <c r="S5225" s="6" t="s">
        <v>302</v>
      </c>
      <c r="T5225" s="6">
        <f t="shared" si="99"/>
        <v>5224</v>
      </c>
      <c r="U5225" s="4" t="s">
        <v>194</v>
      </c>
    </row>
    <row r="5226" spans="19:21" x14ac:dyDescent="0.25">
      <c r="S5226" s="6" t="s">
        <v>302</v>
      </c>
      <c r="T5226" s="6">
        <f t="shared" si="99"/>
        <v>5225</v>
      </c>
      <c r="U5226" s="4" t="s">
        <v>194</v>
      </c>
    </row>
    <row r="5227" spans="19:21" x14ac:dyDescent="0.25">
      <c r="S5227" s="6" t="s">
        <v>302</v>
      </c>
      <c r="T5227" s="6">
        <f t="shared" si="99"/>
        <v>5226</v>
      </c>
      <c r="U5227" s="4" t="s">
        <v>194</v>
      </c>
    </row>
    <row r="5228" spans="19:21" x14ac:dyDescent="0.25">
      <c r="S5228" s="6" t="s">
        <v>302</v>
      </c>
      <c r="T5228" s="6">
        <f t="shared" si="99"/>
        <v>5227</v>
      </c>
      <c r="U5228" s="4" t="s">
        <v>194</v>
      </c>
    </row>
    <row r="5229" spans="19:21" x14ac:dyDescent="0.25">
      <c r="S5229" s="6" t="s">
        <v>302</v>
      </c>
      <c r="T5229" s="6">
        <f t="shared" si="99"/>
        <v>5228</v>
      </c>
      <c r="U5229" s="4" t="s">
        <v>194</v>
      </c>
    </row>
    <row r="5230" spans="19:21" x14ac:dyDescent="0.25">
      <c r="S5230" s="6" t="s">
        <v>302</v>
      </c>
      <c r="T5230" s="6">
        <f t="shared" si="99"/>
        <v>5229</v>
      </c>
      <c r="U5230" s="4" t="s">
        <v>194</v>
      </c>
    </row>
    <row r="5231" spans="19:21" x14ac:dyDescent="0.25">
      <c r="S5231" s="6" t="s">
        <v>302</v>
      </c>
      <c r="T5231" s="6">
        <f t="shared" si="99"/>
        <v>5230</v>
      </c>
      <c r="U5231" s="4" t="s">
        <v>194</v>
      </c>
    </row>
    <row r="5232" spans="19:21" x14ac:dyDescent="0.25">
      <c r="S5232" s="6" t="s">
        <v>302</v>
      </c>
      <c r="T5232" s="6">
        <f t="shared" si="99"/>
        <v>5231</v>
      </c>
      <c r="U5232" s="4" t="s">
        <v>194</v>
      </c>
    </row>
    <row r="5233" spans="19:21" x14ac:dyDescent="0.25">
      <c r="S5233" s="6" t="s">
        <v>302</v>
      </c>
      <c r="T5233" s="6">
        <f t="shared" si="99"/>
        <v>5232</v>
      </c>
      <c r="U5233" s="4" t="s">
        <v>194</v>
      </c>
    </row>
    <row r="5234" spans="19:21" x14ac:dyDescent="0.25">
      <c r="S5234" s="6" t="s">
        <v>302</v>
      </c>
      <c r="T5234" s="6">
        <f t="shared" si="99"/>
        <v>5233</v>
      </c>
      <c r="U5234" s="4" t="s">
        <v>194</v>
      </c>
    </row>
    <row r="5235" spans="19:21" x14ac:dyDescent="0.25">
      <c r="S5235" s="6" t="s">
        <v>302</v>
      </c>
      <c r="T5235" s="6">
        <f t="shared" si="99"/>
        <v>5234</v>
      </c>
      <c r="U5235" s="4" t="s">
        <v>194</v>
      </c>
    </row>
    <row r="5236" spans="19:21" x14ac:dyDescent="0.25">
      <c r="S5236" s="6" t="s">
        <v>302</v>
      </c>
      <c r="T5236" s="6">
        <f t="shared" si="99"/>
        <v>5235</v>
      </c>
      <c r="U5236" s="4" t="s">
        <v>194</v>
      </c>
    </row>
    <row r="5237" spans="19:21" x14ac:dyDescent="0.25">
      <c r="S5237" s="6" t="s">
        <v>302</v>
      </c>
      <c r="T5237" s="6">
        <f t="shared" si="99"/>
        <v>5236</v>
      </c>
      <c r="U5237" s="4" t="s">
        <v>194</v>
      </c>
    </row>
    <row r="5238" spans="19:21" x14ac:dyDescent="0.25">
      <c r="S5238" s="6" t="s">
        <v>302</v>
      </c>
      <c r="T5238" s="6">
        <f t="shared" si="99"/>
        <v>5237</v>
      </c>
      <c r="U5238" s="4" t="s">
        <v>194</v>
      </c>
    </row>
    <row r="5239" spans="19:21" x14ac:dyDescent="0.25">
      <c r="S5239" s="6" t="s">
        <v>302</v>
      </c>
      <c r="T5239" s="6">
        <f t="shared" si="99"/>
        <v>5238</v>
      </c>
      <c r="U5239" s="4" t="s">
        <v>194</v>
      </c>
    </row>
    <row r="5240" spans="19:21" x14ac:dyDescent="0.25">
      <c r="S5240" s="6" t="s">
        <v>302</v>
      </c>
      <c r="T5240" s="6">
        <f t="shared" si="99"/>
        <v>5239</v>
      </c>
      <c r="U5240" s="4" t="s">
        <v>194</v>
      </c>
    </row>
    <row r="5241" spans="19:21" x14ac:dyDescent="0.25">
      <c r="S5241" s="6" t="s">
        <v>302</v>
      </c>
      <c r="T5241" s="6">
        <f t="shared" si="99"/>
        <v>5240</v>
      </c>
      <c r="U5241" s="4" t="s">
        <v>194</v>
      </c>
    </row>
    <row r="5242" spans="19:21" x14ac:dyDescent="0.25">
      <c r="S5242" s="6" t="s">
        <v>302</v>
      </c>
      <c r="T5242" s="6">
        <f t="shared" si="99"/>
        <v>5241</v>
      </c>
      <c r="U5242" s="4" t="s">
        <v>194</v>
      </c>
    </row>
    <row r="5243" spans="19:21" x14ac:dyDescent="0.25">
      <c r="S5243" s="6" t="s">
        <v>302</v>
      </c>
      <c r="T5243" s="6">
        <f t="shared" si="99"/>
        <v>5242</v>
      </c>
      <c r="U5243" s="4" t="s">
        <v>194</v>
      </c>
    </row>
    <row r="5244" spans="19:21" x14ac:dyDescent="0.25">
      <c r="S5244" s="6" t="s">
        <v>302</v>
      </c>
      <c r="T5244" s="6">
        <f t="shared" si="99"/>
        <v>5243</v>
      </c>
      <c r="U5244" s="4" t="s">
        <v>194</v>
      </c>
    </row>
    <row r="5245" spans="19:21" x14ac:dyDescent="0.25">
      <c r="S5245" s="6" t="s">
        <v>302</v>
      </c>
      <c r="T5245" s="6">
        <f t="shared" si="99"/>
        <v>5244</v>
      </c>
      <c r="U5245" s="4" t="s">
        <v>194</v>
      </c>
    </row>
    <row r="5246" spans="19:21" x14ac:dyDescent="0.25">
      <c r="S5246" s="6" t="s">
        <v>302</v>
      </c>
      <c r="T5246" s="6">
        <f t="shared" si="99"/>
        <v>5245</v>
      </c>
      <c r="U5246" s="4" t="s">
        <v>194</v>
      </c>
    </row>
    <row r="5247" spans="19:21" x14ac:dyDescent="0.25">
      <c r="S5247" s="6" t="s">
        <v>302</v>
      </c>
      <c r="T5247" s="6">
        <f t="shared" si="99"/>
        <v>5246</v>
      </c>
      <c r="U5247" s="4" t="s">
        <v>194</v>
      </c>
    </row>
    <row r="5248" spans="19:21" x14ac:dyDescent="0.25">
      <c r="S5248" s="6" t="s">
        <v>302</v>
      </c>
      <c r="T5248" s="6">
        <f t="shared" si="99"/>
        <v>5247</v>
      </c>
      <c r="U5248" s="4" t="s">
        <v>194</v>
      </c>
    </row>
    <row r="5249" spans="19:21" x14ac:dyDescent="0.25">
      <c r="S5249" s="6" t="s">
        <v>302</v>
      </c>
      <c r="T5249" s="6">
        <f t="shared" si="99"/>
        <v>5248</v>
      </c>
      <c r="U5249" s="4" t="s">
        <v>194</v>
      </c>
    </row>
    <row r="5250" spans="19:21" x14ac:dyDescent="0.25">
      <c r="S5250" s="6" t="s">
        <v>302</v>
      </c>
      <c r="T5250" s="6">
        <f t="shared" si="99"/>
        <v>5249</v>
      </c>
      <c r="U5250" s="4" t="s">
        <v>194</v>
      </c>
    </row>
    <row r="5251" spans="19:21" x14ac:dyDescent="0.25">
      <c r="S5251" s="6" t="s">
        <v>302</v>
      </c>
      <c r="T5251" s="6">
        <f t="shared" si="99"/>
        <v>5250</v>
      </c>
      <c r="U5251" s="4" t="s">
        <v>194</v>
      </c>
    </row>
    <row r="5252" spans="19:21" x14ac:dyDescent="0.25">
      <c r="S5252" s="6" t="s">
        <v>302</v>
      </c>
      <c r="T5252" s="6">
        <f t="shared" si="99"/>
        <v>5251</v>
      </c>
      <c r="U5252" s="4" t="s">
        <v>194</v>
      </c>
    </row>
    <row r="5253" spans="19:21" x14ac:dyDescent="0.25">
      <c r="S5253" s="6" t="s">
        <v>302</v>
      </c>
      <c r="T5253" s="6">
        <f t="shared" si="99"/>
        <v>5252</v>
      </c>
      <c r="U5253" s="4" t="s">
        <v>194</v>
      </c>
    </row>
    <row r="5254" spans="19:21" x14ac:dyDescent="0.25">
      <c r="S5254" s="6" t="s">
        <v>302</v>
      </c>
      <c r="T5254" s="6">
        <f t="shared" si="99"/>
        <v>5253</v>
      </c>
      <c r="U5254" s="4" t="s">
        <v>194</v>
      </c>
    </row>
    <row r="5255" spans="19:21" x14ac:dyDescent="0.25">
      <c r="S5255" s="6" t="s">
        <v>302</v>
      </c>
      <c r="T5255" s="6">
        <f t="shared" si="99"/>
        <v>5254</v>
      </c>
      <c r="U5255" s="4" t="s">
        <v>194</v>
      </c>
    </row>
    <row r="5256" spans="19:21" x14ac:dyDescent="0.25">
      <c r="S5256" s="6" t="s">
        <v>302</v>
      </c>
      <c r="T5256" s="6">
        <f t="shared" si="99"/>
        <v>5255</v>
      </c>
      <c r="U5256" s="4" t="s">
        <v>194</v>
      </c>
    </row>
    <row r="5257" spans="19:21" x14ac:dyDescent="0.25">
      <c r="S5257" s="6" t="s">
        <v>302</v>
      </c>
      <c r="T5257" s="6">
        <f t="shared" si="99"/>
        <v>5256</v>
      </c>
      <c r="U5257" s="4" t="s">
        <v>194</v>
      </c>
    </row>
    <row r="5258" spans="19:21" x14ac:dyDescent="0.25">
      <c r="S5258" s="6" t="s">
        <v>302</v>
      </c>
      <c r="T5258" s="6">
        <f t="shared" si="99"/>
        <v>5257</v>
      </c>
      <c r="U5258" s="4" t="s">
        <v>194</v>
      </c>
    </row>
    <row r="5259" spans="19:21" x14ac:dyDescent="0.25">
      <c r="S5259" s="6" t="s">
        <v>302</v>
      </c>
      <c r="T5259" s="6">
        <f t="shared" si="99"/>
        <v>5258</v>
      </c>
      <c r="U5259" s="4" t="s">
        <v>194</v>
      </c>
    </row>
    <row r="5260" spans="19:21" x14ac:dyDescent="0.25">
      <c r="S5260" s="6" t="s">
        <v>302</v>
      </c>
      <c r="T5260" s="6">
        <f t="shared" si="99"/>
        <v>5259</v>
      </c>
      <c r="U5260" s="4" t="s">
        <v>194</v>
      </c>
    </row>
    <row r="5261" spans="19:21" x14ac:dyDescent="0.25">
      <c r="S5261" s="6" t="s">
        <v>302</v>
      </c>
      <c r="T5261" s="6">
        <f t="shared" si="99"/>
        <v>5260</v>
      </c>
      <c r="U5261" s="4" t="s">
        <v>194</v>
      </c>
    </row>
    <row r="5262" spans="19:21" x14ac:dyDescent="0.25">
      <c r="S5262" s="6" t="s">
        <v>302</v>
      </c>
      <c r="T5262" s="6">
        <f t="shared" si="99"/>
        <v>5261</v>
      </c>
      <c r="U5262" s="4" t="s">
        <v>194</v>
      </c>
    </row>
    <row r="5263" spans="19:21" x14ac:dyDescent="0.25">
      <c r="S5263" s="6" t="s">
        <v>302</v>
      </c>
      <c r="T5263" s="6">
        <f t="shared" si="99"/>
        <v>5262</v>
      </c>
      <c r="U5263" s="4" t="s">
        <v>194</v>
      </c>
    </row>
    <row r="5264" spans="19:21" x14ac:dyDescent="0.25">
      <c r="S5264" s="6" t="s">
        <v>302</v>
      </c>
      <c r="T5264" s="6">
        <f t="shared" si="99"/>
        <v>5263</v>
      </c>
      <c r="U5264" s="4" t="s">
        <v>194</v>
      </c>
    </row>
    <row r="5265" spans="19:21" x14ac:dyDescent="0.25">
      <c r="S5265" s="6" t="s">
        <v>302</v>
      </c>
      <c r="T5265" s="6">
        <f t="shared" si="99"/>
        <v>5264</v>
      </c>
      <c r="U5265" s="4" t="s">
        <v>194</v>
      </c>
    </row>
    <row r="5266" spans="19:21" x14ac:dyDescent="0.25">
      <c r="S5266" s="6" t="s">
        <v>302</v>
      </c>
      <c r="T5266" s="6">
        <f t="shared" si="99"/>
        <v>5265</v>
      </c>
      <c r="U5266" s="4" t="s">
        <v>194</v>
      </c>
    </row>
    <row r="5267" spans="19:21" x14ac:dyDescent="0.25">
      <c r="S5267" s="6" t="s">
        <v>302</v>
      </c>
      <c r="T5267" s="6">
        <f t="shared" si="99"/>
        <v>5266</v>
      </c>
      <c r="U5267" s="4" t="s">
        <v>194</v>
      </c>
    </row>
    <row r="5268" spans="19:21" x14ac:dyDescent="0.25">
      <c r="S5268" s="6" t="s">
        <v>302</v>
      </c>
      <c r="T5268" s="6">
        <f t="shared" si="99"/>
        <v>5267</v>
      </c>
      <c r="U5268" s="4" t="s">
        <v>194</v>
      </c>
    </row>
    <row r="5269" spans="19:21" x14ac:dyDescent="0.25">
      <c r="S5269" s="6" t="s">
        <v>302</v>
      </c>
      <c r="T5269" s="6">
        <f t="shared" si="99"/>
        <v>5268</v>
      </c>
      <c r="U5269" s="4" t="s">
        <v>194</v>
      </c>
    </row>
    <row r="5270" spans="19:21" x14ac:dyDescent="0.25">
      <c r="S5270" s="6" t="s">
        <v>302</v>
      </c>
      <c r="T5270" s="6">
        <f t="shared" si="99"/>
        <v>5269</v>
      </c>
      <c r="U5270" s="4" t="s">
        <v>194</v>
      </c>
    </row>
    <row r="5271" spans="19:21" x14ac:dyDescent="0.25">
      <c r="S5271" s="6" t="s">
        <v>302</v>
      </c>
      <c r="T5271" s="6">
        <f t="shared" si="99"/>
        <v>5270</v>
      </c>
      <c r="U5271" s="4" t="s">
        <v>194</v>
      </c>
    </row>
    <row r="5272" spans="19:21" x14ac:dyDescent="0.25">
      <c r="S5272" s="6" t="s">
        <v>302</v>
      </c>
      <c r="T5272" s="6">
        <f t="shared" si="99"/>
        <v>5271</v>
      </c>
      <c r="U5272" s="4" t="s">
        <v>194</v>
      </c>
    </row>
    <row r="5273" spans="19:21" x14ac:dyDescent="0.25">
      <c r="S5273" s="6" t="s">
        <v>302</v>
      </c>
      <c r="T5273" s="6">
        <f t="shared" si="99"/>
        <v>5272</v>
      </c>
      <c r="U5273" s="4" t="s">
        <v>194</v>
      </c>
    </row>
    <row r="5274" spans="19:21" x14ac:dyDescent="0.25">
      <c r="S5274" s="6" t="s">
        <v>302</v>
      </c>
      <c r="T5274" s="6">
        <f t="shared" si="99"/>
        <v>5273</v>
      </c>
      <c r="U5274" s="4" t="s">
        <v>194</v>
      </c>
    </row>
    <row r="5275" spans="19:21" x14ac:dyDescent="0.25">
      <c r="S5275" s="6" t="s">
        <v>302</v>
      </c>
      <c r="T5275" s="6">
        <f t="shared" si="99"/>
        <v>5274</v>
      </c>
      <c r="U5275" s="4" t="s">
        <v>194</v>
      </c>
    </row>
    <row r="5276" spans="19:21" x14ac:dyDescent="0.25">
      <c r="S5276" s="6" t="s">
        <v>302</v>
      </c>
      <c r="T5276" s="6">
        <f t="shared" si="99"/>
        <v>5275</v>
      </c>
      <c r="U5276" s="4" t="s">
        <v>194</v>
      </c>
    </row>
    <row r="5277" spans="19:21" x14ac:dyDescent="0.25">
      <c r="S5277" s="6" t="s">
        <v>302</v>
      </c>
      <c r="T5277" s="6">
        <f t="shared" si="99"/>
        <v>5276</v>
      </c>
      <c r="U5277" s="4" t="s">
        <v>194</v>
      </c>
    </row>
    <row r="5278" spans="19:21" x14ac:dyDescent="0.25">
      <c r="S5278" s="6" t="s">
        <v>302</v>
      </c>
      <c r="T5278" s="6">
        <f t="shared" ref="T5278:T5341" si="100">T5277+1</f>
        <v>5277</v>
      </c>
      <c r="U5278" s="4" t="s">
        <v>194</v>
      </c>
    </row>
    <row r="5279" spans="19:21" x14ac:dyDescent="0.25">
      <c r="S5279" s="6" t="s">
        <v>302</v>
      </c>
      <c r="T5279" s="6">
        <f t="shared" si="100"/>
        <v>5278</v>
      </c>
      <c r="U5279" s="4" t="s">
        <v>194</v>
      </c>
    </row>
    <row r="5280" spans="19:21" x14ac:dyDescent="0.25">
      <c r="S5280" s="6" t="s">
        <v>302</v>
      </c>
      <c r="T5280" s="6">
        <f t="shared" si="100"/>
        <v>5279</v>
      </c>
      <c r="U5280" s="4" t="s">
        <v>194</v>
      </c>
    </row>
    <row r="5281" spans="19:21" x14ac:dyDescent="0.25">
      <c r="S5281" s="6" t="s">
        <v>302</v>
      </c>
      <c r="T5281" s="6">
        <f t="shared" si="100"/>
        <v>5280</v>
      </c>
      <c r="U5281" s="4" t="s">
        <v>194</v>
      </c>
    </row>
    <row r="5282" spans="19:21" x14ac:dyDescent="0.25">
      <c r="S5282" s="6" t="s">
        <v>302</v>
      </c>
      <c r="T5282" s="6">
        <f t="shared" si="100"/>
        <v>5281</v>
      </c>
      <c r="U5282" s="4" t="s">
        <v>194</v>
      </c>
    </row>
    <row r="5283" spans="19:21" x14ac:dyDescent="0.25">
      <c r="S5283" s="6" t="s">
        <v>302</v>
      </c>
      <c r="T5283" s="6">
        <f t="shared" si="100"/>
        <v>5282</v>
      </c>
      <c r="U5283" s="4" t="s">
        <v>194</v>
      </c>
    </row>
    <row r="5284" spans="19:21" x14ac:dyDescent="0.25">
      <c r="S5284" s="6" t="s">
        <v>302</v>
      </c>
      <c r="T5284" s="6">
        <f t="shared" si="100"/>
        <v>5283</v>
      </c>
      <c r="U5284" s="4" t="s">
        <v>194</v>
      </c>
    </row>
    <row r="5285" spans="19:21" x14ac:dyDescent="0.25">
      <c r="S5285" s="6" t="s">
        <v>302</v>
      </c>
      <c r="T5285" s="6">
        <f t="shared" si="100"/>
        <v>5284</v>
      </c>
      <c r="U5285" s="4" t="s">
        <v>194</v>
      </c>
    </row>
    <row r="5286" spans="19:21" x14ac:dyDescent="0.25">
      <c r="S5286" s="6" t="s">
        <v>302</v>
      </c>
      <c r="T5286" s="6">
        <f t="shared" si="100"/>
        <v>5285</v>
      </c>
      <c r="U5286" s="4" t="s">
        <v>194</v>
      </c>
    </row>
    <row r="5287" spans="19:21" x14ac:dyDescent="0.25">
      <c r="S5287" s="6" t="s">
        <v>302</v>
      </c>
      <c r="T5287" s="6">
        <f t="shared" si="100"/>
        <v>5286</v>
      </c>
      <c r="U5287" s="4" t="s">
        <v>194</v>
      </c>
    </row>
    <row r="5288" spans="19:21" x14ac:dyDescent="0.25">
      <c r="S5288" s="6" t="s">
        <v>302</v>
      </c>
      <c r="T5288" s="6">
        <f t="shared" si="100"/>
        <v>5287</v>
      </c>
      <c r="U5288" s="4" t="s">
        <v>194</v>
      </c>
    </row>
    <row r="5289" spans="19:21" x14ac:dyDescent="0.25">
      <c r="S5289" s="6" t="s">
        <v>302</v>
      </c>
      <c r="T5289" s="6">
        <f t="shared" si="100"/>
        <v>5288</v>
      </c>
      <c r="U5289" s="4" t="s">
        <v>194</v>
      </c>
    </row>
    <row r="5290" spans="19:21" x14ac:dyDescent="0.25">
      <c r="S5290" s="6" t="s">
        <v>302</v>
      </c>
      <c r="T5290" s="6">
        <f t="shared" si="100"/>
        <v>5289</v>
      </c>
      <c r="U5290" s="4" t="s">
        <v>194</v>
      </c>
    </row>
    <row r="5291" spans="19:21" x14ac:dyDescent="0.25">
      <c r="S5291" s="6" t="s">
        <v>302</v>
      </c>
      <c r="T5291" s="6">
        <f t="shared" si="100"/>
        <v>5290</v>
      </c>
      <c r="U5291" s="4" t="s">
        <v>194</v>
      </c>
    </row>
    <row r="5292" spans="19:21" x14ac:dyDescent="0.25">
      <c r="S5292" s="6" t="s">
        <v>302</v>
      </c>
      <c r="T5292" s="6">
        <f t="shared" si="100"/>
        <v>5291</v>
      </c>
      <c r="U5292" s="4" t="s">
        <v>194</v>
      </c>
    </row>
    <row r="5293" spans="19:21" x14ac:dyDescent="0.25">
      <c r="S5293" s="6" t="s">
        <v>302</v>
      </c>
      <c r="T5293" s="6">
        <f t="shared" si="100"/>
        <v>5292</v>
      </c>
      <c r="U5293" s="4" t="s">
        <v>194</v>
      </c>
    </row>
    <row r="5294" spans="19:21" x14ac:dyDescent="0.25">
      <c r="S5294" s="6" t="s">
        <v>302</v>
      </c>
      <c r="T5294" s="6">
        <f t="shared" si="100"/>
        <v>5293</v>
      </c>
      <c r="U5294" s="4" t="s">
        <v>194</v>
      </c>
    </row>
    <row r="5295" spans="19:21" x14ac:dyDescent="0.25">
      <c r="S5295" s="6" t="s">
        <v>302</v>
      </c>
      <c r="T5295" s="6">
        <f t="shared" si="100"/>
        <v>5294</v>
      </c>
      <c r="U5295" s="4" t="s">
        <v>194</v>
      </c>
    </row>
    <row r="5296" spans="19:21" x14ac:dyDescent="0.25">
      <c r="S5296" s="6" t="s">
        <v>302</v>
      </c>
      <c r="T5296" s="6">
        <f t="shared" si="100"/>
        <v>5295</v>
      </c>
      <c r="U5296" s="4" t="s">
        <v>194</v>
      </c>
    </row>
    <row r="5297" spans="19:21" x14ac:dyDescent="0.25">
      <c r="S5297" s="6" t="s">
        <v>302</v>
      </c>
      <c r="T5297" s="6">
        <f t="shared" si="100"/>
        <v>5296</v>
      </c>
      <c r="U5297" s="4" t="s">
        <v>194</v>
      </c>
    </row>
    <row r="5298" spans="19:21" x14ac:dyDescent="0.25">
      <c r="S5298" s="6" t="s">
        <v>302</v>
      </c>
      <c r="T5298" s="6">
        <f t="shared" si="100"/>
        <v>5297</v>
      </c>
      <c r="U5298" s="4" t="s">
        <v>194</v>
      </c>
    </row>
    <row r="5299" spans="19:21" x14ac:dyDescent="0.25">
      <c r="S5299" s="6" t="s">
        <v>302</v>
      </c>
      <c r="T5299" s="6">
        <f t="shared" si="100"/>
        <v>5298</v>
      </c>
      <c r="U5299" s="4" t="s">
        <v>194</v>
      </c>
    </row>
    <row r="5300" spans="19:21" x14ac:dyDescent="0.25">
      <c r="S5300" s="6" t="s">
        <v>302</v>
      </c>
      <c r="T5300" s="6">
        <f t="shared" si="100"/>
        <v>5299</v>
      </c>
      <c r="U5300" s="4" t="s">
        <v>194</v>
      </c>
    </row>
    <row r="5301" spans="19:21" x14ac:dyDescent="0.25">
      <c r="S5301" s="6" t="s">
        <v>302</v>
      </c>
      <c r="T5301" s="6">
        <f t="shared" si="100"/>
        <v>5300</v>
      </c>
      <c r="U5301" s="4" t="s">
        <v>194</v>
      </c>
    </row>
    <row r="5302" spans="19:21" x14ac:dyDescent="0.25">
      <c r="S5302" s="6" t="s">
        <v>302</v>
      </c>
      <c r="T5302" s="6">
        <f t="shared" si="100"/>
        <v>5301</v>
      </c>
      <c r="U5302" s="4" t="s">
        <v>194</v>
      </c>
    </row>
    <row r="5303" spans="19:21" x14ac:dyDescent="0.25">
      <c r="S5303" s="6" t="s">
        <v>302</v>
      </c>
      <c r="T5303" s="6">
        <f t="shared" si="100"/>
        <v>5302</v>
      </c>
      <c r="U5303" s="4" t="s">
        <v>194</v>
      </c>
    </row>
    <row r="5304" spans="19:21" x14ac:dyDescent="0.25">
      <c r="S5304" s="6" t="s">
        <v>302</v>
      </c>
      <c r="T5304" s="6">
        <f t="shared" si="100"/>
        <v>5303</v>
      </c>
      <c r="U5304" s="4" t="s">
        <v>194</v>
      </c>
    </row>
    <row r="5305" spans="19:21" x14ac:dyDescent="0.25">
      <c r="S5305" s="6" t="s">
        <v>302</v>
      </c>
      <c r="T5305" s="6">
        <f t="shared" si="100"/>
        <v>5304</v>
      </c>
      <c r="U5305" s="4" t="s">
        <v>194</v>
      </c>
    </row>
    <row r="5306" spans="19:21" x14ac:dyDescent="0.25">
      <c r="S5306" s="6" t="s">
        <v>302</v>
      </c>
      <c r="T5306" s="6">
        <f t="shared" si="100"/>
        <v>5305</v>
      </c>
      <c r="U5306" s="4" t="s">
        <v>194</v>
      </c>
    </row>
    <row r="5307" spans="19:21" x14ac:dyDescent="0.25">
      <c r="S5307" s="6" t="s">
        <v>302</v>
      </c>
      <c r="T5307" s="6">
        <f t="shared" si="100"/>
        <v>5306</v>
      </c>
      <c r="U5307" s="4" t="s">
        <v>194</v>
      </c>
    </row>
    <row r="5308" spans="19:21" x14ac:dyDescent="0.25">
      <c r="S5308" s="6" t="s">
        <v>302</v>
      </c>
      <c r="T5308" s="6">
        <f t="shared" si="100"/>
        <v>5307</v>
      </c>
      <c r="U5308" s="4" t="s">
        <v>194</v>
      </c>
    </row>
    <row r="5309" spans="19:21" x14ac:dyDescent="0.25">
      <c r="S5309" s="6" t="s">
        <v>302</v>
      </c>
      <c r="T5309" s="6">
        <f t="shared" si="100"/>
        <v>5308</v>
      </c>
      <c r="U5309" s="4" t="s">
        <v>194</v>
      </c>
    </row>
    <row r="5310" spans="19:21" x14ac:dyDescent="0.25">
      <c r="S5310" s="6" t="s">
        <v>302</v>
      </c>
      <c r="T5310" s="6">
        <f t="shared" si="100"/>
        <v>5309</v>
      </c>
      <c r="U5310" s="4" t="s">
        <v>194</v>
      </c>
    </row>
    <row r="5311" spans="19:21" x14ac:dyDescent="0.25">
      <c r="S5311" s="6" t="s">
        <v>302</v>
      </c>
      <c r="T5311" s="6">
        <f t="shared" si="100"/>
        <v>5310</v>
      </c>
      <c r="U5311" s="4" t="s">
        <v>194</v>
      </c>
    </row>
    <row r="5312" spans="19:21" x14ac:dyDescent="0.25">
      <c r="S5312" s="6" t="s">
        <v>302</v>
      </c>
      <c r="T5312" s="6">
        <f t="shared" si="100"/>
        <v>5311</v>
      </c>
      <c r="U5312" s="4" t="s">
        <v>194</v>
      </c>
    </row>
    <row r="5313" spans="19:21" x14ac:dyDescent="0.25">
      <c r="S5313" s="6" t="s">
        <v>302</v>
      </c>
      <c r="T5313" s="6">
        <f t="shared" si="100"/>
        <v>5312</v>
      </c>
      <c r="U5313" s="4" t="s">
        <v>194</v>
      </c>
    </row>
    <row r="5314" spans="19:21" x14ac:dyDescent="0.25">
      <c r="S5314" s="6" t="s">
        <v>302</v>
      </c>
      <c r="T5314" s="6">
        <f t="shared" si="100"/>
        <v>5313</v>
      </c>
      <c r="U5314" s="4" t="s">
        <v>194</v>
      </c>
    </row>
    <row r="5315" spans="19:21" x14ac:dyDescent="0.25">
      <c r="S5315" s="6" t="s">
        <v>302</v>
      </c>
      <c r="T5315" s="6">
        <f t="shared" si="100"/>
        <v>5314</v>
      </c>
      <c r="U5315" s="4" t="s">
        <v>194</v>
      </c>
    </row>
    <row r="5316" spans="19:21" x14ac:dyDescent="0.25">
      <c r="S5316" s="6" t="s">
        <v>302</v>
      </c>
      <c r="T5316" s="6">
        <f t="shared" si="100"/>
        <v>5315</v>
      </c>
      <c r="U5316" s="4" t="s">
        <v>194</v>
      </c>
    </row>
    <row r="5317" spans="19:21" x14ac:dyDescent="0.25">
      <c r="S5317" s="6" t="s">
        <v>302</v>
      </c>
      <c r="T5317" s="6">
        <f t="shared" si="100"/>
        <v>5316</v>
      </c>
      <c r="U5317" s="4" t="s">
        <v>194</v>
      </c>
    </row>
    <row r="5318" spans="19:21" x14ac:dyDescent="0.25">
      <c r="S5318" s="6" t="s">
        <v>302</v>
      </c>
      <c r="T5318" s="6">
        <f t="shared" si="100"/>
        <v>5317</v>
      </c>
      <c r="U5318" s="4" t="s">
        <v>194</v>
      </c>
    </row>
    <row r="5319" spans="19:21" x14ac:dyDescent="0.25">
      <c r="S5319" s="6" t="s">
        <v>302</v>
      </c>
      <c r="T5319" s="6">
        <f t="shared" si="100"/>
        <v>5318</v>
      </c>
      <c r="U5319" s="4" t="s">
        <v>194</v>
      </c>
    </row>
    <row r="5320" spans="19:21" x14ac:dyDescent="0.25">
      <c r="S5320" s="6" t="s">
        <v>302</v>
      </c>
      <c r="T5320" s="6">
        <f t="shared" si="100"/>
        <v>5319</v>
      </c>
      <c r="U5320" s="4" t="s">
        <v>194</v>
      </c>
    </row>
    <row r="5321" spans="19:21" x14ac:dyDescent="0.25">
      <c r="S5321" s="6" t="s">
        <v>302</v>
      </c>
      <c r="T5321" s="6">
        <f t="shared" si="100"/>
        <v>5320</v>
      </c>
      <c r="U5321" s="4" t="s">
        <v>194</v>
      </c>
    </row>
    <row r="5322" spans="19:21" x14ac:dyDescent="0.25">
      <c r="S5322" s="6" t="s">
        <v>302</v>
      </c>
      <c r="T5322" s="6">
        <f t="shared" si="100"/>
        <v>5321</v>
      </c>
      <c r="U5322" s="4" t="s">
        <v>194</v>
      </c>
    </row>
    <row r="5323" spans="19:21" x14ac:dyDescent="0.25">
      <c r="S5323" s="6" t="s">
        <v>302</v>
      </c>
      <c r="T5323" s="6">
        <f t="shared" si="100"/>
        <v>5322</v>
      </c>
      <c r="U5323" s="4" t="s">
        <v>194</v>
      </c>
    </row>
    <row r="5324" spans="19:21" x14ac:dyDescent="0.25">
      <c r="S5324" s="6" t="s">
        <v>302</v>
      </c>
      <c r="T5324" s="6">
        <f t="shared" si="100"/>
        <v>5323</v>
      </c>
      <c r="U5324" s="4" t="s">
        <v>194</v>
      </c>
    </row>
    <row r="5325" spans="19:21" x14ac:dyDescent="0.25">
      <c r="S5325" s="6" t="s">
        <v>302</v>
      </c>
      <c r="T5325" s="6">
        <f t="shared" si="100"/>
        <v>5324</v>
      </c>
      <c r="U5325" s="4" t="s">
        <v>194</v>
      </c>
    </row>
    <row r="5326" spans="19:21" x14ac:dyDescent="0.25">
      <c r="S5326" s="6" t="s">
        <v>302</v>
      </c>
      <c r="T5326" s="6">
        <f t="shared" si="100"/>
        <v>5325</v>
      </c>
      <c r="U5326" s="4" t="s">
        <v>194</v>
      </c>
    </row>
    <row r="5327" spans="19:21" x14ac:dyDescent="0.25">
      <c r="S5327" s="6" t="s">
        <v>302</v>
      </c>
      <c r="T5327" s="6">
        <f t="shared" si="100"/>
        <v>5326</v>
      </c>
      <c r="U5327" s="4" t="s">
        <v>194</v>
      </c>
    </row>
    <row r="5328" spans="19:21" x14ac:dyDescent="0.25">
      <c r="S5328" s="6" t="s">
        <v>302</v>
      </c>
      <c r="T5328" s="6">
        <f t="shared" si="100"/>
        <v>5327</v>
      </c>
      <c r="U5328" s="4" t="s">
        <v>194</v>
      </c>
    </row>
    <row r="5329" spans="19:21" x14ac:dyDescent="0.25">
      <c r="S5329" s="6" t="s">
        <v>302</v>
      </c>
      <c r="T5329" s="6">
        <f t="shared" si="100"/>
        <v>5328</v>
      </c>
      <c r="U5329" s="4" t="s">
        <v>194</v>
      </c>
    </row>
    <row r="5330" spans="19:21" x14ac:dyDescent="0.25">
      <c r="S5330" s="6" t="s">
        <v>302</v>
      </c>
      <c r="T5330" s="6">
        <f t="shared" si="100"/>
        <v>5329</v>
      </c>
      <c r="U5330" s="4" t="s">
        <v>194</v>
      </c>
    </row>
    <row r="5331" spans="19:21" x14ac:dyDescent="0.25">
      <c r="S5331" s="6" t="s">
        <v>302</v>
      </c>
      <c r="T5331" s="6">
        <f t="shared" si="100"/>
        <v>5330</v>
      </c>
      <c r="U5331" s="4" t="s">
        <v>194</v>
      </c>
    </row>
    <row r="5332" spans="19:21" x14ac:dyDescent="0.25">
      <c r="S5332" s="6" t="s">
        <v>302</v>
      </c>
      <c r="T5332" s="6">
        <f t="shared" si="100"/>
        <v>5331</v>
      </c>
      <c r="U5332" s="4" t="s">
        <v>194</v>
      </c>
    </row>
    <row r="5333" spans="19:21" x14ac:dyDescent="0.25">
      <c r="S5333" s="6" t="s">
        <v>302</v>
      </c>
      <c r="T5333" s="6">
        <f t="shared" si="100"/>
        <v>5332</v>
      </c>
      <c r="U5333" s="4" t="s">
        <v>194</v>
      </c>
    </row>
    <row r="5334" spans="19:21" x14ac:dyDescent="0.25">
      <c r="S5334" s="6" t="s">
        <v>302</v>
      </c>
      <c r="T5334" s="6">
        <f t="shared" si="100"/>
        <v>5333</v>
      </c>
      <c r="U5334" s="4" t="s">
        <v>194</v>
      </c>
    </row>
    <row r="5335" spans="19:21" x14ac:dyDescent="0.25">
      <c r="S5335" s="6" t="s">
        <v>302</v>
      </c>
      <c r="T5335" s="6">
        <f t="shared" si="100"/>
        <v>5334</v>
      </c>
      <c r="U5335" s="4" t="s">
        <v>194</v>
      </c>
    </row>
    <row r="5336" spans="19:21" x14ac:dyDescent="0.25">
      <c r="S5336" s="6" t="s">
        <v>302</v>
      </c>
      <c r="T5336" s="6">
        <f t="shared" si="100"/>
        <v>5335</v>
      </c>
      <c r="U5336" s="4" t="s">
        <v>194</v>
      </c>
    </row>
    <row r="5337" spans="19:21" x14ac:dyDescent="0.25">
      <c r="S5337" s="6" t="s">
        <v>302</v>
      </c>
      <c r="T5337" s="6">
        <f t="shared" si="100"/>
        <v>5336</v>
      </c>
      <c r="U5337" s="4" t="s">
        <v>194</v>
      </c>
    </row>
    <row r="5338" spans="19:21" x14ac:dyDescent="0.25">
      <c r="S5338" s="6" t="s">
        <v>302</v>
      </c>
      <c r="T5338" s="6">
        <f t="shared" si="100"/>
        <v>5337</v>
      </c>
      <c r="U5338" s="4" t="s">
        <v>194</v>
      </c>
    </row>
    <row r="5339" spans="19:21" x14ac:dyDescent="0.25">
      <c r="S5339" s="6" t="s">
        <v>302</v>
      </c>
      <c r="T5339" s="6">
        <f t="shared" si="100"/>
        <v>5338</v>
      </c>
      <c r="U5339" s="4" t="s">
        <v>194</v>
      </c>
    </row>
    <row r="5340" spans="19:21" x14ac:dyDescent="0.25">
      <c r="S5340" s="6" t="s">
        <v>302</v>
      </c>
      <c r="T5340" s="6">
        <f t="shared" si="100"/>
        <v>5339</v>
      </c>
      <c r="U5340" s="4" t="s">
        <v>194</v>
      </c>
    </row>
    <row r="5341" spans="19:21" x14ac:dyDescent="0.25">
      <c r="S5341" s="6" t="s">
        <v>302</v>
      </c>
      <c r="T5341" s="6">
        <f t="shared" si="100"/>
        <v>5340</v>
      </c>
      <c r="U5341" s="4" t="s">
        <v>194</v>
      </c>
    </row>
    <row r="5342" spans="19:21" x14ac:dyDescent="0.25">
      <c r="S5342" s="6" t="s">
        <v>302</v>
      </c>
      <c r="T5342" s="6">
        <f t="shared" ref="T5342:T5405" si="101">T5341+1</f>
        <v>5341</v>
      </c>
      <c r="U5342" s="4" t="s">
        <v>194</v>
      </c>
    </row>
    <row r="5343" spans="19:21" x14ac:dyDescent="0.25">
      <c r="S5343" s="6" t="s">
        <v>302</v>
      </c>
      <c r="T5343" s="6">
        <f t="shared" si="101"/>
        <v>5342</v>
      </c>
      <c r="U5343" s="4" t="s">
        <v>194</v>
      </c>
    </row>
    <row r="5344" spans="19:21" x14ac:dyDescent="0.25">
      <c r="S5344" s="6" t="s">
        <v>302</v>
      </c>
      <c r="T5344" s="6">
        <f t="shared" si="101"/>
        <v>5343</v>
      </c>
      <c r="U5344" s="4" t="s">
        <v>194</v>
      </c>
    </row>
    <row r="5345" spans="19:21" x14ac:dyDescent="0.25">
      <c r="S5345" s="6" t="s">
        <v>302</v>
      </c>
      <c r="T5345" s="6">
        <f t="shared" si="101"/>
        <v>5344</v>
      </c>
      <c r="U5345" s="4" t="s">
        <v>194</v>
      </c>
    </row>
    <row r="5346" spans="19:21" x14ac:dyDescent="0.25">
      <c r="S5346" s="6" t="s">
        <v>302</v>
      </c>
      <c r="T5346" s="6">
        <f t="shared" si="101"/>
        <v>5345</v>
      </c>
      <c r="U5346" s="4" t="s">
        <v>194</v>
      </c>
    </row>
    <row r="5347" spans="19:21" x14ac:dyDescent="0.25">
      <c r="S5347" s="6" t="s">
        <v>302</v>
      </c>
      <c r="T5347" s="6">
        <f t="shared" si="101"/>
        <v>5346</v>
      </c>
      <c r="U5347" s="4" t="s">
        <v>194</v>
      </c>
    </row>
    <row r="5348" spans="19:21" x14ac:dyDescent="0.25">
      <c r="S5348" s="6" t="s">
        <v>302</v>
      </c>
      <c r="T5348" s="6">
        <f t="shared" si="101"/>
        <v>5347</v>
      </c>
      <c r="U5348" s="4" t="s">
        <v>194</v>
      </c>
    </row>
    <row r="5349" spans="19:21" x14ac:dyDescent="0.25">
      <c r="S5349" s="6" t="s">
        <v>302</v>
      </c>
      <c r="T5349" s="6">
        <f t="shared" si="101"/>
        <v>5348</v>
      </c>
      <c r="U5349" s="4" t="s">
        <v>194</v>
      </c>
    </row>
    <row r="5350" spans="19:21" x14ac:dyDescent="0.25">
      <c r="S5350" s="6" t="s">
        <v>302</v>
      </c>
      <c r="T5350" s="6">
        <f t="shared" si="101"/>
        <v>5349</v>
      </c>
      <c r="U5350" s="4" t="s">
        <v>194</v>
      </c>
    </row>
    <row r="5351" spans="19:21" x14ac:dyDescent="0.25">
      <c r="S5351" s="6" t="s">
        <v>302</v>
      </c>
      <c r="T5351" s="6">
        <f t="shared" si="101"/>
        <v>5350</v>
      </c>
      <c r="U5351" s="4" t="s">
        <v>194</v>
      </c>
    </row>
    <row r="5352" spans="19:21" x14ac:dyDescent="0.25">
      <c r="S5352" s="6" t="s">
        <v>302</v>
      </c>
      <c r="T5352" s="6">
        <f t="shared" si="101"/>
        <v>5351</v>
      </c>
      <c r="U5352" s="4" t="s">
        <v>194</v>
      </c>
    </row>
    <row r="5353" spans="19:21" x14ac:dyDescent="0.25">
      <c r="S5353" s="6" t="s">
        <v>302</v>
      </c>
      <c r="T5353" s="6">
        <f t="shared" si="101"/>
        <v>5352</v>
      </c>
      <c r="U5353" s="4" t="s">
        <v>194</v>
      </c>
    </row>
    <row r="5354" spans="19:21" x14ac:dyDescent="0.25">
      <c r="S5354" s="6" t="s">
        <v>302</v>
      </c>
      <c r="T5354" s="6">
        <f t="shared" si="101"/>
        <v>5353</v>
      </c>
      <c r="U5354" s="4" t="s">
        <v>194</v>
      </c>
    </row>
    <row r="5355" spans="19:21" x14ac:dyDescent="0.25">
      <c r="S5355" s="6" t="s">
        <v>302</v>
      </c>
      <c r="T5355" s="6">
        <f t="shared" si="101"/>
        <v>5354</v>
      </c>
      <c r="U5355" s="4" t="s">
        <v>194</v>
      </c>
    </row>
    <row r="5356" spans="19:21" x14ac:dyDescent="0.25">
      <c r="S5356" s="6" t="s">
        <v>302</v>
      </c>
      <c r="T5356" s="6">
        <f t="shared" si="101"/>
        <v>5355</v>
      </c>
      <c r="U5356" s="4" t="s">
        <v>194</v>
      </c>
    </row>
    <row r="5357" spans="19:21" x14ac:dyDescent="0.25">
      <c r="S5357" s="6" t="s">
        <v>302</v>
      </c>
      <c r="T5357" s="6">
        <f t="shared" si="101"/>
        <v>5356</v>
      </c>
      <c r="U5357" s="4" t="s">
        <v>194</v>
      </c>
    </row>
    <row r="5358" spans="19:21" x14ac:dyDescent="0.25">
      <c r="S5358" s="6" t="s">
        <v>302</v>
      </c>
      <c r="T5358" s="6">
        <f t="shared" si="101"/>
        <v>5357</v>
      </c>
      <c r="U5358" s="4" t="s">
        <v>194</v>
      </c>
    </row>
    <row r="5359" spans="19:21" x14ac:dyDescent="0.25">
      <c r="S5359" s="6" t="s">
        <v>302</v>
      </c>
      <c r="T5359" s="6">
        <f t="shared" si="101"/>
        <v>5358</v>
      </c>
      <c r="U5359" s="4" t="s">
        <v>194</v>
      </c>
    </row>
    <row r="5360" spans="19:21" x14ac:dyDescent="0.25">
      <c r="S5360" s="6" t="s">
        <v>302</v>
      </c>
      <c r="T5360" s="6">
        <f t="shared" si="101"/>
        <v>5359</v>
      </c>
      <c r="U5360" s="4" t="s">
        <v>194</v>
      </c>
    </row>
    <row r="5361" spans="19:21" x14ac:dyDescent="0.25">
      <c r="S5361" s="6" t="s">
        <v>302</v>
      </c>
      <c r="T5361" s="6">
        <f t="shared" si="101"/>
        <v>5360</v>
      </c>
      <c r="U5361" s="4" t="s">
        <v>194</v>
      </c>
    </row>
    <row r="5362" spans="19:21" x14ac:dyDescent="0.25">
      <c r="S5362" s="6" t="s">
        <v>302</v>
      </c>
      <c r="T5362" s="6">
        <f t="shared" si="101"/>
        <v>5361</v>
      </c>
      <c r="U5362" s="4" t="s">
        <v>194</v>
      </c>
    </row>
    <row r="5363" spans="19:21" x14ac:dyDescent="0.25">
      <c r="S5363" s="6" t="s">
        <v>302</v>
      </c>
      <c r="T5363" s="6">
        <f t="shared" si="101"/>
        <v>5362</v>
      </c>
      <c r="U5363" s="4" t="s">
        <v>194</v>
      </c>
    </row>
    <row r="5364" spans="19:21" x14ac:dyDescent="0.25">
      <c r="S5364" s="6" t="s">
        <v>302</v>
      </c>
      <c r="T5364" s="6">
        <f t="shared" si="101"/>
        <v>5363</v>
      </c>
      <c r="U5364" s="4" t="s">
        <v>194</v>
      </c>
    </row>
    <row r="5365" spans="19:21" x14ac:dyDescent="0.25">
      <c r="S5365" s="6" t="s">
        <v>302</v>
      </c>
      <c r="T5365" s="6">
        <f t="shared" si="101"/>
        <v>5364</v>
      </c>
      <c r="U5365" s="4" t="s">
        <v>194</v>
      </c>
    </row>
    <row r="5366" spans="19:21" x14ac:dyDescent="0.25">
      <c r="S5366" s="6" t="s">
        <v>302</v>
      </c>
      <c r="T5366" s="6">
        <f t="shared" si="101"/>
        <v>5365</v>
      </c>
      <c r="U5366" s="4" t="s">
        <v>194</v>
      </c>
    </row>
    <row r="5367" spans="19:21" x14ac:dyDescent="0.25">
      <c r="S5367" s="6" t="s">
        <v>302</v>
      </c>
      <c r="T5367" s="6">
        <f t="shared" si="101"/>
        <v>5366</v>
      </c>
      <c r="U5367" s="4" t="s">
        <v>194</v>
      </c>
    </row>
    <row r="5368" spans="19:21" x14ac:dyDescent="0.25">
      <c r="S5368" s="6" t="s">
        <v>302</v>
      </c>
      <c r="T5368" s="6">
        <f t="shared" si="101"/>
        <v>5367</v>
      </c>
      <c r="U5368" s="4" t="s">
        <v>194</v>
      </c>
    </row>
    <row r="5369" spans="19:21" x14ac:dyDescent="0.25">
      <c r="S5369" s="6" t="s">
        <v>302</v>
      </c>
      <c r="T5369" s="6">
        <f t="shared" si="101"/>
        <v>5368</v>
      </c>
      <c r="U5369" s="4" t="s">
        <v>194</v>
      </c>
    </row>
    <row r="5370" spans="19:21" x14ac:dyDescent="0.25">
      <c r="S5370" s="6" t="s">
        <v>302</v>
      </c>
      <c r="T5370" s="6">
        <f t="shared" si="101"/>
        <v>5369</v>
      </c>
      <c r="U5370" s="4" t="s">
        <v>194</v>
      </c>
    </row>
    <row r="5371" spans="19:21" x14ac:dyDescent="0.25">
      <c r="S5371" s="6" t="s">
        <v>302</v>
      </c>
      <c r="T5371" s="6">
        <f t="shared" si="101"/>
        <v>5370</v>
      </c>
      <c r="U5371" s="4" t="s">
        <v>194</v>
      </c>
    </row>
    <row r="5372" spans="19:21" x14ac:dyDescent="0.25">
      <c r="S5372" s="6" t="s">
        <v>302</v>
      </c>
      <c r="T5372" s="6">
        <f t="shared" si="101"/>
        <v>5371</v>
      </c>
      <c r="U5372" s="4" t="s">
        <v>194</v>
      </c>
    </row>
    <row r="5373" spans="19:21" x14ac:dyDescent="0.25">
      <c r="S5373" s="6" t="s">
        <v>302</v>
      </c>
      <c r="T5373" s="6">
        <f t="shared" si="101"/>
        <v>5372</v>
      </c>
      <c r="U5373" s="4" t="s">
        <v>194</v>
      </c>
    </row>
    <row r="5374" spans="19:21" x14ac:dyDescent="0.25">
      <c r="S5374" s="6" t="s">
        <v>302</v>
      </c>
      <c r="T5374" s="6">
        <f t="shared" si="101"/>
        <v>5373</v>
      </c>
      <c r="U5374" s="4" t="s">
        <v>194</v>
      </c>
    </row>
    <row r="5375" spans="19:21" x14ac:dyDescent="0.25">
      <c r="S5375" s="6" t="s">
        <v>302</v>
      </c>
      <c r="T5375" s="6">
        <f t="shared" si="101"/>
        <v>5374</v>
      </c>
      <c r="U5375" s="4" t="s">
        <v>194</v>
      </c>
    </row>
    <row r="5376" spans="19:21" x14ac:dyDescent="0.25">
      <c r="S5376" s="6" t="s">
        <v>302</v>
      </c>
      <c r="T5376" s="6">
        <f t="shared" si="101"/>
        <v>5375</v>
      </c>
      <c r="U5376" s="4" t="s">
        <v>194</v>
      </c>
    </row>
    <row r="5377" spans="19:21" x14ac:dyDescent="0.25">
      <c r="S5377" s="6" t="s">
        <v>302</v>
      </c>
      <c r="T5377" s="6">
        <f t="shared" si="101"/>
        <v>5376</v>
      </c>
      <c r="U5377" s="4" t="s">
        <v>194</v>
      </c>
    </row>
    <row r="5378" spans="19:21" x14ac:dyDescent="0.25">
      <c r="S5378" s="6" t="s">
        <v>302</v>
      </c>
      <c r="T5378" s="6">
        <f t="shared" si="101"/>
        <v>5377</v>
      </c>
      <c r="U5378" s="4" t="s">
        <v>194</v>
      </c>
    </row>
    <row r="5379" spans="19:21" x14ac:dyDescent="0.25">
      <c r="S5379" s="6" t="s">
        <v>302</v>
      </c>
      <c r="T5379" s="6">
        <f t="shared" si="101"/>
        <v>5378</v>
      </c>
      <c r="U5379" s="4" t="s">
        <v>194</v>
      </c>
    </row>
    <row r="5380" spans="19:21" x14ac:dyDescent="0.25">
      <c r="S5380" s="6" t="s">
        <v>302</v>
      </c>
      <c r="T5380" s="6">
        <f t="shared" si="101"/>
        <v>5379</v>
      </c>
      <c r="U5380" s="4" t="s">
        <v>194</v>
      </c>
    </row>
    <row r="5381" spans="19:21" x14ac:dyDescent="0.25">
      <c r="S5381" s="6" t="s">
        <v>302</v>
      </c>
      <c r="T5381" s="6">
        <f t="shared" si="101"/>
        <v>5380</v>
      </c>
      <c r="U5381" s="4" t="s">
        <v>194</v>
      </c>
    </row>
    <row r="5382" spans="19:21" x14ac:dyDescent="0.25">
      <c r="S5382" s="6" t="s">
        <v>302</v>
      </c>
      <c r="T5382" s="6">
        <f t="shared" si="101"/>
        <v>5381</v>
      </c>
      <c r="U5382" s="4" t="s">
        <v>194</v>
      </c>
    </row>
    <row r="5383" spans="19:21" x14ac:dyDescent="0.25">
      <c r="S5383" s="6" t="s">
        <v>302</v>
      </c>
      <c r="T5383" s="6">
        <f t="shared" si="101"/>
        <v>5382</v>
      </c>
      <c r="U5383" s="4" t="s">
        <v>194</v>
      </c>
    </row>
    <row r="5384" spans="19:21" x14ac:dyDescent="0.25">
      <c r="S5384" s="6" t="s">
        <v>302</v>
      </c>
      <c r="T5384" s="6">
        <f t="shared" si="101"/>
        <v>5383</v>
      </c>
      <c r="U5384" s="4" t="s">
        <v>194</v>
      </c>
    </row>
    <row r="5385" spans="19:21" x14ac:dyDescent="0.25">
      <c r="S5385" s="6" t="s">
        <v>302</v>
      </c>
      <c r="T5385" s="6">
        <f t="shared" si="101"/>
        <v>5384</v>
      </c>
      <c r="U5385" s="4" t="s">
        <v>194</v>
      </c>
    </row>
    <row r="5386" spans="19:21" x14ac:dyDescent="0.25">
      <c r="S5386" s="6" t="s">
        <v>302</v>
      </c>
      <c r="T5386" s="6">
        <f t="shared" si="101"/>
        <v>5385</v>
      </c>
      <c r="U5386" s="4" t="s">
        <v>194</v>
      </c>
    </row>
    <row r="5387" spans="19:21" x14ac:dyDescent="0.25">
      <c r="S5387" s="6" t="s">
        <v>302</v>
      </c>
      <c r="T5387" s="6">
        <f t="shared" si="101"/>
        <v>5386</v>
      </c>
      <c r="U5387" s="4" t="s">
        <v>194</v>
      </c>
    </row>
    <row r="5388" spans="19:21" x14ac:dyDescent="0.25">
      <c r="S5388" s="6" t="s">
        <v>302</v>
      </c>
      <c r="T5388" s="6">
        <f t="shared" si="101"/>
        <v>5387</v>
      </c>
      <c r="U5388" s="4" t="s">
        <v>194</v>
      </c>
    </row>
    <row r="5389" spans="19:21" x14ac:dyDescent="0.25">
      <c r="S5389" s="6" t="s">
        <v>302</v>
      </c>
      <c r="T5389" s="6">
        <f t="shared" si="101"/>
        <v>5388</v>
      </c>
      <c r="U5389" s="4" t="s">
        <v>194</v>
      </c>
    </row>
    <row r="5390" spans="19:21" x14ac:dyDescent="0.25">
      <c r="S5390" s="6" t="s">
        <v>302</v>
      </c>
      <c r="T5390" s="6">
        <f t="shared" si="101"/>
        <v>5389</v>
      </c>
      <c r="U5390" s="4" t="s">
        <v>194</v>
      </c>
    </row>
    <row r="5391" spans="19:21" x14ac:dyDescent="0.25">
      <c r="S5391" s="6" t="s">
        <v>302</v>
      </c>
      <c r="T5391" s="6">
        <f t="shared" si="101"/>
        <v>5390</v>
      </c>
      <c r="U5391" s="4" t="s">
        <v>194</v>
      </c>
    </row>
    <row r="5392" spans="19:21" x14ac:dyDescent="0.25">
      <c r="S5392" s="6" t="s">
        <v>302</v>
      </c>
      <c r="T5392" s="6">
        <f t="shared" si="101"/>
        <v>5391</v>
      </c>
      <c r="U5392" s="4" t="s">
        <v>194</v>
      </c>
    </row>
    <row r="5393" spans="19:21" x14ac:dyDescent="0.25">
      <c r="S5393" s="6" t="s">
        <v>302</v>
      </c>
      <c r="T5393" s="6">
        <f t="shared" si="101"/>
        <v>5392</v>
      </c>
      <c r="U5393" s="4" t="s">
        <v>194</v>
      </c>
    </row>
    <row r="5394" spans="19:21" x14ac:dyDescent="0.25">
      <c r="S5394" s="6" t="s">
        <v>302</v>
      </c>
      <c r="T5394" s="6">
        <f t="shared" si="101"/>
        <v>5393</v>
      </c>
      <c r="U5394" s="4" t="s">
        <v>194</v>
      </c>
    </row>
    <row r="5395" spans="19:21" x14ac:dyDescent="0.25">
      <c r="S5395" s="6" t="s">
        <v>302</v>
      </c>
      <c r="T5395" s="6">
        <f t="shared" si="101"/>
        <v>5394</v>
      </c>
      <c r="U5395" s="4" t="s">
        <v>194</v>
      </c>
    </row>
    <row r="5396" spans="19:21" x14ac:dyDescent="0.25">
      <c r="S5396" s="6" t="s">
        <v>302</v>
      </c>
      <c r="T5396" s="6">
        <f t="shared" si="101"/>
        <v>5395</v>
      </c>
      <c r="U5396" s="4" t="s">
        <v>194</v>
      </c>
    </row>
    <row r="5397" spans="19:21" x14ac:dyDescent="0.25">
      <c r="S5397" s="6" t="s">
        <v>302</v>
      </c>
      <c r="T5397" s="6">
        <f t="shared" si="101"/>
        <v>5396</v>
      </c>
      <c r="U5397" s="4" t="s">
        <v>194</v>
      </c>
    </row>
    <row r="5398" spans="19:21" x14ac:dyDescent="0.25">
      <c r="S5398" s="6" t="s">
        <v>302</v>
      </c>
      <c r="T5398" s="6">
        <f t="shared" si="101"/>
        <v>5397</v>
      </c>
      <c r="U5398" s="4" t="s">
        <v>194</v>
      </c>
    </row>
    <row r="5399" spans="19:21" x14ac:dyDescent="0.25">
      <c r="S5399" s="6" t="s">
        <v>302</v>
      </c>
      <c r="T5399" s="6">
        <f t="shared" si="101"/>
        <v>5398</v>
      </c>
      <c r="U5399" s="4" t="s">
        <v>194</v>
      </c>
    </row>
    <row r="5400" spans="19:21" x14ac:dyDescent="0.25">
      <c r="S5400" s="6" t="s">
        <v>302</v>
      </c>
      <c r="T5400" s="6">
        <f t="shared" si="101"/>
        <v>5399</v>
      </c>
      <c r="U5400" s="4" t="s">
        <v>194</v>
      </c>
    </row>
    <row r="5401" spans="19:21" x14ac:dyDescent="0.25">
      <c r="S5401" s="6" t="s">
        <v>302</v>
      </c>
      <c r="T5401" s="6">
        <f t="shared" si="101"/>
        <v>5400</v>
      </c>
      <c r="U5401" s="4" t="s">
        <v>194</v>
      </c>
    </row>
    <row r="5402" spans="19:21" x14ac:dyDescent="0.25">
      <c r="S5402" s="6" t="s">
        <v>302</v>
      </c>
      <c r="T5402" s="6">
        <f t="shared" si="101"/>
        <v>5401</v>
      </c>
      <c r="U5402" s="4" t="s">
        <v>194</v>
      </c>
    </row>
    <row r="5403" spans="19:21" x14ac:dyDescent="0.25">
      <c r="S5403" s="6" t="s">
        <v>302</v>
      </c>
      <c r="T5403" s="6">
        <f t="shared" si="101"/>
        <v>5402</v>
      </c>
      <c r="U5403" s="4" t="s">
        <v>194</v>
      </c>
    </row>
    <row r="5404" spans="19:21" x14ac:dyDescent="0.25">
      <c r="S5404" s="6" t="s">
        <v>302</v>
      </c>
      <c r="T5404" s="6">
        <f t="shared" si="101"/>
        <v>5403</v>
      </c>
      <c r="U5404" s="4" t="s">
        <v>194</v>
      </c>
    </row>
    <row r="5405" spans="19:21" x14ac:dyDescent="0.25">
      <c r="S5405" s="6" t="s">
        <v>302</v>
      </c>
      <c r="T5405" s="6">
        <f t="shared" si="101"/>
        <v>5404</v>
      </c>
      <c r="U5405" s="4" t="s">
        <v>194</v>
      </c>
    </row>
    <row r="5406" spans="19:21" x14ac:dyDescent="0.25">
      <c r="S5406" s="6" t="s">
        <v>302</v>
      </c>
      <c r="T5406" s="6">
        <f t="shared" ref="T5406:T5469" si="102">T5405+1</f>
        <v>5405</v>
      </c>
      <c r="U5406" s="4" t="s">
        <v>194</v>
      </c>
    </row>
    <row r="5407" spans="19:21" x14ac:dyDescent="0.25">
      <c r="S5407" s="6" t="s">
        <v>302</v>
      </c>
      <c r="T5407" s="6">
        <f t="shared" si="102"/>
        <v>5406</v>
      </c>
      <c r="U5407" s="4" t="s">
        <v>194</v>
      </c>
    </row>
    <row r="5408" spans="19:21" x14ac:dyDescent="0.25">
      <c r="S5408" s="6" t="s">
        <v>302</v>
      </c>
      <c r="T5408" s="6">
        <f t="shared" si="102"/>
        <v>5407</v>
      </c>
      <c r="U5408" s="4" t="s">
        <v>194</v>
      </c>
    </row>
    <row r="5409" spans="19:21" x14ac:dyDescent="0.25">
      <c r="S5409" s="6" t="s">
        <v>302</v>
      </c>
      <c r="T5409" s="6">
        <f t="shared" si="102"/>
        <v>5408</v>
      </c>
      <c r="U5409" s="4" t="s">
        <v>194</v>
      </c>
    </row>
    <row r="5410" spans="19:21" x14ac:dyDescent="0.25">
      <c r="S5410" s="6" t="s">
        <v>302</v>
      </c>
      <c r="T5410" s="6">
        <f t="shared" si="102"/>
        <v>5409</v>
      </c>
      <c r="U5410" s="4" t="s">
        <v>194</v>
      </c>
    </row>
    <row r="5411" spans="19:21" x14ac:dyDescent="0.25">
      <c r="S5411" s="6" t="s">
        <v>302</v>
      </c>
      <c r="T5411" s="6">
        <f t="shared" si="102"/>
        <v>5410</v>
      </c>
      <c r="U5411" s="4" t="s">
        <v>194</v>
      </c>
    </row>
    <row r="5412" spans="19:21" x14ac:dyDescent="0.25">
      <c r="S5412" s="6" t="s">
        <v>302</v>
      </c>
      <c r="T5412" s="6">
        <f t="shared" si="102"/>
        <v>5411</v>
      </c>
      <c r="U5412" s="4" t="s">
        <v>194</v>
      </c>
    </row>
    <row r="5413" spans="19:21" x14ac:dyDescent="0.25">
      <c r="S5413" s="6" t="s">
        <v>302</v>
      </c>
      <c r="T5413" s="6">
        <f t="shared" si="102"/>
        <v>5412</v>
      </c>
      <c r="U5413" s="4" t="s">
        <v>194</v>
      </c>
    </row>
    <row r="5414" spans="19:21" x14ac:dyDescent="0.25">
      <c r="S5414" s="6" t="s">
        <v>302</v>
      </c>
      <c r="T5414" s="6">
        <f t="shared" si="102"/>
        <v>5413</v>
      </c>
      <c r="U5414" s="4" t="s">
        <v>194</v>
      </c>
    </row>
    <row r="5415" spans="19:21" x14ac:dyDescent="0.25">
      <c r="S5415" s="6" t="s">
        <v>302</v>
      </c>
      <c r="T5415" s="6">
        <f t="shared" si="102"/>
        <v>5414</v>
      </c>
      <c r="U5415" s="4" t="s">
        <v>194</v>
      </c>
    </row>
    <row r="5416" spans="19:21" x14ac:dyDescent="0.25">
      <c r="S5416" s="6" t="s">
        <v>302</v>
      </c>
      <c r="T5416" s="6">
        <f t="shared" si="102"/>
        <v>5415</v>
      </c>
      <c r="U5416" s="4" t="s">
        <v>194</v>
      </c>
    </row>
    <row r="5417" spans="19:21" x14ac:dyDescent="0.25">
      <c r="S5417" s="6" t="s">
        <v>302</v>
      </c>
      <c r="T5417" s="6">
        <f t="shared" si="102"/>
        <v>5416</v>
      </c>
      <c r="U5417" s="4" t="s">
        <v>194</v>
      </c>
    </row>
    <row r="5418" spans="19:21" x14ac:dyDescent="0.25">
      <c r="S5418" s="6" t="s">
        <v>302</v>
      </c>
      <c r="T5418" s="6">
        <f t="shared" si="102"/>
        <v>5417</v>
      </c>
      <c r="U5418" s="4" t="s">
        <v>194</v>
      </c>
    </row>
    <row r="5419" spans="19:21" x14ac:dyDescent="0.25">
      <c r="S5419" s="6" t="s">
        <v>302</v>
      </c>
      <c r="T5419" s="6">
        <f t="shared" si="102"/>
        <v>5418</v>
      </c>
      <c r="U5419" s="4" t="s">
        <v>194</v>
      </c>
    </row>
    <row r="5420" spans="19:21" x14ac:dyDescent="0.25">
      <c r="S5420" s="6" t="s">
        <v>302</v>
      </c>
      <c r="T5420" s="6">
        <f t="shared" si="102"/>
        <v>5419</v>
      </c>
      <c r="U5420" s="4" t="s">
        <v>194</v>
      </c>
    </row>
    <row r="5421" spans="19:21" x14ac:dyDescent="0.25">
      <c r="S5421" s="6" t="s">
        <v>302</v>
      </c>
      <c r="T5421" s="6">
        <f t="shared" si="102"/>
        <v>5420</v>
      </c>
      <c r="U5421" s="4" t="s">
        <v>194</v>
      </c>
    </row>
    <row r="5422" spans="19:21" x14ac:dyDescent="0.25">
      <c r="S5422" s="6" t="s">
        <v>302</v>
      </c>
      <c r="T5422" s="6">
        <f t="shared" si="102"/>
        <v>5421</v>
      </c>
      <c r="U5422" s="4" t="s">
        <v>194</v>
      </c>
    </row>
    <row r="5423" spans="19:21" x14ac:dyDescent="0.25">
      <c r="S5423" s="6" t="s">
        <v>302</v>
      </c>
      <c r="T5423" s="6">
        <f t="shared" si="102"/>
        <v>5422</v>
      </c>
      <c r="U5423" s="4" t="s">
        <v>194</v>
      </c>
    </row>
    <row r="5424" spans="19:21" x14ac:dyDescent="0.25">
      <c r="S5424" s="6" t="s">
        <v>302</v>
      </c>
      <c r="T5424" s="6">
        <f t="shared" si="102"/>
        <v>5423</v>
      </c>
      <c r="U5424" s="4" t="s">
        <v>194</v>
      </c>
    </row>
    <row r="5425" spans="19:21" x14ac:dyDescent="0.25">
      <c r="S5425" s="6" t="s">
        <v>302</v>
      </c>
      <c r="T5425" s="6">
        <f t="shared" si="102"/>
        <v>5424</v>
      </c>
      <c r="U5425" s="4" t="s">
        <v>194</v>
      </c>
    </row>
    <row r="5426" spans="19:21" x14ac:dyDescent="0.25">
      <c r="S5426" s="6" t="s">
        <v>302</v>
      </c>
      <c r="T5426" s="6">
        <f t="shared" si="102"/>
        <v>5425</v>
      </c>
      <c r="U5426" s="4" t="s">
        <v>194</v>
      </c>
    </row>
    <row r="5427" spans="19:21" x14ac:dyDescent="0.25">
      <c r="S5427" s="6" t="s">
        <v>302</v>
      </c>
      <c r="T5427" s="6">
        <f t="shared" si="102"/>
        <v>5426</v>
      </c>
      <c r="U5427" s="4" t="s">
        <v>194</v>
      </c>
    </row>
    <row r="5428" spans="19:21" x14ac:dyDescent="0.25">
      <c r="S5428" s="6" t="s">
        <v>302</v>
      </c>
      <c r="T5428" s="6">
        <f t="shared" si="102"/>
        <v>5427</v>
      </c>
      <c r="U5428" s="4" t="s">
        <v>194</v>
      </c>
    </row>
    <row r="5429" spans="19:21" x14ac:dyDescent="0.25">
      <c r="S5429" s="6" t="s">
        <v>302</v>
      </c>
      <c r="T5429" s="6">
        <f t="shared" si="102"/>
        <v>5428</v>
      </c>
      <c r="U5429" s="4" t="s">
        <v>194</v>
      </c>
    </row>
    <row r="5430" spans="19:21" x14ac:dyDescent="0.25">
      <c r="S5430" s="6" t="s">
        <v>302</v>
      </c>
      <c r="T5430" s="6">
        <f t="shared" si="102"/>
        <v>5429</v>
      </c>
      <c r="U5430" s="4" t="s">
        <v>194</v>
      </c>
    </row>
    <row r="5431" spans="19:21" x14ac:dyDescent="0.25">
      <c r="S5431" s="6" t="s">
        <v>302</v>
      </c>
      <c r="T5431" s="6">
        <f t="shared" si="102"/>
        <v>5430</v>
      </c>
      <c r="U5431" s="4" t="s">
        <v>194</v>
      </c>
    </row>
    <row r="5432" spans="19:21" x14ac:dyDescent="0.25">
      <c r="S5432" s="6" t="s">
        <v>302</v>
      </c>
      <c r="T5432" s="6">
        <f t="shared" si="102"/>
        <v>5431</v>
      </c>
      <c r="U5432" s="4" t="s">
        <v>194</v>
      </c>
    </row>
    <row r="5433" spans="19:21" x14ac:dyDescent="0.25">
      <c r="S5433" s="6" t="s">
        <v>302</v>
      </c>
      <c r="T5433" s="6">
        <f t="shared" si="102"/>
        <v>5432</v>
      </c>
      <c r="U5433" s="4" t="s">
        <v>194</v>
      </c>
    </row>
    <row r="5434" spans="19:21" x14ac:dyDescent="0.25">
      <c r="S5434" s="6" t="s">
        <v>302</v>
      </c>
      <c r="T5434" s="6">
        <f t="shared" si="102"/>
        <v>5433</v>
      </c>
      <c r="U5434" s="4" t="s">
        <v>194</v>
      </c>
    </row>
    <row r="5435" spans="19:21" x14ac:dyDescent="0.25">
      <c r="S5435" s="6" t="s">
        <v>302</v>
      </c>
      <c r="T5435" s="6">
        <f t="shared" si="102"/>
        <v>5434</v>
      </c>
      <c r="U5435" s="4" t="s">
        <v>194</v>
      </c>
    </row>
    <row r="5436" spans="19:21" x14ac:dyDescent="0.25">
      <c r="S5436" s="6" t="s">
        <v>302</v>
      </c>
      <c r="T5436" s="6">
        <f t="shared" si="102"/>
        <v>5435</v>
      </c>
      <c r="U5436" s="4" t="s">
        <v>194</v>
      </c>
    </row>
    <row r="5437" spans="19:21" x14ac:dyDescent="0.25">
      <c r="S5437" s="6" t="s">
        <v>302</v>
      </c>
      <c r="T5437" s="6">
        <f t="shared" si="102"/>
        <v>5436</v>
      </c>
      <c r="U5437" s="4" t="s">
        <v>194</v>
      </c>
    </row>
    <row r="5438" spans="19:21" x14ac:dyDescent="0.25">
      <c r="S5438" s="6" t="s">
        <v>302</v>
      </c>
      <c r="T5438" s="6">
        <f t="shared" si="102"/>
        <v>5437</v>
      </c>
      <c r="U5438" s="4" t="s">
        <v>194</v>
      </c>
    </row>
    <row r="5439" spans="19:21" x14ac:dyDescent="0.25">
      <c r="S5439" s="6" t="s">
        <v>302</v>
      </c>
      <c r="T5439" s="6">
        <f t="shared" si="102"/>
        <v>5438</v>
      </c>
      <c r="U5439" s="4" t="s">
        <v>194</v>
      </c>
    </row>
    <row r="5440" spans="19:21" x14ac:dyDescent="0.25">
      <c r="S5440" s="6" t="s">
        <v>302</v>
      </c>
      <c r="T5440" s="6">
        <f t="shared" si="102"/>
        <v>5439</v>
      </c>
      <c r="U5440" s="4" t="s">
        <v>194</v>
      </c>
    </row>
    <row r="5441" spans="19:21" x14ac:dyDescent="0.25">
      <c r="S5441" s="6" t="s">
        <v>302</v>
      </c>
      <c r="T5441" s="6">
        <f t="shared" si="102"/>
        <v>5440</v>
      </c>
      <c r="U5441" s="4" t="s">
        <v>194</v>
      </c>
    </row>
    <row r="5442" spans="19:21" x14ac:dyDescent="0.25">
      <c r="S5442" s="6" t="s">
        <v>302</v>
      </c>
      <c r="T5442" s="6">
        <f t="shared" si="102"/>
        <v>5441</v>
      </c>
      <c r="U5442" s="4" t="s">
        <v>194</v>
      </c>
    </row>
    <row r="5443" spans="19:21" x14ac:dyDescent="0.25">
      <c r="S5443" s="6" t="s">
        <v>302</v>
      </c>
      <c r="T5443" s="6">
        <f t="shared" si="102"/>
        <v>5442</v>
      </c>
      <c r="U5443" s="4" t="s">
        <v>194</v>
      </c>
    </row>
    <row r="5444" spans="19:21" x14ac:dyDescent="0.25">
      <c r="S5444" s="6" t="s">
        <v>302</v>
      </c>
      <c r="T5444" s="6">
        <f t="shared" si="102"/>
        <v>5443</v>
      </c>
      <c r="U5444" s="4" t="s">
        <v>194</v>
      </c>
    </row>
    <row r="5445" spans="19:21" x14ac:dyDescent="0.25">
      <c r="S5445" s="6" t="s">
        <v>302</v>
      </c>
      <c r="T5445" s="6">
        <f t="shared" si="102"/>
        <v>5444</v>
      </c>
      <c r="U5445" s="4" t="s">
        <v>194</v>
      </c>
    </row>
    <row r="5446" spans="19:21" x14ac:dyDescent="0.25">
      <c r="S5446" s="6" t="s">
        <v>302</v>
      </c>
      <c r="T5446" s="6">
        <f t="shared" si="102"/>
        <v>5445</v>
      </c>
      <c r="U5446" s="4" t="s">
        <v>194</v>
      </c>
    </row>
    <row r="5447" spans="19:21" x14ac:dyDescent="0.25">
      <c r="S5447" s="6" t="s">
        <v>302</v>
      </c>
      <c r="T5447" s="6">
        <f t="shared" si="102"/>
        <v>5446</v>
      </c>
      <c r="U5447" s="4" t="s">
        <v>194</v>
      </c>
    </row>
    <row r="5448" spans="19:21" x14ac:dyDescent="0.25">
      <c r="S5448" s="6" t="s">
        <v>302</v>
      </c>
      <c r="T5448" s="6">
        <f t="shared" si="102"/>
        <v>5447</v>
      </c>
      <c r="U5448" s="4" t="s">
        <v>194</v>
      </c>
    </row>
    <row r="5449" spans="19:21" x14ac:dyDescent="0.25">
      <c r="S5449" s="6" t="s">
        <v>302</v>
      </c>
      <c r="T5449" s="6">
        <f t="shared" si="102"/>
        <v>5448</v>
      </c>
      <c r="U5449" s="4" t="s">
        <v>194</v>
      </c>
    </row>
    <row r="5450" spans="19:21" x14ac:dyDescent="0.25">
      <c r="S5450" s="6" t="s">
        <v>302</v>
      </c>
      <c r="T5450" s="6">
        <f t="shared" si="102"/>
        <v>5449</v>
      </c>
      <c r="U5450" s="4" t="s">
        <v>194</v>
      </c>
    </row>
    <row r="5451" spans="19:21" x14ac:dyDescent="0.25">
      <c r="S5451" s="6" t="s">
        <v>302</v>
      </c>
      <c r="T5451" s="6">
        <f t="shared" si="102"/>
        <v>5450</v>
      </c>
      <c r="U5451" s="4" t="s">
        <v>194</v>
      </c>
    </row>
    <row r="5452" spans="19:21" x14ac:dyDescent="0.25">
      <c r="S5452" s="6" t="s">
        <v>302</v>
      </c>
      <c r="T5452" s="6">
        <f t="shared" si="102"/>
        <v>5451</v>
      </c>
      <c r="U5452" s="4" t="s">
        <v>194</v>
      </c>
    </row>
    <row r="5453" spans="19:21" x14ac:dyDescent="0.25">
      <c r="S5453" s="6" t="s">
        <v>302</v>
      </c>
      <c r="T5453" s="6">
        <f t="shared" si="102"/>
        <v>5452</v>
      </c>
      <c r="U5453" s="4" t="s">
        <v>194</v>
      </c>
    </row>
    <row r="5454" spans="19:21" x14ac:dyDescent="0.25">
      <c r="S5454" s="6" t="s">
        <v>302</v>
      </c>
      <c r="T5454" s="6">
        <f t="shared" si="102"/>
        <v>5453</v>
      </c>
      <c r="U5454" s="4" t="s">
        <v>194</v>
      </c>
    </row>
    <row r="5455" spans="19:21" x14ac:dyDescent="0.25">
      <c r="S5455" s="6" t="s">
        <v>302</v>
      </c>
      <c r="T5455" s="6">
        <f t="shared" si="102"/>
        <v>5454</v>
      </c>
      <c r="U5455" s="4" t="s">
        <v>194</v>
      </c>
    </row>
    <row r="5456" spans="19:21" x14ac:dyDescent="0.25">
      <c r="S5456" s="6" t="s">
        <v>302</v>
      </c>
      <c r="T5456" s="6">
        <f t="shared" si="102"/>
        <v>5455</v>
      </c>
      <c r="U5456" s="4" t="s">
        <v>194</v>
      </c>
    </row>
    <row r="5457" spans="19:21" x14ac:dyDescent="0.25">
      <c r="S5457" s="6" t="s">
        <v>302</v>
      </c>
      <c r="T5457" s="6">
        <f t="shared" si="102"/>
        <v>5456</v>
      </c>
      <c r="U5457" s="4" t="s">
        <v>194</v>
      </c>
    </row>
    <row r="5458" spans="19:21" x14ac:dyDescent="0.25">
      <c r="S5458" s="6" t="s">
        <v>302</v>
      </c>
      <c r="T5458" s="6">
        <f t="shared" si="102"/>
        <v>5457</v>
      </c>
      <c r="U5458" s="4" t="s">
        <v>194</v>
      </c>
    </row>
    <row r="5459" spans="19:21" x14ac:dyDescent="0.25">
      <c r="S5459" s="6" t="s">
        <v>302</v>
      </c>
      <c r="T5459" s="6">
        <f t="shared" si="102"/>
        <v>5458</v>
      </c>
      <c r="U5459" s="4" t="s">
        <v>194</v>
      </c>
    </row>
    <row r="5460" spans="19:21" x14ac:dyDescent="0.25">
      <c r="S5460" s="6" t="s">
        <v>302</v>
      </c>
      <c r="T5460" s="6">
        <f t="shared" si="102"/>
        <v>5459</v>
      </c>
      <c r="U5460" s="4" t="s">
        <v>194</v>
      </c>
    </row>
    <row r="5461" spans="19:21" x14ac:dyDescent="0.25">
      <c r="S5461" s="6" t="s">
        <v>302</v>
      </c>
      <c r="T5461" s="6">
        <f t="shared" si="102"/>
        <v>5460</v>
      </c>
      <c r="U5461" s="4" t="s">
        <v>194</v>
      </c>
    </row>
    <row r="5462" spans="19:21" x14ac:dyDescent="0.25">
      <c r="S5462" s="6" t="s">
        <v>302</v>
      </c>
      <c r="T5462" s="6">
        <f t="shared" si="102"/>
        <v>5461</v>
      </c>
      <c r="U5462" s="4" t="s">
        <v>194</v>
      </c>
    </row>
    <row r="5463" spans="19:21" x14ac:dyDescent="0.25">
      <c r="S5463" s="6" t="s">
        <v>302</v>
      </c>
      <c r="T5463" s="6">
        <f t="shared" si="102"/>
        <v>5462</v>
      </c>
      <c r="U5463" s="4" t="s">
        <v>194</v>
      </c>
    </row>
    <row r="5464" spans="19:21" x14ac:dyDescent="0.25">
      <c r="S5464" s="6" t="s">
        <v>302</v>
      </c>
      <c r="T5464" s="6">
        <f t="shared" si="102"/>
        <v>5463</v>
      </c>
      <c r="U5464" s="4" t="s">
        <v>194</v>
      </c>
    </row>
    <row r="5465" spans="19:21" x14ac:dyDescent="0.25">
      <c r="S5465" s="6" t="s">
        <v>302</v>
      </c>
      <c r="T5465" s="6">
        <f t="shared" si="102"/>
        <v>5464</v>
      </c>
      <c r="U5465" s="4" t="s">
        <v>194</v>
      </c>
    </row>
    <row r="5466" spans="19:21" x14ac:dyDescent="0.25">
      <c r="S5466" s="6" t="s">
        <v>302</v>
      </c>
      <c r="T5466" s="6">
        <f t="shared" si="102"/>
        <v>5465</v>
      </c>
      <c r="U5466" s="4" t="s">
        <v>194</v>
      </c>
    </row>
    <row r="5467" spans="19:21" x14ac:dyDescent="0.25">
      <c r="S5467" s="6" t="s">
        <v>302</v>
      </c>
      <c r="T5467" s="6">
        <f t="shared" si="102"/>
        <v>5466</v>
      </c>
      <c r="U5467" s="4" t="s">
        <v>194</v>
      </c>
    </row>
    <row r="5468" spans="19:21" x14ac:dyDescent="0.25">
      <c r="S5468" s="6" t="s">
        <v>302</v>
      </c>
      <c r="T5468" s="6">
        <f t="shared" si="102"/>
        <v>5467</v>
      </c>
      <c r="U5468" s="4" t="s">
        <v>194</v>
      </c>
    </row>
    <row r="5469" spans="19:21" x14ac:dyDescent="0.25">
      <c r="S5469" s="6" t="s">
        <v>302</v>
      </c>
      <c r="T5469" s="6">
        <f t="shared" si="102"/>
        <v>5468</v>
      </c>
      <c r="U5469" s="4" t="s">
        <v>194</v>
      </c>
    </row>
    <row r="5470" spans="19:21" x14ac:dyDescent="0.25">
      <c r="S5470" s="6" t="s">
        <v>302</v>
      </c>
      <c r="T5470" s="6">
        <f t="shared" ref="T5470:T5533" si="103">T5469+1</f>
        <v>5469</v>
      </c>
      <c r="U5470" s="4" t="s">
        <v>194</v>
      </c>
    </row>
    <row r="5471" spans="19:21" x14ac:dyDescent="0.25">
      <c r="S5471" s="6" t="s">
        <v>302</v>
      </c>
      <c r="T5471" s="6">
        <f t="shared" si="103"/>
        <v>5470</v>
      </c>
      <c r="U5471" s="4" t="s">
        <v>194</v>
      </c>
    </row>
    <row r="5472" spans="19:21" x14ac:dyDescent="0.25">
      <c r="S5472" s="6" t="s">
        <v>302</v>
      </c>
      <c r="T5472" s="6">
        <f t="shared" si="103"/>
        <v>5471</v>
      </c>
      <c r="U5472" s="4" t="s">
        <v>194</v>
      </c>
    </row>
    <row r="5473" spans="19:21" x14ac:dyDescent="0.25">
      <c r="S5473" s="6" t="s">
        <v>302</v>
      </c>
      <c r="T5473" s="6">
        <f t="shared" si="103"/>
        <v>5472</v>
      </c>
      <c r="U5473" s="4" t="s">
        <v>194</v>
      </c>
    </row>
    <row r="5474" spans="19:21" x14ac:dyDescent="0.25">
      <c r="S5474" s="6" t="s">
        <v>302</v>
      </c>
      <c r="T5474" s="6">
        <f t="shared" si="103"/>
        <v>5473</v>
      </c>
      <c r="U5474" s="4" t="s">
        <v>194</v>
      </c>
    </row>
    <row r="5475" spans="19:21" x14ac:dyDescent="0.25">
      <c r="S5475" s="6" t="s">
        <v>302</v>
      </c>
      <c r="T5475" s="6">
        <f t="shared" si="103"/>
        <v>5474</v>
      </c>
      <c r="U5475" s="4" t="s">
        <v>194</v>
      </c>
    </row>
    <row r="5476" spans="19:21" x14ac:dyDescent="0.25">
      <c r="S5476" s="6" t="s">
        <v>302</v>
      </c>
      <c r="T5476" s="6">
        <f t="shared" si="103"/>
        <v>5475</v>
      </c>
      <c r="U5476" s="4" t="s">
        <v>194</v>
      </c>
    </row>
    <row r="5477" spans="19:21" x14ac:dyDescent="0.25">
      <c r="S5477" s="6" t="s">
        <v>302</v>
      </c>
      <c r="T5477" s="6">
        <f t="shared" si="103"/>
        <v>5476</v>
      </c>
      <c r="U5477" s="4" t="s">
        <v>194</v>
      </c>
    </row>
    <row r="5478" spans="19:21" x14ac:dyDescent="0.25">
      <c r="S5478" s="6" t="s">
        <v>302</v>
      </c>
      <c r="T5478" s="6">
        <f t="shared" si="103"/>
        <v>5477</v>
      </c>
      <c r="U5478" s="4" t="s">
        <v>194</v>
      </c>
    </row>
    <row r="5479" spans="19:21" x14ac:dyDescent="0.25">
      <c r="S5479" s="6" t="s">
        <v>302</v>
      </c>
      <c r="T5479" s="6">
        <f t="shared" si="103"/>
        <v>5478</v>
      </c>
      <c r="U5479" s="4" t="s">
        <v>194</v>
      </c>
    </row>
    <row r="5480" spans="19:21" x14ac:dyDescent="0.25">
      <c r="S5480" s="6" t="s">
        <v>302</v>
      </c>
      <c r="T5480" s="6">
        <f t="shared" si="103"/>
        <v>5479</v>
      </c>
      <c r="U5480" s="4" t="s">
        <v>194</v>
      </c>
    </row>
    <row r="5481" spans="19:21" x14ac:dyDescent="0.25">
      <c r="S5481" s="6" t="s">
        <v>302</v>
      </c>
      <c r="T5481" s="6">
        <f t="shared" si="103"/>
        <v>5480</v>
      </c>
      <c r="U5481" s="4" t="s">
        <v>194</v>
      </c>
    </row>
    <row r="5482" spans="19:21" x14ac:dyDescent="0.25">
      <c r="S5482" s="6" t="s">
        <v>302</v>
      </c>
      <c r="T5482" s="6">
        <f t="shared" si="103"/>
        <v>5481</v>
      </c>
      <c r="U5482" s="4" t="s">
        <v>194</v>
      </c>
    </row>
    <row r="5483" spans="19:21" x14ac:dyDescent="0.25">
      <c r="S5483" s="6" t="s">
        <v>302</v>
      </c>
      <c r="T5483" s="6">
        <f t="shared" si="103"/>
        <v>5482</v>
      </c>
      <c r="U5483" s="4" t="s">
        <v>194</v>
      </c>
    </row>
    <row r="5484" spans="19:21" x14ac:dyDescent="0.25">
      <c r="S5484" s="6" t="s">
        <v>302</v>
      </c>
      <c r="T5484" s="6">
        <f t="shared" si="103"/>
        <v>5483</v>
      </c>
      <c r="U5484" s="4" t="s">
        <v>194</v>
      </c>
    </row>
    <row r="5485" spans="19:21" x14ac:dyDescent="0.25">
      <c r="S5485" s="6" t="s">
        <v>302</v>
      </c>
      <c r="T5485" s="6">
        <f t="shared" si="103"/>
        <v>5484</v>
      </c>
      <c r="U5485" s="4" t="s">
        <v>194</v>
      </c>
    </row>
    <row r="5486" spans="19:21" x14ac:dyDescent="0.25">
      <c r="S5486" s="6" t="s">
        <v>302</v>
      </c>
      <c r="T5486" s="6">
        <f t="shared" si="103"/>
        <v>5485</v>
      </c>
      <c r="U5486" s="4" t="s">
        <v>194</v>
      </c>
    </row>
    <row r="5487" spans="19:21" x14ac:dyDescent="0.25">
      <c r="S5487" s="6" t="s">
        <v>302</v>
      </c>
      <c r="T5487" s="6">
        <f t="shared" si="103"/>
        <v>5486</v>
      </c>
      <c r="U5487" s="4" t="s">
        <v>194</v>
      </c>
    </row>
    <row r="5488" spans="19:21" x14ac:dyDescent="0.25">
      <c r="S5488" s="6" t="s">
        <v>302</v>
      </c>
      <c r="T5488" s="6">
        <f t="shared" si="103"/>
        <v>5487</v>
      </c>
      <c r="U5488" s="4" t="s">
        <v>194</v>
      </c>
    </row>
    <row r="5489" spans="19:21" x14ac:dyDescent="0.25">
      <c r="S5489" s="6" t="s">
        <v>302</v>
      </c>
      <c r="T5489" s="6">
        <f t="shared" si="103"/>
        <v>5488</v>
      </c>
      <c r="U5489" s="4" t="s">
        <v>194</v>
      </c>
    </row>
    <row r="5490" spans="19:21" x14ac:dyDescent="0.25">
      <c r="S5490" s="6" t="s">
        <v>302</v>
      </c>
      <c r="T5490" s="6">
        <f t="shared" si="103"/>
        <v>5489</v>
      </c>
      <c r="U5490" s="4" t="s">
        <v>194</v>
      </c>
    </row>
    <row r="5491" spans="19:21" x14ac:dyDescent="0.25">
      <c r="S5491" s="6" t="s">
        <v>302</v>
      </c>
      <c r="T5491" s="6">
        <f t="shared" si="103"/>
        <v>5490</v>
      </c>
      <c r="U5491" s="4" t="s">
        <v>194</v>
      </c>
    </row>
    <row r="5492" spans="19:21" x14ac:dyDescent="0.25">
      <c r="S5492" s="6" t="s">
        <v>302</v>
      </c>
      <c r="T5492" s="6">
        <f t="shared" si="103"/>
        <v>5491</v>
      </c>
      <c r="U5492" s="4" t="s">
        <v>194</v>
      </c>
    </row>
    <row r="5493" spans="19:21" x14ac:dyDescent="0.25">
      <c r="S5493" s="6" t="s">
        <v>302</v>
      </c>
      <c r="T5493" s="6">
        <f t="shared" si="103"/>
        <v>5492</v>
      </c>
      <c r="U5493" s="4" t="s">
        <v>194</v>
      </c>
    </row>
    <row r="5494" spans="19:21" x14ac:dyDescent="0.25">
      <c r="S5494" s="6" t="s">
        <v>302</v>
      </c>
      <c r="T5494" s="6">
        <f t="shared" si="103"/>
        <v>5493</v>
      </c>
      <c r="U5494" s="4" t="s">
        <v>194</v>
      </c>
    </row>
    <row r="5495" spans="19:21" x14ac:dyDescent="0.25">
      <c r="S5495" s="6" t="s">
        <v>302</v>
      </c>
      <c r="T5495" s="6">
        <f t="shared" si="103"/>
        <v>5494</v>
      </c>
      <c r="U5495" s="4" t="s">
        <v>194</v>
      </c>
    </row>
    <row r="5496" spans="19:21" x14ac:dyDescent="0.25">
      <c r="S5496" s="6" t="s">
        <v>302</v>
      </c>
      <c r="T5496" s="6">
        <f t="shared" si="103"/>
        <v>5495</v>
      </c>
      <c r="U5496" s="4" t="s">
        <v>194</v>
      </c>
    </row>
    <row r="5497" spans="19:21" x14ac:dyDescent="0.25">
      <c r="S5497" s="6" t="s">
        <v>302</v>
      </c>
      <c r="T5497" s="6">
        <f t="shared" si="103"/>
        <v>5496</v>
      </c>
      <c r="U5497" s="4" t="s">
        <v>194</v>
      </c>
    </row>
    <row r="5498" spans="19:21" x14ac:dyDescent="0.25">
      <c r="S5498" s="6" t="s">
        <v>302</v>
      </c>
      <c r="T5498" s="6">
        <f t="shared" si="103"/>
        <v>5497</v>
      </c>
      <c r="U5498" s="4" t="s">
        <v>194</v>
      </c>
    </row>
    <row r="5499" spans="19:21" x14ac:dyDescent="0.25">
      <c r="S5499" s="6" t="s">
        <v>302</v>
      </c>
      <c r="T5499" s="6">
        <f t="shared" si="103"/>
        <v>5498</v>
      </c>
      <c r="U5499" s="4" t="s">
        <v>194</v>
      </c>
    </row>
    <row r="5500" spans="19:21" x14ac:dyDescent="0.25">
      <c r="S5500" s="6" t="s">
        <v>302</v>
      </c>
      <c r="T5500" s="6">
        <f t="shared" si="103"/>
        <v>5499</v>
      </c>
      <c r="U5500" s="4" t="s">
        <v>194</v>
      </c>
    </row>
    <row r="5501" spans="19:21" x14ac:dyDescent="0.25">
      <c r="S5501" s="6" t="s">
        <v>302</v>
      </c>
      <c r="T5501" s="6">
        <f t="shared" si="103"/>
        <v>5500</v>
      </c>
      <c r="U5501" s="4" t="s">
        <v>194</v>
      </c>
    </row>
    <row r="5502" spans="19:21" x14ac:dyDescent="0.25">
      <c r="S5502" s="6" t="s">
        <v>302</v>
      </c>
      <c r="T5502" s="6">
        <f t="shared" si="103"/>
        <v>5501</v>
      </c>
      <c r="U5502" s="4" t="s">
        <v>194</v>
      </c>
    </row>
    <row r="5503" spans="19:21" x14ac:dyDescent="0.25">
      <c r="S5503" s="6" t="s">
        <v>302</v>
      </c>
      <c r="T5503" s="6">
        <f t="shared" si="103"/>
        <v>5502</v>
      </c>
      <c r="U5503" s="4" t="s">
        <v>194</v>
      </c>
    </row>
    <row r="5504" spans="19:21" x14ac:dyDescent="0.25">
      <c r="S5504" s="6" t="s">
        <v>302</v>
      </c>
      <c r="T5504" s="6">
        <f t="shared" si="103"/>
        <v>5503</v>
      </c>
      <c r="U5504" s="4" t="s">
        <v>194</v>
      </c>
    </row>
    <row r="5505" spans="19:21" x14ac:dyDescent="0.25">
      <c r="S5505" s="6" t="s">
        <v>302</v>
      </c>
      <c r="T5505" s="6">
        <f t="shared" si="103"/>
        <v>5504</v>
      </c>
      <c r="U5505" s="4" t="s">
        <v>194</v>
      </c>
    </row>
    <row r="5506" spans="19:21" x14ac:dyDescent="0.25">
      <c r="S5506" s="6" t="s">
        <v>302</v>
      </c>
      <c r="T5506" s="6">
        <f t="shared" si="103"/>
        <v>5505</v>
      </c>
      <c r="U5506" s="4" t="s">
        <v>194</v>
      </c>
    </row>
    <row r="5507" spans="19:21" x14ac:dyDescent="0.25">
      <c r="S5507" s="6" t="s">
        <v>302</v>
      </c>
      <c r="T5507" s="6">
        <f t="shared" si="103"/>
        <v>5506</v>
      </c>
      <c r="U5507" s="4" t="s">
        <v>194</v>
      </c>
    </row>
    <row r="5508" spans="19:21" x14ac:dyDescent="0.25">
      <c r="S5508" s="6" t="s">
        <v>302</v>
      </c>
      <c r="T5508" s="6">
        <f t="shared" si="103"/>
        <v>5507</v>
      </c>
      <c r="U5508" s="4" t="s">
        <v>194</v>
      </c>
    </row>
    <row r="5509" spans="19:21" x14ac:dyDescent="0.25">
      <c r="S5509" s="6" t="s">
        <v>302</v>
      </c>
      <c r="T5509" s="6">
        <f t="shared" si="103"/>
        <v>5508</v>
      </c>
      <c r="U5509" s="4" t="s">
        <v>194</v>
      </c>
    </row>
    <row r="5510" spans="19:21" x14ac:dyDescent="0.25">
      <c r="S5510" s="6" t="s">
        <v>302</v>
      </c>
      <c r="T5510" s="6">
        <f t="shared" si="103"/>
        <v>5509</v>
      </c>
      <c r="U5510" s="4" t="s">
        <v>194</v>
      </c>
    </row>
    <row r="5511" spans="19:21" x14ac:dyDescent="0.25">
      <c r="S5511" s="6" t="s">
        <v>302</v>
      </c>
      <c r="T5511" s="6">
        <f t="shared" si="103"/>
        <v>5510</v>
      </c>
      <c r="U5511" s="4" t="s">
        <v>194</v>
      </c>
    </row>
    <row r="5512" spans="19:21" x14ac:dyDescent="0.25">
      <c r="S5512" s="6" t="s">
        <v>302</v>
      </c>
      <c r="T5512" s="6">
        <f t="shared" si="103"/>
        <v>5511</v>
      </c>
      <c r="U5512" s="4" t="s">
        <v>194</v>
      </c>
    </row>
    <row r="5513" spans="19:21" x14ac:dyDescent="0.25">
      <c r="S5513" s="6" t="s">
        <v>302</v>
      </c>
      <c r="T5513" s="6">
        <f t="shared" si="103"/>
        <v>5512</v>
      </c>
      <c r="U5513" s="4" t="s">
        <v>194</v>
      </c>
    </row>
    <row r="5514" spans="19:21" x14ac:dyDescent="0.25">
      <c r="S5514" s="6" t="s">
        <v>302</v>
      </c>
      <c r="T5514" s="6">
        <f t="shared" si="103"/>
        <v>5513</v>
      </c>
      <c r="U5514" s="4" t="s">
        <v>194</v>
      </c>
    </row>
    <row r="5515" spans="19:21" x14ac:dyDescent="0.25">
      <c r="S5515" s="6" t="s">
        <v>302</v>
      </c>
      <c r="T5515" s="6">
        <f t="shared" si="103"/>
        <v>5514</v>
      </c>
      <c r="U5515" s="4" t="s">
        <v>194</v>
      </c>
    </row>
    <row r="5516" spans="19:21" x14ac:dyDescent="0.25">
      <c r="S5516" s="6" t="s">
        <v>302</v>
      </c>
      <c r="T5516" s="6">
        <f t="shared" si="103"/>
        <v>5515</v>
      </c>
      <c r="U5516" s="4" t="s">
        <v>194</v>
      </c>
    </row>
    <row r="5517" spans="19:21" x14ac:dyDescent="0.25">
      <c r="S5517" s="6" t="s">
        <v>302</v>
      </c>
      <c r="T5517" s="6">
        <f t="shared" si="103"/>
        <v>5516</v>
      </c>
      <c r="U5517" s="4" t="s">
        <v>194</v>
      </c>
    </row>
    <row r="5518" spans="19:21" x14ac:dyDescent="0.25">
      <c r="S5518" s="6" t="s">
        <v>302</v>
      </c>
      <c r="T5518" s="6">
        <f t="shared" si="103"/>
        <v>5517</v>
      </c>
      <c r="U5518" s="4" t="s">
        <v>194</v>
      </c>
    </row>
    <row r="5519" spans="19:21" x14ac:dyDescent="0.25">
      <c r="S5519" s="6" t="s">
        <v>302</v>
      </c>
      <c r="T5519" s="6">
        <f t="shared" si="103"/>
        <v>5518</v>
      </c>
      <c r="U5519" s="4" t="s">
        <v>194</v>
      </c>
    </row>
    <row r="5520" spans="19:21" x14ac:dyDescent="0.25">
      <c r="S5520" s="6" t="s">
        <v>302</v>
      </c>
      <c r="T5520" s="6">
        <f t="shared" si="103"/>
        <v>5519</v>
      </c>
      <c r="U5520" s="4" t="s">
        <v>194</v>
      </c>
    </row>
    <row r="5521" spans="19:21" x14ac:dyDescent="0.25">
      <c r="S5521" s="6" t="s">
        <v>302</v>
      </c>
      <c r="T5521" s="6">
        <f t="shared" si="103"/>
        <v>5520</v>
      </c>
      <c r="U5521" s="4" t="s">
        <v>194</v>
      </c>
    </row>
    <row r="5522" spans="19:21" x14ac:dyDescent="0.25">
      <c r="S5522" s="6" t="s">
        <v>302</v>
      </c>
      <c r="T5522" s="6">
        <f t="shared" si="103"/>
        <v>5521</v>
      </c>
      <c r="U5522" s="4" t="s">
        <v>194</v>
      </c>
    </row>
    <row r="5523" spans="19:21" x14ac:dyDescent="0.25">
      <c r="S5523" s="6" t="s">
        <v>302</v>
      </c>
      <c r="T5523" s="6">
        <f t="shared" si="103"/>
        <v>5522</v>
      </c>
      <c r="U5523" s="4" t="s">
        <v>194</v>
      </c>
    </row>
    <row r="5524" spans="19:21" x14ac:dyDescent="0.25">
      <c r="S5524" s="6" t="s">
        <v>302</v>
      </c>
      <c r="T5524" s="6">
        <f t="shared" si="103"/>
        <v>5523</v>
      </c>
      <c r="U5524" s="4" t="s">
        <v>194</v>
      </c>
    </row>
    <row r="5525" spans="19:21" x14ac:dyDescent="0.25">
      <c r="S5525" s="6" t="s">
        <v>302</v>
      </c>
      <c r="T5525" s="6">
        <f t="shared" si="103"/>
        <v>5524</v>
      </c>
      <c r="U5525" s="4" t="s">
        <v>194</v>
      </c>
    </row>
    <row r="5526" spans="19:21" x14ac:dyDescent="0.25">
      <c r="S5526" s="6" t="s">
        <v>302</v>
      </c>
      <c r="T5526" s="6">
        <f t="shared" si="103"/>
        <v>5525</v>
      </c>
      <c r="U5526" s="4" t="s">
        <v>194</v>
      </c>
    </row>
    <row r="5527" spans="19:21" x14ac:dyDescent="0.25">
      <c r="S5527" s="6" t="s">
        <v>302</v>
      </c>
      <c r="T5527" s="6">
        <f t="shared" si="103"/>
        <v>5526</v>
      </c>
      <c r="U5527" s="4" t="s">
        <v>194</v>
      </c>
    </row>
    <row r="5528" spans="19:21" x14ac:dyDescent="0.25">
      <c r="S5528" s="6" t="s">
        <v>302</v>
      </c>
      <c r="T5528" s="6">
        <f t="shared" si="103"/>
        <v>5527</v>
      </c>
      <c r="U5528" s="4" t="s">
        <v>194</v>
      </c>
    </row>
    <row r="5529" spans="19:21" x14ac:dyDescent="0.25">
      <c r="S5529" s="6" t="s">
        <v>302</v>
      </c>
      <c r="T5529" s="6">
        <f t="shared" si="103"/>
        <v>5528</v>
      </c>
      <c r="U5529" s="4" t="s">
        <v>194</v>
      </c>
    </row>
    <row r="5530" spans="19:21" x14ac:dyDescent="0.25">
      <c r="S5530" s="6" t="s">
        <v>302</v>
      </c>
      <c r="T5530" s="6">
        <f t="shared" si="103"/>
        <v>5529</v>
      </c>
      <c r="U5530" s="4" t="s">
        <v>194</v>
      </c>
    </row>
    <row r="5531" spans="19:21" x14ac:dyDescent="0.25">
      <c r="S5531" s="6" t="s">
        <v>302</v>
      </c>
      <c r="T5531" s="6">
        <f t="shared" si="103"/>
        <v>5530</v>
      </c>
      <c r="U5531" s="4" t="s">
        <v>194</v>
      </c>
    </row>
    <row r="5532" spans="19:21" x14ac:dyDescent="0.25">
      <c r="S5532" s="6" t="s">
        <v>302</v>
      </c>
      <c r="T5532" s="6">
        <f t="shared" si="103"/>
        <v>5531</v>
      </c>
      <c r="U5532" s="4" t="s">
        <v>194</v>
      </c>
    </row>
    <row r="5533" spans="19:21" x14ac:dyDescent="0.25">
      <c r="S5533" s="6" t="s">
        <v>302</v>
      </c>
      <c r="T5533" s="6">
        <f t="shared" si="103"/>
        <v>5532</v>
      </c>
      <c r="U5533" s="4" t="s">
        <v>194</v>
      </c>
    </row>
    <row r="5534" spans="19:21" x14ac:dyDescent="0.25">
      <c r="S5534" s="6" t="s">
        <v>302</v>
      </c>
      <c r="T5534" s="6">
        <f t="shared" ref="T5534:T5597" si="104">T5533+1</f>
        <v>5533</v>
      </c>
      <c r="U5534" s="4" t="s">
        <v>194</v>
      </c>
    </row>
    <row r="5535" spans="19:21" x14ac:dyDescent="0.25">
      <c r="S5535" s="6" t="s">
        <v>302</v>
      </c>
      <c r="T5535" s="6">
        <f t="shared" si="104"/>
        <v>5534</v>
      </c>
      <c r="U5535" s="4" t="s">
        <v>194</v>
      </c>
    </row>
    <row r="5536" spans="19:21" x14ac:dyDescent="0.25">
      <c r="S5536" s="6" t="s">
        <v>302</v>
      </c>
      <c r="T5536" s="6">
        <f t="shared" si="104"/>
        <v>5535</v>
      </c>
      <c r="U5536" s="4" t="s">
        <v>194</v>
      </c>
    </row>
    <row r="5537" spans="19:21" x14ac:dyDescent="0.25">
      <c r="S5537" s="6" t="s">
        <v>302</v>
      </c>
      <c r="T5537" s="6">
        <f t="shared" si="104"/>
        <v>5536</v>
      </c>
      <c r="U5537" s="4" t="s">
        <v>194</v>
      </c>
    </row>
    <row r="5538" spans="19:21" x14ac:dyDescent="0.25">
      <c r="S5538" s="6" t="s">
        <v>302</v>
      </c>
      <c r="T5538" s="6">
        <f t="shared" si="104"/>
        <v>5537</v>
      </c>
      <c r="U5538" s="4" t="s">
        <v>194</v>
      </c>
    </row>
    <row r="5539" spans="19:21" x14ac:dyDescent="0.25">
      <c r="S5539" s="6" t="s">
        <v>302</v>
      </c>
      <c r="T5539" s="6">
        <f t="shared" si="104"/>
        <v>5538</v>
      </c>
      <c r="U5539" s="4" t="s">
        <v>194</v>
      </c>
    </row>
    <row r="5540" spans="19:21" x14ac:dyDescent="0.25">
      <c r="S5540" s="6" t="s">
        <v>302</v>
      </c>
      <c r="T5540" s="6">
        <f t="shared" si="104"/>
        <v>5539</v>
      </c>
      <c r="U5540" s="4" t="s">
        <v>194</v>
      </c>
    </row>
    <row r="5541" spans="19:21" x14ac:dyDescent="0.25">
      <c r="S5541" s="6" t="s">
        <v>302</v>
      </c>
      <c r="T5541" s="6">
        <f t="shared" si="104"/>
        <v>5540</v>
      </c>
      <c r="U5541" s="4" t="s">
        <v>194</v>
      </c>
    </row>
    <row r="5542" spans="19:21" x14ac:dyDescent="0.25">
      <c r="S5542" s="6" t="s">
        <v>302</v>
      </c>
      <c r="T5542" s="6">
        <f t="shared" si="104"/>
        <v>5541</v>
      </c>
      <c r="U5542" s="4" t="s">
        <v>194</v>
      </c>
    </row>
    <row r="5543" spans="19:21" x14ac:dyDescent="0.25">
      <c r="S5543" s="6" t="s">
        <v>302</v>
      </c>
      <c r="T5543" s="6">
        <f t="shared" si="104"/>
        <v>5542</v>
      </c>
      <c r="U5543" s="4" t="s">
        <v>194</v>
      </c>
    </row>
    <row r="5544" spans="19:21" x14ac:dyDescent="0.25">
      <c r="S5544" s="6" t="s">
        <v>302</v>
      </c>
      <c r="T5544" s="6">
        <f t="shared" si="104"/>
        <v>5543</v>
      </c>
      <c r="U5544" s="4" t="s">
        <v>194</v>
      </c>
    </row>
    <row r="5545" spans="19:21" x14ac:dyDescent="0.25">
      <c r="S5545" s="6" t="s">
        <v>302</v>
      </c>
      <c r="T5545" s="6">
        <f t="shared" si="104"/>
        <v>5544</v>
      </c>
      <c r="U5545" s="4" t="s">
        <v>194</v>
      </c>
    </row>
    <row r="5546" spans="19:21" x14ac:dyDescent="0.25">
      <c r="S5546" s="6" t="s">
        <v>302</v>
      </c>
      <c r="T5546" s="6">
        <f t="shared" si="104"/>
        <v>5545</v>
      </c>
      <c r="U5546" s="4" t="s">
        <v>194</v>
      </c>
    </row>
    <row r="5547" spans="19:21" x14ac:dyDescent="0.25">
      <c r="S5547" s="6" t="s">
        <v>302</v>
      </c>
      <c r="T5547" s="6">
        <f t="shared" si="104"/>
        <v>5546</v>
      </c>
      <c r="U5547" s="4" t="s">
        <v>194</v>
      </c>
    </row>
    <row r="5548" spans="19:21" x14ac:dyDescent="0.25">
      <c r="S5548" s="6" t="s">
        <v>302</v>
      </c>
      <c r="T5548" s="6">
        <f t="shared" si="104"/>
        <v>5547</v>
      </c>
      <c r="U5548" s="4" t="s">
        <v>194</v>
      </c>
    </row>
    <row r="5549" spans="19:21" x14ac:dyDescent="0.25">
      <c r="S5549" s="6" t="s">
        <v>302</v>
      </c>
      <c r="T5549" s="6">
        <f t="shared" si="104"/>
        <v>5548</v>
      </c>
      <c r="U5549" s="4" t="s">
        <v>194</v>
      </c>
    </row>
    <row r="5550" spans="19:21" x14ac:dyDescent="0.25">
      <c r="S5550" s="6" t="s">
        <v>302</v>
      </c>
      <c r="T5550" s="6">
        <f t="shared" si="104"/>
        <v>5549</v>
      </c>
      <c r="U5550" s="4" t="s">
        <v>194</v>
      </c>
    </row>
    <row r="5551" spans="19:21" x14ac:dyDescent="0.25">
      <c r="S5551" s="6" t="s">
        <v>302</v>
      </c>
      <c r="T5551" s="6">
        <f t="shared" si="104"/>
        <v>5550</v>
      </c>
      <c r="U5551" s="4" t="s">
        <v>194</v>
      </c>
    </row>
    <row r="5552" spans="19:21" x14ac:dyDescent="0.25">
      <c r="S5552" s="6" t="s">
        <v>302</v>
      </c>
      <c r="T5552" s="6">
        <f t="shared" si="104"/>
        <v>5551</v>
      </c>
      <c r="U5552" s="4" t="s">
        <v>194</v>
      </c>
    </row>
    <row r="5553" spans="19:21" x14ac:dyDescent="0.25">
      <c r="S5553" s="6" t="s">
        <v>302</v>
      </c>
      <c r="T5553" s="6">
        <f t="shared" si="104"/>
        <v>5552</v>
      </c>
      <c r="U5553" s="4" t="s">
        <v>194</v>
      </c>
    </row>
    <row r="5554" spans="19:21" x14ac:dyDescent="0.25">
      <c r="S5554" s="6" t="s">
        <v>302</v>
      </c>
      <c r="T5554" s="6">
        <f t="shared" si="104"/>
        <v>5553</v>
      </c>
      <c r="U5554" s="4" t="s">
        <v>194</v>
      </c>
    </row>
    <row r="5555" spans="19:21" x14ac:dyDescent="0.25">
      <c r="S5555" s="6" t="s">
        <v>302</v>
      </c>
      <c r="T5555" s="6">
        <f t="shared" si="104"/>
        <v>5554</v>
      </c>
      <c r="U5555" s="4" t="s">
        <v>194</v>
      </c>
    </row>
    <row r="5556" spans="19:21" x14ac:dyDescent="0.25">
      <c r="S5556" s="6" t="s">
        <v>302</v>
      </c>
      <c r="T5556" s="6">
        <f t="shared" si="104"/>
        <v>5555</v>
      </c>
      <c r="U5556" s="4" t="s">
        <v>194</v>
      </c>
    </row>
    <row r="5557" spans="19:21" x14ac:dyDescent="0.25">
      <c r="S5557" s="6" t="s">
        <v>302</v>
      </c>
      <c r="T5557" s="6">
        <f t="shared" si="104"/>
        <v>5556</v>
      </c>
      <c r="U5557" s="4" t="s">
        <v>194</v>
      </c>
    </row>
    <row r="5558" spans="19:21" x14ac:dyDescent="0.25">
      <c r="S5558" s="6" t="s">
        <v>302</v>
      </c>
      <c r="T5558" s="6">
        <f t="shared" si="104"/>
        <v>5557</v>
      </c>
      <c r="U5558" s="4" t="s">
        <v>194</v>
      </c>
    </row>
    <row r="5559" spans="19:21" x14ac:dyDescent="0.25">
      <c r="S5559" s="6" t="s">
        <v>302</v>
      </c>
      <c r="T5559" s="6">
        <f t="shared" si="104"/>
        <v>5558</v>
      </c>
      <c r="U5559" s="4" t="s">
        <v>194</v>
      </c>
    </row>
    <row r="5560" spans="19:21" x14ac:dyDescent="0.25">
      <c r="S5560" s="6" t="s">
        <v>302</v>
      </c>
      <c r="T5560" s="6">
        <f t="shared" si="104"/>
        <v>5559</v>
      </c>
      <c r="U5560" s="4" t="s">
        <v>194</v>
      </c>
    </row>
    <row r="5561" spans="19:21" x14ac:dyDescent="0.25">
      <c r="S5561" s="6" t="s">
        <v>302</v>
      </c>
      <c r="T5561" s="6">
        <f t="shared" si="104"/>
        <v>5560</v>
      </c>
      <c r="U5561" s="4" t="s">
        <v>194</v>
      </c>
    </row>
    <row r="5562" spans="19:21" x14ac:dyDescent="0.25">
      <c r="S5562" s="6" t="s">
        <v>302</v>
      </c>
      <c r="T5562" s="6">
        <f t="shared" si="104"/>
        <v>5561</v>
      </c>
      <c r="U5562" s="4" t="s">
        <v>194</v>
      </c>
    </row>
    <row r="5563" spans="19:21" x14ac:dyDescent="0.25">
      <c r="S5563" s="6" t="s">
        <v>302</v>
      </c>
      <c r="T5563" s="6">
        <f t="shared" si="104"/>
        <v>5562</v>
      </c>
      <c r="U5563" s="4" t="s">
        <v>194</v>
      </c>
    </row>
    <row r="5564" spans="19:21" x14ac:dyDescent="0.25">
      <c r="S5564" s="6" t="s">
        <v>302</v>
      </c>
      <c r="T5564" s="6">
        <f t="shared" si="104"/>
        <v>5563</v>
      </c>
      <c r="U5564" s="4" t="s">
        <v>194</v>
      </c>
    </row>
    <row r="5565" spans="19:21" x14ac:dyDescent="0.25">
      <c r="S5565" s="6" t="s">
        <v>302</v>
      </c>
      <c r="T5565" s="6">
        <f t="shared" si="104"/>
        <v>5564</v>
      </c>
      <c r="U5565" s="4" t="s">
        <v>194</v>
      </c>
    </row>
    <row r="5566" spans="19:21" x14ac:dyDescent="0.25">
      <c r="S5566" s="6" t="s">
        <v>302</v>
      </c>
      <c r="T5566" s="6">
        <f t="shared" si="104"/>
        <v>5565</v>
      </c>
      <c r="U5566" s="4" t="s">
        <v>194</v>
      </c>
    </row>
    <row r="5567" spans="19:21" x14ac:dyDescent="0.25">
      <c r="S5567" s="6" t="s">
        <v>302</v>
      </c>
      <c r="T5567" s="6">
        <f t="shared" si="104"/>
        <v>5566</v>
      </c>
      <c r="U5567" s="4" t="s">
        <v>194</v>
      </c>
    </row>
    <row r="5568" spans="19:21" x14ac:dyDescent="0.25">
      <c r="S5568" s="6" t="s">
        <v>302</v>
      </c>
      <c r="T5568" s="6">
        <f t="shared" si="104"/>
        <v>5567</v>
      </c>
      <c r="U5568" s="4" t="s">
        <v>194</v>
      </c>
    </row>
    <row r="5569" spans="19:21" x14ac:dyDescent="0.25">
      <c r="S5569" s="6" t="s">
        <v>302</v>
      </c>
      <c r="T5569" s="6">
        <f t="shared" si="104"/>
        <v>5568</v>
      </c>
      <c r="U5569" s="4" t="s">
        <v>194</v>
      </c>
    </row>
    <row r="5570" spans="19:21" x14ac:dyDescent="0.25">
      <c r="S5570" s="6" t="s">
        <v>302</v>
      </c>
      <c r="T5570" s="6">
        <f t="shared" si="104"/>
        <v>5569</v>
      </c>
      <c r="U5570" s="4" t="s">
        <v>194</v>
      </c>
    </row>
    <row r="5571" spans="19:21" x14ac:dyDescent="0.25">
      <c r="S5571" s="6" t="s">
        <v>302</v>
      </c>
      <c r="T5571" s="6">
        <f t="shared" si="104"/>
        <v>5570</v>
      </c>
      <c r="U5571" s="4" t="s">
        <v>194</v>
      </c>
    </row>
    <row r="5572" spans="19:21" x14ac:dyDescent="0.25">
      <c r="S5572" s="6" t="s">
        <v>302</v>
      </c>
      <c r="T5572" s="6">
        <f t="shared" si="104"/>
        <v>5571</v>
      </c>
      <c r="U5572" s="4" t="s">
        <v>194</v>
      </c>
    </row>
    <row r="5573" spans="19:21" x14ac:dyDescent="0.25">
      <c r="S5573" s="6" t="s">
        <v>302</v>
      </c>
      <c r="T5573" s="6">
        <f t="shared" si="104"/>
        <v>5572</v>
      </c>
      <c r="U5573" s="4" t="s">
        <v>194</v>
      </c>
    </row>
    <row r="5574" spans="19:21" x14ac:dyDescent="0.25">
      <c r="S5574" s="6" t="s">
        <v>302</v>
      </c>
      <c r="T5574" s="6">
        <f t="shared" si="104"/>
        <v>5573</v>
      </c>
      <c r="U5574" s="4" t="s">
        <v>194</v>
      </c>
    </row>
    <row r="5575" spans="19:21" x14ac:dyDescent="0.25">
      <c r="S5575" s="6" t="s">
        <v>302</v>
      </c>
      <c r="T5575" s="6">
        <f t="shared" si="104"/>
        <v>5574</v>
      </c>
      <c r="U5575" s="4" t="s">
        <v>194</v>
      </c>
    </row>
    <row r="5576" spans="19:21" x14ac:dyDescent="0.25">
      <c r="S5576" s="6" t="s">
        <v>302</v>
      </c>
      <c r="T5576" s="6">
        <f t="shared" si="104"/>
        <v>5575</v>
      </c>
      <c r="U5576" s="4" t="s">
        <v>194</v>
      </c>
    </row>
    <row r="5577" spans="19:21" x14ac:dyDescent="0.25">
      <c r="S5577" s="6" t="s">
        <v>302</v>
      </c>
      <c r="T5577" s="6">
        <f t="shared" si="104"/>
        <v>5576</v>
      </c>
      <c r="U5577" s="4" t="s">
        <v>194</v>
      </c>
    </row>
    <row r="5578" spans="19:21" x14ac:dyDescent="0.25">
      <c r="S5578" s="6" t="s">
        <v>302</v>
      </c>
      <c r="T5578" s="6">
        <f t="shared" si="104"/>
        <v>5577</v>
      </c>
      <c r="U5578" s="4" t="s">
        <v>194</v>
      </c>
    </row>
    <row r="5579" spans="19:21" x14ac:dyDescent="0.25">
      <c r="S5579" s="6" t="s">
        <v>302</v>
      </c>
      <c r="T5579" s="6">
        <f t="shared" si="104"/>
        <v>5578</v>
      </c>
      <c r="U5579" s="4" t="s">
        <v>194</v>
      </c>
    </row>
    <row r="5580" spans="19:21" x14ac:dyDescent="0.25">
      <c r="S5580" s="6" t="s">
        <v>302</v>
      </c>
      <c r="T5580" s="6">
        <f t="shared" si="104"/>
        <v>5579</v>
      </c>
      <c r="U5580" s="4" t="s">
        <v>194</v>
      </c>
    </row>
    <row r="5581" spans="19:21" x14ac:dyDescent="0.25">
      <c r="S5581" s="6" t="s">
        <v>302</v>
      </c>
      <c r="T5581" s="6">
        <f t="shared" si="104"/>
        <v>5580</v>
      </c>
      <c r="U5581" s="4" t="s">
        <v>194</v>
      </c>
    </row>
    <row r="5582" spans="19:21" x14ac:dyDescent="0.25">
      <c r="S5582" s="6" t="s">
        <v>302</v>
      </c>
      <c r="T5582" s="6">
        <f t="shared" si="104"/>
        <v>5581</v>
      </c>
      <c r="U5582" s="4" t="s">
        <v>194</v>
      </c>
    </row>
    <row r="5583" spans="19:21" x14ac:dyDescent="0.25">
      <c r="S5583" s="6" t="s">
        <v>302</v>
      </c>
      <c r="T5583" s="6">
        <f t="shared" si="104"/>
        <v>5582</v>
      </c>
      <c r="U5583" s="4" t="s">
        <v>194</v>
      </c>
    </row>
    <row r="5584" spans="19:21" x14ac:dyDescent="0.25">
      <c r="S5584" s="6" t="s">
        <v>302</v>
      </c>
      <c r="T5584" s="6">
        <f t="shared" si="104"/>
        <v>5583</v>
      </c>
      <c r="U5584" s="4" t="s">
        <v>194</v>
      </c>
    </row>
    <row r="5585" spans="19:21" x14ac:dyDescent="0.25">
      <c r="S5585" s="6" t="s">
        <v>302</v>
      </c>
      <c r="T5585" s="6">
        <f t="shared" si="104"/>
        <v>5584</v>
      </c>
      <c r="U5585" s="4" t="s">
        <v>194</v>
      </c>
    </row>
    <row r="5586" spans="19:21" x14ac:dyDescent="0.25">
      <c r="S5586" s="6" t="s">
        <v>302</v>
      </c>
      <c r="T5586" s="6">
        <f t="shared" si="104"/>
        <v>5585</v>
      </c>
      <c r="U5586" s="4" t="s">
        <v>194</v>
      </c>
    </row>
    <row r="5587" spans="19:21" x14ac:dyDescent="0.25">
      <c r="S5587" s="6" t="s">
        <v>302</v>
      </c>
      <c r="T5587" s="6">
        <f t="shared" si="104"/>
        <v>5586</v>
      </c>
      <c r="U5587" s="4" t="s">
        <v>194</v>
      </c>
    </row>
    <row r="5588" spans="19:21" x14ac:dyDescent="0.25">
      <c r="S5588" s="6" t="s">
        <v>302</v>
      </c>
      <c r="T5588" s="6">
        <f t="shared" si="104"/>
        <v>5587</v>
      </c>
      <c r="U5588" s="4" t="s">
        <v>194</v>
      </c>
    </row>
    <row r="5589" spans="19:21" x14ac:dyDescent="0.25">
      <c r="S5589" s="6" t="s">
        <v>302</v>
      </c>
      <c r="T5589" s="6">
        <f t="shared" si="104"/>
        <v>5588</v>
      </c>
      <c r="U5589" s="4" t="s">
        <v>194</v>
      </c>
    </row>
    <row r="5590" spans="19:21" x14ac:dyDescent="0.25">
      <c r="S5590" s="6" t="s">
        <v>302</v>
      </c>
      <c r="T5590" s="6">
        <f t="shared" si="104"/>
        <v>5589</v>
      </c>
      <c r="U5590" s="4" t="s">
        <v>194</v>
      </c>
    </row>
    <row r="5591" spans="19:21" x14ac:dyDescent="0.25">
      <c r="S5591" s="6" t="s">
        <v>302</v>
      </c>
      <c r="T5591" s="6">
        <f t="shared" si="104"/>
        <v>5590</v>
      </c>
      <c r="U5591" s="4" t="s">
        <v>194</v>
      </c>
    </row>
    <row r="5592" spans="19:21" x14ac:dyDescent="0.25">
      <c r="S5592" s="6" t="s">
        <v>302</v>
      </c>
      <c r="T5592" s="6">
        <f t="shared" si="104"/>
        <v>5591</v>
      </c>
      <c r="U5592" s="4" t="s">
        <v>194</v>
      </c>
    </row>
    <row r="5593" spans="19:21" x14ac:dyDescent="0.25">
      <c r="S5593" s="6" t="s">
        <v>302</v>
      </c>
      <c r="T5593" s="6">
        <f t="shared" si="104"/>
        <v>5592</v>
      </c>
      <c r="U5593" s="4" t="s">
        <v>194</v>
      </c>
    </row>
    <row r="5594" spans="19:21" x14ac:dyDescent="0.25">
      <c r="S5594" s="6" t="s">
        <v>302</v>
      </c>
      <c r="T5594" s="6">
        <f t="shared" si="104"/>
        <v>5593</v>
      </c>
      <c r="U5594" s="4" t="s">
        <v>194</v>
      </c>
    </row>
    <row r="5595" spans="19:21" x14ac:dyDescent="0.25">
      <c r="S5595" s="6" t="s">
        <v>302</v>
      </c>
      <c r="T5595" s="6">
        <f t="shared" si="104"/>
        <v>5594</v>
      </c>
      <c r="U5595" s="4" t="s">
        <v>194</v>
      </c>
    </row>
    <row r="5596" spans="19:21" x14ac:dyDescent="0.25">
      <c r="S5596" s="6" t="s">
        <v>302</v>
      </c>
      <c r="T5596" s="6">
        <f t="shared" si="104"/>
        <v>5595</v>
      </c>
      <c r="U5596" s="4" t="s">
        <v>194</v>
      </c>
    </row>
    <row r="5597" spans="19:21" x14ac:dyDescent="0.25">
      <c r="S5597" s="6" t="s">
        <v>302</v>
      </c>
      <c r="T5597" s="6">
        <f t="shared" si="104"/>
        <v>5596</v>
      </c>
      <c r="U5597" s="4" t="s">
        <v>194</v>
      </c>
    </row>
    <row r="5598" spans="19:21" x14ac:dyDescent="0.25">
      <c r="S5598" s="6" t="s">
        <v>302</v>
      </c>
      <c r="T5598" s="6">
        <f t="shared" ref="T5598:T5661" si="105">T5597+1</f>
        <v>5597</v>
      </c>
      <c r="U5598" s="4" t="s">
        <v>194</v>
      </c>
    </row>
    <row r="5599" spans="19:21" x14ac:dyDescent="0.25">
      <c r="S5599" s="6" t="s">
        <v>302</v>
      </c>
      <c r="T5599" s="6">
        <f t="shared" si="105"/>
        <v>5598</v>
      </c>
      <c r="U5599" s="4" t="s">
        <v>194</v>
      </c>
    </row>
    <row r="5600" spans="19:21" x14ac:dyDescent="0.25">
      <c r="S5600" s="6" t="s">
        <v>302</v>
      </c>
      <c r="T5600" s="6">
        <f t="shared" si="105"/>
        <v>5599</v>
      </c>
      <c r="U5600" s="4" t="s">
        <v>194</v>
      </c>
    </row>
    <row r="5601" spans="19:21" x14ac:dyDescent="0.25">
      <c r="S5601" s="6" t="s">
        <v>302</v>
      </c>
      <c r="T5601" s="6">
        <f t="shared" si="105"/>
        <v>5600</v>
      </c>
      <c r="U5601" s="4" t="s">
        <v>194</v>
      </c>
    </row>
    <row r="5602" spans="19:21" x14ac:dyDescent="0.25">
      <c r="S5602" s="6" t="s">
        <v>302</v>
      </c>
      <c r="T5602" s="6">
        <f t="shared" si="105"/>
        <v>5601</v>
      </c>
      <c r="U5602" s="4" t="s">
        <v>194</v>
      </c>
    </row>
    <row r="5603" spans="19:21" x14ac:dyDescent="0.25">
      <c r="S5603" s="6" t="s">
        <v>302</v>
      </c>
      <c r="T5603" s="6">
        <f t="shared" si="105"/>
        <v>5602</v>
      </c>
      <c r="U5603" s="4" t="s">
        <v>194</v>
      </c>
    </row>
    <row r="5604" spans="19:21" x14ac:dyDescent="0.25">
      <c r="S5604" s="6" t="s">
        <v>302</v>
      </c>
      <c r="T5604" s="6">
        <f t="shared" si="105"/>
        <v>5603</v>
      </c>
      <c r="U5604" s="4" t="s">
        <v>194</v>
      </c>
    </row>
    <row r="5605" spans="19:21" x14ac:dyDescent="0.25">
      <c r="S5605" s="6" t="s">
        <v>302</v>
      </c>
      <c r="T5605" s="6">
        <f t="shared" si="105"/>
        <v>5604</v>
      </c>
      <c r="U5605" s="4" t="s">
        <v>194</v>
      </c>
    </row>
    <row r="5606" spans="19:21" x14ac:dyDescent="0.25">
      <c r="S5606" s="6" t="s">
        <v>302</v>
      </c>
      <c r="T5606" s="6">
        <f t="shared" si="105"/>
        <v>5605</v>
      </c>
      <c r="U5606" s="4" t="s">
        <v>194</v>
      </c>
    </row>
    <row r="5607" spans="19:21" x14ac:dyDescent="0.25">
      <c r="S5607" s="6" t="s">
        <v>302</v>
      </c>
      <c r="T5607" s="6">
        <f t="shared" si="105"/>
        <v>5606</v>
      </c>
      <c r="U5607" s="4" t="s">
        <v>194</v>
      </c>
    </row>
    <row r="5608" spans="19:21" x14ac:dyDescent="0.25">
      <c r="S5608" s="6" t="s">
        <v>302</v>
      </c>
      <c r="T5608" s="6">
        <f t="shared" si="105"/>
        <v>5607</v>
      </c>
      <c r="U5608" s="4" t="s">
        <v>194</v>
      </c>
    </row>
    <row r="5609" spans="19:21" x14ac:dyDescent="0.25">
      <c r="S5609" s="6" t="s">
        <v>302</v>
      </c>
      <c r="T5609" s="6">
        <f t="shared" si="105"/>
        <v>5608</v>
      </c>
      <c r="U5609" s="4" t="s">
        <v>194</v>
      </c>
    </row>
    <row r="5610" spans="19:21" x14ac:dyDescent="0.25">
      <c r="S5610" s="6" t="s">
        <v>302</v>
      </c>
      <c r="T5610" s="6">
        <f t="shared" si="105"/>
        <v>5609</v>
      </c>
      <c r="U5610" s="4" t="s">
        <v>194</v>
      </c>
    </row>
    <row r="5611" spans="19:21" x14ac:dyDescent="0.25">
      <c r="S5611" s="6" t="s">
        <v>302</v>
      </c>
      <c r="T5611" s="6">
        <f t="shared" si="105"/>
        <v>5610</v>
      </c>
      <c r="U5611" s="4" t="s">
        <v>194</v>
      </c>
    </row>
    <row r="5612" spans="19:21" x14ac:dyDescent="0.25">
      <c r="S5612" s="6" t="s">
        <v>302</v>
      </c>
      <c r="T5612" s="6">
        <f t="shared" si="105"/>
        <v>5611</v>
      </c>
      <c r="U5612" s="4" t="s">
        <v>194</v>
      </c>
    </row>
    <row r="5613" spans="19:21" x14ac:dyDescent="0.25">
      <c r="S5613" s="6" t="s">
        <v>302</v>
      </c>
      <c r="T5613" s="6">
        <f t="shared" si="105"/>
        <v>5612</v>
      </c>
      <c r="U5613" s="4" t="s">
        <v>194</v>
      </c>
    </row>
    <row r="5614" spans="19:21" x14ac:dyDescent="0.25">
      <c r="S5614" s="6" t="s">
        <v>302</v>
      </c>
      <c r="T5614" s="6">
        <f t="shared" si="105"/>
        <v>5613</v>
      </c>
      <c r="U5614" s="4" t="s">
        <v>194</v>
      </c>
    </row>
    <row r="5615" spans="19:21" x14ac:dyDescent="0.25">
      <c r="S5615" s="6" t="s">
        <v>302</v>
      </c>
      <c r="T5615" s="6">
        <f t="shared" si="105"/>
        <v>5614</v>
      </c>
      <c r="U5615" s="4" t="s">
        <v>194</v>
      </c>
    </row>
    <row r="5616" spans="19:21" x14ac:dyDescent="0.25">
      <c r="S5616" s="6" t="s">
        <v>302</v>
      </c>
      <c r="T5616" s="6">
        <f t="shared" si="105"/>
        <v>5615</v>
      </c>
      <c r="U5616" s="4" t="s">
        <v>194</v>
      </c>
    </row>
    <row r="5617" spans="19:21" x14ac:dyDescent="0.25">
      <c r="S5617" s="6" t="s">
        <v>302</v>
      </c>
      <c r="T5617" s="6">
        <f t="shared" si="105"/>
        <v>5616</v>
      </c>
      <c r="U5617" s="4" t="s">
        <v>194</v>
      </c>
    </row>
    <row r="5618" spans="19:21" x14ac:dyDescent="0.25">
      <c r="S5618" s="6" t="s">
        <v>302</v>
      </c>
      <c r="T5618" s="6">
        <f t="shared" si="105"/>
        <v>5617</v>
      </c>
      <c r="U5618" s="4" t="s">
        <v>194</v>
      </c>
    </row>
    <row r="5619" spans="19:21" x14ac:dyDescent="0.25">
      <c r="S5619" s="6" t="s">
        <v>302</v>
      </c>
      <c r="T5619" s="6">
        <f t="shared" si="105"/>
        <v>5618</v>
      </c>
      <c r="U5619" s="4" t="s">
        <v>194</v>
      </c>
    </row>
    <row r="5620" spans="19:21" x14ac:dyDescent="0.25">
      <c r="S5620" s="6" t="s">
        <v>302</v>
      </c>
      <c r="T5620" s="6">
        <f t="shared" si="105"/>
        <v>5619</v>
      </c>
      <c r="U5620" s="4" t="s">
        <v>194</v>
      </c>
    </row>
    <row r="5621" spans="19:21" x14ac:dyDescent="0.25">
      <c r="S5621" s="6" t="s">
        <v>302</v>
      </c>
      <c r="T5621" s="6">
        <f t="shared" si="105"/>
        <v>5620</v>
      </c>
      <c r="U5621" s="4" t="s">
        <v>194</v>
      </c>
    </row>
    <row r="5622" spans="19:21" x14ac:dyDescent="0.25">
      <c r="S5622" s="6" t="s">
        <v>302</v>
      </c>
      <c r="T5622" s="6">
        <f t="shared" si="105"/>
        <v>5621</v>
      </c>
      <c r="U5622" s="4" t="s">
        <v>194</v>
      </c>
    </row>
    <row r="5623" spans="19:21" x14ac:dyDescent="0.25">
      <c r="S5623" s="6" t="s">
        <v>302</v>
      </c>
      <c r="T5623" s="6">
        <f t="shared" si="105"/>
        <v>5622</v>
      </c>
      <c r="U5623" s="4" t="s">
        <v>194</v>
      </c>
    </row>
    <row r="5624" spans="19:21" x14ac:dyDescent="0.25">
      <c r="S5624" s="6" t="s">
        <v>302</v>
      </c>
      <c r="T5624" s="6">
        <f t="shared" si="105"/>
        <v>5623</v>
      </c>
      <c r="U5624" s="4" t="s">
        <v>194</v>
      </c>
    </row>
    <row r="5625" spans="19:21" x14ac:dyDescent="0.25">
      <c r="S5625" s="6" t="s">
        <v>302</v>
      </c>
      <c r="T5625" s="6">
        <f t="shared" si="105"/>
        <v>5624</v>
      </c>
      <c r="U5625" s="4" t="s">
        <v>194</v>
      </c>
    </row>
    <row r="5626" spans="19:21" x14ac:dyDescent="0.25">
      <c r="S5626" s="6" t="s">
        <v>302</v>
      </c>
      <c r="T5626" s="6">
        <f t="shared" si="105"/>
        <v>5625</v>
      </c>
      <c r="U5626" s="4" t="s">
        <v>194</v>
      </c>
    </row>
    <row r="5627" spans="19:21" x14ac:dyDescent="0.25">
      <c r="S5627" s="6" t="s">
        <v>302</v>
      </c>
      <c r="T5627" s="6">
        <f t="shared" si="105"/>
        <v>5626</v>
      </c>
      <c r="U5627" s="4" t="s">
        <v>194</v>
      </c>
    </row>
    <row r="5628" spans="19:21" x14ac:dyDescent="0.25">
      <c r="S5628" s="6" t="s">
        <v>302</v>
      </c>
      <c r="T5628" s="6">
        <f t="shared" si="105"/>
        <v>5627</v>
      </c>
      <c r="U5628" s="4" t="s">
        <v>194</v>
      </c>
    </row>
    <row r="5629" spans="19:21" x14ac:dyDescent="0.25">
      <c r="S5629" s="6" t="s">
        <v>302</v>
      </c>
      <c r="T5629" s="6">
        <f t="shared" si="105"/>
        <v>5628</v>
      </c>
      <c r="U5629" s="4" t="s">
        <v>194</v>
      </c>
    </row>
    <row r="5630" spans="19:21" x14ac:dyDescent="0.25">
      <c r="S5630" s="6" t="s">
        <v>302</v>
      </c>
      <c r="T5630" s="6">
        <f t="shared" si="105"/>
        <v>5629</v>
      </c>
      <c r="U5630" s="4" t="s">
        <v>194</v>
      </c>
    </row>
    <row r="5631" spans="19:21" x14ac:dyDescent="0.25">
      <c r="S5631" s="6" t="s">
        <v>302</v>
      </c>
      <c r="T5631" s="6">
        <f t="shared" si="105"/>
        <v>5630</v>
      </c>
      <c r="U5631" s="4" t="s">
        <v>194</v>
      </c>
    </row>
    <row r="5632" spans="19:21" x14ac:dyDescent="0.25">
      <c r="S5632" s="6" t="s">
        <v>302</v>
      </c>
      <c r="T5632" s="6">
        <f t="shared" si="105"/>
        <v>5631</v>
      </c>
      <c r="U5632" s="4" t="s">
        <v>194</v>
      </c>
    </row>
    <row r="5633" spans="19:21" x14ac:dyDescent="0.25">
      <c r="S5633" s="6" t="s">
        <v>302</v>
      </c>
      <c r="T5633" s="6">
        <f t="shared" si="105"/>
        <v>5632</v>
      </c>
      <c r="U5633" s="4" t="s">
        <v>194</v>
      </c>
    </row>
    <row r="5634" spans="19:21" x14ac:dyDescent="0.25">
      <c r="S5634" s="6" t="s">
        <v>302</v>
      </c>
      <c r="T5634" s="6">
        <f t="shared" si="105"/>
        <v>5633</v>
      </c>
      <c r="U5634" s="4" t="s">
        <v>194</v>
      </c>
    </row>
    <row r="5635" spans="19:21" x14ac:dyDescent="0.25">
      <c r="S5635" s="6" t="s">
        <v>302</v>
      </c>
      <c r="T5635" s="6">
        <f t="shared" si="105"/>
        <v>5634</v>
      </c>
      <c r="U5635" s="4" t="s">
        <v>194</v>
      </c>
    </row>
    <row r="5636" spans="19:21" x14ac:dyDescent="0.25">
      <c r="S5636" s="6" t="s">
        <v>302</v>
      </c>
      <c r="T5636" s="6">
        <f t="shared" si="105"/>
        <v>5635</v>
      </c>
      <c r="U5636" s="4" t="s">
        <v>194</v>
      </c>
    </row>
    <row r="5637" spans="19:21" x14ac:dyDescent="0.25">
      <c r="S5637" s="6" t="s">
        <v>302</v>
      </c>
      <c r="T5637" s="6">
        <f t="shared" si="105"/>
        <v>5636</v>
      </c>
      <c r="U5637" s="4" t="s">
        <v>194</v>
      </c>
    </row>
    <row r="5638" spans="19:21" x14ac:dyDescent="0.25">
      <c r="S5638" s="6" t="s">
        <v>302</v>
      </c>
      <c r="T5638" s="6">
        <f t="shared" si="105"/>
        <v>5637</v>
      </c>
      <c r="U5638" s="4" t="s">
        <v>194</v>
      </c>
    </row>
    <row r="5639" spans="19:21" x14ac:dyDescent="0.25">
      <c r="S5639" s="6" t="s">
        <v>302</v>
      </c>
      <c r="T5639" s="6">
        <f t="shared" si="105"/>
        <v>5638</v>
      </c>
      <c r="U5639" s="4" t="s">
        <v>194</v>
      </c>
    </row>
    <row r="5640" spans="19:21" x14ac:dyDescent="0.25">
      <c r="S5640" s="6" t="s">
        <v>302</v>
      </c>
      <c r="T5640" s="6">
        <f t="shared" si="105"/>
        <v>5639</v>
      </c>
      <c r="U5640" s="4" t="s">
        <v>194</v>
      </c>
    </row>
    <row r="5641" spans="19:21" x14ac:dyDescent="0.25">
      <c r="S5641" s="6" t="s">
        <v>302</v>
      </c>
      <c r="T5641" s="6">
        <f t="shared" si="105"/>
        <v>5640</v>
      </c>
      <c r="U5641" s="4" t="s">
        <v>194</v>
      </c>
    </row>
    <row r="5642" spans="19:21" x14ac:dyDescent="0.25">
      <c r="S5642" s="6" t="s">
        <v>302</v>
      </c>
      <c r="T5642" s="6">
        <f t="shared" si="105"/>
        <v>5641</v>
      </c>
      <c r="U5642" s="4" t="s">
        <v>194</v>
      </c>
    </row>
    <row r="5643" spans="19:21" x14ac:dyDescent="0.25">
      <c r="S5643" s="6" t="s">
        <v>302</v>
      </c>
      <c r="T5643" s="6">
        <f t="shared" si="105"/>
        <v>5642</v>
      </c>
      <c r="U5643" s="4" t="s">
        <v>194</v>
      </c>
    </row>
    <row r="5644" spans="19:21" x14ac:dyDescent="0.25">
      <c r="S5644" s="6" t="s">
        <v>302</v>
      </c>
      <c r="T5644" s="6">
        <f t="shared" si="105"/>
        <v>5643</v>
      </c>
      <c r="U5644" s="4" t="s">
        <v>194</v>
      </c>
    </row>
    <row r="5645" spans="19:21" x14ac:dyDescent="0.25">
      <c r="S5645" s="6" t="s">
        <v>302</v>
      </c>
      <c r="T5645" s="6">
        <f t="shared" si="105"/>
        <v>5644</v>
      </c>
      <c r="U5645" s="4" t="s">
        <v>194</v>
      </c>
    </row>
    <row r="5646" spans="19:21" x14ac:dyDescent="0.25">
      <c r="S5646" s="6" t="s">
        <v>302</v>
      </c>
      <c r="T5646" s="6">
        <f t="shared" si="105"/>
        <v>5645</v>
      </c>
      <c r="U5646" s="4" t="s">
        <v>194</v>
      </c>
    </row>
    <row r="5647" spans="19:21" x14ac:dyDescent="0.25">
      <c r="S5647" s="6" t="s">
        <v>302</v>
      </c>
      <c r="T5647" s="6">
        <f t="shared" si="105"/>
        <v>5646</v>
      </c>
      <c r="U5647" s="4" t="s">
        <v>194</v>
      </c>
    </row>
    <row r="5648" spans="19:21" x14ac:dyDescent="0.25">
      <c r="S5648" s="6" t="s">
        <v>302</v>
      </c>
      <c r="T5648" s="6">
        <f t="shared" si="105"/>
        <v>5647</v>
      </c>
      <c r="U5648" s="4" t="s">
        <v>194</v>
      </c>
    </row>
    <row r="5649" spans="19:21" x14ac:dyDescent="0.25">
      <c r="S5649" s="6" t="s">
        <v>302</v>
      </c>
      <c r="T5649" s="6">
        <f t="shared" si="105"/>
        <v>5648</v>
      </c>
      <c r="U5649" s="4" t="s">
        <v>194</v>
      </c>
    </row>
    <row r="5650" spans="19:21" x14ac:dyDescent="0.25">
      <c r="S5650" s="6" t="s">
        <v>302</v>
      </c>
      <c r="T5650" s="6">
        <f t="shared" si="105"/>
        <v>5649</v>
      </c>
      <c r="U5650" s="4" t="s">
        <v>194</v>
      </c>
    </row>
    <row r="5651" spans="19:21" x14ac:dyDescent="0.25">
      <c r="S5651" s="6" t="s">
        <v>302</v>
      </c>
      <c r="T5651" s="6">
        <f t="shared" si="105"/>
        <v>5650</v>
      </c>
      <c r="U5651" s="4" t="s">
        <v>194</v>
      </c>
    </row>
    <row r="5652" spans="19:21" x14ac:dyDescent="0.25">
      <c r="S5652" s="6" t="s">
        <v>302</v>
      </c>
      <c r="T5652" s="6">
        <f t="shared" si="105"/>
        <v>5651</v>
      </c>
      <c r="U5652" s="4" t="s">
        <v>194</v>
      </c>
    </row>
    <row r="5653" spans="19:21" x14ac:dyDescent="0.25">
      <c r="S5653" s="6" t="s">
        <v>302</v>
      </c>
      <c r="T5653" s="6">
        <f t="shared" si="105"/>
        <v>5652</v>
      </c>
      <c r="U5653" s="4" t="s">
        <v>194</v>
      </c>
    </row>
    <row r="5654" spans="19:21" x14ac:dyDescent="0.25">
      <c r="S5654" s="6" t="s">
        <v>302</v>
      </c>
      <c r="T5654" s="6">
        <f t="shared" si="105"/>
        <v>5653</v>
      </c>
      <c r="U5654" s="4" t="s">
        <v>194</v>
      </c>
    </row>
    <row r="5655" spans="19:21" x14ac:dyDescent="0.25">
      <c r="S5655" s="6" t="s">
        <v>302</v>
      </c>
      <c r="T5655" s="6">
        <f t="shared" si="105"/>
        <v>5654</v>
      </c>
      <c r="U5655" s="4" t="s">
        <v>194</v>
      </c>
    </row>
    <row r="5656" spans="19:21" x14ac:dyDescent="0.25">
      <c r="S5656" s="6" t="s">
        <v>302</v>
      </c>
      <c r="T5656" s="6">
        <f t="shared" si="105"/>
        <v>5655</v>
      </c>
      <c r="U5656" s="4" t="s">
        <v>194</v>
      </c>
    </row>
    <row r="5657" spans="19:21" x14ac:dyDescent="0.25">
      <c r="S5657" s="6" t="s">
        <v>302</v>
      </c>
      <c r="T5657" s="6">
        <f t="shared" si="105"/>
        <v>5656</v>
      </c>
      <c r="U5657" s="4" t="s">
        <v>194</v>
      </c>
    </row>
    <row r="5658" spans="19:21" x14ac:dyDescent="0.25">
      <c r="S5658" s="6" t="s">
        <v>302</v>
      </c>
      <c r="T5658" s="6">
        <f t="shared" si="105"/>
        <v>5657</v>
      </c>
      <c r="U5658" s="4" t="s">
        <v>194</v>
      </c>
    </row>
    <row r="5659" spans="19:21" x14ac:dyDescent="0.25">
      <c r="S5659" s="6" t="s">
        <v>302</v>
      </c>
      <c r="T5659" s="6">
        <f t="shared" si="105"/>
        <v>5658</v>
      </c>
      <c r="U5659" s="4" t="s">
        <v>194</v>
      </c>
    </row>
    <row r="5660" spans="19:21" x14ac:dyDescent="0.25">
      <c r="S5660" s="6" t="s">
        <v>302</v>
      </c>
      <c r="T5660" s="6">
        <f t="shared" si="105"/>
        <v>5659</v>
      </c>
      <c r="U5660" s="4" t="s">
        <v>194</v>
      </c>
    </row>
    <row r="5661" spans="19:21" x14ac:dyDescent="0.25">
      <c r="S5661" s="6" t="s">
        <v>302</v>
      </c>
      <c r="T5661" s="6">
        <f t="shared" si="105"/>
        <v>5660</v>
      </c>
      <c r="U5661" s="4" t="s">
        <v>194</v>
      </c>
    </row>
    <row r="5662" spans="19:21" x14ac:dyDescent="0.25">
      <c r="S5662" s="6" t="s">
        <v>302</v>
      </c>
      <c r="T5662" s="6">
        <f t="shared" ref="T5662:T5725" si="106">T5661+1</f>
        <v>5661</v>
      </c>
      <c r="U5662" s="4" t="s">
        <v>194</v>
      </c>
    </row>
    <row r="5663" spans="19:21" x14ac:dyDescent="0.25">
      <c r="S5663" s="6" t="s">
        <v>302</v>
      </c>
      <c r="T5663" s="6">
        <f t="shared" si="106"/>
        <v>5662</v>
      </c>
      <c r="U5663" s="4" t="s">
        <v>194</v>
      </c>
    </row>
    <row r="5664" spans="19:21" x14ac:dyDescent="0.25">
      <c r="S5664" s="6" t="s">
        <v>302</v>
      </c>
      <c r="T5664" s="6">
        <f t="shared" si="106"/>
        <v>5663</v>
      </c>
      <c r="U5664" s="4" t="s">
        <v>194</v>
      </c>
    </row>
    <row r="5665" spans="19:21" x14ac:dyDescent="0.25">
      <c r="S5665" s="6" t="s">
        <v>302</v>
      </c>
      <c r="T5665" s="6">
        <f t="shared" si="106"/>
        <v>5664</v>
      </c>
      <c r="U5665" s="4" t="s">
        <v>194</v>
      </c>
    </row>
    <row r="5666" spans="19:21" x14ac:dyDescent="0.25">
      <c r="S5666" s="6" t="s">
        <v>302</v>
      </c>
      <c r="T5666" s="6">
        <f t="shared" si="106"/>
        <v>5665</v>
      </c>
      <c r="U5666" s="4" t="s">
        <v>194</v>
      </c>
    </row>
    <row r="5667" spans="19:21" x14ac:dyDescent="0.25">
      <c r="S5667" s="6" t="s">
        <v>302</v>
      </c>
      <c r="T5667" s="6">
        <f t="shared" si="106"/>
        <v>5666</v>
      </c>
      <c r="U5667" s="4" t="s">
        <v>194</v>
      </c>
    </row>
    <row r="5668" spans="19:21" x14ac:dyDescent="0.25">
      <c r="S5668" s="6" t="s">
        <v>302</v>
      </c>
      <c r="T5668" s="6">
        <f t="shared" si="106"/>
        <v>5667</v>
      </c>
      <c r="U5668" s="4" t="s">
        <v>194</v>
      </c>
    </row>
    <row r="5669" spans="19:21" x14ac:dyDescent="0.25">
      <c r="S5669" s="6" t="s">
        <v>302</v>
      </c>
      <c r="T5669" s="6">
        <f t="shared" si="106"/>
        <v>5668</v>
      </c>
      <c r="U5669" s="4" t="s">
        <v>194</v>
      </c>
    </row>
    <row r="5670" spans="19:21" x14ac:dyDescent="0.25">
      <c r="S5670" s="6" t="s">
        <v>302</v>
      </c>
      <c r="T5670" s="6">
        <f t="shared" si="106"/>
        <v>5669</v>
      </c>
      <c r="U5670" s="4" t="s">
        <v>194</v>
      </c>
    </row>
    <row r="5671" spans="19:21" x14ac:dyDescent="0.25">
      <c r="S5671" s="6" t="s">
        <v>302</v>
      </c>
      <c r="T5671" s="6">
        <f t="shared" si="106"/>
        <v>5670</v>
      </c>
      <c r="U5671" s="4" t="s">
        <v>194</v>
      </c>
    </row>
    <row r="5672" spans="19:21" x14ac:dyDescent="0.25">
      <c r="S5672" s="6" t="s">
        <v>302</v>
      </c>
      <c r="T5672" s="6">
        <f t="shared" si="106"/>
        <v>5671</v>
      </c>
      <c r="U5672" s="4" t="s">
        <v>194</v>
      </c>
    </row>
    <row r="5673" spans="19:21" x14ac:dyDescent="0.25">
      <c r="S5673" s="6" t="s">
        <v>302</v>
      </c>
      <c r="T5673" s="6">
        <f t="shared" si="106"/>
        <v>5672</v>
      </c>
      <c r="U5673" s="4" t="s">
        <v>194</v>
      </c>
    </row>
    <row r="5674" spans="19:21" x14ac:dyDescent="0.25">
      <c r="S5674" s="6" t="s">
        <v>302</v>
      </c>
      <c r="T5674" s="6">
        <f t="shared" si="106"/>
        <v>5673</v>
      </c>
      <c r="U5674" s="4" t="s">
        <v>194</v>
      </c>
    </row>
    <row r="5675" spans="19:21" x14ac:dyDescent="0.25">
      <c r="S5675" s="6" t="s">
        <v>302</v>
      </c>
      <c r="T5675" s="6">
        <f t="shared" si="106"/>
        <v>5674</v>
      </c>
      <c r="U5675" s="4" t="s">
        <v>194</v>
      </c>
    </row>
    <row r="5676" spans="19:21" x14ac:dyDescent="0.25">
      <c r="S5676" s="6" t="s">
        <v>302</v>
      </c>
      <c r="T5676" s="6">
        <f t="shared" si="106"/>
        <v>5675</v>
      </c>
      <c r="U5676" s="4" t="s">
        <v>194</v>
      </c>
    </row>
    <row r="5677" spans="19:21" x14ac:dyDescent="0.25">
      <c r="S5677" s="6" t="s">
        <v>302</v>
      </c>
      <c r="T5677" s="6">
        <f t="shared" si="106"/>
        <v>5676</v>
      </c>
      <c r="U5677" s="4" t="s">
        <v>194</v>
      </c>
    </row>
    <row r="5678" spans="19:21" x14ac:dyDescent="0.25">
      <c r="S5678" s="6" t="s">
        <v>302</v>
      </c>
      <c r="T5678" s="6">
        <f t="shared" si="106"/>
        <v>5677</v>
      </c>
      <c r="U5678" s="4" t="s">
        <v>194</v>
      </c>
    </row>
    <row r="5679" spans="19:21" x14ac:dyDescent="0.25">
      <c r="S5679" s="6" t="s">
        <v>302</v>
      </c>
      <c r="T5679" s="6">
        <f t="shared" si="106"/>
        <v>5678</v>
      </c>
      <c r="U5679" s="4" t="s">
        <v>194</v>
      </c>
    </row>
    <row r="5680" spans="19:21" x14ac:dyDescent="0.25">
      <c r="S5680" s="6" t="s">
        <v>302</v>
      </c>
      <c r="T5680" s="6">
        <f t="shared" si="106"/>
        <v>5679</v>
      </c>
      <c r="U5680" s="4" t="s">
        <v>194</v>
      </c>
    </row>
    <row r="5681" spans="19:21" x14ac:dyDescent="0.25">
      <c r="S5681" s="6" t="s">
        <v>302</v>
      </c>
      <c r="T5681" s="6">
        <f t="shared" si="106"/>
        <v>5680</v>
      </c>
      <c r="U5681" s="4" t="s">
        <v>194</v>
      </c>
    </row>
    <row r="5682" spans="19:21" x14ac:dyDescent="0.25">
      <c r="S5682" s="6" t="s">
        <v>302</v>
      </c>
      <c r="T5682" s="6">
        <f t="shared" si="106"/>
        <v>5681</v>
      </c>
      <c r="U5682" s="4" t="s">
        <v>194</v>
      </c>
    </row>
    <row r="5683" spans="19:21" x14ac:dyDescent="0.25">
      <c r="S5683" s="6" t="s">
        <v>302</v>
      </c>
      <c r="T5683" s="6">
        <f t="shared" si="106"/>
        <v>5682</v>
      </c>
      <c r="U5683" s="4" t="s">
        <v>194</v>
      </c>
    </row>
    <row r="5684" spans="19:21" x14ac:dyDescent="0.25">
      <c r="S5684" s="6" t="s">
        <v>302</v>
      </c>
      <c r="T5684" s="6">
        <f t="shared" si="106"/>
        <v>5683</v>
      </c>
      <c r="U5684" s="4" t="s">
        <v>194</v>
      </c>
    </row>
    <row r="5685" spans="19:21" x14ac:dyDescent="0.25">
      <c r="S5685" s="6" t="s">
        <v>302</v>
      </c>
      <c r="T5685" s="6">
        <f t="shared" si="106"/>
        <v>5684</v>
      </c>
      <c r="U5685" s="4" t="s">
        <v>194</v>
      </c>
    </row>
    <row r="5686" spans="19:21" x14ac:dyDescent="0.25">
      <c r="S5686" s="6" t="s">
        <v>302</v>
      </c>
      <c r="T5686" s="6">
        <f t="shared" si="106"/>
        <v>5685</v>
      </c>
      <c r="U5686" s="4" t="s">
        <v>194</v>
      </c>
    </row>
    <row r="5687" spans="19:21" x14ac:dyDescent="0.25">
      <c r="S5687" s="6" t="s">
        <v>302</v>
      </c>
      <c r="T5687" s="6">
        <f t="shared" si="106"/>
        <v>5686</v>
      </c>
      <c r="U5687" s="4" t="s">
        <v>194</v>
      </c>
    </row>
    <row r="5688" spans="19:21" x14ac:dyDescent="0.25">
      <c r="S5688" s="6" t="s">
        <v>302</v>
      </c>
      <c r="T5688" s="6">
        <f t="shared" si="106"/>
        <v>5687</v>
      </c>
      <c r="U5688" s="4" t="s">
        <v>194</v>
      </c>
    </row>
    <row r="5689" spans="19:21" x14ac:dyDescent="0.25">
      <c r="S5689" s="6" t="s">
        <v>302</v>
      </c>
      <c r="T5689" s="6">
        <f t="shared" si="106"/>
        <v>5688</v>
      </c>
      <c r="U5689" s="4" t="s">
        <v>194</v>
      </c>
    </row>
    <row r="5690" spans="19:21" x14ac:dyDescent="0.25">
      <c r="S5690" s="6" t="s">
        <v>302</v>
      </c>
      <c r="T5690" s="6">
        <f t="shared" si="106"/>
        <v>5689</v>
      </c>
      <c r="U5690" s="4" t="s">
        <v>194</v>
      </c>
    </row>
    <row r="5691" spans="19:21" x14ac:dyDescent="0.25">
      <c r="S5691" s="6" t="s">
        <v>302</v>
      </c>
      <c r="T5691" s="6">
        <f t="shared" si="106"/>
        <v>5690</v>
      </c>
      <c r="U5691" s="4" t="s">
        <v>194</v>
      </c>
    </row>
    <row r="5692" spans="19:21" x14ac:dyDescent="0.25">
      <c r="S5692" s="6" t="s">
        <v>302</v>
      </c>
      <c r="T5692" s="6">
        <f t="shared" si="106"/>
        <v>5691</v>
      </c>
      <c r="U5692" s="4" t="s">
        <v>194</v>
      </c>
    </row>
    <row r="5693" spans="19:21" x14ac:dyDescent="0.25">
      <c r="S5693" s="6" t="s">
        <v>302</v>
      </c>
      <c r="T5693" s="6">
        <f t="shared" si="106"/>
        <v>5692</v>
      </c>
      <c r="U5693" s="4" t="s">
        <v>194</v>
      </c>
    </row>
    <row r="5694" spans="19:21" x14ac:dyDescent="0.25">
      <c r="S5694" s="6" t="s">
        <v>302</v>
      </c>
      <c r="T5694" s="6">
        <f t="shared" si="106"/>
        <v>5693</v>
      </c>
      <c r="U5694" s="4" t="s">
        <v>194</v>
      </c>
    </row>
    <row r="5695" spans="19:21" x14ac:dyDescent="0.25">
      <c r="S5695" s="6" t="s">
        <v>302</v>
      </c>
      <c r="T5695" s="6">
        <f t="shared" si="106"/>
        <v>5694</v>
      </c>
      <c r="U5695" s="4" t="s">
        <v>194</v>
      </c>
    </row>
    <row r="5696" spans="19:21" x14ac:dyDescent="0.25">
      <c r="S5696" s="6" t="s">
        <v>302</v>
      </c>
      <c r="T5696" s="6">
        <f t="shared" si="106"/>
        <v>5695</v>
      </c>
      <c r="U5696" s="4" t="s">
        <v>194</v>
      </c>
    </row>
    <row r="5697" spans="19:21" x14ac:dyDescent="0.25">
      <c r="S5697" s="6" t="s">
        <v>302</v>
      </c>
      <c r="T5697" s="6">
        <f t="shared" si="106"/>
        <v>5696</v>
      </c>
      <c r="U5697" s="4" t="s">
        <v>194</v>
      </c>
    </row>
    <row r="5698" spans="19:21" x14ac:dyDescent="0.25">
      <c r="S5698" s="6" t="s">
        <v>302</v>
      </c>
      <c r="T5698" s="6">
        <f t="shared" si="106"/>
        <v>5697</v>
      </c>
      <c r="U5698" s="4" t="s">
        <v>194</v>
      </c>
    </row>
    <row r="5699" spans="19:21" x14ac:dyDescent="0.25">
      <c r="S5699" s="6" t="s">
        <v>302</v>
      </c>
      <c r="T5699" s="6">
        <f t="shared" si="106"/>
        <v>5698</v>
      </c>
      <c r="U5699" s="4" t="s">
        <v>194</v>
      </c>
    </row>
    <row r="5700" spans="19:21" x14ac:dyDescent="0.25">
      <c r="S5700" s="6" t="s">
        <v>302</v>
      </c>
      <c r="T5700" s="6">
        <f t="shared" si="106"/>
        <v>5699</v>
      </c>
      <c r="U5700" s="4" t="s">
        <v>194</v>
      </c>
    </row>
    <row r="5701" spans="19:21" x14ac:dyDescent="0.25">
      <c r="S5701" s="6" t="s">
        <v>302</v>
      </c>
      <c r="T5701" s="6">
        <f t="shared" si="106"/>
        <v>5700</v>
      </c>
      <c r="U5701" s="4" t="s">
        <v>194</v>
      </c>
    </row>
    <row r="5702" spans="19:21" x14ac:dyDescent="0.25">
      <c r="S5702" s="6" t="s">
        <v>302</v>
      </c>
      <c r="T5702" s="6">
        <f t="shared" si="106"/>
        <v>5701</v>
      </c>
      <c r="U5702" s="4" t="s">
        <v>194</v>
      </c>
    </row>
    <row r="5703" spans="19:21" x14ac:dyDescent="0.25">
      <c r="S5703" s="6" t="s">
        <v>302</v>
      </c>
      <c r="T5703" s="6">
        <f t="shared" si="106"/>
        <v>5702</v>
      </c>
      <c r="U5703" s="4" t="s">
        <v>194</v>
      </c>
    </row>
    <row r="5704" spans="19:21" x14ac:dyDescent="0.25">
      <c r="S5704" s="6" t="s">
        <v>302</v>
      </c>
      <c r="T5704" s="6">
        <f t="shared" si="106"/>
        <v>5703</v>
      </c>
      <c r="U5704" s="4" t="s">
        <v>194</v>
      </c>
    </row>
    <row r="5705" spans="19:21" x14ac:dyDescent="0.25">
      <c r="S5705" s="6" t="s">
        <v>302</v>
      </c>
      <c r="T5705" s="6">
        <f t="shared" si="106"/>
        <v>5704</v>
      </c>
      <c r="U5705" s="4" t="s">
        <v>194</v>
      </c>
    </row>
    <row r="5706" spans="19:21" x14ac:dyDescent="0.25">
      <c r="S5706" s="6" t="s">
        <v>302</v>
      </c>
      <c r="T5706" s="6">
        <f t="shared" si="106"/>
        <v>5705</v>
      </c>
      <c r="U5706" s="4" t="s">
        <v>194</v>
      </c>
    </row>
    <row r="5707" spans="19:21" x14ac:dyDescent="0.25">
      <c r="S5707" s="6" t="s">
        <v>302</v>
      </c>
      <c r="T5707" s="6">
        <f t="shared" si="106"/>
        <v>5706</v>
      </c>
      <c r="U5707" s="4" t="s">
        <v>194</v>
      </c>
    </row>
    <row r="5708" spans="19:21" x14ac:dyDescent="0.25">
      <c r="S5708" s="6" t="s">
        <v>302</v>
      </c>
      <c r="T5708" s="6">
        <f t="shared" si="106"/>
        <v>5707</v>
      </c>
      <c r="U5708" s="4" t="s">
        <v>194</v>
      </c>
    </row>
    <row r="5709" spans="19:21" x14ac:dyDescent="0.25">
      <c r="S5709" s="6" t="s">
        <v>302</v>
      </c>
      <c r="T5709" s="6">
        <f t="shared" si="106"/>
        <v>5708</v>
      </c>
      <c r="U5709" s="4" t="s">
        <v>194</v>
      </c>
    </row>
    <row r="5710" spans="19:21" x14ac:dyDescent="0.25">
      <c r="S5710" s="6" t="s">
        <v>302</v>
      </c>
      <c r="T5710" s="6">
        <f t="shared" si="106"/>
        <v>5709</v>
      </c>
      <c r="U5710" s="4" t="s">
        <v>194</v>
      </c>
    </row>
    <row r="5711" spans="19:21" x14ac:dyDescent="0.25">
      <c r="S5711" s="6" t="s">
        <v>302</v>
      </c>
      <c r="T5711" s="6">
        <f t="shared" si="106"/>
        <v>5710</v>
      </c>
      <c r="U5711" s="4" t="s">
        <v>194</v>
      </c>
    </row>
    <row r="5712" spans="19:21" x14ac:dyDescent="0.25">
      <c r="S5712" s="6" t="s">
        <v>302</v>
      </c>
      <c r="T5712" s="6">
        <f t="shared" si="106"/>
        <v>5711</v>
      </c>
      <c r="U5712" s="4" t="s">
        <v>194</v>
      </c>
    </row>
    <row r="5713" spans="19:21" x14ac:dyDescent="0.25">
      <c r="S5713" s="6" t="s">
        <v>302</v>
      </c>
      <c r="T5713" s="6">
        <f t="shared" si="106"/>
        <v>5712</v>
      </c>
      <c r="U5713" s="4" t="s">
        <v>194</v>
      </c>
    </row>
    <row r="5714" spans="19:21" x14ac:dyDescent="0.25">
      <c r="S5714" s="6" t="s">
        <v>302</v>
      </c>
      <c r="T5714" s="6">
        <f t="shared" si="106"/>
        <v>5713</v>
      </c>
      <c r="U5714" s="4" t="s">
        <v>194</v>
      </c>
    </row>
    <row r="5715" spans="19:21" x14ac:dyDescent="0.25">
      <c r="S5715" s="6" t="s">
        <v>302</v>
      </c>
      <c r="T5715" s="6">
        <f t="shared" si="106"/>
        <v>5714</v>
      </c>
      <c r="U5715" s="4" t="s">
        <v>194</v>
      </c>
    </row>
    <row r="5716" spans="19:21" x14ac:dyDescent="0.25">
      <c r="S5716" s="6" t="s">
        <v>302</v>
      </c>
      <c r="T5716" s="6">
        <f t="shared" si="106"/>
        <v>5715</v>
      </c>
      <c r="U5716" s="4" t="s">
        <v>194</v>
      </c>
    </row>
    <row r="5717" spans="19:21" x14ac:dyDescent="0.25">
      <c r="S5717" s="6" t="s">
        <v>302</v>
      </c>
      <c r="T5717" s="6">
        <f t="shared" si="106"/>
        <v>5716</v>
      </c>
      <c r="U5717" s="4" t="s">
        <v>194</v>
      </c>
    </row>
    <row r="5718" spans="19:21" x14ac:dyDescent="0.25">
      <c r="S5718" s="6" t="s">
        <v>302</v>
      </c>
      <c r="T5718" s="6">
        <f t="shared" si="106"/>
        <v>5717</v>
      </c>
      <c r="U5718" s="4" t="s">
        <v>194</v>
      </c>
    </row>
    <row r="5719" spans="19:21" x14ac:dyDescent="0.25">
      <c r="S5719" s="6" t="s">
        <v>302</v>
      </c>
      <c r="T5719" s="6">
        <f t="shared" si="106"/>
        <v>5718</v>
      </c>
      <c r="U5719" s="4" t="s">
        <v>194</v>
      </c>
    </row>
    <row r="5720" spans="19:21" x14ac:dyDescent="0.25">
      <c r="S5720" s="6" t="s">
        <v>302</v>
      </c>
      <c r="T5720" s="6">
        <f t="shared" si="106"/>
        <v>5719</v>
      </c>
      <c r="U5720" s="4" t="s">
        <v>194</v>
      </c>
    </row>
    <row r="5721" spans="19:21" x14ac:dyDescent="0.25">
      <c r="S5721" s="6" t="s">
        <v>302</v>
      </c>
      <c r="T5721" s="6">
        <f t="shared" si="106"/>
        <v>5720</v>
      </c>
      <c r="U5721" s="4" t="s">
        <v>194</v>
      </c>
    </row>
    <row r="5722" spans="19:21" x14ac:dyDescent="0.25">
      <c r="S5722" s="6" t="s">
        <v>302</v>
      </c>
      <c r="T5722" s="6">
        <f t="shared" si="106"/>
        <v>5721</v>
      </c>
      <c r="U5722" s="4" t="s">
        <v>194</v>
      </c>
    </row>
    <row r="5723" spans="19:21" x14ac:dyDescent="0.25">
      <c r="S5723" s="6" t="s">
        <v>302</v>
      </c>
      <c r="T5723" s="6">
        <f t="shared" si="106"/>
        <v>5722</v>
      </c>
      <c r="U5723" s="4" t="s">
        <v>194</v>
      </c>
    </row>
    <row r="5724" spans="19:21" x14ac:dyDescent="0.25">
      <c r="S5724" s="6" t="s">
        <v>302</v>
      </c>
      <c r="T5724" s="6">
        <f t="shared" si="106"/>
        <v>5723</v>
      </c>
      <c r="U5724" s="4" t="s">
        <v>194</v>
      </c>
    </row>
    <row r="5725" spans="19:21" x14ac:dyDescent="0.25">
      <c r="S5725" s="6" t="s">
        <v>302</v>
      </c>
      <c r="T5725" s="6">
        <f t="shared" si="106"/>
        <v>5724</v>
      </c>
      <c r="U5725" s="4" t="s">
        <v>194</v>
      </c>
    </row>
    <row r="5726" spans="19:21" x14ac:dyDescent="0.25">
      <c r="S5726" s="6" t="s">
        <v>302</v>
      </c>
      <c r="T5726" s="6">
        <f t="shared" ref="T5726:T5789" si="107">T5725+1</f>
        <v>5725</v>
      </c>
      <c r="U5726" s="4" t="s">
        <v>194</v>
      </c>
    </row>
    <row r="5727" spans="19:21" x14ac:dyDescent="0.25">
      <c r="S5727" s="6" t="s">
        <v>302</v>
      </c>
      <c r="T5727" s="6">
        <f t="shared" si="107"/>
        <v>5726</v>
      </c>
      <c r="U5727" s="4" t="s">
        <v>194</v>
      </c>
    </row>
    <row r="5728" spans="19:21" x14ac:dyDescent="0.25">
      <c r="S5728" s="6" t="s">
        <v>302</v>
      </c>
      <c r="T5728" s="6">
        <f t="shared" si="107"/>
        <v>5727</v>
      </c>
      <c r="U5728" s="4" t="s">
        <v>194</v>
      </c>
    </row>
    <row r="5729" spans="19:21" x14ac:dyDescent="0.25">
      <c r="S5729" s="6" t="s">
        <v>302</v>
      </c>
      <c r="T5729" s="6">
        <f t="shared" si="107"/>
        <v>5728</v>
      </c>
      <c r="U5729" s="4" t="s">
        <v>194</v>
      </c>
    </row>
    <row r="5730" spans="19:21" x14ac:dyDescent="0.25">
      <c r="S5730" s="6" t="s">
        <v>302</v>
      </c>
      <c r="T5730" s="6">
        <f t="shared" si="107"/>
        <v>5729</v>
      </c>
      <c r="U5730" s="4" t="s">
        <v>194</v>
      </c>
    </row>
    <row r="5731" spans="19:21" x14ac:dyDescent="0.25">
      <c r="S5731" s="6" t="s">
        <v>302</v>
      </c>
      <c r="T5731" s="6">
        <f t="shared" si="107"/>
        <v>5730</v>
      </c>
      <c r="U5731" s="4" t="s">
        <v>194</v>
      </c>
    </row>
    <row r="5732" spans="19:21" x14ac:dyDescent="0.25">
      <c r="S5732" s="6" t="s">
        <v>302</v>
      </c>
      <c r="T5732" s="6">
        <f t="shared" si="107"/>
        <v>5731</v>
      </c>
      <c r="U5732" s="4" t="s">
        <v>194</v>
      </c>
    </row>
    <row r="5733" spans="19:21" x14ac:dyDescent="0.25">
      <c r="S5733" s="6" t="s">
        <v>302</v>
      </c>
      <c r="T5733" s="6">
        <f t="shared" si="107"/>
        <v>5732</v>
      </c>
      <c r="U5733" s="4" t="s">
        <v>194</v>
      </c>
    </row>
    <row r="5734" spans="19:21" x14ac:dyDescent="0.25">
      <c r="S5734" s="6" t="s">
        <v>302</v>
      </c>
      <c r="T5734" s="6">
        <f t="shared" si="107"/>
        <v>5733</v>
      </c>
      <c r="U5734" s="4" t="s">
        <v>194</v>
      </c>
    </row>
    <row r="5735" spans="19:21" x14ac:dyDescent="0.25">
      <c r="S5735" s="6" t="s">
        <v>302</v>
      </c>
      <c r="T5735" s="6">
        <f t="shared" si="107"/>
        <v>5734</v>
      </c>
      <c r="U5735" s="4" t="s">
        <v>194</v>
      </c>
    </row>
    <row r="5736" spans="19:21" x14ac:dyDescent="0.25">
      <c r="S5736" s="6" t="s">
        <v>302</v>
      </c>
      <c r="T5736" s="6">
        <f t="shared" si="107"/>
        <v>5735</v>
      </c>
      <c r="U5736" s="4" t="s">
        <v>194</v>
      </c>
    </row>
    <row r="5737" spans="19:21" x14ac:dyDescent="0.25">
      <c r="S5737" s="6" t="s">
        <v>302</v>
      </c>
      <c r="T5737" s="6">
        <f t="shared" si="107"/>
        <v>5736</v>
      </c>
      <c r="U5737" s="4" t="s">
        <v>194</v>
      </c>
    </row>
    <row r="5738" spans="19:21" x14ac:dyDescent="0.25">
      <c r="S5738" s="6" t="s">
        <v>302</v>
      </c>
      <c r="T5738" s="6">
        <f t="shared" si="107"/>
        <v>5737</v>
      </c>
      <c r="U5738" s="4" t="s">
        <v>194</v>
      </c>
    </row>
    <row r="5739" spans="19:21" x14ac:dyDescent="0.25">
      <c r="S5739" s="6" t="s">
        <v>302</v>
      </c>
      <c r="T5739" s="6">
        <f t="shared" si="107"/>
        <v>5738</v>
      </c>
      <c r="U5739" s="4" t="s">
        <v>194</v>
      </c>
    </row>
    <row r="5740" spans="19:21" x14ac:dyDescent="0.25">
      <c r="S5740" s="6" t="s">
        <v>302</v>
      </c>
      <c r="T5740" s="6">
        <f t="shared" si="107"/>
        <v>5739</v>
      </c>
      <c r="U5740" s="4" t="s">
        <v>194</v>
      </c>
    </row>
    <row r="5741" spans="19:21" x14ac:dyDescent="0.25">
      <c r="S5741" s="6" t="s">
        <v>302</v>
      </c>
      <c r="T5741" s="6">
        <f t="shared" si="107"/>
        <v>5740</v>
      </c>
      <c r="U5741" s="4" t="s">
        <v>194</v>
      </c>
    </row>
    <row r="5742" spans="19:21" x14ac:dyDescent="0.25">
      <c r="S5742" s="6" t="s">
        <v>302</v>
      </c>
      <c r="T5742" s="6">
        <f t="shared" si="107"/>
        <v>5741</v>
      </c>
      <c r="U5742" s="4" t="s">
        <v>194</v>
      </c>
    </row>
    <row r="5743" spans="19:21" x14ac:dyDescent="0.25">
      <c r="S5743" s="6" t="s">
        <v>302</v>
      </c>
      <c r="T5743" s="6">
        <f t="shared" si="107"/>
        <v>5742</v>
      </c>
      <c r="U5743" s="4" t="s">
        <v>194</v>
      </c>
    </row>
    <row r="5744" spans="19:21" x14ac:dyDescent="0.25">
      <c r="S5744" s="6" t="s">
        <v>302</v>
      </c>
      <c r="T5744" s="6">
        <f t="shared" si="107"/>
        <v>5743</v>
      </c>
      <c r="U5744" s="4" t="s">
        <v>194</v>
      </c>
    </row>
    <row r="5745" spans="19:21" x14ac:dyDescent="0.25">
      <c r="S5745" s="6" t="s">
        <v>302</v>
      </c>
      <c r="T5745" s="6">
        <f t="shared" si="107"/>
        <v>5744</v>
      </c>
      <c r="U5745" s="4" t="s">
        <v>194</v>
      </c>
    </row>
    <row r="5746" spans="19:21" x14ac:dyDescent="0.25">
      <c r="S5746" s="6" t="s">
        <v>302</v>
      </c>
      <c r="T5746" s="6">
        <f t="shared" si="107"/>
        <v>5745</v>
      </c>
      <c r="U5746" s="4" t="s">
        <v>194</v>
      </c>
    </row>
    <row r="5747" spans="19:21" x14ac:dyDescent="0.25">
      <c r="S5747" s="6" t="s">
        <v>302</v>
      </c>
      <c r="T5747" s="6">
        <f t="shared" si="107"/>
        <v>5746</v>
      </c>
      <c r="U5747" s="4" t="s">
        <v>194</v>
      </c>
    </row>
    <row r="5748" spans="19:21" x14ac:dyDescent="0.25">
      <c r="S5748" s="6" t="s">
        <v>302</v>
      </c>
      <c r="T5748" s="6">
        <f t="shared" si="107"/>
        <v>5747</v>
      </c>
      <c r="U5748" s="4" t="s">
        <v>194</v>
      </c>
    </row>
    <row r="5749" spans="19:21" x14ac:dyDescent="0.25">
      <c r="S5749" s="6" t="s">
        <v>302</v>
      </c>
      <c r="T5749" s="6">
        <f t="shared" si="107"/>
        <v>5748</v>
      </c>
      <c r="U5749" s="4" t="s">
        <v>194</v>
      </c>
    </row>
    <row r="5750" spans="19:21" x14ac:dyDescent="0.25">
      <c r="S5750" s="6" t="s">
        <v>302</v>
      </c>
      <c r="T5750" s="6">
        <f t="shared" si="107"/>
        <v>5749</v>
      </c>
      <c r="U5750" s="4" t="s">
        <v>194</v>
      </c>
    </row>
    <row r="5751" spans="19:21" x14ac:dyDescent="0.25">
      <c r="S5751" s="6" t="s">
        <v>302</v>
      </c>
      <c r="T5751" s="6">
        <f t="shared" si="107"/>
        <v>5750</v>
      </c>
      <c r="U5751" s="4" t="s">
        <v>194</v>
      </c>
    </row>
    <row r="5752" spans="19:21" x14ac:dyDescent="0.25">
      <c r="S5752" s="6" t="s">
        <v>302</v>
      </c>
      <c r="T5752" s="6">
        <f t="shared" si="107"/>
        <v>5751</v>
      </c>
      <c r="U5752" s="4" t="s">
        <v>194</v>
      </c>
    </row>
    <row r="5753" spans="19:21" x14ac:dyDescent="0.25">
      <c r="S5753" s="6" t="s">
        <v>302</v>
      </c>
      <c r="T5753" s="6">
        <f t="shared" si="107"/>
        <v>5752</v>
      </c>
      <c r="U5753" s="4" t="s">
        <v>194</v>
      </c>
    </row>
    <row r="5754" spans="19:21" x14ac:dyDescent="0.25">
      <c r="S5754" s="6" t="s">
        <v>302</v>
      </c>
      <c r="T5754" s="6">
        <f t="shared" si="107"/>
        <v>5753</v>
      </c>
      <c r="U5754" s="4" t="s">
        <v>194</v>
      </c>
    </row>
    <row r="5755" spans="19:21" x14ac:dyDescent="0.25">
      <c r="S5755" s="6" t="s">
        <v>302</v>
      </c>
      <c r="T5755" s="6">
        <f t="shared" si="107"/>
        <v>5754</v>
      </c>
      <c r="U5755" s="4" t="s">
        <v>194</v>
      </c>
    </row>
    <row r="5756" spans="19:21" x14ac:dyDescent="0.25">
      <c r="S5756" s="6" t="s">
        <v>302</v>
      </c>
      <c r="T5756" s="6">
        <f t="shared" si="107"/>
        <v>5755</v>
      </c>
      <c r="U5756" s="4" t="s">
        <v>194</v>
      </c>
    </row>
    <row r="5757" spans="19:21" x14ac:dyDescent="0.25">
      <c r="S5757" s="6" t="s">
        <v>302</v>
      </c>
      <c r="T5757" s="6">
        <f t="shared" si="107"/>
        <v>5756</v>
      </c>
      <c r="U5757" s="4" t="s">
        <v>194</v>
      </c>
    </row>
    <row r="5758" spans="19:21" x14ac:dyDescent="0.25">
      <c r="S5758" s="6" t="s">
        <v>302</v>
      </c>
      <c r="T5758" s="6">
        <f t="shared" si="107"/>
        <v>5757</v>
      </c>
      <c r="U5758" s="4" t="s">
        <v>194</v>
      </c>
    </row>
    <row r="5759" spans="19:21" x14ac:dyDescent="0.25">
      <c r="S5759" s="6" t="s">
        <v>302</v>
      </c>
      <c r="T5759" s="6">
        <f t="shared" si="107"/>
        <v>5758</v>
      </c>
      <c r="U5759" s="4" t="s">
        <v>194</v>
      </c>
    </row>
    <row r="5760" spans="19:21" x14ac:dyDescent="0.25">
      <c r="S5760" s="6" t="s">
        <v>302</v>
      </c>
      <c r="T5760" s="6">
        <f t="shared" si="107"/>
        <v>5759</v>
      </c>
      <c r="U5760" s="4" t="s">
        <v>194</v>
      </c>
    </row>
    <row r="5761" spans="19:21" x14ac:dyDescent="0.25">
      <c r="S5761" s="6" t="s">
        <v>302</v>
      </c>
      <c r="T5761" s="6">
        <f t="shared" si="107"/>
        <v>5760</v>
      </c>
      <c r="U5761" s="4" t="s">
        <v>194</v>
      </c>
    </row>
    <row r="5762" spans="19:21" x14ac:dyDescent="0.25">
      <c r="S5762" s="6" t="s">
        <v>302</v>
      </c>
      <c r="T5762" s="6">
        <f t="shared" si="107"/>
        <v>5761</v>
      </c>
      <c r="U5762" s="4" t="s">
        <v>194</v>
      </c>
    </row>
    <row r="5763" spans="19:21" x14ac:dyDescent="0.25">
      <c r="S5763" s="6" t="s">
        <v>302</v>
      </c>
      <c r="T5763" s="6">
        <f t="shared" si="107"/>
        <v>5762</v>
      </c>
      <c r="U5763" s="4" t="s">
        <v>194</v>
      </c>
    </row>
    <row r="5764" spans="19:21" x14ac:dyDescent="0.25">
      <c r="S5764" s="6" t="s">
        <v>302</v>
      </c>
      <c r="T5764" s="6">
        <f t="shared" si="107"/>
        <v>5763</v>
      </c>
      <c r="U5764" s="4" t="s">
        <v>194</v>
      </c>
    </row>
    <row r="5765" spans="19:21" x14ac:dyDescent="0.25">
      <c r="S5765" s="6" t="s">
        <v>302</v>
      </c>
      <c r="T5765" s="6">
        <f t="shared" si="107"/>
        <v>5764</v>
      </c>
      <c r="U5765" s="4" t="s">
        <v>194</v>
      </c>
    </row>
    <row r="5766" spans="19:21" x14ac:dyDescent="0.25">
      <c r="S5766" s="6" t="s">
        <v>302</v>
      </c>
      <c r="T5766" s="6">
        <f t="shared" si="107"/>
        <v>5765</v>
      </c>
      <c r="U5766" s="4" t="s">
        <v>194</v>
      </c>
    </row>
    <row r="5767" spans="19:21" x14ac:dyDescent="0.25">
      <c r="S5767" s="6" t="s">
        <v>302</v>
      </c>
      <c r="T5767" s="6">
        <f t="shared" si="107"/>
        <v>5766</v>
      </c>
      <c r="U5767" s="4" t="s">
        <v>194</v>
      </c>
    </row>
    <row r="5768" spans="19:21" x14ac:dyDescent="0.25">
      <c r="S5768" s="6" t="s">
        <v>302</v>
      </c>
      <c r="T5768" s="6">
        <f t="shared" si="107"/>
        <v>5767</v>
      </c>
      <c r="U5768" s="4" t="s">
        <v>194</v>
      </c>
    </row>
    <row r="5769" spans="19:21" x14ac:dyDescent="0.25">
      <c r="S5769" s="6" t="s">
        <v>302</v>
      </c>
      <c r="T5769" s="6">
        <f t="shared" si="107"/>
        <v>5768</v>
      </c>
      <c r="U5769" s="4" t="s">
        <v>194</v>
      </c>
    </row>
    <row r="5770" spans="19:21" x14ac:dyDescent="0.25">
      <c r="S5770" s="6" t="s">
        <v>302</v>
      </c>
      <c r="T5770" s="6">
        <f t="shared" si="107"/>
        <v>5769</v>
      </c>
      <c r="U5770" s="4" t="s">
        <v>194</v>
      </c>
    </row>
    <row r="5771" spans="19:21" x14ac:dyDescent="0.25">
      <c r="S5771" s="6" t="s">
        <v>302</v>
      </c>
      <c r="T5771" s="6">
        <f t="shared" si="107"/>
        <v>5770</v>
      </c>
      <c r="U5771" s="4" t="s">
        <v>194</v>
      </c>
    </row>
    <row r="5772" spans="19:21" x14ac:dyDescent="0.25">
      <c r="S5772" s="6" t="s">
        <v>302</v>
      </c>
      <c r="T5772" s="6">
        <f t="shared" si="107"/>
        <v>5771</v>
      </c>
      <c r="U5772" s="4" t="s">
        <v>194</v>
      </c>
    </row>
    <row r="5773" spans="19:21" x14ac:dyDescent="0.25">
      <c r="S5773" s="6" t="s">
        <v>302</v>
      </c>
      <c r="T5773" s="6">
        <f t="shared" si="107"/>
        <v>5772</v>
      </c>
      <c r="U5773" s="4" t="s">
        <v>194</v>
      </c>
    </row>
    <row r="5774" spans="19:21" x14ac:dyDescent="0.25">
      <c r="S5774" s="6" t="s">
        <v>302</v>
      </c>
      <c r="T5774" s="6">
        <f t="shared" si="107"/>
        <v>5773</v>
      </c>
      <c r="U5774" s="4" t="s">
        <v>194</v>
      </c>
    </row>
    <row r="5775" spans="19:21" x14ac:dyDescent="0.25">
      <c r="S5775" s="6" t="s">
        <v>302</v>
      </c>
      <c r="T5775" s="6">
        <f t="shared" si="107"/>
        <v>5774</v>
      </c>
      <c r="U5775" s="4" t="s">
        <v>194</v>
      </c>
    </row>
    <row r="5776" spans="19:21" x14ac:dyDescent="0.25">
      <c r="S5776" s="6" t="s">
        <v>302</v>
      </c>
      <c r="T5776" s="6">
        <f t="shared" si="107"/>
        <v>5775</v>
      </c>
      <c r="U5776" s="4" t="s">
        <v>194</v>
      </c>
    </row>
    <row r="5777" spans="19:21" x14ac:dyDescent="0.25">
      <c r="S5777" s="6" t="s">
        <v>302</v>
      </c>
      <c r="T5777" s="6">
        <f t="shared" si="107"/>
        <v>5776</v>
      </c>
      <c r="U5777" s="4" t="s">
        <v>194</v>
      </c>
    </row>
    <row r="5778" spans="19:21" x14ac:dyDescent="0.25">
      <c r="S5778" s="6" t="s">
        <v>302</v>
      </c>
      <c r="T5778" s="6">
        <f t="shared" si="107"/>
        <v>5777</v>
      </c>
      <c r="U5778" s="4" t="s">
        <v>194</v>
      </c>
    </row>
    <row r="5779" spans="19:21" x14ac:dyDescent="0.25">
      <c r="S5779" s="6" t="s">
        <v>302</v>
      </c>
      <c r="T5779" s="6">
        <f t="shared" si="107"/>
        <v>5778</v>
      </c>
      <c r="U5779" s="4" t="s">
        <v>194</v>
      </c>
    </row>
    <row r="5780" spans="19:21" x14ac:dyDescent="0.25">
      <c r="S5780" s="6" t="s">
        <v>302</v>
      </c>
      <c r="T5780" s="6">
        <f t="shared" si="107"/>
        <v>5779</v>
      </c>
      <c r="U5780" s="4" t="s">
        <v>194</v>
      </c>
    </row>
    <row r="5781" spans="19:21" x14ac:dyDescent="0.25">
      <c r="S5781" s="6" t="s">
        <v>302</v>
      </c>
      <c r="T5781" s="6">
        <f t="shared" si="107"/>
        <v>5780</v>
      </c>
      <c r="U5781" s="4" t="s">
        <v>194</v>
      </c>
    </row>
    <row r="5782" spans="19:21" x14ac:dyDescent="0.25">
      <c r="S5782" s="6" t="s">
        <v>302</v>
      </c>
      <c r="T5782" s="6">
        <f t="shared" si="107"/>
        <v>5781</v>
      </c>
      <c r="U5782" s="4" t="s">
        <v>194</v>
      </c>
    </row>
    <row r="5783" spans="19:21" x14ac:dyDescent="0.25">
      <c r="S5783" s="6" t="s">
        <v>302</v>
      </c>
      <c r="T5783" s="6">
        <f t="shared" si="107"/>
        <v>5782</v>
      </c>
      <c r="U5783" s="4" t="s">
        <v>194</v>
      </c>
    </row>
    <row r="5784" spans="19:21" x14ac:dyDescent="0.25">
      <c r="S5784" s="6" t="s">
        <v>302</v>
      </c>
      <c r="T5784" s="6">
        <f t="shared" si="107"/>
        <v>5783</v>
      </c>
      <c r="U5784" s="4" t="s">
        <v>194</v>
      </c>
    </row>
    <row r="5785" spans="19:21" x14ac:dyDescent="0.25">
      <c r="S5785" s="6" t="s">
        <v>302</v>
      </c>
      <c r="T5785" s="6">
        <f t="shared" si="107"/>
        <v>5784</v>
      </c>
      <c r="U5785" s="4" t="s">
        <v>194</v>
      </c>
    </row>
    <row r="5786" spans="19:21" x14ac:dyDescent="0.25">
      <c r="S5786" s="6" t="s">
        <v>302</v>
      </c>
      <c r="T5786" s="6">
        <f t="shared" si="107"/>
        <v>5785</v>
      </c>
      <c r="U5786" s="4" t="s">
        <v>194</v>
      </c>
    </row>
    <row r="5787" spans="19:21" x14ac:dyDescent="0.25">
      <c r="S5787" s="6" t="s">
        <v>302</v>
      </c>
      <c r="T5787" s="6">
        <f t="shared" si="107"/>
        <v>5786</v>
      </c>
      <c r="U5787" s="4" t="s">
        <v>194</v>
      </c>
    </row>
    <row r="5788" spans="19:21" x14ac:dyDescent="0.25">
      <c r="S5788" s="6" t="s">
        <v>302</v>
      </c>
      <c r="T5788" s="6">
        <f t="shared" si="107"/>
        <v>5787</v>
      </c>
      <c r="U5788" s="4" t="s">
        <v>194</v>
      </c>
    </row>
    <row r="5789" spans="19:21" x14ac:dyDescent="0.25">
      <c r="S5789" s="6" t="s">
        <v>302</v>
      </c>
      <c r="T5789" s="6">
        <f t="shared" si="107"/>
        <v>5788</v>
      </c>
      <c r="U5789" s="4" t="s">
        <v>194</v>
      </c>
    </row>
    <row r="5790" spans="19:21" x14ac:dyDescent="0.25">
      <c r="S5790" s="6" t="s">
        <v>302</v>
      </c>
      <c r="T5790" s="6">
        <f t="shared" ref="T5790:T5853" si="108">T5789+1</f>
        <v>5789</v>
      </c>
      <c r="U5790" s="4" t="s">
        <v>194</v>
      </c>
    </row>
    <row r="5791" spans="19:21" x14ac:dyDescent="0.25">
      <c r="S5791" s="6" t="s">
        <v>302</v>
      </c>
      <c r="T5791" s="6">
        <f t="shared" si="108"/>
        <v>5790</v>
      </c>
      <c r="U5791" s="4" t="s">
        <v>194</v>
      </c>
    </row>
    <row r="5792" spans="19:21" x14ac:dyDescent="0.25">
      <c r="S5792" s="6" t="s">
        <v>302</v>
      </c>
      <c r="T5792" s="6">
        <f t="shared" si="108"/>
        <v>5791</v>
      </c>
      <c r="U5792" s="4" t="s">
        <v>194</v>
      </c>
    </row>
    <row r="5793" spans="19:21" x14ac:dyDescent="0.25">
      <c r="S5793" s="6" t="s">
        <v>302</v>
      </c>
      <c r="T5793" s="6">
        <f t="shared" si="108"/>
        <v>5792</v>
      </c>
      <c r="U5793" s="4" t="s">
        <v>194</v>
      </c>
    </row>
    <row r="5794" spans="19:21" x14ac:dyDescent="0.25">
      <c r="S5794" s="6" t="s">
        <v>302</v>
      </c>
      <c r="T5794" s="6">
        <f t="shared" si="108"/>
        <v>5793</v>
      </c>
      <c r="U5794" s="4" t="s">
        <v>194</v>
      </c>
    </row>
    <row r="5795" spans="19:21" x14ac:dyDescent="0.25">
      <c r="S5795" s="6" t="s">
        <v>302</v>
      </c>
      <c r="T5795" s="6">
        <f t="shared" si="108"/>
        <v>5794</v>
      </c>
      <c r="U5795" s="4" t="s">
        <v>194</v>
      </c>
    </row>
    <row r="5796" spans="19:21" x14ac:dyDescent="0.25">
      <c r="S5796" s="6" t="s">
        <v>302</v>
      </c>
      <c r="T5796" s="6">
        <f t="shared" si="108"/>
        <v>5795</v>
      </c>
      <c r="U5796" s="4" t="s">
        <v>194</v>
      </c>
    </row>
    <row r="5797" spans="19:21" x14ac:dyDescent="0.25">
      <c r="S5797" s="6" t="s">
        <v>302</v>
      </c>
      <c r="T5797" s="6">
        <f t="shared" si="108"/>
        <v>5796</v>
      </c>
      <c r="U5797" s="4" t="s">
        <v>194</v>
      </c>
    </row>
    <row r="5798" spans="19:21" x14ac:dyDescent="0.25">
      <c r="S5798" s="6" t="s">
        <v>302</v>
      </c>
      <c r="T5798" s="6">
        <f t="shared" si="108"/>
        <v>5797</v>
      </c>
      <c r="U5798" s="4" t="s">
        <v>194</v>
      </c>
    </row>
    <row r="5799" spans="19:21" x14ac:dyDescent="0.25">
      <c r="S5799" s="6" t="s">
        <v>302</v>
      </c>
      <c r="T5799" s="6">
        <f t="shared" si="108"/>
        <v>5798</v>
      </c>
      <c r="U5799" s="4" t="s">
        <v>194</v>
      </c>
    </row>
    <row r="5800" spans="19:21" x14ac:dyDescent="0.25">
      <c r="S5800" s="6" t="s">
        <v>302</v>
      </c>
      <c r="T5800" s="6">
        <f t="shared" si="108"/>
        <v>5799</v>
      </c>
      <c r="U5800" s="4" t="s">
        <v>194</v>
      </c>
    </row>
    <row r="5801" spans="19:21" x14ac:dyDescent="0.25">
      <c r="S5801" s="6" t="s">
        <v>302</v>
      </c>
      <c r="T5801" s="6">
        <f t="shared" si="108"/>
        <v>5800</v>
      </c>
      <c r="U5801" s="4" t="s">
        <v>194</v>
      </c>
    </row>
    <row r="5802" spans="19:21" x14ac:dyDescent="0.25">
      <c r="S5802" s="6" t="s">
        <v>302</v>
      </c>
      <c r="T5802" s="6">
        <f t="shared" si="108"/>
        <v>5801</v>
      </c>
      <c r="U5802" s="4" t="s">
        <v>194</v>
      </c>
    </row>
    <row r="5803" spans="19:21" x14ac:dyDescent="0.25">
      <c r="S5803" s="6" t="s">
        <v>302</v>
      </c>
      <c r="T5803" s="6">
        <f t="shared" si="108"/>
        <v>5802</v>
      </c>
      <c r="U5803" s="4" t="s">
        <v>194</v>
      </c>
    </row>
    <row r="5804" spans="19:21" x14ac:dyDescent="0.25">
      <c r="S5804" s="6" t="s">
        <v>302</v>
      </c>
      <c r="T5804" s="6">
        <f t="shared" si="108"/>
        <v>5803</v>
      </c>
      <c r="U5804" s="4" t="s">
        <v>194</v>
      </c>
    </row>
    <row r="5805" spans="19:21" x14ac:dyDescent="0.25">
      <c r="S5805" s="6" t="s">
        <v>302</v>
      </c>
      <c r="T5805" s="6">
        <f t="shared" si="108"/>
        <v>5804</v>
      </c>
      <c r="U5805" s="4" t="s">
        <v>194</v>
      </c>
    </row>
    <row r="5806" spans="19:21" x14ac:dyDescent="0.25">
      <c r="S5806" s="6" t="s">
        <v>302</v>
      </c>
      <c r="T5806" s="6">
        <f t="shared" si="108"/>
        <v>5805</v>
      </c>
      <c r="U5806" s="4" t="s">
        <v>194</v>
      </c>
    </row>
    <row r="5807" spans="19:21" x14ac:dyDescent="0.25">
      <c r="S5807" s="6" t="s">
        <v>302</v>
      </c>
      <c r="T5807" s="6">
        <f t="shared" si="108"/>
        <v>5806</v>
      </c>
      <c r="U5807" s="4" t="s">
        <v>194</v>
      </c>
    </row>
    <row r="5808" spans="19:21" x14ac:dyDescent="0.25">
      <c r="S5808" s="6" t="s">
        <v>302</v>
      </c>
      <c r="T5808" s="6">
        <f t="shared" si="108"/>
        <v>5807</v>
      </c>
      <c r="U5808" s="4" t="s">
        <v>194</v>
      </c>
    </row>
    <row r="5809" spans="19:21" x14ac:dyDescent="0.25">
      <c r="S5809" s="6" t="s">
        <v>302</v>
      </c>
      <c r="T5809" s="6">
        <f t="shared" si="108"/>
        <v>5808</v>
      </c>
      <c r="U5809" s="4" t="s">
        <v>194</v>
      </c>
    </row>
    <row r="5810" spans="19:21" x14ac:dyDescent="0.25">
      <c r="S5810" s="6" t="s">
        <v>302</v>
      </c>
      <c r="T5810" s="6">
        <f t="shared" si="108"/>
        <v>5809</v>
      </c>
      <c r="U5810" s="4" t="s">
        <v>194</v>
      </c>
    </row>
    <row r="5811" spans="19:21" x14ac:dyDescent="0.25">
      <c r="S5811" s="6" t="s">
        <v>302</v>
      </c>
      <c r="T5811" s="6">
        <f t="shared" si="108"/>
        <v>5810</v>
      </c>
      <c r="U5811" s="4" t="s">
        <v>194</v>
      </c>
    </row>
    <row r="5812" spans="19:21" x14ac:dyDescent="0.25">
      <c r="S5812" s="6" t="s">
        <v>302</v>
      </c>
      <c r="T5812" s="6">
        <f t="shared" si="108"/>
        <v>5811</v>
      </c>
      <c r="U5812" s="4" t="s">
        <v>194</v>
      </c>
    </row>
    <row r="5813" spans="19:21" x14ac:dyDescent="0.25">
      <c r="S5813" s="6" t="s">
        <v>302</v>
      </c>
      <c r="T5813" s="6">
        <f t="shared" si="108"/>
        <v>5812</v>
      </c>
      <c r="U5813" s="4" t="s">
        <v>194</v>
      </c>
    </row>
    <row r="5814" spans="19:21" x14ac:dyDescent="0.25">
      <c r="S5814" s="6" t="s">
        <v>302</v>
      </c>
      <c r="T5814" s="6">
        <f t="shared" si="108"/>
        <v>5813</v>
      </c>
      <c r="U5814" s="4" t="s">
        <v>194</v>
      </c>
    </row>
    <row r="5815" spans="19:21" x14ac:dyDescent="0.25">
      <c r="S5815" s="6" t="s">
        <v>302</v>
      </c>
      <c r="T5815" s="6">
        <f t="shared" si="108"/>
        <v>5814</v>
      </c>
      <c r="U5815" s="4" t="s">
        <v>194</v>
      </c>
    </row>
    <row r="5816" spans="19:21" x14ac:dyDescent="0.25">
      <c r="S5816" s="6" t="s">
        <v>302</v>
      </c>
      <c r="T5816" s="6">
        <f t="shared" si="108"/>
        <v>5815</v>
      </c>
      <c r="U5816" s="4" t="s">
        <v>194</v>
      </c>
    </row>
    <row r="5817" spans="19:21" x14ac:dyDescent="0.25">
      <c r="S5817" s="6" t="s">
        <v>302</v>
      </c>
      <c r="T5817" s="6">
        <f t="shared" si="108"/>
        <v>5816</v>
      </c>
      <c r="U5817" s="4" t="s">
        <v>194</v>
      </c>
    </row>
    <row r="5818" spans="19:21" x14ac:dyDescent="0.25">
      <c r="S5818" s="6" t="s">
        <v>302</v>
      </c>
      <c r="T5818" s="6">
        <f t="shared" si="108"/>
        <v>5817</v>
      </c>
      <c r="U5818" s="4" t="s">
        <v>194</v>
      </c>
    </row>
    <row r="5819" spans="19:21" x14ac:dyDescent="0.25">
      <c r="S5819" s="6" t="s">
        <v>302</v>
      </c>
      <c r="T5819" s="6">
        <f t="shared" si="108"/>
        <v>5818</v>
      </c>
      <c r="U5819" s="4" t="s">
        <v>194</v>
      </c>
    </row>
    <row r="5820" spans="19:21" x14ac:dyDescent="0.25">
      <c r="S5820" s="6" t="s">
        <v>302</v>
      </c>
      <c r="T5820" s="6">
        <f t="shared" si="108"/>
        <v>5819</v>
      </c>
      <c r="U5820" s="4" t="s">
        <v>194</v>
      </c>
    </row>
    <row r="5821" spans="19:21" x14ac:dyDescent="0.25">
      <c r="S5821" s="6" t="s">
        <v>302</v>
      </c>
      <c r="T5821" s="6">
        <f t="shared" si="108"/>
        <v>5820</v>
      </c>
      <c r="U5821" s="4" t="s">
        <v>194</v>
      </c>
    </row>
    <row r="5822" spans="19:21" x14ac:dyDescent="0.25">
      <c r="S5822" s="6" t="s">
        <v>302</v>
      </c>
      <c r="T5822" s="6">
        <f t="shared" si="108"/>
        <v>5821</v>
      </c>
      <c r="U5822" s="4" t="s">
        <v>194</v>
      </c>
    </row>
    <row r="5823" spans="19:21" x14ac:dyDescent="0.25">
      <c r="S5823" s="6" t="s">
        <v>302</v>
      </c>
      <c r="T5823" s="6">
        <f t="shared" si="108"/>
        <v>5822</v>
      </c>
      <c r="U5823" s="4" t="s">
        <v>194</v>
      </c>
    </row>
    <row r="5824" spans="19:21" x14ac:dyDescent="0.25">
      <c r="S5824" s="6" t="s">
        <v>302</v>
      </c>
      <c r="T5824" s="6">
        <f t="shared" si="108"/>
        <v>5823</v>
      </c>
      <c r="U5824" s="4" t="s">
        <v>194</v>
      </c>
    </row>
    <row r="5825" spans="19:21" x14ac:dyDescent="0.25">
      <c r="S5825" s="6" t="s">
        <v>302</v>
      </c>
      <c r="T5825" s="6">
        <f t="shared" si="108"/>
        <v>5824</v>
      </c>
      <c r="U5825" s="4" t="s">
        <v>194</v>
      </c>
    </row>
    <row r="5826" spans="19:21" x14ac:dyDescent="0.25">
      <c r="S5826" s="6" t="s">
        <v>302</v>
      </c>
      <c r="T5826" s="6">
        <f t="shared" si="108"/>
        <v>5825</v>
      </c>
      <c r="U5826" s="4" t="s">
        <v>194</v>
      </c>
    </row>
    <row r="5827" spans="19:21" x14ac:dyDescent="0.25">
      <c r="S5827" s="6" t="s">
        <v>302</v>
      </c>
      <c r="T5827" s="6">
        <f t="shared" si="108"/>
        <v>5826</v>
      </c>
      <c r="U5827" s="4" t="s">
        <v>194</v>
      </c>
    </row>
    <row r="5828" spans="19:21" x14ac:dyDescent="0.25">
      <c r="S5828" s="6" t="s">
        <v>302</v>
      </c>
      <c r="T5828" s="6">
        <f t="shared" si="108"/>
        <v>5827</v>
      </c>
      <c r="U5828" s="4" t="s">
        <v>194</v>
      </c>
    </row>
    <row r="5829" spans="19:21" x14ac:dyDescent="0.25">
      <c r="S5829" s="6" t="s">
        <v>302</v>
      </c>
      <c r="T5829" s="6">
        <f t="shared" si="108"/>
        <v>5828</v>
      </c>
      <c r="U5829" s="4" t="s">
        <v>194</v>
      </c>
    </row>
    <row r="5830" spans="19:21" x14ac:dyDescent="0.25">
      <c r="S5830" s="6" t="s">
        <v>302</v>
      </c>
      <c r="T5830" s="6">
        <f t="shared" si="108"/>
        <v>5829</v>
      </c>
      <c r="U5830" s="4" t="s">
        <v>194</v>
      </c>
    </row>
    <row r="5831" spans="19:21" x14ac:dyDescent="0.25">
      <c r="S5831" s="6" t="s">
        <v>302</v>
      </c>
      <c r="T5831" s="6">
        <f t="shared" si="108"/>
        <v>5830</v>
      </c>
      <c r="U5831" s="4" t="s">
        <v>194</v>
      </c>
    </row>
    <row r="5832" spans="19:21" x14ac:dyDescent="0.25">
      <c r="S5832" s="6" t="s">
        <v>302</v>
      </c>
      <c r="T5832" s="6">
        <f t="shared" si="108"/>
        <v>5831</v>
      </c>
      <c r="U5832" s="4" t="s">
        <v>194</v>
      </c>
    </row>
    <row r="5833" spans="19:21" x14ac:dyDescent="0.25">
      <c r="S5833" s="6" t="s">
        <v>302</v>
      </c>
      <c r="T5833" s="6">
        <f t="shared" si="108"/>
        <v>5832</v>
      </c>
      <c r="U5833" s="4" t="s">
        <v>194</v>
      </c>
    </row>
    <row r="5834" spans="19:21" x14ac:dyDescent="0.25">
      <c r="S5834" s="6" t="s">
        <v>302</v>
      </c>
      <c r="T5834" s="6">
        <f t="shared" si="108"/>
        <v>5833</v>
      </c>
      <c r="U5834" s="4" t="s">
        <v>194</v>
      </c>
    </row>
    <row r="5835" spans="19:21" x14ac:dyDescent="0.25">
      <c r="S5835" s="6" t="s">
        <v>302</v>
      </c>
      <c r="T5835" s="6">
        <f t="shared" si="108"/>
        <v>5834</v>
      </c>
      <c r="U5835" s="4" t="s">
        <v>194</v>
      </c>
    </row>
    <row r="5836" spans="19:21" x14ac:dyDescent="0.25">
      <c r="S5836" s="6" t="s">
        <v>302</v>
      </c>
      <c r="T5836" s="6">
        <f t="shared" si="108"/>
        <v>5835</v>
      </c>
      <c r="U5836" s="4" t="s">
        <v>194</v>
      </c>
    </row>
    <row r="5837" spans="19:21" x14ac:dyDescent="0.25">
      <c r="S5837" s="6" t="s">
        <v>302</v>
      </c>
      <c r="T5837" s="6">
        <f t="shared" si="108"/>
        <v>5836</v>
      </c>
      <c r="U5837" s="4" t="s">
        <v>194</v>
      </c>
    </row>
    <row r="5838" spans="19:21" x14ac:dyDescent="0.25">
      <c r="S5838" s="6" t="s">
        <v>302</v>
      </c>
      <c r="T5838" s="6">
        <f t="shared" si="108"/>
        <v>5837</v>
      </c>
      <c r="U5838" s="4" t="s">
        <v>194</v>
      </c>
    </row>
    <row r="5839" spans="19:21" x14ac:dyDescent="0.25">
      <c r="S5839" s="6" t="s">
        <v>302</v>
      </c>
      <c r="T5839" s="6">
        <f t="shared" si="108"/>
        <v>5838</v>
      </c>
      <c r="U5839" s="4" t="s">
        <v>194</v>
      </c>
    </row>
    <row r="5840" spans="19:21" x14ac:dyDescent="0.25">
      <c r="S5840" s="6" t="s">
        <v>302</v>
      </c>
      <c r="T5840" s="6">
        <f t="shared" si="108"/>
        <v>5839</v>
      </c>
      <c r="U5840" s="4" t="s">
        <v>194</v>
      </c>
    </row>
    <row r="5841" spans="19:21" x14ac:dyDescent="0.25">
      <c r="S5841" s="6" t="s">
        <v>302</v>
      </c>
      <c r="T5841" s="6">
        <f t="shared" si="108"/>
        <v>5840</v>
      </c>
      <c r="U5841" s="4" t="s">
        <v>194</v>
      </c>
    </row>
    <row r="5842" spans="19:21" x14ac:dyDescent="0.25">
      <c r="S5842" s="6" t="s">
        <v>302</v>
      </c>
      <c r="T5842" s="6">
        <f t="shared" si="108"/>
        <v>5841</v>
      </c>
      <c r="U5842" s="4" t="s">
        <v>194</v>
      </c>
    </row>
    <row r="5843" spans="19:21" x14ac:dyDescent="0.25">
      <c r="S5843" s="6" t="s">
        <v>302</v>
      </c>
      <c r="T5843" s="6">
        <f t="shared" si="108"/>
        <v>5842</v>
      </c>
      <c r="U5843" s="4" t="s">
        <v>194</v>
      </c>
    </row>
    <row r="5844" spans="19:21" x14ac:dyDescent="0.25">
      <c r="S5844" s="6" t="s">
        <v>302</v>
      </c>
      <c r="T5844" s="6">
        <f t="shared" si="108"/>
        <v>5843</v>
      </c>
      <c r="U5844" s="4" t="s">
        <v>194</v>
      </c>
    </row>
    <row r="5845" spans="19:21" x14ac:dyDescent="0.25">
      <c r="S5845" s="6" t="s">
        <v>302</v>
      </c>
      <c r="T5845" s="6">
        <f t="shared" si="108"/>
        <v>5844</v>
      </c>
      <c r="U5845" s="4" t="s">
        <v>194</v>
      </c>
    </row>
    <row r="5846" spans="19:21" x14ac:dyDescent="0.25">
      <c r="S5846" s="6" t="s">
        <v>302</v>
      </c>
      <c r="T5846" s="6">
        <f t="shared" si="108"/>
        <v>5845</v>
      </c>
      <c r="U5846" s="4" t="s">
        <v>194</v>
      </c>
    </row>
    <row r="5847" spans="19:21" x14ac:dyDescent="0.25">
      <c r="S5847" s="6" t="s">
        <v>302</v>
      </c>
      <c r="T5847" s="6">
        <f t="shared" si="108"/>
        <v>5846</v>
      </c>
      <c r="U5847" s="4" t="s">
        <v>194</v>
      </c>
    </row>
    <row r="5848" spans="19:21" x14ac:dyDescent="0.25">
      <c r="S5848" s="6" t="s">
        <v>302</v>
      </c>
      <c r="T5848" s="6">
        <f t="shared" si="108"/>
        <v>5847</v>
      </c>
      <c r="U5848" s="4" t="s">
        <v>194</v>
      </c>
    </row>
    <row r="5849" spans="19:21" x14ac:dyDescent="0.25">
      <c r="S5849" s="6" t="s">
        <v>302</v>
      </c>
      <c r="T5849" s="6">
        <f t="shared" si="108"/>
        <v>5848</v>
      </c>
      <c r="U5849" s="4" t="s">
        <v>194</v>
      </c>
    </row>
    <row r="5850" spans="19:21" x14ac:dyDescent="0.25">
      <c r="S5850" s="6" t="s">
        <v>302</v>
      </c>
      <c r="T5850" s="6">
        <f t="shared" si="108"/>
        <v>5849</v>
      </c>
      <c r="U5850" s="4" t="s">
        <v>194</v>
      </c>
    </row>
    <row r="5851" spans="19:21" x14ac:dyDescent="0.25">
      <c r="S5851" s="6" t="s">
        <v>302</v>
      </c>
      <c r="T5851" s="6">
        <f t="shared" si="108"/>
        <v>5850</v>
      </c>
      <c r="U5851" s="4" t="s">
        <v>194</v>
      </c>
    </row>
    <row r="5852" spans="19:21" x14ac:dyDescent="0.25">
      <c r="S5852" s="6" t="s">
        <v>302</v>
      </c>
      <c r="T5852" s="6">
        <f t="shared" si="108"/>
        <v>5851</v>
      </c>
      <c r="U5852" s="4" t="s">
        <v>194</v>
      </c>
    </row>
    <row r="5853" spans="19:21" x14ac:dyDescent="0.25">
      <c r="S5853" s="6" t="s">
        <v>302</v>
      </c>
      <c r="T5853" s="6">
        <f t="shared" si="108"/>
        <v>5852</v>
      </c>
      <c r="U5853" s="4" t="s">
        <v>194</v>
      </c>
    </row>
    <row r="5854" spans="19:21" x14ac:dyDescent="0.25">
      <c r="S5854" s="6" t="s">
        <v>302</v>
      </c>
      <c r="T5854" s="6">
        <f t="shared" ref="T5854:T5917" si="109">T5853+1</f>
        <v>5853</v>
      </c>
      <c r="U5854" s="4" t="s">
        <v>194</v>
      </c>
    </row>
    <row r="5855" spans="19:21" x14ac:dyDescent="0.25">
      <c r="S5855" s="6" t="s">
        <v>302</v>
      </c>
      <c r="T5855" s="6">
        <f t="shared" si="109"/>
        <v>5854</v>
      </c>
      <c r="U5855" s="4" t="s">
        <v>194</v>
      </c>
    </row>
    <row r="5856" spans="19:21" x14ac:dyDescent="0.25">
      <c r="S5856" s="6" t="s">
        <v>302</v>
      </c>
      <c r="T5856" s="6">
        <f t="shared" si="109"/>
        <v>5855</v>
      </c>
      <c r="U5856" s="4" t="s">
        <v>194</v>
      </c>
    </row>
    <row r="5857" spans="19:21" x14ac:dyDescent="0.25">
      <c r="S5857" s="6" t="s">
        <v>302</v>
      </c>
      <c r="T5857" s="6">
        <f t="shared" si="109"/>
        <v>5856</v>
      </c>
      <c r="U5857" s="4" t="s">
        <v>194</v>
      </c>
    </row>
    <row r="5858" spans="19:21" x14ac:dyDescent="0.25">
      <c r="S5858" s="6" t="s">
        <v>302</v>
      </c>
      <c r="T5858" s="6">
        <f t="shared" si="109"/>
        <v>5857</v>
      </c>
      <c r="U5858" s="4" t="s">
        <v>194</v>
      </c>
    </row>
    <row r="5859" spans="19:21" x14ac:dyDescent="0.25">
      <c r="S5859" s="6" t="s">
        <v>302</v>
      </c>
      <c r="T5859" s="6">
        <f t="shared" si="109"/>
        <v>5858</v>
      </c>
      <c r="U5859" s="4" t="s">
        <v>194</v>
      </c>
    </row>
    <row r="5860" spans="19:21" x14ac:dyDescent="0.25">
      <c r="S5860" s="6" t="s">
        <v>302</v>
      </c>
      <c r="T5860" s="6">
        <f t="shared" si="109"/>
        <v>5859</v>
      </c>
      <c r="U5860" s="4" t="s">
        <v>194</v>
      </c>
    </row>
    <row r="5861" spans="19:21" x14ac:dyDescent="0.25">
      <c r="S5861" s="6" t="s">
        <v>302</v>
      </c>
      <c r="T5861" s="6">
        <f t="shared" si="109"/>
        <v>5860</v>
      </c>
      <c r="U5861" s="4" t="s">
        <v>194</v>
      </c>
    </row>
    <row r="5862" spans="19:21" x14ac:dyDescent="0.25">
      <c r="S5862" s="6" t="s">
        <v>302</v>
      </c>
      <c r="T5862" s="6">
        <f t="shared" si="109"/>
        <v>5861</v>
      </c>
      <c r="U5862" s="4" t="s">
        <v>194</v>
      </c>
    </row>
    <row r="5863" spans="19:21" x14ac:dyDescent="0.25">
      <c r="S5863" s="6" t="s">
        <v>302</v>
      </c>
      <c r="T5863" s="6">
        <f t="shared" si="109"/>
        <v>5862</v>
      </c>
      <c r="U5863" s="4" t="s">
        <v>194</v>
      </c>
    </row>
    <row r="5864" spans="19:21" x14ac:dyDescent="0.25">
      <c r="S5864" s="6" t="s">
        <v>302</v>
      </c>
      <c r="T5864" s="6">
        <f t="shared" si="109"/>
        <v>5863</v>
      </c>
      <c r="U5864" s="4" t="s">
        <v>194</v>
      </c>
    </row>
    <row r="5865" spans="19:21" x14ac:dyDescent="0.25">
      <c r="S5865" s="6" t="s">
        <v>302</v>
      </c>
      <c r="T5865" s="6">
        <f t="shared" si="109"/>
        <v>5864</v>
      </c>
      <c r="U5865" s="4" t="s">
        <v>194</v>
      </c>
    </row>
    <row r="5866" spans="19:21" x14ac:dyDescent="0.25">
      <c r="S5866" s="6" t="s">
        <v>302</v>
      </c>
      <c r="T5866" s="6">
        <f t="shared" si="109"/>
        <v>5865</v>
      </c>
      <c r="U5866" s="4" t="s">
        <v>194</v>
      </c>
    </row>
    <row r="5867" spans="19:21" x14ac:dyDescent="0.25">
      <c r="S5867" s="6" t="s">
        <v>302</v>
      </c>
      <c r="T5867" s="6">
        <f t="shared" si="109"/>
        <v>5866</v>
      </c>
      <c r="U5867" s="4" t="s">
        <v>194</v>
      </c>
    </row>
    <row r="5868" spans="19:21" x14ac:dyDescent="0.25">
      <c r="S5868" s="6" t="s">
        <v>302</v>
      </c>
      <c r="T5868" s="6">
        <f t="shared" si="109"/>
        <v>5867</v>
      </c>
      <c r="U5868" s="4" t="s">
        <v>194</v>
      </c>
    </row>
    <row r="5869" spans="19:21" x14ac:dyDescent="0.25">
      <c r="S5869" s="6" t="s">
        <v>302</v>
      </c>
      <c r="T5869" s="6">
        <f t="shared" si="109"/>
        <v>5868</v>
      </c>
      <c r="U5869" s="4" t="s">
        <v>194</v>
      </c>
    </row>
    <row r="5870" spans="19:21" x14ac:dyDescent="0.25">
      <c r="S5870" s="6" t="s">
        <v>302</v>
      </c>
      <c r="T5870" s="6">
        <f t="shared" si="109"/>
        <v>5869</v>
      </c>
      <c r="U5870" s="4" t="s">
        <v>194</v>
      </c>
    </row>
    <row r="5871" spans="19:21" x14ac:dyDescent="0.25">
      <c r="S5871" s="6" t="s">
        <v>302</v>
      </c>
      <c r="T5871" s="6">
        <f t="shared" si="109"/>
        <v>5870</v>
      </c>
      <c r="U5871" s="4" t="s">
        <v>194</v>
      </c>
    </row>
    <row r="5872" spans="19:21" x14ac:dyDescent="0.25">
      <c r="S5872" s="6" t="s">
        <v>302</v>
      </c>
      <c r="T5872" s="6">
        <f t="shared" si="109"/>
        <v>5871</v>
      </c>
      <c r="U5872" s="4" t="s">
        <v>194</v>
      </c>
    </row>
    <row r="5873" spans="19:21" x14ac:dyDescent="0.25">
      <c r="S5873" s="6" t="s">
        <v>302</v>
      </c>
      <c r="T5873" s="6">
        <f t="shared" si="109"/>
        <v>5872</v>
      </c>
      <c r="U5873" s="4" t="s">
        <v>194</v>
      </c>
    </row>
    <row r="5874" spans="19:21" x14ac:dyDescent="0.25">
      <c r="S5874" s="6" t="s">
        <v>302</v>
      </c>
      <c r="T5874" s="6">
        <f t="shared" si="109"/>
        <v>5873</v>
      </c>
      <c r="U5874" s="4" t="s">
        <v>194</v>
      </c>
    </row>
    <row r="5875" spans="19:21" x14ac:dyDescent="0.25">
      <c r="S5875" s="6" t="s">
        <v>302</v>
      </c>
      <c r="T5875" s="6">
        <f t="shared" si="109"/>
        <v>5874</v>
      </c>
      <c r="U5875" s="4" t="s">
        <v>194</v>
      </c>
    </row>
    <row r="5876" spans="19:21" x14ac:dyDescent="0.25">
      <c r="S5876" s="6" t="s">
        <v>302</v>
      </c>
      <c r="T5876" s="6">
        <f t="shared" si="109"/>
        <v>5875</v>
      </c>
      <c r="U5876" s="4" t="s">
        <v>194</v>
      </c>
    </row>
    <row r="5877" spans="19:21" x14ac:dyDescent="0.25">
      <c r="S5877" s="6" t="s">
        <v>302</v>
      </c>
      <c r="T5877" s="6">
        <f t="shared" si="109"/>
        <v>5876</v>
      </c>
      <c r="U5877" s="4" t="s">
        <v>194</v>
      </c>
    </row>
    <row r="5878" spans="19:21" x14ac:dyDescent="0.25">
      <c r="S5878" s="6" t="s">
        <v>302</v>
      </c>
      <c r="T5878" s="6">
        <f t="shared" si="109"/>
        <v>5877</v>
      </c>
      <c r="U5878" s="4" t="s">
        <v>194</v>
      </c>
    </row>
    <row r="5879" spans="19:21" x14ac:dyDescent="0.25">
      <c r="S5879" s="6" t="s">
        <v>302</v>
      </c>
      <c r="T5879" s="6">
        <f t="shared" si="109"/>
        <v>5878</v>
      </c>
      <c r="U5879" s="4" t="s">
        <v>194</v>
      </c>
    </row>
    <row r="5880" spans="19:21" x14ac:dyDescent="0.25">
      <c r="S5880" s="6" t="s">
        <v>302</v>
      </c>
      <c r="T5880" s="6">
        <f t="shared" si="109"/>
        <v>5879</v>
      </c>
      <c r="U5880" s="4" t="s">
        <v>194</v>
      </c>
    </row>
    <row r="5881" spans="19:21" x14ac:dyDescent="0.25">
      <c r="S5881" s="6" t="s">
        <v>302</v>
      </c>
      <c r="T5881" s="6">
        <f t="shared" si="109"/>
        <v>5880</v>
      </c>
      <c r="U5881" s="4" t="s">
        <v>194</v>
      </c>
    </row>
    <row r="5882" spans="19:21" x14ac:dyDescent="0.25">
      <c r="S5882" s="6" t="s">
        <v>302</v>
      </c>
      <c r="T5882" s="6">
        <f t="shared" si="109"/>
        <v>5881</v>
      </c>
      <c r="U5882" s="4" t="s">
        <v>194</v>
      </c>
    </row>
    <row r="5883" spans="19:21" x14ac:dyDescent="0.25">
      <c r="S5883" s="6" t="s">
        <v>302</v>
      </c>
      <c r="T5883" s="6">
        <f t="shared" si="109"/>
        <v>5882</v>
      </c>
      <c r="U5883" s="4" t="s">
        <v>194</v>
      </c>
    </row>
    <row r="5884" spans="19:21" x14ac:dyDescent="0.25">
      <c r="S5884" s="6" t="s">
        <v>302</v>
      </c>
      <c r="T5884" s="6">
        <f t="shared" si="109"/>
        <v>5883</v>
      </c>
      <c r="U5884" s="4" t="s">
        <v>194</v>
      </c>
    </row>
    <row r="5885" spans="19:21" x14ac:dyDescent="0.25">
      <c r="S5885" s="6" t="s">
        <v>302</v>
      </c>
      <c r="T5885" s="6">
        <f t="shared" si="109"/>
        <v>5884</v>
      </c>
      <c r="U5885" s="4" t="s">
        <v>194</v>
      </c>
    </row>
    <row r="5886" spans="19:21" x14ac:dyDescent="0.25">
      <c r="S5886" s="6" t="s">
        <v>302</v>
      </c>
      <c r="T5886" s="6">
        <f t="shared" si="109"/>
        <v>5885</v>
      </c>
      <c r="U5886" s="4" t="s">
        <v>194</v>
      </c>
    </row>
    <row r="5887" spans="19:21" x14ac:dyDescent="0.25">
      <c r="S5887" s="6" t="s">
        <v>302</v>
      </c>
      <c r="T5887" s="6">
        <f t="shared" si="109"/>
        <v>5886</v>
      </c>
      <c r="U5887" s="4" t="s">
        <v>194</v>
      </c>
    </row>
    <row r="5888" spans="19:21" x14ac:dyDescent="0.25">
      <c r="S5888" s="6" t="s">
        <v>302</v>
      </c>
      <c r="T5888" s="6">
        <f t="shared" si="109"/>
        <v>5887</v>
      </c>
      <c r="U5888" s="4" t="s">
        <v>194</v>
      </c>
    </row>
    <row r="5889" spans="19:21" x14ac:dyDescent="0.25">
      <c r="S5889" s="6" t="s">
        <v>302</v>
      </c>
      <c r="T5889" s="6">
        <f t="shared" si="109"/>
        <v>5888</v>
      </c>
      <c r="U5889" s="4" t="s">
        <v>194</v>
      </c>
    </row>
    <row r="5890" spans="19:21" x14ac:dyDescent="0.25">
      <c r="S5890" s="6" t="s">
        <v>302</v>
      </c>
      <c r="T5890" s="6">
        <f t="shared" si="109"/>
        <v>5889</v>
      </c>
      <c r="U5890" s="4" t="s">
        <v>194</v>
      </c>
    </row>
    <row r="5891" spans="19:21" x14ac:dyDescent="0.25">
      <c r="S5891" s="6" t="s">
        <v>302</v>
      </c>
      <c r="T5891" s="6">
        <f t="shared" si="109"/>
        <v>5890</v>
      </c>
      <c r="U5891" s="4" t="s">
        <v>194</v>
      </c>
    </row>
    <row r="5892" spans="19:21" x14ac:dyDescent="0.25">
      <c r="S5892" s="6" t="s">
        <v>302</v>
      </c>
      <c r="T5892" s="6">
        <f t="shared" si="109"/>
        <v>5891</v>
      </c>
      <c r="U5892" s="4" t="s">
        <v>194</v>
      </c>
    </row>
    <row r="5893" spans="19:21" x14ac:dyDescent="0.25">
      <c r="S5893" s="6" t="s">
        <v>302</v>
      </c>
      <c r="T5893" s="6">
        <f t="shared" si="109"/>
        <v>5892</v>
      </c>
      <c r="U5893" s="4" t="s">
        <v>194</v>
      </c>
    </row>
    <row r="5894" spans="19:21" x14ac:dyDescent="0.25">
      <c r="S5894" s="6" t="s">
        <v>302</v>
      </c>
      <c r="T5894" s="6">
        <f t="shared" si="109"/>
        <v>5893</v>
      </c>
      <c r="U5894" s="4" t="s">
        <v>194</v>
      </c>
    </row>
    <row r="5895" spans="19:21" x14ac:dyDescent="0.25">
      <c r="S5895" s="6" t="s">
        <v>302</v>
      </c>
      <c r="T5895" s="6">
        <f t="shared" si="109"/>
        <v>5894</v>
      </c>
      <c r="U5895" s="4" t="s">
        <v>194</v>
      </c>
    </row>
    <row r="5896" spans="19:21" x14ac:dyDescent="0.25">
      <c r="S5896" s="6" t="s">
        <v>302</v>
      </c>
      <c r="T5896" s="6">
        <f t="shared" si="109"/>
        <v>5895</v>
      </c>
      <c r="U5896" s="4" t="s">
        <v>194</v>
      </c>
    </row>
    <row r="5897" spans="19:21" x14ac:dyDescent="0.25">
      <c r="S5897" s="6" t="s">
        <v>302</v>
      </c>
      <c r="T5897" s="6">
        <f t="shared" si="109"/>
        <v>5896</v>
      </c>
      <c r="U5897" s="4" t="s">
        <v>194</v>
      </c>
    </row>
    <row r="5898" spans="19:21" x14ac:dyDescent="0.25">
      <c r="S5898" s="6" t="s">
        <v>302</v>
      </c>
      <c r="T5898" s="6">
        <f t="shared" si="109"/>
        <v>5897</v>
      </c>
      <c r="U5898" s="4" t="s">
        <v>194</v>
      </c>
    </row>
    <row r="5899" spans="19:21" x14ac:dyDescent="0.25">
      <c r="S5899" s="6" t="s">
        <v>302</v>
      </c>
      <c r="T5899" s="6">
        <f t="shared" si="109"/>
        <v>5898</v>
      </c>
      <c r="U5899" s="4" t="s">
        <v>194</v>
      </c>
    </row>
    <row r="5900" spans="19:21" x14ac:dyDescent="0.25">
      <c r="S5900" s="6" t="s">
        <v>302</v>
      </c>
      <c r="T5900" s="6">
        <f t="shared" si="109"/>
        <v>5899</v>
      </c>
      <c r="U5900" s="4" t="s">
        <v>194</v>
      </c>
    </row>
    <row r="5901" spans="19:21" x14ac:dyDescent="0.25">
      <c r="S5901" s="6" t="s">
        <v>302</v>
      </c>
      <c r="T5901" s="6">
        <f t="shared" si="109"/>
        <v>5900</v>
      </c>
      <c r="U5901" s="4" t="s">
        <v>194</v>
      </c>
    </row>
    <row r="5902" spans="19:21" x14ac:dyDescent="0.25">
      <c r="S5902" s="6" t="s">
        <v>302</v>
      </c>
      <c r="T5902" s="6">
        <f t="shared" si="109"/>
        <v>5901</v>
      </c>
      <c r="U5902" s="4" t="s">
        <v>194</v>
      </c>
    </row>
    <row r="5903" spans="19:21" x14ac:dyDescent="0.25">
      <c r="S5903" s="6" t="s">
        <v>302</v>
      </c>
      <c r="T5903" s="6">
        <f t="shared" si="109"/>
        <v>5902</v>
      </c>
      <c r="U5903" s="4" t="s">
        <v>194</v>
      </c>
    </row>
    <row r="5904" spans="19:21" x14ac:dyDescent="0.25">
      <c r="S5904" s="6" t="s">
        <v>302</v>
      </c>
      <c r="T5904" s="6">
        <f t="shared" si="109"/>
        <v>5903</v>
      </c>
      <c r="U5904" s="4" t="s">
        <v>194</v>
      </c>
    </row>
    <row r="5905" spans="19:21" x14ac:dyDescent="0.25">
      <c r="S5905" s="6" t="s">
        <v>302</v>
      </c>
      <c r="T5905" s="6">
        <f t="shared" si="109"/>
        <v>5904</v>
      </c>
      <c r="U5905" s="4" t="s">
        <v>194</v>
      </c>
    </row>
    <row r="5906" spans="19:21" x14ac:dyDescent="0.25">
      <c r="S5906" s="6" t="s">
        <v>302</v>
      </c>
      <c r="T5906" s="6">
        <f t="shared" si="109"/>
        <v>5905</v>
      </c>
      <c r="U5906" s="4" t="s">
        <v>194</v>
      </c>
    </row>
    <row r="5907" spans="19:21" x14ac:dyDescent="0.25">
      <c r="S5907" s="6" t="s">
        <v>302</v>
      </c>
      <c r="T5907" s="6">
        <f t="shared" si="109"/>
        <v>5906</v>
      </c>
      <c r="U5907" s="4" t="s">
        <v>194</v>
      </c>
    </row>
    <row r="5908" spans="19:21" x14ac:dyDescent="0.25">
      <c r="S5908" s="6" t="s">
        <v>302</v>
      </c>
      <c r="T5908" s="6">
        <f t="shared" si="109"/>
        <v>5907</v>
      </c>
      <c r="U5908" s="4" t="s">
        <v>194</v>
      </c>
    </row>
    <row r="5909" spans="19:21" x14ac:dyDescent="0.25">
      <c r="S5909" s="6" t="s">
        <v>302</v>
      </c>
      <c r="T5909" s="6">
        <f t="shared" si="109"/>
        <v>5908</v>
      </c>
      <c r="U5909" s="4" t="s">
        <v>194</v>
      </c>
    </row>
    <row r="5910" spans="19:21" x14ac:dyDescent="0.25">
      <c r="S5910" s="6" t="s">
        <v>302</v>
      </c>
      <c r="T5910" s="6">
        <f t="shared" si="109"/>
        <v>5909</v>
      </c>
      <c r="U5910" s="4" t="s">
        <v>194</v>
      </c>
    </row>
    <row r="5911" spans="19:21" x14ac:dyDescent="0.25">
      <c r="S5911" s="6" t="s">
        <v>302</v>
      </c>
      <c r="T5911" s="6">
        <f t="shared" si="109"/>
        <v>5910</v>
      </c>
      <c r="U5911" s="4" t="s">
        <v>194</v>
      </c>
    </row>
    <row r="5912" spans="19:21" x14ac:dyDescent="0.25">
      <c r="S5912" s="6" t="s">
        <v>302</v>
      </c>
      <c r="T5912" s="6">
        <f t="shared" si="109"/>
        <v>5911</v>
      </c>
      <c r="U5912" s="4" t="s">
        <v>194</v>
      </c>
    </row>
    <row r="5913" spans="19:21" x14ac:dyDescent="0.25">
      <c r="S5913" s="6" t="s">
        <v>302</v>
      </c>
      <c r="T5913" s="6">
        <f t="shared" si="109"/>
        <v>5912</v>
      </c>
      <c r="U5913" s="4" t="s">
        <v>194</v>
      </c>
    </row>
    <row r="5914" spans="19:21" x14ac:dyDescent="0.25">
      <c r="S5914" s="6" t="s">
        <v>302</v>
      </c>
      <c r="T5914" s="6">
        <f t="shared" si="109"/>
        <v>5913</v>
      </c>
      <c r="U5914" s="4" t="s">
        <v>194</v>
      </c>
    </row>
    <row r="5915" spans="19:21" x14ac:dyDescent="0.25">
      <c r="S5915" s="6" t="s">
        <v>302</v>
      </c>
      <c r="T5915" s="6">
        <f t="shared" si="109"/>
        <v>5914</v>
      </c>
      <c r="U5915" s="4" t="s">
        <v>194</v>
      </c>
    </row>
    <row r="5916" spans="19:21" x14ac:dyDescent="0.25">
      <c r="S5916" s="6" t="s">
        <v>302</v>
      </c>
      <c r="T5916" s="6">
        <f t="shared" si="109"/>
        <v>5915</v>
      </c>
      <c r="U5916" s="4" t="s">
        <v>194</v>
      </c>
    </row>
    <row r="5917" spans="19:21" x14ac:dyDescent="0.25">
      <c r="S5917" s="6" t="s">
        <v>302</v>
      </c>
      <c r="T5917" s="6">
        <f t="shared" si="109"/>
        <v>5916</v>
      </c>
      <c r="U5917" s="4" t="s">
        <v>194</v>
      </c>
    </row>
    <row r="5918" spans="19:21" x14ac:dyDescent="0.25">
      <c r="S5918" s="6" t="s">
        <v>302</v>
      </c>
      <c r="T5918" s="6">
        <f t="shared" ref="T5918:T5981" si="110">T5917+1</f>
        <v>5917</v>
      </c>
      <c r="U5918" s="4" t="s">
        <v>194</v>
      </c>
    </row>
    <row r="5919" spans="19:21" x14ac:dyDescent="0.25">
      <c r="S5919" s="6" t="s">
        <v>302</v>
      </c>
      <c r="T5919" s="6">
        <f t="shared" si="110"/>
        <v>5918</v>
      </c>
      <c r="U5919" s="4" t="s">
        <v>194</v>
      </c>
    </row>
    <row r="5920" spans="19:21" x14ac:dyDescent="0.25">
      <c r="S5920" s="6" t="s">
        <v>302</v>
      </c>
      <c r="T5920" s="6">
        <f t="shared" si="110"/>
        <v>5919</v>
      </c>
      <c r="U5920" s="4" t="s">
        <v>194</v>
      </c>
    </row>
    <row r="5921" spans="19:21" x14ac:dyDescent="0.25">
      <c r="S5921" s="6" t="s">
        <v>302</v>
      </c>
      <c r="T5921" s="6">
        <f t="shared" si="110"/>
        <v>5920</v>
      </c>
      <c r="U5921" s="4" t="s">
        <v>194</v>
      </c>
    </row>
    <row r="5922" spans="19:21" x14ac:dyDescent="0.25">
      <c r="S5922" s="6" t="s">
        <v>302</v>
      </c>
      <c r="T5922" s="6">
        <f t="shared" si="110"/>
        <v>5921</v>
      </c>
      <c r="U5922" s="4" t="s">
        <v>194</v>
      </c>
    </row>
    <row r="5923" spans="19:21" x14ac:dyDescent="0.25">
      <c r="S5923" s="6" t="s">
        <v>302</v>
      </c>
      <c r="T5923" s="6">
        <f t="shared" si="110"/>
        <v>5922</v>
      </c>
      <c r="U5923" s="4" t="s">
        <v>194</v>
      </c>
    </row>
    <row r="5924" spans="19:21" x14ac:dyDescent="0.25">
      <c r="S5924" s="6" t="s">
        <v>302</v>
      </c>
      <c r="T5924" s="6">
        <f t="shared" si="110"/>
        <v>5923</v>
      </c>
      <c r="U5924" s="4" t="s">
        <v>194</v>
      </c>
    </row>
    <row r="5925" spans="19:21" x14ac:dyDescent="0.25">
      <c r="S5925" s="6" t="s">
        <v>302</v>
      </c>
      <c r="T5925" s="6">
        <f t="shared" si="110"/>
        <v>5924</v>
      </c>
      <c r="U5925" s="4" t="s">
        <v>194</v>
      </c>
    </row>
    <row r="5926" spans="19:21" x14ac:dyDescent="0.25">
      <c r="S5926" s="6" t="s">
        <v>302</v>
      </c>
      <c r="T5926" s="6">
        <f t="shared" si="110"/>
        <v>5925</v>
      </c>
      <c r="U5926" s="4" t="s">
        <v>194</v>
      </c>
    </row>
    <row r="5927" spans="19:21" x14ac:dyDescent="0.25">
      <c r="S5927" s="6" t="s">
        <v>302</v>
      </c>
      <c r="T5927" s="6">
        <f t="shared" si="110"/>
        <v>5926</v>
      </c>
      <c r="U5927" s="4" t="s">
        <v>194</v>
      </c>
    </row>
    <row r="5928" spans="19:21" x14ac:dyDescent="0.25">
      <c r="S5928" s="6" t="s">
        <v>302</v>
      </c>
      <c r="T5928" s="6">
        <f t="shared" si="110"/>
        <v>5927</v>
      </c>
      <c r="U5928" s="4" t="s">
        <v>194</v>
      </c>
    </row>
    <row r="5929" spans="19:21" x14ac:dyDescent="0.25">
      <c r="S5929" s="6" t="s">
        <v>302</v>
      </c>
      <c r="T5929" s="6">
        <f t="shared" si="110"/>
        <v>5928</v>
      </c>
      <c r="U5929" s="4" t="s">
        <v>194</v>
      </c>
    </row>
    <row r="5930" spans="19:21" x14ac:dyDescent="0.25">
      <c r="S5930" s="6" t="s">
        <v>302</v>
      </c>
      <c r="T5930" s="6">
        <f t="shared" si="110"/>
        <v>5929</v>
      </c>
      <c r="U5930" s="4" t="s">
        <v>194</v>
      </c>
    </row>
    <row r="5931" spans="19:21" x14ac:dyDescent="0.25">
      <c r="S5931" s="6" t="s">
        <v>302</v>
      </c>
      <c r="T5931" s="6">
        <f t="shared" si="110"/>
        <v>5930</v>
      </c>
      <c r="U5931" s="4" t="s">
        <v>194</v>
      </c>
    </row>
    <row r="5932" spans="19:21" x14ac:dyDescent="0.25">
      <c r="S5932" s="6" t="s">
        <v>302</v>
      </c>
      <c r="T5932" s="6">
        <f t="shared" si="110"/>
        <v>5931</v>
      </c>
      <c r="U5932" s="4" t="s">
        <v>194</v>
      </c>
    </row>
    <row r="5933" spans="19:21" x14ac:dyDescent="0.25">
      <c r="S5933" s="6" t="s">
        <v>302</v>
      </c>
      <c r="T5933" s="6">
        <f t="shared" si="110"/>
        <v>5932</v>
      </c>
      <c r="U5933" s="4" t="s">
        <v>194</v>
      </c>
    </row>
    <row r="5934" spans="19:21" x14ac:dyDescent="0.25">
      <c r="S5934" s="6" t="s">
        <v>302</v>
      </c>
      <c r="T5934" s="6">
        <f t="shared" si="110"/>
        <v>5933</v>
      </c>
      <c r="U5934" s="4" t="s">
        <v>194</v>
      </c>
    </row>
    <row r="5935" spans="19:21" x14ac:dyDescent="0.25">
      <c r="S5935" s="6" t="s">
        <v>302</v>
      </c>
      <c r="T5935" s="6">
        <f t="shared" si="110"/>
        <v>5934</v>
      </c>
      <c r="U5935" s="4" t="s">
        <v>194</v>
      </c>
    </row>
    <row r="5936" spans="19:21" x14ac:dyDescent="0.25">
      <c r="S5936" s="6" t="s">
        <v>302</v>
      </c>
      <c r="T5936" s="6">
        <f t="shared" si="110"/>
        <v>5935</v>
      </c>
      <c r="U5936" s="4" t="s">
        <v>194</v>
      </c>
    </row>
    <row r="5937" spans="19:21" x14ac:dyDescent="0.25">
      <c r="S5937" s="6" t="s">
        <v>302</v>
      </c>
      <c r="T5937" s="6">
        <f t="shared" si="110"/>
        <v>5936</v>
      </c>
      <c r="U5937" s="4" t="s">
        <v>194</v>
      </c>
    </row>
    <row r="5938" spans="19:21" x14ac:dyDescent="0.25">
      <c r="S5938" s="6" t="s">
        <v>302</v>
      </c>
      <c r="T5938" s="6">
        <f t="shared" si="110"/>
        <v>5937</v>
      </c>
      <c r="U5938" s="4" t="s">
        <v>194</v>
      </c>
    </row>
    <row r="5939" spans="19:21" x14ac:dyDescent="0.25">
      <c r="S5939" s="6" t="s">
        <v>302</v>
      </c>
      <c r="T5939" s="6">
        <f t="shared" si="110"/>
        <v>5938</v>
      </c>
      <c r="U5939" s="4" t="s">
        <v>194</v>
      </c>
    </row>
    <row r="5940" spans="19:21" x14ac:dyDescent="0.25">
      <c r="S5940" s="6" t="s">
        <v>302</v>
      </c>
      <c r="T5940" s="6">
        <f t="shared" si="110"/>
        <v>5939</v>
      </c>
      <c r="U5940" s="4" t="s">
        <v>194</v>
      </c>
    </row>
    <row r="5941" spans="19:21" x14ac:dyDescent="0.25">
      <c r="S5941" s="6" t="s">
        <v>302</v>
      </c>
      <c r="T5941" s="6">
        <f t="shared" si="110"/>
        <v>5940</v>
      </c>
      <c r="U5941" s="4" t="s">
        <v>194</v>
      </c>
    </row>
    <row r="5942" spans="19:21" x14ac:dyDescent="0.25">
      <c r="S5942" s="6" t="s">
        <v>302</v>
      </c>
      <c r="T5942" s="6">
        <f t="shared" si="110"/>
        <v>5941</v>
      </c>
      <c r="U5942" s="4" t="s">
        <v>194</v>
      </c>
    </row>
    <row r="5943" spans="19:21" x14ac:dyDescent="0.25">
      <c r="S5943" s="6" t="s">
        <v>302</v>
      </c>
      <c r="T5943" s="6">
        <f t="shared" si="110"/>
        <v>5942</v>
      </c>
      <c r="U5943" s="4" t="s">
        <v>194</v>
      </c>
    </row>
    <row r="5944" spans="19:21" x14ac:dyDescent="0.25">
      <c r="S5944" s="6" t="s">
        <v>302</v>
      </c>
      <c r="T5944" s="6">
        <f t="shared" si="110"/>
        <v>5943</v>
      </c>
      <c r="U5944" s="4" t="s">
        <v>194</v>
      </c>
    </row>
    <row r="5945" spans="19:21" x14ac:dyDescent="0.25">
      <c r="S5945" s="6" t="s">
        <v>302</v>
      </c>
      <c r="T5945" s="6">
        <f t="shared" si="110"/>
        <v>5944</v>
      </c>
      <c r="U5945" s="4" t="s">
        <v>194</v>
      </c>
    </row>
    <row r="5946" spans="19:21" x14ac:dyDescent="0.25">
      <c r="S5946" s="6" t="s">
        <v>302</v>
      </c>
      <c r="T5946" s="6">
        <f t="shared" si="110"/>
        <v>5945</v>
      </c>
      <c r="U5946" s="4" t="s">
        <v>194</v>
      </c>
    </row>
    <row r="5947" spans="19:21" x14ac:dyDescent="0.25">
      <c r="S5947" s="6" t="s">
        <v>302</v>
      </c>
      <c r="T5947" s="6">
        <f t="shared" si="110"/>
        <v>5946</v>
      </c>
      <c r="U5947" s="4" t="s">
        <v>194</v>
      </c>
    </row>
    <row r="5948" spans="19:21" x14ac:dyDescent="0.25">
      <c r="S5948" s="6" t="s">
        <v>302</v>
      </c>
      <c r="T5948" s="6">
        <f t="shared" si="110"/>
        <v>5947</v>
      </c>
      <c r="U5948" s="4" t="s">
        <v>194</v>
      </c>
    </row>
    <row r="5949" spans="19:21" x14ac:dyDescent="0.25">
      <c r="S5949" s="6" t="s">
        <v>302</v>
      </c>
      <c r="T5949" s="6">
        <f t="shared" si="110"/>
        <v>5948</v>
      </c>
      <c r="U5949" s="4" t="s">
        <v>194</v>
      </c>
    </row>
    <row r="5950" spans="19:21" x14ac:dyDescent="0.25">
      <c r="S5950" s="6" t="s">
        <v>302</v>
      </c>
      <c r="T5950" s="6">
        <f t="shared" si="110"/>
        <v>5949</v>
      </c>
      <c r="U5950" s="4" t="s">
        <v>194</v>
      </c>
    </row>
    <row r="5951" spans="19:21" x14ac:dyDescent="0.25">
      <c r="S5951" s="6" t="s">
        <v>302</v>
      </c>
      <c r="T5951" s="6">
        <f t="shared" si="110"/>
        <v>5950</v>
      </c>
      <c r="U5951" s="4" t="s">
        <v>194</v>
      </c>
    </row>
    <row r="5952" spans="19:21" x14ac:dyDescent="0.25">
      <c r="S5952" s="6" t="s">
        <v>302</v>
      </c>
      <c r="T5952" s="6">
        <f t="shared" si="110"/>
        <v>5951</v>
      </c>
      <c r="U5952" s="4" t="s">
        <v>194</v>
      </c>
    </row>
    <row r="5953" spans="19:21" x14ac:dyDescent="0.25">
      <c r="S5953" s="6" t="s">
        <v>302</v>
      </c>
      <c r="T5953" s="6">
        <f t="shared" si="110"/>
        <v>5952</v>
      </c>
      <c r="U5953" s="4" t="s">
        <v>194</v>
      </c>
    </row>
    <row r="5954" spans="19:21" x14ac:dyDescent="0.25">
      <c r="S5954" s="6" t="s">
        <v>302</v>
      </c>
      <c r="T5954" s="6">
        <f t="shared" si="110"/>
        <v>5953</v>
      </c>
      <c r="U5954" s="4" t="s">
        <v>194</v>
      </c>
    </row>
    <row r="5955" spans="19:21" x14ac:dyDescent="0.25">
      <c r="S5955" s="6" t="s">
        <v>302</v>
      </c>
      <c r="T5955" s="6">
        <f t="shared" si="110"/>
        <v>5954</v>
      </c>
      <c r="U5955" s="4" t="s">
        <v>194</v>
      </c>
    </row>
    <row r="5956" spans="19:21" x14ac:dyDescent="0.25">
      <c r="S5956" s="6" t="s">
        <v>302</v>
      </c>
      <c r="T5956" s="6">
        <f t="shared" si="110"/>
        <v>5955</v>
      </c>
      <c r="U5956" s="4" t="s">
        <v>194</v>
      </c>
    </row>
    <row r="5957" spans="19:21" x14ac:dyDescent="0.25">
      <c r="S5957" s="6" t="s">
        <v>302</v>
      </c>
      <c r="T5957" s="6">
        <f t="shared" si="110"/>
        <v>5956</v>
      </c>
      <c r="U5957" s="4" t="s">
        <v>194</v>
      </c>
    </row>
    <row r="5958" spans="19:21" x14ac:dyDescent="0.25">
      <c r="S5958" s="6" t="s">
        <v>302</v>
      </c>
      <c r="T5958" s="6">
        <f t="shared" si="110"/>
        <v>5957</v>
      </c>
      <c r="U5958" s="4" t="s">
        <v>194</v>
      </c>
    </row>
    <row r="5959" spans="19:21" x14ac:dyDescent="0.25">
      <c r="S5959" s="6" t="s">
        <v>302</v>
      </c>
      <c r="T5959" s="6">
        <f t="shared" si="110"/>
        <v>5958</v>
      </c>
      <c r="U5959" s="4" t="s">
        <v>194</v>
      </c>
    </row>
    <row r="5960" spans="19:21" x14ac:dyDescent="0.25">
      <c r="S5960" s="6" t="s">
        <v>302</v>
      </c>
      <c r="T5960" s="6">
        <f t="shared" si="110"/>
        <v>5959</v>
      </c>
      <c r="U5960" s="4" t="s">
        <v>194</v>
      </c>
    </row>
    <row r="5961" spans="19:21" x14ac:dyDescent="0.25">
      <c r="S5961" s="6" t="s">
        <v>302</v>
      </c>
      <c r="T5961" s="6">
        <f t="shared" si="110"/>
        <v>5960</v>
      </c>
      <c r="U5961" s="4" t="s">
        <v>194</v>
      </c>
    </row>
    <row r="5962" spans="19:21" x14ac:dyDescent="0.25">
      <c r="S5962" s="6" t="s">
        <v>302</v>
      </c>
      <c r="T5962" s="6">
        <f t="shared" si="110"/>
        <v>5961</v>
      </c>
      <c r="U5962" s="4" t="s">
        <v>194</v>
      </c>
    </row>
    <row r="5963" spans="19:21" x14ac:dyDescent="0.25">
      <c r="S5963" s="6" t="s">
        <v>302</v>
      </c>
      <c r="T5963" s="6">
        <f t="shared" si="110"/>
        <v>5962</v>
      </c>
      <c r="U5963" s="4" t="s">
        <v>194</v>
      </c>
    </row>
    <row r="5964" spans="19:21" x14ac:dyDescent="0.25">
      <c r="S5964" s="6" t="s">
        <v>302</v>
      </c>
      <c r="T5964" s="6">
        <f t="shared" si="110"/>
        <v>5963</v>
      </c>
      <c r="U5964" s="4" t="s">
        <v>194</v>
      </c>
    </row>
    <row r="5965" spans="19:21" x14ac:dyDescent="0.25">
      <c r="S5965" s="6" t="s">
        <v>302</v>
      </c>
      <c r="T5965" s="6">
        <f t="shared" si="110"/>
        <v>5964</v>
      </c>
      <c r="U5965" s="4" t="s">
        <v>194</v>
      </c>
    </row>
    <row r="5966" spans="19:21" x14ac:dyDescent="0.25">
      <c r="S5966" s="6" t="s">
        <v>302</v>
      </c>
      <c r="T5966" s="6">
        <f t="shared" si="110"/>
        <v>5965</v>
      </c>
      <c r="U5966" s="4" t="s">
        <v>194</v>
      </c>
    </row>
    <row r="5967" spans="19:21" x14ac:dyDescent="0.25">
      <c r="S5967" s="6" t="s">
        <v>302</v>
      </c>
      <c r="T5967" s="6">
        <f t="shared" si="110"/>
        <v>5966</v>
      </c>
      <c r="U5967" s="4" t="s">
        <v>194</v>
      </c>
    </row>
    <row r="5968" spans="19:21" x14ac:dyDescent="0.25">
      <c r="S5968" s="6" t="s">
        <v>302</v>
      </c>
      <c r="T5968" s="6">
        <f t="shared" si="110"/>
        <v>5967</v>
      </c>
      <c r="U5968" s="4" t="s">
        <v>194</v>
      </c>
    </row>
    <row r="5969" spans="19:21" x14ac:dyDescent="0.25">
      <c r="S5969" s="6" t="s">
        <v>302</v>
      </c>
      <c r="T5969" s="6">
        <f t="shared" si="110"/>
        <v>5968</v>
      </c>
      <c r="U5969" s="4" t="s">
        <v>194</v>
      </c>
    </row>
    <row r="5970" spans="19:21" x14ac:dyDescent="0.25">
      <c r="S5970" s="6" t="s">
        <v>302</v>
      </c>
      <c r="T5970" s="6">
        <f t="shared" si="110"/>
        <v>5969</v>
      </c>
      <c r="U5970" s="4" t="s">
        <v>194</v>
      </c>
    </row>
    <row r="5971" spans="19:21" x14ac:dyDescent="0.25">
      <c r="S5971" s="6" t="s">
        <v>302</v>
      </c>
      <c r="T5971" s="6">
        <f t="shared" si="110"/>
        <v>5970</v>
      </c>
      <c r="U5971" s="4" t="s">
        <v>194</v>
      </c>
    </row>
    <row r="5972" spans="19:21" x14ac:dyDescent="0.25">
      <c r="S5972" s="6" t="s">
        <v>302</v>
      </c>
      <c r="T5972" s="6">
        <f t="shared" si="110"/>
        <v>5971</v>
      </c>
      <c r="U5972" s="4" t="s">
        <v>194</v>
      </c>
    </row>
    <row r="5973" spans="19:21" x14ac:dyDescent="0.25">
      <c r="S5973" s="6" t="s">
        <v>302</v>
      </c>
      <c r="T5973" s="6">
        <f t="shared" si="110"/>
        <v>5972</v>
      </c>
      <c r="U5973" s="4" t="s">
        <v>194</v>
      </c>
    </row>
    <row r="5974" spans="19:21" x14ac:dyDescent="0.25">
      <c r="S5974" s="6" t="s">
        <v>302</v>
      </c>
      <c r="T5974" s="6">
        <f t="shared" si="110"/>
        <v>5973</v>
      </c>
      <c r="U5974" s="4" t="s">
        <v>194</v>
      </c>
    </row>
    <row r="5975" spans="19:21" x14ac:dyDescent="0.25">
      <c r="S5975" s="6" t="s">
        <v>302</v>
      </c>
      <c r="T5975" s="6">
        <f t="shared" si="110"/>
        <v>5974</v>
      </c>
      <c r="U5975" s="4" t="s">
        <v>194</v>
      </c>
    </row>
    <row r="5976" spans="19:21" x14ac:dyDescent="0.25">
      <c r="S5976" s="6" t="s">
        <v>302</v>
      </c>
      <c r="T5976" s="6">
        <f t="shared" si="110"/>
        <v>5975</v>
      </c>
      <c r="U5976" s="4" t="s">
        <v>194</v>
      </c>
    </row>
    <row r="5977" spans="19:21" x14ac:dyDescent="0.25">
      <c r="S5977" s="6" t="s">
        <v>302</v>
      </c>
      <c r="T5977" s="6">
        <f t="shared" si="110"/>
        <v>5976</v>
      </c>
      <c r="U5977" s="4" t="s">
        <v>194</v>
      </c>
    </row>
    <row r="5978" spans="19:21" x14ac:dyDescent="0.25">
      <c r="S5978" s="6" t="s">
        <v>302</v>
      </c>
      <c r="T5978" s="6">
        <f t="shared" si="110"/>
        <v>5977</v>
      </c>
      <c r="U5978" s="4" t="s">
        <v>194</v>
      </c>
    </row>
    <row r="5979" spans="19:21" x14ac:dyDescent="0.25">
      <c r="S5979" s="6" t="s">
        <v>302</v>
      </c>
      <c r="T5979" s="6">
        <f t="shared" si="110"/>
        <v>5978</v>
      </c>
      <c r="U5979" s="4" t="s">
        <v>194</v>
      </c>
    </row>
    <row r="5980" spans="19:21" x14ac:dyDescent="0.25">
      <c r="S5980" s="6" t="s">
        <v>302</v>
      </c>
      <c r="T5980" s="6">
        <f t="shared" si="110"/>
        <v>5979</v>
      </c>
      <c r="U5980" s="4" t="s">
        <v>194</v>
      </c>
    </row>
    <row r="5981" spans="19:21" x14ac:dyDescent="0.25">
      <c r="S5981" s="6" t="s">
        <v>302</v>
      </c>
      <c r="T5981" s="6">
        <f t="shared" si="110"/>
        <v>5980</v>
      </c>
      <c r="U5981" s="4" t="s">
        <v>194</v>
      </c>
    </row>
    <row r="5982" spans="19:21" x14ac:dyDescent="0.25">
      <c r="S5982" s="6" t="s">
        <v>302</v>
      </c>
      <c r="T5982" s="6">
        <f t="shared" ref="T5982:T6045" si="111">T5981+1</f>
        <v>5981</v>
      </c>
      <c r="U5982" s="4" t="s">
        <v>194</v>
      </c>
    </row>
    <row r="5983" spans="19:21" x14ac:dyDescent="0.25">
      <c r="S5983" s="6" t="s">
        <v>302</v>
      </c>
      <c r="T5983" s="6">
        <f t="shared" si="111"/>
        <v>5982</v>
      </c>
      <c r="U5983" s="4" t="s">
        <v>194</v>
      </c>
    </row>
    <row r="5984" spans="19:21" x14ac:dyDescent="0.25">
      <c r="S5984" s="6" t="s">
        <v>302</v>
      </c>
      <c r="T5984" s="6">
        <f t="shared" si="111"/>
        <v>5983</v>
      </c>
      <c r="U5984" s="4" t="s">
        <v>194</v>
      </c>
    </row>
    <row r="5985" spans="19:21" x14ac:dyDescent="0.25">
      <c r="S5985" s="6" t="s">
        <v>302</v>
      </c>
      <c r="T5985" s="6">
        <f t="shared" si="111"/>
        <v>5984</v>
      </c>
      <c r="U5985" s="4" t="s">
        <v>194</v>
      </c>
    </row>
    <row r="5986" spans="19:21" x14ac:dyDescent="0.25">
      <c r="S5986" s="6" t="s">
        <v>302</v>
      </c>
      <c r="T5986" s="6">
        <f t="shared" si="111"/>
        <v>5985</v>
      </c>
      <c r="U5986" s="4" t="s">
        <v>194</v>
      </c>
    </row>
    <row r="5987" spans="19:21" x14ac:dyDescent="0.25">
      <c r="S5987" s="6" t="s">
        <v>302</v>
      </c>
      <c r="T5987" s="6">
        <f t="shared" si="111"/>
        <v>5986</v>
      </c>
      <c r="U5987" s="4" t="s">
        <v>194</v>
      </c>
    </row>
    <row r="5988" spans="19:21" x14ac:dyDescent="0.25">
      <c r="S5988" s="6" t="s">
        <v>302</v>
      </c>
      <c r="T5988" s="6">
        <f t="shared" si="111"/>
        <v>5987</v>
      </c>
      <c r="U5988" s="4" t="s">
        <v>194</v>
      </c>
    </row>
    <row r="5989" spans="19:21" x14ac:dyDescent="0.25">
      <c r="S5989" s="6" t="s">
        <v>302</v>
      </c>
      <c r="T5989" s="6">
        <f t="shared" si="111"/>
        <v>5988</v>
      </c>
      <c r="U5989" s="4" t="s">
        <v>194</v>
      </c>
    </row>
    <row r="5990" spans="19:21" x14ac:dyDescent="0.25">
      <c r="S5990" s="6" t="s">
        <v>302</v>
      </c>
      <c r="T5990" s="6">
        <f t="shared" si="111"/>
        <v>5989</v>
      </c>
      <c r="U5990" s="4" t="s">
        <v>194</v>
      </c>
    </row>
    <row r="5991" spans="19:21" x14ac:dyDescent="0.25">
      <c r="S5991" s="6" t="s">
        <v>302</v>
      </c>
      <c r="T5991" s="6">
        <f t="shared" si="111"/>
        <v>5990</v>
      </c>
      <c r="U5991" s="4" t="s">
        <v>194</v>
      </c>
    </row>
    <row r="5992" spans="19:21" x14ac:dyDescent="0.25">
      <c r="S5992" s="6" t="s">
        <v>302</v>
      </c>
      <c r="T5992" s="6">
        <f t="shared" si="111"/>
        <v>5991</v>
      </c>
      <c r="U5992" s="4" t="s">
        <v>194</v>
      </c>
    </row>
    <row r="5993" spans="19:21" x14ac:dyDescent="0.25">
      <c r="S5993" s="6" t="s">
        <v>302</v>
      </c>
      <c r="T5993" s="6">
        <f t="shared" si="111"/>
        <v>5992</v>
      </c>
      <c r="U5993" s="4" t="s">
        <v>194</v>
      </c>
    </row>
    <row r="5994" spans="19:21" x14ac:dyDescent="0.25">
      <c r="S5994" s="6" t="s">
        <v>302</v>
      </c>
      <c r="T5994" s="6">
        <f t="shared" si="111"/>
        <v>5993</v>
      </c>
      <c r="U5994" s="4" t="s">
        <v>194</v>
      </c>
    </row>
    <row r="5995" spans="19:21" x14ac:dyDescent="0.25">
      <c r="S5995" s="6" t="s">
        <v>302</v>
      </c>
      <c r="T5995" s="6">
        <f t="shared" si="111"/>
        <v>5994</v>
      </c>
      <c r="U5995" s="4" t="s">
        <v>194</v>
      </c>
    </row>
    <row r="5996" spans="19:21" x14ac:dyDescent="0.25">
      <c r="S5996" s="6" t="s">
        <v>302</v>
      </c>
      <c r="T5996" s="6">
        <f t="shared" si="111"/>
        <v>5995</v>
      </c>
      <c r="U5996" s="4" t="s">
        <v>194</v>
      </c>
    </row>
    <row r="5997" spans="19:21" x14ac:dyDescent="0.25">
      <c r="S5997" s="6" t="s">
        <v>302</v>
      </c>
      <c r="T5997" s="6">
        <f t="shared" si="111"/>
        <v>5996</v>
      </c>
      <c r="U5997" s="4" t="s">
        <v>194</v>
      </c>
    </row>
    <row r="5998" spans="19:21" x14ac:dyDescent="0.25">
      <c r="S5998" s="6" t="s">
        <v>302</v>
      </c>
      <c r="T5998" s="6">
        <f t="shared" si="111"/>
        <v>5997</v>
      </c>
      <c r="U5998" s="4" t="s">
        <v>194</v>
      </c>
    </row>
    <row r="5999" spans="19:21" x14ac:dyDescent="0.25">
      <c r="S5999" s="6" t="s">
        <v>302</v>
      </c>
      <c r="T5999" s="6">
        <f t="shared" si="111"/>
        <v>5998</v>
      </c>
      <c r="U5999" s="4" t="s">
        <v>194</v>
      </c>
    </row>
    <row r="6000" spans="19:21" x14ac:dyDescent="0.25">
      <c r="S6000" s="6" t="s">
        <v>302</v>
      </c>
      <c r="T6000" s="6">
        <f t="shared" si="111"/>
        <v>5999</v>
      </c>
      <c r="U6000" s="4" t="s">
        <v>194</v>
      </c>
    </row>
    <row r="6001" spans="19:21" x14ac:dyDescent="0.25">
      <c r="S6001" s="6" t="s">
        <v>302</v>
      </c>
      <c r="T6001" s="6">
        <f t="shared" si="111"/>
        <v>6000</v>
      </c>
      <c r="U6001" s="4" t="s">
        <v>194</v>
      </c>
    </row>
    <row r="6002" spans="19:21" x14ac:dyDescent="0.25">
      <c r="S6002" s="6" t="s">
        <v>302</v>
      </c>
      <c r="T6002" s="6">
        <f t="shared" si="111"/>
        <v>6001</v>
      </c>
      <c r="U6002" s="4" t="s">
        <v>194</v>
      </c>
    </row>
    <row r="6003" spans="19:21" x14ac:dyDescent="0.25">
      <c r="S6003" s="6" t="s">
        <v>302</v>
      </c>
      <c r="T6003" s="6">
        <f t="shared" si="111"/>
        <v>6002</v>
      </c>
      <c r="U6003" s="4" t="s">
        <v>194</v>
      </c>
    </row>
    <row r="6004" spans="19:21" x14ac:dyDescent="0.25">
      <c r="S6004" s="6" t="s">
        <v>302</v>
      </c>
      <c r="T6004" s="6">
        <f t="shared" si="111"/>
        <v>6003</v>
      </c>
      <c r="U6004" s="4" t="s">
        <v>194</v>
      </c>
    </row>
    <row r="6005" spans="19:21" x14ac:dyDescent="0.25">
      <c r="S6005" s="6" t="s">
        <v>302</v>
      </c>
      <c r="T6005" s="6">
        <f t="shared" si="111"/>
        <v>6004</v>
      </c>
      <c r="U6005" s="4" t="s">
        <v>194</v>
      </c>
    </row>
    <row r="6006" spans="19:21" x14ac:dyDescent="0.25">
      <c r="S6006" s="6" t="s">
        <v>302</v>
      </c>
      <c r="T6006" s="6">
        <f t="shared" si="111"/>
        <v>6005</v>
      </c>
      <c r="U6006" s="4" t="s">
        <v>194</v>
      </c>
    </row>
    <row r="6007" spans="19:21" x14ac:dyDescent="0.25">
      <c r="S6007" s="6" t="s">
        <v>302</v>
      </c>
      <c r="T6007" s="6">
        <f t="shared" si="111"/>
        <v>6006</v>
      </c>
      <c r="U6007" s="4" t="s">
        <v>194</v>
      </c>
    </row>
    <row r="6008" spans="19:21" x14ac:dyDescent="0.25">
      <c r="S6008" s="6" t="s">
        <v>302</v>
      </c>
      <c r="T6008" s="6">
        <f t="shared" si="111"/>
        <v>6007</v>
      </c>
      <c r="U6008" s="4" t="s">
        <v>194</v>
      </c>
    </row>
    <row r="6009" spans="19:21" x14ac:dyDescent="0.25">
      <c r="S6009" s="6" t="s">
        <v>302</v>
      </c>
      <c r="T6009" s="6">
        <f t="shared" si="111"/>
        <v>6008</v>
      </c>
      <c r="U6009" s="4" t="s">
        <v>194</v>
      </c>
    </row>
    <row r="6010" spans="19:21" x14ac:dyDescent="0.25">
      <c r="S6010" s="6" t="s">
        <v>302</v>
      </c>
      <c r="T6010" s="6">
        <f t="shared" si="111"/>
        <v>6009</v>
      </c>
      <c r="U6010" s="4" t="s">
        <v>194</v>
      </c>
    </row>
    <row r="6011" spans="19:21" x14ac:dyDescent="0.25">
      <c r="S6011" s="6" t="s">
        <v>302</v>
      </c>
      <c r="T6011" s="6">
        <f t="shared" si="111"/>
        <v>6010</v>
      </c>
      <c r="U6011" s="4" t="s">
        <v>194</v>
      </c>
    </row>
    <row r="6012" spans="19:21" x14ac:dyDescent="0.25">
      <c r="S6012" s="6" t="s">
        <v>302</v>
      </c>
      <c r="T6012" s="6">
        <f t="shared" si="111"/>
        <v>6011</v>
      </c>
      <c r="U6012" s="4" t="s">
        <v>194</v>
      </c>
    </row>
    <row r="6013" spans="19:21" x14ac:dyDescent="0.25">
      <c r="S6013" s="6" t="s">
        <v>302</v>
      </c>
      <c r="T6013" s="6">
        <f t="shared" si="111"/>
        <v>6012</v>
      </c>
      <c r="U6013" s="4" t="s">
        <v>194</v>
      </c>
    </row>
    <row r="6014" spans="19:21" x14ac:dyDescent="0.25">
      <c r="S6014" s="6" t="s">
        <v>302</v>
      </c>
      <c r="T6014" s="6">
        <f t="shared" si="111"/>
        <v>6013</v>
      </c>
      <c r="U6014" s="4" t="s">
        <v>194</v>
      </c>
    </row>
    <row r="6015" spans="19:21" x14ac:dyDescent="0.25">
      <c r="S6015" s="6" t="s">
        <v>302</v>
      </c>
      <c r="T6015" s="6">
        <f t="shared" si="111"/>
        <v>6014</v>
      </c>
      <c r="U6015" s="4" t="s">
        <v>194</v>
      </c>
    </row>
    <row r="6016" spans="19:21" x14ac:dyDescent="0.25">
      <c r="S6016" s="6" t="s">
        <v>302</v>
      </c>
      <c r="T6016" s="6">
        <f t="shared" si="111"/>
        <v>6015</v>
      </c>
      <c r="U6016" s="4" t="s">
        <v>194</v>
      </c>
    </row>
    <row r="6017" spans="19:21" x14ac:dyDescent="0.25">
      <c r="S6017" s="6" t="s">
        <v>302</v>
      </c>
      <c r="T6017" s="6">
        <f t="shared" si="111"/>
        <v>6016</v>
      </c>
      <c r="U6017" s="4" t="s">
        <v>194</v>
      </c>
    </row>
    <row r="6018" spans="19:21" x14ac:dyDescent="0.25">
      <c r="S6018" s="6" t="s">
        <v>302</v>
      </c>
      <c r="T6018" s="6">
        <f t="shared" si="111"/>
        <v>6017</v>
      </c>
      <c r="U6018" s="4" t="s">
        <v>194</v>
      </c>
    </row>
    <row r="6019" spans="19:21" x14ac:dyDescent="0.25">
      <c r="S6019" s="6" t="s">
        <v>302</v>
      </c>
      <c r="T6019" s="6">
        <f t="shared" si="111"/>
        <v>6018</v>
      </c>
      <c r="U6019" s="4" t="s">
        <v>194</v>
      </c>
    </row>
    <row r="6020" spans="19:21" x14ac:dyDescent="0.25">
      <c r="S6020" s="6" t="s">
        <v>302</v>
      </c>
      <c r="T6020" s="6">
        <f t="shared" si="111"/>
        <v>6019</v>
      </c>
      <c r="U6020" s="4" t="s">
        <v>194</v>
      </c>
    </row>
    <row r="6021" spans="19:21" x14ac:dyDescent="0.25">
      <c r="S6021" s="6" t="s">
        <v>302</v>
      </c>
      <c r="T6021" s="6">
        <f t="shared" si="111"/>
        <v>6020</v>
      </c>
      <c r="U6021" s="4" t="s">
        <v>194</v>
      </c>
    </row>
    <row r="6022" spans="19:21" x14ac:dyDescent="0.25">
      <c r="S6022" s="6" t="s">
        <v>302</v>
      </c>
      <c r="T6022" s="6">
        <f t="shared" si="111"/>
        <v>6021</v>
      </c>
      <c r="U6022" s="4" t="s">
        <v>194</v>
      </c>
    </row>
    <row r="6023" spans="19:21" x14ac:dyDescent="0.25">
      <c r="S6023" s="6" t="s">
        <v>302</v>
      </c>
      <c r="T6023" s="6">
        <f t="shared" si="111"/>
        <v>6022</v>
      </c>
      <c r="U6023" s="4" t="s">
        <v>194</v>
      </c>
    </row>
    <row r="6024" spans="19:21" x14ac:dyDescent="0.25">
      <c r="S6024" s="6" t="s">
        <v>302</v>
      </c>
      <c r="T6024" s="6">
        <f t="shared" si="111"/>
        <v>6023</v>
      </c>
      <c r="U6024" s="4" t="s">
        <v>194</v>
      </c>
    </row>
    <row r="6025" spans="19:21" x14ac:dyDescent="0.25">
      <c r="S6025" s="6" t="s">
        <v>302</v>
      </c>
      <c r="T6025" s="6">
        <f t="shared" si="111"/>
        <v>6024</v>
      </c>
      <c r="U6025" s="4" t="s">
        <v>194</v>
      </c>
    </row>
    <row r="6026" spans="19:21" x14ac:dyDescent="0.25">
      <c r="S6026" s="6" t="s">
        <v>302</v>
      </c>
      <c r="T6026" s="6">
        <f t="shared" si="111"/>
        <v>6025</v>
      </c>
      <c r="U6026" s="4" t="s">
        <v>194</v>
      </c>
    </row>
    <row r="6027" spans="19:21" x14ac:dyDescent="0.25">
      <c r="S6027" s="6" t="s">
        <v>302</v>
      </c>
      <c r="T6027" s="6">
        <f t="shared" si="111"/>
        <v>6026</v>
      </c>
      <c r="U6027" s="4" t="s">
        <v>194</v>
      </c>
    </row>
    <row r="6028" spans="19:21" x14ac:dyDescent="0.25">
      <c r="S6028" s="6" t="s">
        <v>302</v>
      </c>
      <c r="T6028" s="6">
        <f t="shared" si="111"/>
        <v>6027</v>
      </c>
      <c r="U6028" s="4" t="s">
        <v>194</v>
      </c>
    </row>
    <row r="6029" spans="19:21" x14ac:dyDescent="0.25">
      <c r="S6029" s="6" t="s">
        <v>302</v>
      </c>
      <c r="T6029" s="6">
        <f t="shared" si="111"/>
        <v>6028</v>
      </c>
      <c r="U6029" s="4" t="s">
        <v>194</v>
      </c>
    </row>
    <row r="6030" spans="19:21" x14ac:dyDescent="0.25">
      <c r="S6030" s="6" t="s">
        <v>302</v>
      </c>
      <c r="T6030" s="6">
        <f t="shared" si="111"/>
        <v>6029</v>
      </c>
      <c r="U6030" s="4" t="s">
        <v>194</v>
      </c>
    </row>
    <row r="6031" spans="19:21" x14ac:dyDescent="0.25">
      <c r="S6031" s="6" t="s">
        <v>302</v>
      </c>
      <c r="T6031" s="6">
        <f t="shared" si="111"/>
        <v>6030</v>
      </c>
      <c r="U6031" s="4" t="s">
        <v>194</v>
      </c>
    </row>
    <row r="6032" spans="19:21" x14ac:dyDescent="0.25">
      <c r="S6032" s="6" t="s">
        <v>302</v>
      </c>
      <c r="T6032" s="6">
        <f t="shared" si="111"/>
        <v>6031</v>
      </c>
      <c r="U6032" s="4" t="s">
        <v>194</v>
      </c>
    </row>
    <row r="6033" spans="19:21" x14ac:dyDescent="0.25">
      <c r="S6033" s="6" t="s">
        <v>302</v>
      </c>
      <c r="T6033" s="6">
        <f t="shared" si="111"/>
        <v>6032</v>
      </c>
      <c r="U6033" s="4" t="s">
        <v>194</v>
      </c>
    </row>
    <row r="6034" spans="19:21" x14ac:dyDescent="0.25">
      <c r="S6034" s="6" t="s">
        <v>302</v>
      </c>
      <c r="T6034" s="6">
        <f t="shared" si="111"/>
        <v>6033</v>
      </c>
      <c r="U6034" s="4" t="s">
        <v>194</v>
      </c>
    </row>
    <row r="6035" spans="19:21" x14ac:dyDescent="0.25">
      <c r="S6035" s="6" t="s">
        <v>302</v>
      </c>
      <c r="T6035" s="6">
        <f t="shared" si="111"/>
        <v>6034</v>
      </c>
      <c r="U6035" s="4" t="s">
        <v>194</v>
      </c>
    </row>
    <row r="6036" spans="19:21" x14ac:dyDescent="0.25">
      <c r="S6036" s="6" t="s">
        <v>302</v>
      </c>
      <c r="T6036" s="6">
        <f t="shared" si="111"/>
        <v>6035</v>
      </c>
      <c r="U6036" s="4" t="s">
        <v>194</v>
      </c>
    </row>
    <row r="6037" spans="19:21" x14ac:dyDescent="0.25">
      <c r="S6037" s="6" t="s">
        <v>302</v>
      </c>
      <c r="T6037" s="6">
        <f t="shared" si="111"/>
        <v>6036</v>
      </c>
      <c r="U6037" s="4" t="s">
        <v>194</v>
      </c>
    </row>
    <row r="6038" spans="19:21" x14ac:dyDescent="0.25">
      <c r="S6038" s="6" t="s">
        <v>302</v>
      </c>
      <c r="T6038" s="6">
        <f t="shared" si="111"/>
        <v>6037</v>
      </c>
      <c r="U6038" s="4" t="s">
        <v>194</v>
      </c>
    </row>
    <row r="6039" spans="19:21" x14ac:dyDescent="0.25">
      <c r="S6039" s="6" t="s">
        <v>302</v>
      </c>
      <c r="T6039" s="6">
        <f t="shared" si="111"/>
        <v>6038</v>
      </c>
      <c r="U6039" s="4" t="s">
        <v>194</v>
      </c>
    </row>
    <row r="6040" spans="19:21" x14ac:dyDescent="0.25">
      <c r="S6040" s="6" t="s">
        <v>302</v>
      </c>
      <c r="T6040" s="6">
        <f t="shared" si="111"/>
        <v>6039</v>
      </c>
      <c r="U6040" s="4" t="s">
        <v>194</v>
      </c>
    </row>
    <row r="6041" spans="19:21" x14ac:dyDescent="0.25">
      <c r="S6041" s="6" t="s">
        <v>302</v>
      </c>
      <c r="T6041" s="6">
        <f t="shared" si="111"/>
        <v>6040</v>
      </c>
      <c r="U6041" s="4" t="s">
        <v>194</v>
      </c>
    </row>
    <row r="6042" spans="19:21" x14ac:dyDescent="0.25">
      <c r="S6042" s="6" t="s">
        <v>302</v>
      </c>
      <c r="T6042" s="6">
        <f t="shared" si="111"/>
        <v>6041</v>
      </c>
      <c r="U6042" s="4" t="s">
        <v>194</v>
      </c>
    </row>
    <row r="6043" spans="19:21" x14ac:dyDescent="0.25">
      <c r="S6043" s="6" t="s">
        <v>302</v>
      </c>
      <c r="T6043" s="6">
        <f t="shared" si="111"/>
        <v>6042</v>
      </c>
      <c r="U6043" s="4" t="s">
        <v>194</v>
      </c>
    </row>
    <row r="6044" spans="19:21" x14ac:dyDescent="0.25">
      <c r="S6044" s="6" t="s">
        <v>302</v>
      </c>
      <c r="T6044" s="6">
        <f t="shared" si="111"/>
        <v>6043</v>
      </c>
      <c r="U6044" s="4" t="s">
        <v>194</v>
      </c>
    </row>
    <row r="6045" spans="19:21" x14ac:dyDescent="0.25">
      <c r="S6045" s="6" t="s">
        <v>302</v>
      </c>
      <c r="T6045" s="6">
        <f t="shared" si="111"/>
        <v>6044</v>
      </c>
      <c r="U6045" s="4" t="s">
        <v>194</v>
      </c>
    </row>
    <row r="6046" spans="19:21" x14ac:dyDescent="0.25">
      <c r="S6046" s="6" t="s">
        <v>302</v>
      </c>
      <c r="T6046" s="6">
        <f t="shared" ref="T6046:T6109" si="112">T6045+1</f>
        <v>6045</v>
      </c>
      <c r="U6046" s="4" t="s">
        <v>194</v>
      </c>
    </row>
    <row r="6047" spans="19:21" x14ac:dyDescent="0.25">
      <c r="S6047" s="6" t="s">
        <v>302</v>
      </c>
      <c r="T6047" s="6">
        <f t="shared" si="112"/>
        <v>6046</v>
      </c>
      <c r="U6047" s="4" t="s">
        <v>194</v>
      </c>
    </row>
    <row r="6048" spans="19:21" x14ac:dyDescent="0.25">
      <c r="S6048" s="6" t="s">
        <v>302</v>
      </c>
      <c r="T6048" s="6">
        <f t="shared" si="112"/>
        <v>6047</v>
      </c>
      <c r="U6048" s="4" t="s">
        <v>194</v>
      </c>
    </row>
    <row r="6049" spans="19:21" x14ac:dyDescent="0.25">
      <c r="S6049" s="6" t="s">
        <v>302</v>
      </c>
      <c r="T6049" s="6">
        <f t="shared" si="112"/>
        <v>6048</v>
      </c>
      <c r="U6049" s="4" t="s">
        <v>194</v>
      </c>
    </row>
    <row r="6050" spans="19:21" x14ac:dyDescent="0.25">
      <c r="S6050" s="6" t="s">
        <v>302</v>
      </c>
      <c r="T6050" s="6">
        <f t="shared" si="112"/>
        <v>6049</v>
      </c>
      <c r="U6050" s="4" t="s">
        <v>194</v>
      </c>
    </row>
    <row r="6051" spans="19:21" x14ac:dyDescent="0.25">
      <c r="S6051" s="6" t="s">
        <v>302</v>
      </c>
      <c r="T6051" s="6">
        <f t="shared" si="112"/>
        <v>6050</v>
      </c>
      <c r="U6051" s="4" t="s">
        <v>194</v>
      </c>
    </row>
    <row r="6052" spans="19:21" x14ac:dyDescent="0.25">
      <c r="S6052" s="6" t="s">
        <v>302</v>
      </c>
      <c r="T6052" s="6">
        <f t="shared" si="112"/>
        <v>6051</v>
      </c>
      <c r="U6052" s="4" t="s">
        <v>194</v>
      </c>
    </row>
    <row r="6053" spans="19:21" x14ac:dyDescent="0.25">
      <c r="S6053" s="6" t="s">
        <v>302</v>
      </c>
      <c r="T6053" s="6">
        <f t="shared" si="112"/>
        <v>6052</v>
      </c>
      <c r="U6053" s="4" t="s">
        <v>194</v>
      </c>
    </row>
    <row r="6054" spans="19:21" x14ac:dyDescent="0.25">
      <c r="S6054" s="6" t="s">
        <v>302</v>
      </c>
      <c r="T6054" s="6">
        <f t="shared" si="112"/>
        <v>6053</v>
      </c>
      <c r="U6054" s="4" t="s">
        <v>194</v>
      </c>
    </row>
    <row r="6055" spans="19:21" x14ac:dyDescent="0.25">
      <c r="S6055" s="6" t="s">
        <v>302</v>
      </c>
      <c r="T6055" s="6">
        <f t="shared" si="112"/>
        <v>6054</v>
      </c>
      <c r="U6055" s="4" t="s">
        <v>194</v>
      </c>
    </row>
    <row r="6056" spans="19:21" x14ac:dyDescent="0.25">
      <c r="S6056" s="6" t="s">
        <v>302</v>
      </c>
      <c r="T6056" s="6">
        <f t="shared" si="112"/>
        <v>6055</v>
      </c>
      <c r="U6056" s="4" t="s">
        <v>194</v>
      </c>
    </row>
    <row r="6057" spans="19:21" x14ac:dyDescent="0.25">
      <c r="S6057" s="6" t="s">
        <v>302</v>
      </c>
      <c r="T6057" s="6">
        <f t="shared" si="112"/>
        <v>6056</v>
      </c>
      <c r="U6057" s="4" t="s">
        <v>194</v>
      </c>
    </row>
    <row r="6058" spans="19:21" x14ac:dyDescent="0.25">
      <c r="S6058" s="6" t="s">
        <v>302</v>
      </c>
      <c r="T6058" s="6">
        <f t="shared" si="112"/>
        <v>6057</v>
      </c>
      <c r="U6058" s="4" t="s">
        <v>194</v>
      </c>
    </row>
    <row r="6059" spans="19:21" x14ac:dyDescent="0.25">
      <c r="S6059" s="6" t="s">
        <v>302</v>
      </c>
      <c r="T6059" s="6">
        <f t="shared" si="112"/>
        <v>6058</v>
      </c>
      <c r="U6059" s="4" t="s">
        <v>194</v>
      </c>
    </row>
    <row r="6060" spans="19:21" x14ac:dyDescent="0.25">
      <c r="S6060" s="6" t="s">
        <v>302</v>
      </c>
      <c r="T6060" s="6">
        <f t="shared" si="112"/>
        <v>6059</v>
      </c>
      <c r="U6060" s="4" t="s">
        <v>194</v>
      </c>
    </row>
    <row r="6061" spans="19:21" x14ac:dyDescent="0.25">
      <c r="S6061" s="6" t="s">
        <v>302</v>
      </c>
      <c r="T6061" s="6">
        <f t="shared" si="112"/>
        <v>6060</v>
      </c>
      <c r="U6061" s="4" t="s">
        <v>194</v>
      </c>
    </row>
    <row r="6062" spans="19:21" x14ac:dyDescent="0.25">
      <c r="S6062" s="6" t="s">
        <v>302</v>
      </c>
      <c r="T6062" s="6">
        <f t="shared" si="112"/>
        <v>6061</v>
      </c>
      <c r="U6062" s="4" t="s">
        <v>194</v>
      </c>
    </row>
    <row r="6063" spans="19:21" x14ac:dyDescent="0.25">
      <c r="S6063" s="6" t="s">
        <v>302</v>
      </c>
      <c r="T6063" s="6">
        <f t="shared" si="112"/>
        <v>6062</v>
      </c>
      <c r="U6063" s="4" t="s">
        <v>194</v>
      </c>
    </row>
    <row r="6064" spans="19:21" x14ac:dyDescent="0.25">
      <c r="S6064" s="6" t="s">
        <v>302</v>
      </c>
      <c r="T6064" s="6">
        <f t="shared" si="112"/>
        <v>6063</v>
      </c>
      <c r="U6064" s="4" t="s">
        <v>194</v>
      </c>
    </row>
    <row r="6065" spans="19:21" x14ac:dyDescent="0.25">
      <c r="S6065" s="6" t="s">
        <v>302</v>
      </c>
      <c r="T6065" s="6">
        <f t="shared" si="112"/>
        <v>6064</v>
      </c>
      <c r="U6065" s="4" t="s">
        <v>194</v>
      </c>
    </row>
    <row r="6066" spans="19:21" x14ac:dyDescent="0.25">
      <c r="S6066" s="6" t="s">
        <v>302</v>
      </c>
      <c r="T6066" s="6">
        <f t="shared" si="112"/>
        <v>6065</v>
      </c>
      <c r="U6066" s="4" t="s">
        <v>194</v>
      </c>
    </row>
    <row r="6067" spans="19:21" x14ac:dyDescent="0.25">
      <c r="S6067" s="6" t="s">
        <v>302</v>
      </c>
      <c r="T6067" s="6">
        <f t="shared" si="112"/>
        <v>6066</v>
      </c>
      <c r="U6067" s="4" t="s">
        <v>194</v>
      </c>
    </row>
    <row r="6068" spans="19:21" x14ac:dyDescent="0.25">
      <c r="S6068" s="6" t="s">
        <v>302</v>
      </c>
      <c r="T6068" s="6">
        <f t="shared" si="112"/>
        <v>6067</v>
      </c>
      <c r="U6068" s="4" t="s">
        <v>194</v>
      </c>
    </row>
    <row r="6069" spans="19:21" x14ac:dyDescent="0.25">
      <c r="S6069" s="6" t="s">
        <v>302</v>
      </c>
      <c r="T6069" s="6">
        <f t="shared" si="112"/>
        <v>6068</v>
      </c>
      <c r="U6069" s="4" t="s">
        <v>194</v>
      </c>
    </row>
    <row r="6070" spans="19:21" x14ac:dyDescent="0.25">
      <c r="S6070" s="6" t="s">
        <v>302</v>
      </c>
      <c r="T6070" s="6">
        <f t="shared" si="112"/>
        <v>6069</v>
      </c>
      <c r="U6070" s="4" t="s">
        <v>194</v>
      </c>
    </row>
    <row r="6071" spans="19:21" x14ac:dyDescent="0.25">
      <c r="S6071" s="6" t="s">
        <v>302</v>
      </c>
      <c r="T6071" s="6">
        <f t="shared" si="112"/>
        <v>6070</v>
      </c>
      <c r="U6071" s="4" t="s">
        <v>194</v>
      </c>
    </row>
    <row r="6072" spans="19:21" x14ac:dyDescent="0.25">
      <c r="S6072" s="6" t="s">
        <v>302</v>
      </c>
      <c r="T6072" s="6">
        <f t="shared" si="112"/>
        <v>6071</v>
      </c>
      <c r="U6072" s="4" t="s">
        <v>194</v>
      </c>
    </row>
    <row r="6073" spans="19:21" x14ac:dyDescent="0.25">
      <c r="S6073" s="6" t="s">
        <v>302</v>
      </c>
      <c r="T6073" s="6">
        <f t="shared" si="112"/>
        <v>6072</v>
      </c>
      <c r="U6073" s="4" t="s">
        <v>194</v>
      </c>
    </row>
    <row r="6074" spans="19:21" x14ac:dyDescent="0.25">
      <c r="S6074" s="6" t="s">
        <v>302</v>
      </c>
      <c r="T6074" s="6">
        <f t="shared" si="112"/>
        <v>6073</v>
      </c>
      <c r="U6074" s="4" t="s">
        <v>194</v>
      </c>
    </row>
    <row r="6075" spans="19:21" x14ac:dyDescent="0.25">
      <c r="S6075" s="6" t="s">
        <v>302</v>
      </c>
      <c r="T6075" s="6">
        <f t="shared" si="112"/>
        <v>6074</v>
      </c>
      <c r="U6075" s="4" t="s">
        <v>194</v>
      </c>
    </row>
    <row r="6076" spans="19:21" x14ac:dyDescent="0.25">
      <c r="S6076" s="6" t="s">
        <v>302</v>
      </c>
      <c r="T6076" s="6">
        <f t="shared" si="112"/>
        <v>6075</v>
      </c>
      <c r="U6076" s="4" t="s">
        <v>194</v>
      </c>
    </row>
    <row r="6077" spans="19:21" x14ac:dyDescent="0.25">
      <c r="S6077" s="6" t="s">
        <v>302</v>
      </c>
      <c r="T6077" s="6">
        <f t="shared" si="112"/>
        <v>6076</v>
      </c>
      <c r="U6077" s="4" t="s">
        <v>194</v>
      </c>
    </row>
    <row r="6078" spans="19:21" x14ac:dyDescent="0.25">
      <c r="S6078" s="6" t="s">
        <v>302</v>
      </c>
      <c r="T6078" s="6">
        <f t="shared" si="112"/>
        <v>6077</v>
      </c>
      <c r="U6078" s="4" t="s">
        <v>194</v>
      </c>
    </row>
    <row r="6079" spans="19:21" x14ac:dyDescent="0.25">
      <c r="S6079" s="6" t="s">
        <v>302</v>
      </c>
      <c r="T6079" s="6">
        <f t="shared" si="112"/>
        <v>6078</v>
      </c>
      <c r="U6079" s="4" t="s">
        <v>194</v>
      </c>
    </row>
    <row r="6080" spans="19:21" x14ac:dyDescent="0.25">
      <c r="S6080" s="6" t="s">
        <v>302</v>
      </c>
      <c r="T6080" s="6">
        <f t="shared" si="112"/>
        <v>6079</v>
      </c>
      <c r="U6080" s="4" t="s">
        <v>194</v>
      </c>
    </row>
    <row r="6081" spans="19:21" x14ac:dyDescent="0.25">
      <c r="S6081" s="6" t="s">
        <v>302</v>
      </c>
      <c r="T6081" s="6">
        <f t="shared" si="112"/>
        <v>6080</v>
      </c>
      <c r="U6081" s="4" t="s">
        <v>194</v>
      </c>
    </row>
    <row r="6082" spans="19:21" x14ac:dyDescent="0.25">
      <c r="S6082" s="6" t="s">
        <v>302</v>
      </c>
      <c r="T6082" s="6">
        <f t="shared" si="112"/>
        <v>6081</v>
      </c>
      <c r="U6082" s="4" t="s">
        <v>194</v>
      </c>
    </row>
    <row r="6083" spans="19:21" x14ac:dyDescent="0.25">
      <c r="S6083" s="6" t="s">
        <v>302</v>
      </c>
      <c r="T6083" s="6">
        <f t="shared" si="112"/>
        <v>6082</v>
      </c>
      <c r="U6083" s="4" t="s">
        <v>194</v>
      </c>
    </row>
    <row r="6084" spans="19:21" x14ac:dyDescent="0.25">
      <c r="S6084" s="6" t="s">
        <v>302</v>
      </c>
      <c r="T6084" s="6">
        <f t="shared" si="112"/>
        <v>6083</v>
      </c>
      <c r="U6084" s="4" t="s">
        <v>194</v>
      </c>
    </row>
    <row r="6085" spans="19:21" x14ac:dyDescent="0.25">
      <c r="S6085" s="6" t="s">
        <v>302</v>
      </c>
      <c r="T6085" s="6">
        <f t="shared" si="112"/>
        <v>6084</v>
      </c>
      <c r="U6085" s="4" t="s">
        <v>194</v>
      </c>
    </row>
    <row r="6086" spans="19:21" x14ac:dyDescent="0.25">
      <c r="S6086" s="6" t="s">
        <v>302</v>
      </c>
      <c r="T6086" s="6">
        <f t="shared" si="112"/>
        <v>6085</v>
      </c>
      <c r="U6086" s="4" t="s">
        <v>194</v>
      </c>
    </row>
    <row r="6087" spans="19:21" x14ac:dyDescent="0.25">
      <c r="S6087" s="6" t="s">
        <v>302</v>
      </c>
      <c r="T6087" s="6">
        <f t="shared" si="112"/>
        <v>6086</v>
      </c>
      <c r="U6087" s="4" t="s">
        <v>194</v>
      </c>
    </row>
    <row r="6088" spans="19:21" x14ac:dyDescent="0.25">
      <c r="S6088" s="6" t="s">
        <v>302</v>
      </c>
      <c r="T6088" s="6">
        <f t="shared" si="112"/>
        <v>6087</v>
      </c>
      <c r="U6088" s="4" t="s">
        <v>194</v>
      </c>
    </row>
    <row r="6089" spans="19:21" x14ac:dyDescent="0.25">
      <c r="S6089" s="6" t="s">
        <v>302</v>
      </c>
      <c r="T6089" s="6">
        <f t="shared" si="112"/>
        <v>6088</v>
      </c>
      <c r="U6089" s="4" t="s">
        <v>194</v>
      </c>
    </row>
    <row r="6090" spans="19:21" x14ac:dyDescent="0.25">
      <c r="S6090" s="6" t="s">
        <v>302</v>
      </c>
      <c r="T6090" s="6">
        <f t="shared" si="112"/>
        <v>6089</v>
      </c>
      <c r="U6090" s="4" t="s">
        <v>194</v>
      </c>
    </row>
    <row r="6091" spans="19:21" x14ac:dyDescent="0.25">
      <c r="S6091" s="6" t="s">
        <v>302</v>
      </c>
      <c r="T6091" s="6">
        <f t="shared" si="112"/>
        <v>6090</v>
      </c>
      <c r="U6091" s="4" t="s">
        <v>194</v>
      </c>
    </row>
    <row r="6092" spans="19:21" x14ac:dyDescent="0.25">
      <c r="S6092" s="6" t="s">
        <v>302</v>
      </c>
      <c r="T6092" s="6">
        <f t="shared" si="112"/>
        <v>6091</v>
      </c>
      <c r="U6092" s="4" t="s">
        <v>194</v>
      </c>
    </row>
    <row r="6093" spans="19:21" x14ac:dyDescent="0.25">
      <c r="S6093" s="6" t="s">
        <v>302</v>
      </c>
      <c r="T6093" s="6">
        <f t="shared" si="112"/>
        <v>6092</v>
      </c>
      <c r="U6093" s="4" t="s">
        <v>194</v>
      </c>
    </row>
    <row r="6094" spans="19:21" x14ac:dyDescent="0.25">
      <c r="S6094" s="6" t="s">
        <v>302</v>
      </c>
      <c r="T6094" s="6">
        <f t="shared" si="112"/>
        <v>6093</v>
      </c>
      <c r="U6094" s="4" t="s">
        <v>194</v>
      </c>
    </row>
    <row r="6095" spans="19:21" x14ac:dyDescent="0.25">
      <c r="S6095" s="6" t="s">
        <v>302</v>
      </c>
      <c r="T6095" s="6">
        <f t="shared" si="112"/>
        <v>6094</v>
      </c>
      <c r="U6095" s="4" t="s">
        <v>194</v>
      </c>
    </row>
    <row r="6096" spans="19:21" x14ac:dyDescent="0.25">
      <c r="S6096" s="6" t="s">
        <v>302</v>
      </c>
      <c r="T6096" s="6">
        <f t="shared" si="112"/>
        <v>6095</v>
      </c>
      <c r="U6096" s="4" t="s">
        <v>194</v>
      </c>
    </row>
    <row r="6097" spans="19:21" x14ac:dyDescent="0.25">
      <c r="S6097" s="6" t="s">
        <v>302</v>
      </c>
      <c r="T6097" s="6">
        <f t="shared" si="112"/>
        <v>6096</v>
      </c>
      <c r="U6097" s="4" t="s">
        <v>194</v>
      </c>
    </row>
    <row r="6098" spans="19:21" x14ac:dyDescent="0.25">
      <c r="S6098" s="6" t="s">
        <v>302</v>
      </c>
      <c r="T6098" s="6">
        <f t="shared" si="112"/>
        <v>6097</v>
      </c>
      <c r="U6098" s="4" t="s">
        <v>194</v>
      </c>
    </row>
    <row r="6099" spans="19:21" x14ac:dyDescent="0.25">
      <c r="S6099" s="6" t="s">
        <v>302</v>
      </c>
      <c r="T6099" s="6">
        <f t="shared" si="112"/>
        <v>6098</v>
      </c>
      <c r="U6099" s="4" t="s">
        <v>194</v>
      </c>
    </row>
    <row r="6100" spans="19:21" x14ac:dyDescent="0.25">
      <c r="S6100" s="6" t="s">
        <v>302</v>
      </c>
      <c r="T6100" s="6">
        <f t="shared" si="112"/>
        <v>6099</v>
      </c>
      <c r="U6100" s="4" t="s">
        <v>194</v>
      </c>
    </row>
    <row r="6101" spans="19:21" x14ac:dyDescent="0.25">
      <c r="S6101" s="6" t="s">
        <v>302</v>
      </c>
      <c r="T6101" s="6">
        <f t="shared" si="112"/>
        <v>6100</v>
      </c>
      <c r="U6101" s="4" t="s">
        <v>194</v>
      </c>
    </row>
    <row r="6102" spans="19:21" x14ac:dyDescent="0.25">
      <c r="S6102" s="6" t="s">
        <v>302</v>
      </c>
      <c r="T6102" s="6">
        <f t="shared" si="112"/>
        <v>6101</v>
      </c>
      <c r="U6102" s="4" t="s">
        <v>194</v>
      </c>
    </row>
    <row r="6103" spans="19:21" x14ac:dyDescent="0.25">
      <c r="S6103" s="6" t="s">
        <v>302</v>
      </c>
      <c r="T6103" s="6">
        <f t="shared" si="112"/>
        <v>6102</v>
      </c>
      <c r="U6103" s="4" t="s">
        <v>194</v>
      </c>
    </row>
    <row r="6104" spans="19:21" x14ac:dyDescent="0.25">
      <c r="S6104" s="6" t="s">
        <v>302</v>
      </c>
      <c r="T6104" s="6">
        <f t="shared" si="112"/>
        <v>6103</v>
      </c>
      <c r="U6104" s="4" t="s">
        <v>194</v>
      </c>
    </row>
    <row r="6105" spans="19:21" x14ac:dyDescent="0.25">
      <c r="S6105" s="6" t="s">
        <v>302</v>
      </c>
      <c r="T6105" s="6">
        <f t="shared" si="112"/>
        <v>6104</v>
      </c>
      <c r="U6105" s="4" t="s">
        <v>194</v>
      </c>
    </row>
    <row r="6106" spans="19:21" x14ac:dyDescent="0.25">
      <c r="S6106" s="6" t="s">
        <v>302</v>
      </c>
      <c r="T6106" s="6">
        <f t="shared" si="112"/>
        <v>6105</v>
      </c>
      <c r="U6106" s="4" t="s">
        <v>194</v>
      </c>
    </row>
    <row r="6107" spans="19:21" x14ac:dyDescent="0.25">
      <c r="S6107" s="6" t="s">
        <v>302</v>
      </c>
      <c r="T6107" s="6">
        <f t="shared" si="112"/>
        <v>6106</v>
      </c>
      <c r="U6107" s="4" t="s">
        <v>194</v>
      </c>
    </row>
    <row r="6108" spans="19:21" x14ac:dyDescent="0.25">
      <c r="S6108" s="6" t="s">
        <v>302</v>
      </c>
      <c r="T6108" s="6">
        <f t="shared" si="112"/>
        <v>6107</v>
      </c>
      <c r="U6108" s="4" t="s">
        <v>194</v>
      </c>
    </row>
    <row r="6109" spans="19:21" x14ac:dyDescent="0.25">
      <c r="S6109" s="6" t="s">
        <v>302</v>
      </c>
      <c r="T6109" s="6">
        <f t="shared" si="112"/>
        <v>6108</v>
      </c>
      <c r="U6109" s="4" t="s">
        <v>194</v>
      </c>
    </row>
    <row r="6110" spans="19:21" x14ac:dyDescent="0.25">
      <c r="S6110" s="6" t="s">
        <v>302</v>
      </c>
      <c r="T6110" s="6">
        <f t="shared" ref="T6110:T6173" si="113">T6109+1</f>
        <v>6109</v>
      </c>
      <c r="U6110" s="4" t="s">
        <v>194</v>
      </c>
    </row>
    <row r="6111" spans="19:21" x14ac:dyDescent="0.25">
      <c r="S6111" s="6" t="s">
        <v>302</v>
      </c>
      <c r="T6111" s="6">
        <f t="shared" si="113"/>
        <v>6110</v>
      </c>
      <c r="U6111" s="4" t="s">
        <v>194</v>
      </c>
    </row>
    <row r="6112" spans="19:21" x14ac:dyDescent="0.25">
      <c r="S6112" s="6" t="s">
        <v>302</v>
      </c>
      <c r="T6112" s="6">
        <f t="shared" si="113"/>
        <v>6111</v>
      </c>
      <c r="U6112" s="4" t="s">
        <v>194</v>
      </c>
    </row>
    <row r="6113" spans="19:21" x14ac:dyDescent="0.25">
      <c r="S6113" s="6" t="s">
        <v>302</v>
      </c>
      <c r="T6113" s="6">
        <f t="shared" si="113"/>
        <v>6112</v>
      </c>
      <c r="U6113" s="4" t="s">
        <v>194</v>
      </c>
    </row>
    <row r="6114" spans="19:21" x14ac:dyDescent="0.25">
      <c r="S6114" s="6" t="s">
        <v>302</v>
      </c>
      <c r="T6114" s="6">
        <f t="shared" si="113"/>
        <v>6113</v>
      </c>
      <c r="U6114" s="4" t="s">
        <v>194</v>
      </c>
    </row>
    <row r="6115" spans="19:21" x14ac:dyDescent="0.25">
      <c r="S6115" s="6" t="s">
        <v>302</v>
      </c>
      <c r="T6115" s="6">
        <f t="shared" si="113"/>
        <v>6114</v>
      </c>
      <c r="U6115" s="4" t="s">
        <v>194</v>
      </c>
    </row>
    <row r="6116" spans="19:21" x14ac:dyDescent="0.25">
      <c r="S6116" s="6" t="s">
        <v>302</v>
      </c>
      <c r="T6116" s="6">
        <f t="shared" si="113"/>
        <v>6115</v>
      </c>
      <c r="U6116" s="4" t="s">
        <v>194</v>
      </c>
    </row>
    <row r="6117" spans="19:21" x14ac:dyDescent="0.25">
      <c r="S6117" s="6" t="s">
        <v>302</v>
      </c>
      <c r="T6117" s="6">
        <f t="shared" si="113"/>
        <v>6116</v>
      </c>
      <c r="U6117" s="4" t="s">
        <v>194</v>
      </c>
    </row>
    <row r="6118" spans="19:21" x14ac:dyDescent="0.25">
      <c r="S6118" s="6" t="s">
        <v>302</v>
      </c>
      <c r="T6118" s="6">
        <f t="shared" si="113"/>
        <v>6117</v>
      </c>
      <c r="U6118" s="4" t="s">
        <v>194</v>
      </c>
    </row>
    <row r="6119" spans="19:21" x14ac:dyDescent="0.25">
      <c r="S6119" s="6" t="s">
        <v>302</v>
      </c>
      <c r="T6119" s="6">
        <f t="shared" si="113"/>
        <v>6118</v>
      </c>
      <c r="U6119" s="4" t="s">
        <v>194</v>
      </c>
    </row>
    <row r="6120" spans="19:21" x14ac:dyDescent="0.25">
      <c r="S6120" s="6" t="s">
        <v>302</v>
      </c>
      <c r="T6120" s="6">
        <f t="shared" si="113"/>
        <v>6119</v>
      </c>
      <c r="U6120" s="4" t="s">
        <v>194</v>
      </c>
    </row>
    <row r="6121" spans="19:21" x14ac:dyDescent="0.25">
      <c r="S6121" s="6" t="s">
        <v>302</v>
      </c>
      <c r="T6121" s="6">
        <f t="shared" si="113"/>
        <v>6120</v>
      </c>
      <c r="U6121" s="4" t="s">
        <v>194</v>
      </c>
    </row>
    <row r="6122" spans="19:21" x14ac:dyDescent="0.25">
      <c r="S6122" s="6" t="s">
        <v>302</v>
      </c>
      <c r="T6122" s="6">
        <f t="shared" si="113"/>
        <v>6121</v>
      </c>
      <c r="U6122" s="4" t="s">
        <v>194</v>
      </c>
    </row>
    <row r="6123" spans="19:21" x14ac:dyDescent="0.25">
      <c r="S6123" s="6" t="s">
        <v>302</v>
      </c>
      <c r="T6123" s="6">
        <f t="shared" si="113"/>
        <v>6122</v>
      </c>
      <c r="U6123" s="4" t="s">
        <v>194</v>
      </c>
    </row>
    <row r="6124" spans="19:21" x14ac:dyDescent="0.25">
      <c r="S6124" s="6" t="s">
        <v>302</v>
      </c>
      <c r="T6124" s="6">
        <f t="shared" si="113"/>
        <v>6123</v>
      </c>
      <c r="U6124" s="4" t="s">
        <v>194</v>
      </c>
    </row>
    <row r="6125" spans="19:21" x14ac:dyDescent="0.25">
      <c r="S6125" s="6" t="s">
        <v>302</v>
      </c>
      <c r="T6125" s="6">
        <f t="shared" si="113"/>
        <v>6124</v>
      </c>
      <c r="U6125" s="4" t="s">
        <v>194</v>
      </c>
    </row>
    <row r="6126" spans="19:21" x14ac:dyDescent="0.25">
      <c r="S6126" s="6" t="s">
        <v>302</v>
      </c>
      <c r="T6126" s="6">
        <f t="shared" si="113"/>
        <v>6125</v>
      </c>
      <c r="U6126" s="4" t="s">
        <v>194</v>
      </c>
    </row>
    <row r="6127" spans="19:21" x14ac:dyDescent="0.25">
      <c r="S6127" s="6" t="s">
        <v>302</v>
      </c>
      <c r="T6127" s="6">
        <f t="shared" si="113"/>
        <v>6126</v>
      </c>
      <c r="U6127" s="4" t="s">
        <v>194</v>
      </c>
    </row>
    <row r="6128" spans="19:21" x14ac:dyDescent="0.25">
      <c r="S6128" s="6" t="s">
        <v>302</v>
      </c>
      <c r="T6128" s="6">
        <f t="shared" si="113"/>
        <v>6127</v>
      </c>
      <c r="U6128" s="4" t="s">
        <v>194</v>
      </c>
    </row>
    <row r="6129" spans="19:21" x14ac:dyDescent="0.25">
      <c r="S6129" s="6" t="s">
        <v>302</v>
      </c>
      <c r="T6129" s="6">
        <f t="shared" si="113"/>
        <v>6128</v>
      </c>
      <c r="U6129" s="4" t="s">
        <v>194</v>
      </c>
    </row>
    <row r="6130" spans="19:21" x14ac:dyDescent="0.25">
      <c r="S6130" s="6" t="s">
        <v>302</v>
      </c>
      <c r="T6130" s="6">
        <f t="shared" si="113"/>
        <v>6129</v>
      </c>
      <c r="U6130" s="4" t="s">
        <v>194</v>
      </c>
    </row>
    <row r="6131" spans="19:21" x14ac:dyDescent="0.25">
      <c r="S6131" s="6" t="s">
        <v>302</v>
      </c>
      <c r="T6131" s="6">
        <f t="shared" si="113"/>
        <v>6130</v>
      </c>
      <c r="U6131" s="4" t="s">
        <v>194</v>
      </c>
    </row>
    <row r="6132" spans="19:21" x14ac:dyDescent="0.25">
      <c r="S6132" s="6" t="s">
        <v>302</v>
      </c>
      <c r="T6132" s="6">
        <f t="shared" si="113"/>
        <v>6131</v>
      </c>
      <c r="U6132" s="4" t="s">
        <v>194</v>
      </c>
    </row>
    <row r="6133" spans="19:21" x14ac:dyDescent="0.25">
      <c r="S6133" s="6" t="s">
        <v>302</v>
      </c>
      <c r="T6133" s="6">
        <f t="shared" si="113"/>
        <v>6132</v>
      </c>
      <c r="U6133" s="4" t="s">
        <v>194</v>
      </c>
    </row>
    <row r="6134" spans="19:21" x14ac:dyDescent="0.25">
      <c r="S6134" s="6" t="s">
        <v>302</v>
      </c>
      <c r="T6134" s="6">
        <f t="shared" si="113"/>
        <v>6133</v>
      </c>
      <c r="U6134" s="4" t="s">
        <v>194</v>
      </c>
    </row>
    <row r="6135" spans="19:21" x14ac:dyDescent="0.25">
      <c r="S6135" s="6" t="s">
        <v>302</v>
      </c>
      <c r="T6135" s="6">
        <f t="shared" si="113"/>
        <v>6134</v>
      </c>
      <c r="U6135" s="4" t="s">
        <v>194</v>
      </c>
    </row>
    <row r="6136" spans="19:21" x14ac:dyDescent="0.25">
      <c r="S6136" s="6" t="s">
        <v>302</v>
      </c>
      <c r="T6136" s="6">
        <f t="shared" si="113"/>
        <v>6135</v>
      </c>
      <c r="U6136" s="4" t="s">
        <v>194</v>
      </c>
    </row>
    <row r="6137" spans="19:21" x14ac:dyDescent="0.25">
      <c r="S6137" s="6" t="s">
        <v>302</v>
      </c>
      <c r="T6137" s="6">
        <f t="shared" si="113"/>
        <v>6136</v>
      </c>
      <c r="U6137" s="4" t="s">
        <v>194</v>
      </c>
    </row>
    <row r="6138" spans="19:21" x14ac:dyDescent="0.25">
      <c r="S6138" s="6" t="s">
        <v>302</v>
      </c>
      <c r="T6138" s="6">
        <f t="shared" si="113"/>
        <v>6137</v>
      </c>
      <c r="U6138" s="4" t="s">
        <v>194</v>
      </c>
    </row>
    <row r="6139" spans="19:21" x14ac:dyDescent="0.25">
      <c r="S6139" s="6" t="s">
        <v>302</v>
      </c>
      <c r="T6139" s="6">
        <f t="shared" si="113"/>
        <v>6138</v>
      </c>
      <c r="U6139" s="4" t="s">
        <v>194</v>
      </c>
    </row>
    <row r="6140" spans="19:21" x14ac:dyDescent="0.25">
      <c r="S6140" s="6" t="s">
        <v>302</v>
      </c>
      <c r="T6140" s="6">
        <f t="shared" si="113"/>
        <v>6139</v>
      </c>
      <c r="U6140" s="4" t="s">
        <v>194</v>
      </c>
    </row>
    <row r="6141" spans="19:21" x14ac:dyDescent="0.25">
      <c r="S6141" s="6" t="s">
        <v>302</v>
      </c>
      <c r="T6141" s="6">
        <f t="shared" si="113"/>
        <v>6140</v>
      </c>
      <c r="U6141" s="4" t="s">
        <v>194</v>
      </c>
    </row>
    <row r="6142" spans="19:21" x14ac:dyDescent="0.25">
      <c r="S6142" s="6" t="s">
        <v>302</v>
      </c>
      <c r="T6142" s="6">
        <f t="shared" si="113"/>
        <v>6141</v>
      </c>
      <c r="U6142" s="4" t="s">
        <v>194</v>
      </c>
    </row>
    <row r="6143" spans="19:21" x14ac:dyDescent="0.25">
      <c r="S6143" s="6" t="s">
        <v>302</v>
      </c>
      <c r="T6143" s="6">
        <f t="shared" si="113"/>
        <v>6142</v>
      </c>
      <c r="U6143" s="4" t="s">
        <v>194</v>
      </c>
    </row>
    <row r="6144" spans="19:21" x14ac:dyDescent="0.25">
      <c r="S6144" s="6" t="s">
        <v>302</v>
      </c>
      <c r="T6144" s="6">
        <f t="shared" si="113"/>
        <v>6143</v>
      </c>
      <c r="U6144" s="4" t="s">
        <v>194</v>
      </c>
    </row>
    <row r="6145" spans="19:21" x14ac:dyDescent="0.25">
      <c r="S6145" s="6" t="s">
        <v>302</v>
      </c>
      <c r="T6145" s="6">
        <f t="shared" si="113"/>
        <v>6144</v>
      </c>
      <c r="U6145" s="4" t="s">
        <v>194</v>
      </c>
    </row>
    <row r="6146" spans="19:21" x14ac:dyDescent="0.25">
      <c r="S6146" s="6" t="s">
        <v>302</v>
      </c>
      <c r="T6146" s="6">
        <f t="shared" si="113"/>
        <v>6145</v>
      </c>
      <c r="U6146" s="4" t="s">
        <v>194</v>
      </c>
    </row>
    <row r="6147" spans="19:21" x14ac:dyDescent="0.25">
      <c r="S6147" s="6" t="s">
        <v>302</v>
      </c>
      <c r="T6147" s="6">
        <f t="shared" si="113"/>
        <v>6146</v>
      </c>
      <c r="U6147" s="4" t="s">
        <v>194</v>
      </c>
    </row>
    <row r="6148" spans="19:21" x14ac:dyDescent="0.25">
      <c r="S6148" s="6" t="s">
        <v>302</v>
      </c>
      <c r="T6148" s="6">
        <f t="shared" si="113"/>
        <v>6147</v>
      </c>
      <c r="U6148" s="4" t="s">
        <v>194</v>
      </c>
    </row>
    <row r="6149" spans="19:21" x14ac:dyDescent="0.25">
      <c r="S6149" s="6" t="s">
        <v>302</v>
      </c>
      <c r="T6149" s="6">
        <f t="shared" si="113"/>
        <v>6148</v>
      </c>
      <c r="U6149" s="4" t="s">
        <v>194</v>
      </c>
    </row>
    <row r="6150" spans="19:21" x14ac:dyDescent="0.25">
      <c r="S6150" s="6" t="s">
        <v>302</v>
      </c>
      <c r="T6150" s="6">
        <f t="shared" si="113"/>
        <v>6149</v>
      </c>
      <c r="U6150" s="4" t="s">
        <v>194</v>
      </c>
    </row>
    <row r="6151" spans="19:21" x14ac:dyDescent="0.25">
      <c r="S6151" s="6" t="s">
        <v>302</v>
      </c>
      <c r="T6151" s="6">
        <f t="shared" si="113"/>
        <v>6150</v>
      </c>
      <c r="U6151" s="4" t="s">
        <v>194</v>
      </c>
    </row>
    <row r="6152" spans="19:21" x14ac:dyDescent="0.25">
      <c r="S6152" s="6" t="s">
        <v>302</v>
      </c>
      <c r="T6152" s="6">
        <f t="shared" si="113"/>
        <v>6151</v>
      </c>
      <c r="U6152" s="4" t="s">
        <v>194</v>
      </c>
    </row>
    <row r="6153" spans="19:21" x14ac:dyDescent="0.25">
      <c r="S6153" s="6" t="s">
        <v>302</v>
      </c>
      <c r="T6153" s="6">
        <f t="shared" si="113"/>
        <v>6152</v>
      </c>
      <c r="U6153" s="4" t="s">
        <v>194</v>
      </c>
    </row>
    <row r="6154" spans="19:21" x14ac:dyDescent="0.25">
      <c r="S6154" s="6" t="s">
        <v>302</v>
      </c>
      <c r="T6154" s="6">
        <f t="shared" si="113"/>
        <v>6153</v>
      </c>
      <c r="U6154" s="4" t="s">
        <v>194</v>
      </c>
    </row>
    <row r="6155" spans="19:21" x14ac:dyDescent="0.25">
      <c r="S6155" s="6" t="s">
        <v>302</v>
      </c>
      <c r="T6155" s="6">
        <f t="shared" si="113"/>
        <v>6154</v>
      </c>
      <c r="U6155" s="4" t="s">
        <v>194</v>
      </c>
    </row>
    <row r="6156" spans="19:21" x14ac:dyDescent="0.25">
      <c r="S6156" s="6" t="s">
        <v>302</v>
      </c>
      <c r="T6156" s="6">
        <f t="shared" si="113"/>
        <v>6155</v>
      </c>
      <c r="U6156" s="4" t="s">
        <v>194</v>
      </c>
    </row>
    <row r="6157" spans="19:21" x14ac:dyDescent="0.25">
      <c r="S6157" s="6" t="s">
        <v>302</v>
      </c>
      <c r="T6157" s="6">
        <f t="shared" si="113"/>
        <v>6156</v>
      </c>
      <c r="U6157" s="4" t="s">
        <v>194</v>
      </c>
    </row>
    <row r="6158" spans="19:21" x14ac:dyDescent="0.25">
      <c r="S6158" s="6" t="s">
        <v>302</v>
      </c>
      <c r="T6158" s="6">
        <f t="shared" si="113"/>
        <v>6157</v>
      </c>
      <c r="U6158" s="4" t="s">
        <v>194</v>
      </c>
    </row>
    <row r="6159" spans="19:21" x14ac:dyDescent="0.25">
      <c r="S6159" s="6" t="s">
        <v>302</v>
      </c>
      <c r="T6159" s="6">
        <f t="shared" si="113"/>
        <v>6158</v>
      </c>
      <c r="U6159" s="4" t="s">
        <v>194</v>
      </c>
    </row>
    <row r="6160" spans="19:21" x14ac:dyDescent="0.25">
      <c r="S6160" s="6" t="s">
        <v>302</v>
      </c>
      <c r="T6160" s="6">
        <f t="shared" si="113"/>
        <v>6159</v>
      </c>
      <c r="U6160" s="4" t="s">
        <v>194</v>
      </c>
    </row>
    <row r="6161" spans="19:21" x14ac:dyDescent="0.25">
      <c r="S6161" s="6" t="s">
        <v>302</v>
      </c>
      <c r="T6161" s="6">
        <f t="shared" si="113"/>
        <v>6160</v>
      </c>
      <c r="U6161" s="4" t="s">
        <v>194</v>
      </c>
    </row>
    <row r="6162" spans="19:21" x14ac:dyDescent="0.25">
      <c r="S6162" s="6" t="s">
        <v>302</v>
      </c>
      <c r="T6162" s="6">
        <f t="shared" si="113"/>
        <v>6161</v>
      </c>
      <c r="U6162" s="4" t="s">
        <v>194</v>
      </c>
    </row>
    <row r="6163" spans="19:21" x14ac:dyDescent="0.25">
      <c r="S6163" s="6" t="s">
        <v>302</v>
      </c>
      <c r="T6163" s="6">
        <f t="shared" si="113"/>
        <v>6162</v>
      </c>
      <c r="U6163" s="4" t="s">
        <v>194</v>
      </c>
    </row>
    <row r="6164" spans="19:21" x14ac:dyDescent="0.25">
      <c r="S6164" s="6" t="s">
        <v>302</v>
      </c>
      <c r="T6164" s="6">
        <f t="shared" si="113"/>
        <v>6163</v>
      </c>
      <c r="U6164" s="4" t="s">
        <v>194</v>
      </c>
    </row>
    <row r="6165" spans="19:21" x14ac:dyDescent="0.25">
      <c r="S6165" s="6" t="s">
        <v>302</v>
      </c>
      <c r="T6165" s="6">
        <f t="shared" si="113"/>
        <v>6164</v>
      </c>
      <c r="U6165" s="4" t="s">
        <v>194</v>
      </c>
    </row>
    <row r="6166" spans="19:21" x14ac:dyDescent="0.25">
      <c r="S6166" s="6" t="s">
        <v>302</v>
      </c>
      <c r="T6166" s="6">
        <f t="shared" si="113"/>
        <v>6165</v>
      </c>
      <c r="U6166" s="4" t="s">
        <v>194</v>
      </c>
    </row>
    <row r="6167" spans="19:21" x14ac:dyDescent="0.25">
      <c r="S6167" s="6" t="s">
        <v>302</v>
      </c>
      <c r="T6167" s="6">
        <f t="shared" si="113"/>
        <v>6166</v>
      </c>
      <c r="U6167" s="4" t="s">
        <v>194</v>
      </c>
    </row>
    <row r="6168" spans="19:21" x14ac:dyDescent="0.25">
      <c r="S6168" s="6" t="s">
        <v>302</v>
      </c>
      <c r="T6168" s="6">
        <f t="shared" si="113"/>
        <v>6167</v>
      </c>
      <c r="U6168" s="4" t="s">
        <v>194</v>
      </c>
    </row>
    <row r="6169" spans="19:21" x14ac:dyDescent="0.25">
      <c r="S6169" s="6" t="s">
        <v>302</v>
      </c>
      <c r="T6169" s="6">
        <f t="shared" si="113"/>
        <v>6168</v>
      </c>
      <c r="U6169" s="4" t="s">
        <v>194</v>
      </c>
    </row>
    <row r="6170" spans="19:21" x14ac:dyDescent="0.25">
      <c r="S6170" s="6" t="s">
        <v>302</v>
      </c>
      <c r="T6170" s="6">
        <f t="shared" si="113"/>
        <v>6169</v>
      </c>
      <c r="U6170" s="4" t="s">
        <v>194</v>
      </c>
    </row>
    <row r="6171" spans="19:21" x14ac:dyDescent="0.25">
      <c r="S6171" s="6" t="s">
        <v>302</v>
      </c>
      <c r="T6171" s="6">
        <f t="shared" si="113"/>
        <v>6170</v>
      </c>
      <c r="U6171" s="4" t="s">
        <v>194</v>
      </c>
    </row>
    <row r="6172" spans="19:21" x14ac:dyDescent="0.25">
      <c r="S6172" s="6" t="s">
        <v>302</v>
      </c>
      <c r="T6172" s="6">
        <f t="shared" si="113"/>
        <v>6171</v>
      </c>
      <c r="U6172" s="4" t="s">
        <v>194</v>
      </c>
    </row>
    <row r="6173" spans="19:21" x14ac:dyDescent="0.25">
      <c r="S6173" s="6" t="s">
        <v>302</v>
      </c>
      <c r="T6173" s="6">
        <f t="shared" si="113"/>
        <v>6172</v>
      </c>
      <c r="U6173" s="4" t="s">
        <v>194</v>
      </c>
    </row>
    <row r="6174" spans="19:21" x14ac:dyDescent="0.25">
      <c r="S6174" s="6" t="s">
        <v>302</v>
      </c>
      <c r="T6174" s="6">
        <f t="shared" ref="T6174:T6237" si="114">T6173+1</f>
        <v>6173</v>
      </c>
      <c r="U6174" s="4" t="s">
        <v>194</v>
      </c>
    </row>
    <row r="6175" spans="19:21" x14ac:dyDescent="0.25">
      <c r="S6175" s="6" t="s">
        <v>302</v>
      </c>
      <c r="T6175" s="6">
        <f t="shared" si="114"/>
        <v>6174</v>
      </c>
      <c r="U6175" s="4" t="s">
        <v>194</v>
      </c>
    </row>
    <row r="6176" spans="19:21" x14ac:dyDescent="0.25">
      <c r="S6176" s="6" t="s">
        <v>302</v>
      </c>
      <c r="T6176" s="6">
        <f t="shared" si="114"/>
        <v>6175</v>
      </c>
      <c r="U6176" s="4" t="s">
        <v>194</v>
      </c>
    </row>
    <row r="6177" spans="19:21" x14ac:dyDescent="0.25">
      <c r="S6177" s="6" t="s">
        <v>302</v>
      </c>
      <c r="T6177" s="6">
        <f t="shared" si="114"/>
        <v>6176</v>
      </c>
      <c r="U6177" s="4" t="s">
        <v>194</v>
      </c>
    </row>
    <row r="6178" spans="19:21" x14ac:dyDescent="0.25">
      <c r="S6178" s="6" t="s">
        <v>302</v>
      </c>
      <c r="T6178" s="6">
        <f t="shared" si="114"/>
        <v>6177</v>
      </c>
      <c r="U6178" s="4" t="s">
        <v>194</v>
      </c>
    </row>
    <row r="6179" spans="19:21" x14ac:dyDescent="0.25">
      <c r="S6179" s="6" t="s">
        <v>302</v>
      </c>
      <c r="T6179" s="6">
        <f t="shared" si="114"/>
        <v>6178</v>
      </c>
      <c r="U6179" s="4" t="s">
        <v>194</v>
      </c>
    </row>
    <row r="6180" spans="19:21" x14ac:dyDescent="0.25">
      <c r="S6180" s="6" t="s">
        <v>302</v>
      </c>
      <c r="T6180" s="6">
        <f t="shared" si="114"/>
        <v>6179</v>
      </c>
      <c r="U6180" s="4" t="s">
        <v>194</v>
      </c>
    </row>
    <row r="6181" spans="19:21" x14ac:dyDescent="0.25">
      <c r="S6181" s="6" t="s">
        <v>302</v>
      </c>
      <c r="T6181" s="6">
        <f t="shared" si="114"/>
        <v>6180</v>
      </c>
      <c r="U6181" s="4" t="s">
        <v>194</v>
      </c>
    </row>
    <row r="6182" spans="19:21" x14ac:dyDescent="0.25">
      <c r="S6182" s="6" t="s">
        <v>302</v>
      </c>
      <c r="T6182" s="6">
        <f t="shared" si="114"/>
        <v>6181</v>
      </c>
      <c r="U6182" s="4" t="s">
        <v>194</v>
      </c>
    </row>
    <row r="6183" spans="19:21" x14ac:dyDescent="0.25">
      <c r="S6183" s="6" t="s">
        <v>302</v>
      </c>
      <c r="T6183" s="6">
        <f t="shared" si="114"/>
        <v>6182</v>
      </c>
      <c r="U6183" s="4" t="s">
        <v>194</v>
      </c>
    </row>
    <row r="6184" spans="19:21" x14ac:dyDescent="0.25">
      <c r="S6184" s="6" t="s">
        <v>302</v>
      </c>
      <c r="T6184" s="6">
        <f t="shared" si="114"/>
        <v>6183</v>
      </c>
      <c r="U6184" s="4" t="s">
        <v>194</v>
      </c>
    </row>
    <row r="6185" spans="19:21" x14ac:dyDescent="0.25">
      <c r="S6185" s="6" t="s">
        <v>302</v>
      </c>
      <c r="T6185" s="6">
        <f t="shared" si="114"/>
        <v>6184</v>
      </c>
      <c r="U6185" s="4" t="s">
        <v>194</v>
      </c>
    </row>
    <row r="6186" spans="19:21" x14ac:dyDescent="0.25">
      <c r="S6186" s="6" t="s">
        <v>302</v>
      </c>
      <c r="T6186" s="6">
        <f t="shared" si="114"/>
        <v>6185</v>
      </c>
      <c r="U6186" s="4" t="s">
        <v>194</v>
      </c>
    </row>
    <row r="6187" spans="19:21" x14ac:dyDescent="0.25">
      <c r="S6187" s="6" t="s">
        <v>302</v>
      </c>
      <c r="T6187" s="6">
        <f t="shared" si="114"/>
        <v>6186</v>
      </c>
      <c r="U6187" s="4" t="s">
        <v>194</v>
      </c>
    </row>
    <row r="6188" spans="19:21" x14ac:dyDescent="0.25">
      <c r="S6188" s="6" t="s">
        <v>302</v>
      </c>
      <c r="T6188" s="6">
        <f t="shared" si="114"/>
        <v>6187</v>
      </c>
      <c r="U6188" s="4" t="s">
        <v>194</v>
      </c>
    </row>
    <row r="6189" spans="19:21" x14ac:dyDescent="0.25">
      <c r="S6189" s="6" t="s">
        <v>302</v>
      </c>
      <c r="T6189" s="6">
        <f t="shared" si="114"/>
        <v>6188</v>
      </c>
      <c r="U6189" s="4" t="s">
        <v>194</v>
      </c>
    </row>
    <row r="6190" spans="19:21" x14ac:dyDescent="0.25">
      <c r="S6190" s="6" t="s">
        <v>302</v>
      </c>
      <c r="T6190" s="6">
        <f t="shared" si="114"/>
        <v>6189</v>
      </c>
      <c r="U6190" s="4" t="s">
        <v>194</v>
      </c>
    </row>
    <row r="6191" spans="19:21" x14ac:dyDescent="0.25">
      <c r="S6191" s="6" t="s">
        <v>302</v>
      </c>
      <c r="T6191" s="6">
        <f t="shared" si="114"/>
        <v>6190</v>
      </c>
      <c r="U6191" s="4" t="s">
        <v>194</v>
      </c>
    </row>
    <row r="6192" spans="19:21" x14ac:dyDescent="0.25">
      <c r="S6192" s="6" t="s">
        <v>302</v>
      </c>
      <c r="T6192" s="6">
        <f t="shared" si="114"/>
        <v>6191</v>
      </c>
      <c r="U6192" s="4" t="s">
        <v>194</v>
      </c>
    </row>
    <row r="6193" spans="19:21" x14ac:dyDescent="0.25">
      <c r="S6193" s="6" t="s">
        <v>302</v>
      </c>
      <c r="T6193" s="6">
        <f t="shared" si="114"/>
        <v>6192</v>
      </c>
      <c r="U6193" s="4" t="s">
        <v>194</v>
      </c>
    </row>
    <row r="6194" spans="19:21" x14ac:dyDescent="0.25">
      <c r="S6194" s="6" t="s">
        <v>302</v>
      </c>
      <c r="T6194" s="6">
        <f t="shared" si="114"/>
        <v>6193</v>
      </c>
      <c r="U6194" s="4" t="s">
        <v>194</v>
      </c>
    </row>
    <row r="6195" spans="19:21" x14ac:dyDescent="0.25">
      <c r="S6195" s="6" t="s">
        <v>302</v>
      </c>
      <c r="T6195" s="6">
        <f t="shared" si="114"/>
        <v>6194</v>
      </c>
      <c r="U6195" s="4" t="s">
        <v>194</v>
      </c>
    </row>
    <row r="6196" spans="19:21" x14ac:dyDescent="0.25">
      <c r="S6196" s="6" t="s">
        <v>302</v>
      </c>
      <c r="T6196" s="6">
        <f t="shared" si="114"/>
        <v>6195</v>
      </c>
      <c r="U6196" s="4" t="s">
        <v>194</v>
      </c>
    </row>
    <row r="6197" spans="19:21" x14ac:dyDescent="0.25">
      <c r="S6197" s="6" t="s">
        <v>302</v>
      </c>
      <c r="T6197" s="6">
        <f t="shared" si="114"/>
        <v>6196</v>
      </c>
      <c r="U6197" s="4" t="s">
        <v>194</v>
      </c>
    </row>
    <row r="6198" spans="19:21" x14ac:dyDescent="0.25">
      <c r="S6198" s="6" t="s">
        <v>302</v>
      </c>
      <c r="T6198" s="6">
        <f t="shared" si="114"/>
        <v>6197</v>
      </c>
      <c r="U6198" s="4" t="s">
        <v>194</v>
      </c>
    </row>
    <row r="6199" spans="19:21" x14ac:dyDescent="0.25">
      <c r="S6199" s="6" t="s">
        <v>302</v>
      </c>
      <c r="T6199" s="6">
        <f t="shared" si="114"/>
        <v>6198</v>
      </c>
      <c r="U6199" s="4" t="s">
        <v>194</v>
      </c>
    </row>
    <row r="6200" spans="19:21" x14ac:dyDescent="0.25">
      <c r="S6200" s="6" t="s">
        <v>302</v>
      </c>
      <c r="T6200" s="6">
        <f t="shared" si="114"/>
        <v>6199</v>
      </c>
      <c r="U6200" s="4" t="s">
        <v>194</v>
      </c>
    </row>
    <row r="6201" spans="19:21" x14ac:dyDescent="0.25">
      <c r="S6201" s="6" t="s">
        <v>302</v>
      </c>
      <c r="T6201" s="6">
        <f t="shared" si="114"/>
        <v>6200</v>
      </c>
      <c r="U6201" s="4" t="s">
        <v>194</v>
      </c>
    </row>
    <row r="6202" spans="19:21" x14ac:dyDescent="0.25">
      <c r="S6202" s="6" t="s">
        <v>302</v>
      </c>
      <c r="T6202" s="6">
        <f t="shared" si="114"/>
        <v>6201</v>
      </c>
      <c r="U6202" s="4" t="s">
        <v>194</v>
      </c>
    </row>
    <row r="6203" spans="19:21" x14ac:dyDescent="0.25">
      <c r="S6203" s="6" t="s">
        <v>302</v>
      </c>
      <c r="T6203" s="6">
        <f t="shared" si="114"/>
        <v>6202</v>
      </c>
      <c r="U6203" s="4" t="s">
        <v>194</v>
      </c>
    </row>
    <row r="6204" spans="19:21" x14ac:dyDescent="0.25">
      <c r="S6204" s="6" t="s">
        <v>302</v>
      </c>
      <c r="T6204" s="6">
        <f t="shared" si="114"/>
        <v>6203</v>
      </c>
      <c r="U6204" s="4" t="s">
        <v>194</v>
      </c>
    </row>
    <row r="6205" spans="19:21" x14ac:dyDescent="0.25">
      <c r="S6205" s="6" t="s">
        <v>302</v>
      </c>
      <c r="T6205" s="6">
        <f t="shared" si="114"/>
        <v>6204</v>
      </c>
      <c r="U6205" s="4" t="s">
        <v>194</v>
      </c>
    </row>
    <row r="6206" spans="19:21" x14ac:dyDescent="0.25">
      <c r="S6206" s="6" t="s">
        <v>302</v>
      </c>
      <c r="T6206" s="6">
        <f t="shared" si="114"/>
        <v>6205</v>
      </c>
      <c r="U6206" s="4" t="s">
        <v>194</v>
      </c>
    </row>
    <row r="6207" spans="19:21" x14ac:dyDescent="0.25">
      <c r="S6207" s="6" t="s">
        <v>302</v>
      </c>
      <c r="T6207" s="6">
        <f t="shared" si="114"/>
        <v>6206</v>
      </c>
      <c r="U6207" s="4" t="s">
        <v>194</v>
      </c>
    </row>
    <row r="6208" spans="19:21" x14ac:dyDescent="0.25">
      <c r="S6208" s="6" t="s">
        <v>302</v>
      </c>
      <c r="T6208" s="6">
        <f t="shared" si="114"/>
        <v>6207</v>
      </c>
      <c r="U6208" s="4" t="s">
        <v>194</v>
      </c>
    </row>
    <row r="6209" spans="19:21" x14ac:dyDescent="0.25">
      <c r="S6209" s="6" t="s">
        <v>302</v>
      </c>
      <c r="T6209" s="6">
        <f t="shared" si="114"/>
        <v>6208</v>
      </c>
      <c r="U6209" s="4" t="s">
        <v>194</v>
      </c>
    </row>
    <row r="6210" spans="19:21" x14ac:dyDescent="0.25">
      <c r="S6210" s="6" t="s">
        <v>302</v>
      </c>
      <c r="T6210" s="6">
        <f t="shared" si="114"/>
        <v>6209</v>
      </c>
      <c r="U6210" s="4" t="s">
        <v>194</v>
      </c>
    </row>
    <row r="6211" spans="19:21" x14ac:dyDescent="0.25">
      <c r="S6211" s="6" t="s">
        <v>302</v>
      </c>
      <c r="T6211" s="6">
        <f t="shared" si="114"/>
        <v>6210</v>
      </c>
      <c r="U6211" s="4" t="s">
        <v>194</v>
      </c>
    </row>
    <row r="6212" spans="19:21" x14ac:dyDescent="0.25">
      <c r="S6212" s="6" t="s">
        <v>302</v>
      </c>
      <c r="T6212" s="6">
        <f t="shared" si="114"/>
        <v>6211</v>
      </c>
      <c r="U6212" s="4" t="s">
        <v>194</v>
      </c>
    </row>
    <row r="6213" spans="19:21" x14ac:dyDescent="0.25">
      <c r="S6213" s="6" t="s">
        <v>302</v>
      </c>
      <c r="T6213" s="6">
        <f t="shared" si="114"/>
        <v>6212</v>
      </c>
      <c r="U6213" s="4" t="s">
        <v>194</v>
      </c>
    </row>
    <row r="6214" spans="19:21" x14ac:dyDescent="0.25">
      <c r="S6214" s="6" t="s">
        <v>302</v>
      </c>
      <c r="T6214" s="6">
        <f t="shared" si="114"/>
        <v>6213</v>
      </c>
      <c r="U6214" s="4" t="s">
        <v>194</v>
      </c>
    </row>
    <row r="6215" spans="19:21" x14ac:dyDescent="0.25">
      <c r="S6215" s="6" t="s">
        <v>302</v>
      </c>
      <c r="T6215" s="6">
        <f t="shared" si="114"/>
        <v>6214</v>
      </c>
      <c r="U6215" s="4" t="s">
        <v>194</v>
      </c>
    </row>
    <row r="6216" spans="19:21" x14ac:dyDescent="0.25">
      <c r="S6216" s="6" t="s">
        <v>302</v>
      </c>
      <c r="T6216" s="6">
        <f t="shared" si="114"/>
        <v>6215</v>
      </c>
      <c r="U6216" s="4" t="s">
        <v>194</v>
      </c>
    </row>
    <row r="6217" spans="19:21" x14ac:dyDescent="0.25">
      <c r="S6217" s="6" t="s">
        <v>302</v>
      </c>
      <c r="T6217" s="6">
        <f t="shared" si="114"/>
        <v>6216</v>
      </c>
      <c r="U6217" s="4" t="s">
        <v>194</v>
      </c>
    </row>
    <row r="6218" spans="19:21" x14ac:dyDescent="0.25">
      <c r="S6218" s="6" t="s">
        <v>302</v>
      </c>
      <c r="T6218" s="6">
        <f t="shared" si="114"/>
        <v>6217</v>
      </c>
      <c r="U6218" s="4" t="s">
        <v>194</v>
      </c>
    </row>
    <row r="6219" spans="19:21" x14ac:dyDescent="0.25">
      <c r="S6219" s="6" t="s">
        <v>302</v>
      </c>
      <c r="T6219" s="6">
        <f t="shared" si="114"/>
        <v>6218</v>
      </c>
      <c r="U6219" s="4" t="s">
        <v>194</v>
      </c>
    </row>
    <row r="6220" spans="19:21" x14ac:dyDescent="0.25">
      <c r="S6220" s="6" t="s">
        <v>302</v>
      </c>
      <c r="T6220" s="6">
        <f t="shared" si="114"/>
        <v>6219</v>
      </c>
      <c r="U6220" s="4" t="s">
        <v>194</v>
      </c>
    </row>
    <row r="6221" spans="19:21" x14ac:dyDescent="0.25">
      <c r="S6221" s="6" t="s">
        <v>302</v>
      </c>
      <c r="T6221" s="6">
        <f t="shared" si="114"/>
        <v>6220</v>
      </c>
      <c r="U6221" s="4" t="s">
        <v>194</v>
      </c>
    </row>
    <row r="6222" spans="19:21" x14ac:dyDescent="0.25">
      <c r="S6222" s="6" t="s">
        <v>302</v>
      </c>
      <c r="T6222" s="6">
        <f t="shared" si="114"/>
        <v>6221</v>
      </c>
      <c r="U6222" s="4" t="s">
        <v>194</v>
      </c>
    </row>
    <row r="6223" spans="19:21" x14ac:dyDescent="0.25">
      <c r="S6223" s="6" t="s">
        <v>302</v>
      </c>
      <c r="T6223" s="6">
        <f t="shared" si="114"/>
        <v>6222</v>
      </c>
      <c r="U6223" s="4" t="s">
        <v>194</v>
      </c>
    </row>
    <row r="6224" spans="19:21" x14ac:dyDescent="0.25">
      <c r="S6224" s="6" t="s">
        <v>302</v>
      </c>
      <c r="T6224" s="6">
        <f t="shared" si="114"/>
        <v>6223</v>
      </c>
      <c r="U6224" s="4" t="s">
        <v>194</v>
      </c>
    </row>
    <row r="6225" spans="19:21" x14ac:dyDescent="0.25">
      <c r="S6225" s="6" t="s">
        <v>302</v>
      </c>
      <c r="T6225" s="6">
        <f t="shared" si="114"/>
        <v>6224</v>
      </c>
      <c r="U6225" s="4" t="s">
        <v>194</v>
      </c>
    </row>
    <row r="6226" spans="19:21" x14ac:dyDescent="0.25">
      <c r="S6226" s="6" t="s">
        <v>302</v>
      </c>
      <c r="T6226" s="6">
        <f t="shared" si="114"/>
        <v>6225</v>
      </c>
      <c r="U6226" s="4" t="s">
        <v>194</v>
      </c>
    </row>
    <row r="6227" spans="19:21" x14ac:dyDescent="0.25">
      <c r="S6227" s="6" t="s">
        <v>302</v>
      </c>
      <c r="T6227" s="6">
        <f t="shared" si="114"/>
        <v>6226</v>
      </c>
      <c r="U6227" s="4" t="s">
        <v>194</v>
      </c>
    </row>
    <row r="6228" spans="19:21" x14ac:dyDescent="0.25">
      <c r="S6228" s="6" t="s">
        <v>302</v>
      </c>
      <c r="T6228" s="6">
        <f t="shared" si="114"/>
        <v>6227</v>
      </c>
      <c r="U6228" s="4" t="s">
        <v>194</v>
      </c>
    </row>
    <row r="6229" spans="19:21" x14ac:dyDescent="0.25">
      <c r="S6229" s="6" t="s">
        <v>302</v>
      </c>
      <c r="T6229" s="6">
        <f t="shared" si="114"/>
        <v>6228</v>
      </c>
      <c r="U6229" s="4" t="s">
        <v>194</v>
      </c>
    </row>
    <row r="6230" spans="19:21" x14ac:dyDescent="0.25">
      <c r="S6230" s="6" t="s">
        <v>302</v>
      </c>
      <c r="T6230" s="6">
        <f t="shared" si="114"/>
        <v>6229</v>
      </c>
      <c r="U6230" s="4" t="s">
        <v>194</v>
      </c>
    </row>
    <row r="6231" spans="19:21" x14ac:dyDescent="0.25">
      <c r="S6231" s="6" t="s">
        <v>302</v>
      </c>
      <c r="T6231" s="6">
        <f t="shared" si="114"/>
        <v>6230</v>
      </c>
      <c r="U6231" s="4" t="s">
        <v>194</v>
      </c>
    </row>
    <row r="6232" spans="19:21" x14ac:dyDescent="0.25">
      <c r="S6232" s="6" t="s">
        <v>302</v>
      </c>
      <c r="T6232" s="6">
        <f t="shared" si="114"/>
        <v>6231</v>
      </c>
      <c r="U6232" s="4" t="s">
        <v>194</v>
      </c>
    </row>
    <row r="6233" spans="19:21" x14ac:dyDescent="0.25">
      <c r="S6233" s="6" t="s">
        <v>302</v>
      </c>
      <c r="T6233" s="6">
        <f t="shared" si="114"/>
        <v>6232</v>
      </c>
      <c r="U6233" s="4" t="s">
        <v>194</v>
      </c>
    </row>
    <row r="6234" spans="19:21" x14ac:dyDescent="0.25">
      <c r="S6234" s="6" t="s">
        <v>302</v>
      </c>
      <c r="T6234" s="6">
        <f t="shared" si="114"/>
        <v>6233</v>
      </c>
      <c r="U6234" s="4" t="s">
        <v>194</v>
      </c>
    </row>
    <row r="6235" spans="19:21" x14ac:dyDescent="0.25">
      <c r="S6235" s="6" t="s">
        <v>302</v>
      </c>
      <c r="T6235" s="6">
        <f t="shared" si="114"/>
        <v>6234</v>
      </c>
      <c r="U6235" s="4" t="s">
        <v>194</v>
      </c>
    </row>
    <row r="6236" spans="19:21" x14ac:dyDescent="0.25">
      <c r="S6236" s="6" t="s">
        <v>302</v>
      </c>
      <c r="T6236" s="6">
        <f t="shared" si="114"/>
        <v>6235</v>
      </c>
      <c r="U6236" s="4" t="s">
        <v>194</v>
      </c>
    </row>
    <row r="6237" spans="19:21" x14ac:dyDescent="0.25">
      <c r="S6237" s="6" t="s">
        <v>302</v>
      </c>
      <c r="T6237" s="6">
        <f t="shared" si="114"/>
        <v>6236</v>
      </c>
      <c r="U6237" s="4" t="s">
        <v>194</v>
      </c>
    </row>
    <row r="6238" spans="19:21" x14ac:dyDescent="0.25">
      <c r="S6238" s="6" t="s">
        <v>302</v>
      </c>
      <c r="T6238" s="6">
        <f t="shared" ref="T6238:T6301" si="115">T6237+1</f>
        <v>6237</v>
      </c>
      <c r="U6238" s="4" t="s">
        <v>194</v>
      </c>
    </row>
    <row r="6239" spans="19:21" x14ac:dyDescent="0.25">
      <c r="S6239" s="6" t="s">
        <v>302</v>
      </c>
      <c r="T6239" s="6">
        <f t="shared" si="115"/>
        <v>6238</v>
      </c>
      <c r="U6239" s="4" t="s">
        <v>194</v>
      </c>
    </row>
    <row r="6240" spans="19:21" x14ac:dyDescent="0.25">
      <c r="S6240" s="6" t="s">
        <v>302</v>
      </c>
      <c r="T6240" s="6">
        <f t="shared" si="115"/>
        <v>6239</v>
      </c>
      <c r="U6240" s="4" t="s">
        <v>194</v>
      </c>
    </row>
    <row r="6241" spans="19:21" x14ac:dyDescent="0.25">
      <c r="S6241" s="6" t="s">
        <v>302</v>
      </c>
      <c r="T6241" s="6">
        <f t="shared" si="115"/>
        <v>6240</v>
      </c>
      <c r="U6241" s="4" t="s">
        <v>194</v>
      </c>
    </row>
    <row r="6242" spans="19:21" x14ac:dyDescent="0.25">
      <c r="S6242" s="6" t="s">
        <v>302</v>
      </c>
      <c r="T6242" s="6">
        <f t="shared" si="115"/>
        <v>6241</v>
      </c>
      <c r="U6242" s="4" t="s">
        <v>194</v>
      </c>
    </row>
    <row r="6243" spans="19:21" x14ac:dyDescent="0.25">
      <c r="S6243" s="6" t="s">
        <v>302</v>
      </c>
      <c r="T6243" s="6">
        <f t="shared" si="115"/>
        <v>6242</v>
      </c>
      <c r="U6243" s="4" t="s">
        <v>194</v>
      </c>
    </row>
    <row r="6244" spans="19:21" x14ac:dyDescent="0.25">
      <c r="S6244" s="6" t="s">
        <v>302</v>
      </c>
      <c r="T6244" s="6">
        <f t="shared" si="115"/>
        <v>6243</v>
      </c>
      <c r="U6244" s="4" t="s">
        <v>194</v>
      </c>
    </row>
    <row r="6245" spans="19:21" x14ac:dyDescent="0.25">
      <c r="S6245" s="6" t="s">
        <v>302</v>
      </c>
      <c r="T6245" s="6">
        <f t="shared" si="115"/>
        <v>6244</v>
      </c>
      <c r="U6245" s="4" t="s">
        <v>194</v>
      </c>
    </row>
    <row r="6246" spans="19:21" x14ac:dyDescent="0.25">
      <c r="S6246" s="6" t="s">
        <v>302</v>
      </c>
      <c r="T6246" s="6">
        <f t="shared" si="115"/>
        <v>6245</v>
      </c>
      <c r="U6246" s="4" t="s">
        <v>194</v>
      </c>
    </row>
    <row r="6247" spans="19:21" x14ac:dyDescent="0.25">
      <c r="S6247" s="6" t="s">
        <v>302</v>
      </c>
      <c r="T6247" s="6">
        <f t="shared" si="115"/>
        <v>6246</v>
      </c>
      <c r="U6247" s="4" t="s">
        <v>194</v>
      </c>
    </row>
    <row r="6248" spans="19:21" x14ac:dyDescent="0.25">
      <c r="S6248" s="6" t="s">
        <v>302</v>
      </c>
      <c r="T6248" s="6">
        <f t="shared" si="115"/>
        <v>6247</v>
      </c>
      <c r="U6248" s="4" t="s">
        <v>194</v>
      </c>
    </row>
    <row r="6249" spans="19:21" x14ac:dyDescent="0.25">
      <c r="S6249" s="6" t="s">
        <v>302</v>
      </c>
      <c r="T6249" s="6">
        <f t="shared" si="115"/>
        <v>6248</v>
      </c>
      <c r="U6249" s="4" t="s">
        <v>194</v>
      </c>
    </row>
    <row r="6250" spans="19:21" x14ac:dyDescent="0.25">
      <c r="S6250" s="6" t="s">
        <v>302</v>
      </c>
      <c r="T6250" s="6">
        <f t="shared" si="115"/>
        <v>6249</v>
      </c>
      <c r="U6250" s="4" t="s">
        <v>194</v>
      </c>
    </row>
    <row r="6251" spans="19:21" x14ac:dyDescent="0.25">
      <c r="S6251" s="6" t="s">
        <v>302</v>
      </c>
      <c r="T6251" s="6">
        <f t="shared" si="115"/>
        <v>6250</v>
      </c>
      <c r="U6251" s="4" t="s">
        <v>194</v>
      </c>
    </row>
    <row r="6252" spans="19:21" x14ac:dyDescent="0.25">
      <c r="S6252" s="6" t="s">
        <v>302</v>
      </c>
      <c r="T6252" s="6">
        <f t="shared" si="115"/>
        <v>6251</v>
      </c>
      <c r="U6252" s="4" t="s">
        <v>194</v>
      </c>
    </row>
    <row r="6253" spans="19:21" x14ac:dyDescent="0.25">
      <c r="S6253" s="6" t="s">
        <v>302</v>
      </c>
      <c r="T6253" s="6">
        <f t="shared" si="115"/>
        <v>6252</v>
      </c>
      <c r="U6253" s="4" t="s">
        <v>194</v>
      </c>
    </row>
    <row r="6254" spans="19:21" x14ac:dyDescent="0.25">
      <c r="S6254" s="6" t="s">
        <v>302</v>
      </c>
      <c r="T6254" s="6">
        <f t="shared" si="115"/>
        <v>6253</v>
      </c>
      <c r="U6254" s="4" t="s">
        <v>194</v>
      </c>
    </row>
    <row r="6255" spans="19:21" x14ac:dyDescent="0.25">
      <c r="S6255" s="6" t="s">
        <v>302</v>
      </c>
      <c r="T6255" s="6">
        <f t="shared" si="115"/>
        <v>6254</v>
      </c>
      <c r="U6255" s="4" t="s">
        <v>194</v>
      </c>
    </row>
    <row r="6256" spans="19:21" x14ac:dyDescent="0.25">
      <c r="S6256" s="6" t="s">
        <v>302</v>
      </c>
      <c r="T6256" s="6">
        <f t="shared" si="115"/>
        <v>6255</v>
      </c>
      <c r="U6256" s="4" t="s">
        <v>194</v>
      </c>
    </row>
    <row r="6257" spans="19:21" x14ac:dyDescent="0.25">
      <c r="S6257" s="6" t="s">
        <v>302</v>
      </c>
      <c r="T6257" s="6">
        <f t="shared" si="115"/>
        <v>6256</v>
      </c>
      <c r="U6257" s="4" t="s">
        <v>194</v>
      </c>
    </row>
    <row r="6258" spans="19:21" x14ac:dyDescent="0.25">
      <c r="S6258" s="6" t="s">
        <v>302</v>
      </c>
      <c r="T6258" s="6">
        <f t="shared" si="115"/>
        <v>6257</v>
      </c>
      <c r="U6258" s="4" t="s">
        <v>194</v>
      </c>
    </row>
    <row r="6259" spans="19:21" x14ac:dyDescent="0.25">
      <c r="S6259" s="6" t="s">
        <v>302</v>
      </c>
      <c r="T6259" s="6">
        <f t="shared" si="115"/>
        <v>6258</v>
      </c>
      <c r="U6259" s="4" t="s">
        <v>194</v>
      </c>
    </row>
    <row r="6260" spans="19:21" x14ac:dyDescent="0.25">
      <c r="S6260" s="6" t="s">
        <v>302</v>
      </c>
      <c r="T6260" s="6">
        <f t="shared" si="115"/>
        <v>6259</v>
      </c>
      <c r="U6260" s="4" t="s">
        <v>194</v>
      </c>
    </row>
    <row r="6261" spans="19:21" x14ac:dyDescent="0.25">
      <c r="S6261" s="6" t="s">
        <v>302</v>
      </c>
      <c r="T6261" s="6">
        <f t="shared" si="115"/>
        <v>6260</v>
      </c>
      <c r="U6261" s="4" t="s">
        <v>194</v>
      </c>
    </row>
    <row r="6262" spans="19:21" x14ac:dyDescent="0.25">
      <c r="S6262" s="6" t="s">
        <v>302</v>
      </c>
      <c r="T6262" s="6">
        <f t="shared" si="115"/>
        <v>6261</v>
      </c>
      <c r="U6262" s="4" t="s">
        <v>194</v>
      </c>
    </row>
    <row r="6263" spans="19:21" x14ac:dyDescent="0.25">
      <c r="S6263" s="6" t="s">
        <v>302</v>
      </c>
      <c r="T6263" s="6">
        <f t="shared" si="115"/>
        <v>6262</v>
      </c>
      <c r="U6263" s="4" t="s">
        <v>194</v>
      </c>
    </row>
    <row r="6264" spans="19:21" x14ac:dyDescent="0.25">
      <c r="S6264" s="6" t="s">
        <v>302</v>
      </c>
      <c r="T6264" s="6">
        <f t="shared" si="115"/>
        <v>6263</v>
      </c>
      <c r="U6264" s="4" t="s">
        <v>194</v>
      </c>
    </row>
    <row r="6265" spans="19:21" x14ac:dyDescent="0.25">
      <c r="S6265" s="6" t="s">
        <v>302</v>
      </c>
      <c r="T6265" s="6">
        <f t="shared" si="115"/>
        <v>6264</v>
      </c>
      <c r="U6265" s="4" t="s">
        <v>194</v>
      </c>
    </row>
    <row r="6266" spans="19:21" x14ac:dyDescent="0.25">
      <c r="S6266" s="6" t="s">
        <v>302</v>
      </c>
      <c r="T6266" s="6">
        <f t="shared" si="115"/>
        <v>6265</v>
      </c>
      <c r="U6266" s="4" t="s">
        <v>194</v>
      </c>
    </row>
    <row r="6267" spans="19:21" x14ac:dyDescent="0.25">
      <c r="S6267" s="6" t="s">
        <v>302</v>
      </c>
      <c r="T6267" s="6">
        <f t="shared" si="115"/>
        <v>6266</v>
      </c>
      <c r="U6267" s="4" t="s">
        <v>194</v>
      </c>
    </row>
    <row r="6268" spans="19:21" x14ac:dyDescent="0.25">
      <c r="S6268" s="6" t="s">
        <v>302</v>
      </c>
      <c r="T6268" s="6">
        <f t="shared" si="115"/>
        <v>6267</v>
      </c>
      <c r="U6268" s="4" t="s">
        <v>194</v>
      </c>
    </row>
    <row r="6269" spans="19:21" x14ac:dyDescent="0.25">
      <c r="S6269" s="6" t="s">
        <v>302</v>
      </c>
      <c r="T6269" s="6">
        <f t="shared" si="115"/>
        <v>6268</v>
      </c>
      <c r="U6269" s="4" t="s">
        <v>194</v>
      </c>
    </row>
    <row r="6270" spans="19:21" x14ac:dyDescent="0.25">
      <c r="S6270" s="6" t="s">
        <v>302</v>
      </c>
      <c r="T6270" s="6">
        <f t="shared" si="115"/>
        <v>6269</v>
      </c>
      <c r="U6270" s="4" t="s">
        <v>194</v>
      </c>
    </row>
    <row r="6271" spans="19:21" x14ac:dyDescent="0.25">
      <c r="S6271" s="6" t="s">
        <v>302</v>
      </c>
      <c r="T6271" s="6">
        <f t="shared" si="115"/>
        <v>6270</v>
      </c>
      <c r="U6271" s="4" t="s">
        <v>194</v>
      </c>
    </row>
    <row r="6272" spans="19:21" x14ac:dyDescent="0.25">
      <c r="S6272" s="6" t="s">
        <v>302</v>
      </c>
      <c r="T6272" s="6">
        <f t="shared" si="115"/>
        <v>6271</v>
      </c>
      <c r="U6272" s="4" t="s">
        <v>194</v>
      </c>
    </row>
    <row r="6273" spans="19:21" x14ac:dyDescent="0.25">
      <c r="S6273" s="6" t="s">
        <v>302</v>
      </c>
      <c r="T6273" s="6">
        <f t="shared" si="115"/>
        <v>6272</v>
      </c>
      <c r="U6273" s="4" t="s">
        <v>194</v>
      </c>
    </row>
    <row r="6274" spans="19:21" x14ac:dyDescent="0.25">
      <c r="S6274" s="6" t="s">
        <v>302</v>
      </c>
      <c r="T6274" s="6">
        <f t="shared" si="115"/>
        <v>6273</v>
      </c>
      <c r="U6274" s="4" t="s">
        <v>194</v>
      </c>
    </row>
    <row r="6275" spans="19:21" x14ac:dyDescent="0.25">
      <c r="S6275" s="6" t="s">
        <v>302</v>
      </c>
      <c r="T6275" s="6">
        <f t="shared" si="115"/>
        <v>6274</v>
      </c>
      <c r="U6275" s="4" t="s">
        <v>194</v>
      </c>
    </row>
    <row r="6276" spans="19:21" x14ac:dyDescent="0.25">
      <c r="S6276" s="6" t="s">
        <v>302</v>
      </c>
      <c r="T6276" s="6">
        <f t="shared" si="115"/>
        <v>6275</v>
      </c>
      <c r="U6276" s="4" t="s">
        <v>194</v>
      </c>
    </row>
    <row r="6277" spans="19:21" x14ac:dyDescent="0.25">
      <c r="S6277" s="6" t="s">
        <v>302</v>
      </c>
      <c r="T6277" s="6">
        <f t="shared" si="115"/>
        <v>6276</v>
      </c>
      <c r="U6277" s="4" t="s">
        <v>194</v>
      </c>
    </row>
    <row r="6278" spans="19:21" x14ac:dyDescent="0.25">
      <c r="S6278" s="6" t="s">
        <v>302</v>
      </c>
      <c r="T6278" s="6">
        <f t="shared" si="115"/>
        <v>6277</v>
      </c>
      <c r="U6278" s="4" t="s">
        <v>194</v>
      </c>
    </row>
    <row r="6279" spans="19:21" x14ac:dyDescent="0.25">
      <c r="S6279" s="6" t="s">
        <v>302</v>
      </c>
      <c r="T6279" s="6">
        <f t="shared" si="115"/>
        <v>6278</v>
      </c>
      <c r="U6279" s="4" t="s">
        <v>194</v>
      </c>
    </row>
    <row r="6280" spans="19:21" x14ac:dyDescent="0.25">
      <c r="S6280" s="6" t="s">
        <v>302</v>
      </c>
      <c r="T6280" s="6">
        <f t="shared" si="115"/>
        <v>6279</v>
      </c>
      <c r="U6280" s="4" t="s">
        <v>194</v>
      </c>
    </row>
    <row r="6281" spans="19:21" x14ac:dyDescent="0.25">
      <c r="S6281" s="6" t="s">
        <v>302</v>
      </c>
      <c r="T6281" s="6">
        <f t="shared" si="115"/>
        <v>6280</v>
      </c>
      <c r="U6281" s="4" t="s">
        <v>194</v>
      </c>
    </row>
    <row r="6282" spans="19:21" x14ac:dyDescent="0.25">
      <c r="S6282" s="6" t="s">
        <v>302</v>
      </c>
      <c r="T6282" s="6">
        <f t="shared" si="115"/>
        <v>6281</v>
      </c>
      <c r="U6282" s="4" t="s">
        <v>194</v>
      </c>
    </row>
    <row r="6283" spans="19:21" x14ac:dyDescent="0.25">
      <c r="S6283" s="6" t="s">
        <v>302</v>
      </c>
      <c r="T6283" s="6">
        <f t="shared" si="115"/>
        <v>6282</v>
      </c>
      <c r="U6283" s="4" t="s">
        <v>194</v>
      </c>
    </row>
    <row r="6284" spans="19:21" x14ac:dyDescent="0.25">
      <c r="S6284" s="6" t="s">
        <v>302</v>
      </c>
      <c r="T6284" s="6">
        <f t="shared" si="115"/>
        <v>6283</v>
      </c>
      <c r="U6284" s="4" t="s">
        <v>194</v>
      </c>
    </row>
    <row r="6285" spans="19:21" x14ac:dyDescent="0.25">
      <c r="S6285" s="6" t="s">
        <v>302</v>
      </c>
      <c r="T6285" s="6">
        <f t="shared" si="115"/>
        <v>6284</v>
      </c>
      <c r="U6285" s="4" t="s">
        <v>194</v>
      </c>
    </row>
    <row r="6286" spans="19:21" x14ac:dyDescent="0.25">
      <c r="S6286" s="6" t="s">
        <v>302</v>
      </c>
      <c r="T6286" s="6">
        <f t="shared" si="115"/>
        <v>6285</v>
      </c>
      <c r="U6286" s="4" t="s">
        <v>194</v>
      </c>
    </row>
    <row r="6287" spans="19:21" x14ac:dyDescent="0.25">
      <c r="S6287" s="6" t="s">
        <v>302</v>
      </c>
      <c r="T6287" s="6">
        <f t="shared" si="115"/>
        <v>6286</v>
      </c>
      <c r="U6287" s="4" t="s">
        <v>194</v>
      </c>
    </row>
    <row r="6288" spans="19:21" x14ac:dyDescent="0.25">
      <c r="S6288" s="6" t="s">
        <v>302</v>
      </c>
      <c r="T6288" s="6">
        <f t="shared" si="115"/>
        <v>6287</v>
      </c>
      <c r="U6288" s="4" t="s">
        <v>194</v>
      </c>
    </row>
    <row r="6289" spans="19:21" x14ac:dyDescent="0.25">
      <c r="S6289" s="6" t="s">
        <v>302</v>
      </c>
      <c r="T6289" s="6">
        <f t="shared" si="115"/>
        <v>6288</v>
      </c>
      <c r="U6289" s="4" t="s">
        <v>194</v>
      </c>
    </row>
    <row r="6290" spans="19:21" x14ac:dyDescent="0.25">
      <c r="S6290" s="6" t="s">
        <v>302</v>
      </c>
      <c r="T6290" s="6">
        <f t="shared" si="115"/>
        <v>6289</v>
      </c>
      <c r="U6290" s="4" t="s">
        <v>194</v>
      </c>
    </row>
    <row r="6291" spans="19:21" x14ac:dyDescent="0.25">
      <c r="S6291" s="6" t="s">
        <v>302</v>
      </c>
      <c r="T6291" s="6">
        <f t="shared" si="115"/>
        <v>6290</v>
      </c>
      <c r="U6291" s="4" t="s">
        <v>194</v>
      </c>
    </row>
    <row r="6292" spans="19:21" x14ac:dyDescent="0.25">
      <c r="S6292" s="6" t="s">
        <v>302</v>
      </c>
      <c r="T6292" s="6">
        <f t="shared" si="115"/>
        <v>6291</v>
      </c>
      <c r="U6292" s="4" t="s">
        <v>194</v>
      </c>
    </row>
    <row r="6293" spans="19:21" x14ac:dyDescent="0.25">
      <c r="S6293" s="6" t="s">
        <v>302</v>
      </c>
      <c r="T6293" s="6">
        <f t="shared" si="115"/>
        <v>6292</v>
      </c>
      <c r="U6293" s="4" t="s">
        <v>194</v>
      </c>
    </row>
    <row r="6294" spans="19:21" x14ac:dyDescent="0.25">
      <c r="S6294" s="6" t="s">
        <v>302</v>
      </c>
      <c r="T6294" s="6">
        <f t="shared" si="115"/>
        <v>6293</v>
      </c>
      <c r="U6294" s="4" t="s">
        <v>194</v>
      </c>
    </row>
    <row r="6295" spans="19:21" x14ac:dyDescent="0.25">
      <c r="S6295" s="6" t="s">
        <v>302</v>
      </c>
      <c r="T6295" s="6">
        <f t="shared" si="115"/>
        <v>6294</v>
      </c>
      <c r="U6295" s="4" t="s">
        <v>194</v>
      </c>
    </row>
    <row r="6296" spans="19:21" x14ac:dyDescent="0.25">
      <c r="S6296" s="6" t="s">
        <v>302</v>
      </c>
      <c r="T6296" s="6">
        <f t="shared" si="115"/>
        <v>6295</v>
      </c>
      <c r="U6296" s="4" t="s">
        <v>194</v>
      </c>
    </row>
    <row r="6297" spans="19:21" x14ac:dyDescent="0.25">
      <c r="S6297" s="6" t="s">
        <v>302</v>
      </c>
      <c r="T6297" s="6">
        <f t="shared" si="115"/>
        <v>6296</v>
      </c>
      <c r="U6297" s="4" t="s">
        <v>194</v>
      </c>
    </row>
    <row r="6298" spans="19:21" x14ac:dyDescent="0.25">
      <c r="S6298" s="6" t="s">
        <v>302</v>
      </c>
      <c r="T6298" s="6">
        <f t="shared" si="115"/>
        <v>6297</v>
      </c>
      <c r="U6298" s="4" t="s">
        <v>194</v>
      </c>
    </row>
    <row r="6299" spans="19:21" x14ac:dyDescent="0.25">
      <c r="S6299" s="6" t="s">
        <v>302</v>
      </c>
      <c r="T6299" s="6">
        <f t="shared" si="115"/>
        <v>6298</v>
      </c>
      <c r="U6299" s="4" t="s">
        <v>194</v>
      </c>
    </row>
    <row r="6300" spans="19:21" x14ac:dyDescent="0.25">
      <c r="S6300" s="6" t="s">
        <v>302</v>
      </c>
      <c r="T6300" s="6">
        <f t="shared" si="115"/>
        <v>6299</v>
      </c>
      <c r="U6300" s="4" t="s">
        <v>194</v>
      </c>
    </row>
    <row r="6301" spans="19:21" x14ac:dyDescent="0.25">
      <c r="S6301" s="6" t="s">
        <v>302</v>
      </c>
      <c r="T6301" s="6">
        <f t="shared" si="115"/>
        <v>6300</v>
      </c>
      <c r="U6301" s="4" t="s">
        <v>194</v>
      </c>
    </row>
    <row r="6302" spans="19:21" x14ac:dyDescent="0.25">
      <c r="S6302" s="6" t="s">
        <v>302</v>
      </c>
      <c r="T6302" s="6">
        <f t="shared" ref="T6302:T6365" si="116">T6301+1</f>
        <v>6301</v>
      </c>
      <c r="U6302" s="4" t="s">
        <v>194</v>
      </c>
    </row>
    <row r="6303" spans="19:21" x14ac:dyDescent="0.25">
      <c r="S6303" s="6" t="s">
        <v>302</v>
      </c>
      <c r="T6303" s="6">
        <f t="shared" si="116"/>
        <v>6302</v>
      </c>
      <c r="U6303" s="4" t="s">
        <v>194</v>
      </c>
    </row>
    <row r="6304" spans="19:21" x14ac:dyDescent="0.25">
      <c r="S6304" s="6" t="s">
        <v>302</v>
      </c>
      <c r="T6304" s="6">
        <f t="shared" si="116"/>
        <v>6303</v>
      </c>
      <c r="U6304" s="4" t="s">
        <v>194</v>
      </c>
    </row>
    <row r="6305" spans="19:21" x14ac:dyDescent="0.25">
      <c r="S6305" s="6" t="s">
        <v>302</v>
      </c>
      <c r="T6305" s="6">
        <f t="shared" si="116"/>
        <v>6304</v>
      </c>
      <c r="U6305" s="4" t="s">
        <v>194</v>
      </c>
    </row>
    <row r="6306" spans="19:21" x14ac:dyDescent="0.25">
      <c r="S6306" s="6" t="s">
        <v>302</v>
      </c>
      <c r="T6306" s="6">
        <f t="shared" si="116"/>
        <v>6305</v>
      </c>
      <c r="U6306" s="4" t="s">
        <v>194</v>
      </c>
    </row>
    <row r="6307" spans="19:21" x14ac:dyDescent="0.25">
      <c r="S6307" s="6" t="s">
        <v>302</v>
      </c>
      <c r="T6307" s="6">
        <f t="shared" si="116"/>
        <v>6306</v>
      </c>
      <c r="U6307" s="4" t="s">
        <v>194</v>
      </c>
    </row>
    <row r="6308" spans="19:21" x14ac:dyDescent="0.25">
      <c r="S6308" s="6" t="s">
        <v>302</v>
      </c>
      <c r="T6308" s="6">
        <f t="shared" si="116"/>
        <v>6307</v>
      </c>
      <c r="U6308" s="4" t="s">
        <v>194</v>
      </c>
    </row>
    <row r="6309" spans="19:21" x14ac:dyDescent="0.25">
      <c r="S6309" s="6" t="s">
        <v>302</v>
      </c>
      <c r="T6309" s="6">
        <f t="shared" si="116"/>
        <v>6308</v>
      </c>
      <c r="U6309" s="4" t="s">
        <v>194</v>
      </c>
    </row>
    <row r="6310" spans="19:21" x14ac:dyDescent="0.25">
      <c r="S6310" s="6" t="s">
        <v>302</v>
      </c>
      <c r="T6310" s="6">
        <f t="shared" si="116"/>
        <v>6309</v>
      </c>
      <c r="U6310" s="4" t="s">
        <v>194</v>
      </c>
    </row>
    <row r="6311" spans="19:21" x14ac:dyDescent="0.25">
      <c r="S6311" s="6" t="s">
        <v>302</v>
      </c>
      <c r="T6311" s="6">
        <f t="shared" si="116"/>
        <v>6310</v>
      </c>
      <c r="U6311" s="4" t="s">
        <v>194</v>
      </c>
    </row>
    <row r="6312" spans="19:21" x14ac:dyDescent="0.25">
      <c r="S6312" s="6" t="s">
        <v>302</v>
      </c>
      <c r="T6312" s="6">
        <f t="shared" si="116"/>
        <v>6311</v>
      </c>
      <c r="U6312" s="4" t="s">
        <v>194</v>
      </c>
    </row>
    <row r="6313" spans="19:21" x14ac:dyDescent="0.25">
      <c r="S6313" s="6" t="s">
        <v>302</v>
      </c>
      <c r="T6313" s="6">
        <f t="shared" si="116"/>
        <v>6312</v>
      </c>
      <c r="U6313" s="4" t="s">
        <v>194</v>
      </c>
    </row>
    <row r="6314" spans="19:21" x14ac:dyDescent="0.25">
      <c r="S6314" s="6" t="s">
        <v>302</v>
      </c>
      <c r="T6314" s="6">
        <f t="shared" si="116"/>
        <v>6313</v>
      </c>
      <c r="U6314" s="4" t="s">
        <v>194</v>
      </c>
    </row>
    <row r="6315" spans="19:21" x14ac:dyDescent="0.25">
      <c r="S6315" s="6" t="s">
        <v>302</v>
      </c>
      <c r="T6315" s="6">
        <f t="shared" si="116"/>
        <v>6314</v>
      </c>
      <c r="U6315" s="4" t="s">
        <v>194</v>
      </c>
    </row>
    <row r="6316" spans="19:21" x14ac:dyDescent="0.25">
      <c r="S6316" s="6" t="s">
        <v>302</v>
      </c>
      <c r="T6316" s="6">
        <f t="shared" si="116"/>
        <v>6315</v>
      </c>
      <c r="U6316" s="4" t="s">
        <v>194</v>
      </c>
    </row>
    <row r="6317" spans="19:21" x14ac:dyDescent="0.25">
      <c r="S6317" s="6" t="s">
        <v>302</v>
      </c>
      <c r="T6317" s="6">
        <f t="shared" si="116"/>
        <v>6316</v>
      </c>
      <c r="U6317" s="4" t="s">
        <v>194</v>
      </c>
    </row>
    <row r="6318" spans="19:21" x14ac:dyDescent="0.25">
      <c r="S6318" s="6" t="s">
        <v>302</v>
      </c>
      <c r="T6318" s="6">
        <f t="shared" si="116"/>
        <v>6317</v>
      </c>
      <c r="U6318" s="4" t="s">
        <v>194</v>
      </c>
    </row>
    <row r="6319" spans="19:21" x14ac:dyDescent="0.25">
      <c r="S6319" s="6" t="s">
        <v>302</v>
      </c>
      <c r="T6319" s="6">
        <f t="shared" si="116"/>
        <v>6318</v>
      </c>
      <c r="U6319" s="4" t="s">
        <v>194</v>
      </c>
    </row>
    <row r="6320" spans="19:21" x14ac:dyDescent="0.25">
      <c r="S6320" s="6" t="s">
        <v>302</v>
      </c>
      <c r="T6320" s="6">
        <f t="shared" si="116"/>
        <v>6319</v>
      </c>
      <c r="U6320" s="4" t="s">
        <v>194</v>
      </c>
    </row>
    <row r="6321" spans="19:21" x14ac:dyDescent="0.25">
      <c r="S6321" s="6" t="s">
        <v>302</v>
      </c>
      <c r="T6321" s="6">
        <f t="shared" si="116"/>
        <v>6320</v>
      </c>
      <c r="U6321" s="4" t="s">
        <v>194</v>
      </c>
    </row>
    <row r="6322" spans="19:21" x14ac:dyDescent="0.25">
      <c r="S6322" s="6" t="s">
        <v>302</v>
      </c>
      <c r="T6322" s="6">
        <f t="shared" si="116"/>
        <v>6321</v>
      </c>
      <c r="U6322" s="4" t="s">
        <v>194</v>
      </c>
    </row>
    <row r="6323" spans="19:21" x14ac:dyDescent="0.25">
      <c r="S6323" s="6" t="s">
        <v>302</v>
      </c>
      <c r="T6323" s="6">
        <f t="shared" si="116"/>
        <v>6322</v>
      </c>
      <c r="U6323" s="4" t="s">
        <v>194</v>
      </c>
    </row>
    <row r="6324" spans="19:21" x14ac:dyDescent="0.25">
      <c r="S6324" s="6" t="s">
        <v>302</v>
      </c>
      <c r="T6324" s="6">
        <f t="shared" si="116"/>
        <v>6323</v>
      </c>
      <c r="U6324" s="4" t="s">
        <v>194</v>
      </c>
    </row>
    <row r="6325" spans="19:21" x14ac:dyDescent="0.25">
      <c r="S6325" s="6" t="s">
        <v>302</v>
      </c>
      <c r="T6325" s="6">
        <f t="shared" si="116"/>
        <v>6324</v>
      </c>
      <c r="U6325" s="4" t="s">
        <v>194</v>
      </c>
    </row>
    <row r="6326" spans="19:21" x14ac:dyDescent="0.25">
      <c r="S6326" s="6" t="s">
        <v>302</v>
      </c>
      <c r="T6326" s="6">
        <f t="shared" si="116"/>
        <v>6325</v>
      </c>
      <c r="U6326" s="4" t="s">
        <v>194</v>
      </c>
    </row>
    <row r="6327" spans="19:21" x14ac:dyDescent="0.25">
      <c r="S6327" s="6" t="s">
        <v>302</v>
      </c>
      <c r="T6327" s="6">
        <f t="shared" si="116"/>
        <v>6326</v>
      </c>
      <c r="U6327" s="4" t="s">
        <v>194</v>
      </c>
    </row>
    <row r="6328" spans="19:21" x14ac:dyDescent="0.25">
      <c r="S6328" s="6" t="s">
        <v>302</v>
      </c>
      <c r="T6328" s="6">
        <f t="shared" si="116"/>
        <v>6327</v>
      </c>
      <c r="U6328" s="4" t="s">
        <v>194</v>
      </c>
    </row>
    <row r="6329" spans="19:21" x14ac:dyDescent="0.25">
      <c r="S6329" s="6" t="s">
        <v>302</v>
      </c>
      <c r="T6329" s="6">
        <f t="shared" si="116"/>
        <v>6328</v>
      </c>
      <c r="U6329" s="4" t="s">
        <v>194</v>
      </c>
    </row>
    <row r="6330" spans="19:21" x14ac:dyDescent="0.25">
      <c r="S6330" s="6" t="s">
        <v>302</v>
      </c>
      <c r="T6330" s="6">
        <f t="shared" si="116"/>
        <v>6329</v>
      </c>
      <c r="U6330" s="4" t="s">
        <v>194</v>
      </c>
    </row>
    <row r="6331" spans="19:21" x14ac:dyDescent="0.25">
      <c r="S6331" s="6" t="s">
        <v>302</v>
      </c>
      <c r="T6331" s="6">
        <f t="shared" si="116"/>
        <v>6330</v>
      </c>
      <c r="U6331" s="4" t="s">
        <v>194</v>
      </c>
    </row>
    <row r="6332" spans="19:21" x14ac:dyDescent="0.25">
      <c r="S6332" s="6" t="s">
        <v>302</v>
      </c>
      <c r="T6332" s="6">
        <f t="shared" si="116"/>
        <v>6331</v>
      </c>
      <c r="U6332" s="4" t="s">
        <v>194</v>
      </c>
    </row>
    <row r="6333" spans="19:21" x14ac:dyDescent="0.25">
      <c r="S6333" s="6" t="s">
        <v>302</v>
      </c>
      <c r="T6333" s="6">
        <f t="shared" si="116"/>
        <v>6332</v>
      </c>
      <c r="U6333" s="4" t="s">
        <v>194</v>
      </c>
    </row>
    <row r="6334" spans="19:21" x14ac:dyDescent="0.25">
      <c r="S6334" s="6" t="s">
        <v>302</v>
      </c>
      <c r="T6334" s="6">
        <f t="shared" si="116"/>
        <v>6333</v>
      </c>
      <c r="U6334" s="4" t="s">
        <v>194</v>
      </c>
    </row>
    <row r="6335" spans="19:21" x14ac:dyDescent="0.25">
      <c r="S6335" s="6" t="s">
        <v>302</v>
      </c>
      <c r="T6335" s="6">
        <f t="shared" si="116"/>
        <v>6334</v>
      </c>
      <c r="U6335" s="4" t="s">
        <v>194</v>
      </c>
    </row>
    <row r="6336" spans="19:21" x14ac:dyDescent="0.25">
      <c r="S6336" s="6" t="s">
        <v>302</v>
      </c>
      <c r="T6336" s="6">
        <f t="shared" si="116"/>
        <v>6335</v>
      </c>
      <c r="U6336" s="4" t="s">
        <v>194</v>
      </c>
    </row>
    <row r="6337" spans="19:21" x14ac:dyDescent="0.25">
      <c r="S6337" s="6" t="s">
        <v>302</v>
      </c>
      <c r="T6337" s="6">
        <f t="shared" si="116"/>
        <v>6336</v>
      </c>
      <c r="U6337" s="4" t="s">
        <v>194</v>
      </c>
    </row>
    <row r="6338" spans="19:21" x14ac:dyDescent="0.25">
      <c r="S6338" s="6" t="s">
        <v>302</v>
      </c>
      <c r="T6338" s="6">
        <f t="shared" si="116"/>
        <v>6337</v>
      </c>
      <c r="U6338" s="4" t="s">
        <v>194</v>
      </c>
    </row>
    <row r="6339" spans="19:21" x14ac:dyDescent="0.25">
      <c r="S6339" s="6" t="s">
        <v>302</v>
      </c>
      <c r="T6339" s="6">
        <f t="shared" si="116"/>
        <v>6338</v>
      </c>
      <c r="U6339" s="4" t="s">
        <v>194</v>
      </c>
    </row>
    <row r="6340" spans="19:21" x14ac:dyDescent="0.25">
      <c r="S6340" s="6" t="s">
        <v>302</v>
      </c>
      <c r="T6340" s="6">
        <f t="shared" si="116"/>
        <v>6339</v>
      </c>
      <c r="U6340" s="4" t="s">
        <v>194</v>
      </c>
    </row>
    <row r="6341" spans="19:21" x14ac:dyDescent="0.25">
      <c r="S6341" s="6" t="s">
        <v>302</v>
      </c>
      <c r="T6341" s="6">
        <f t="shared" si="116"/>
        <v>6340</v>
      </c>
      <c r="U6341" s="4" t="s">
        <v>194</v>
      </c>
    </row>
    <row r="6342" spans="19:21" x14ac:dyDescent="0.25">
      <c r="S6342" s="6" t="s">
        <v>302</v>
      </c>
      <c r="T6342" s="6">
        <f t="shared" si="116"/>
        <v>6341</v>
      </c>
      <c r="U6342" s="4" t="s">
        <v>194</v>
      </c>
    </row>
    <row r="6343" spans="19:21" x14ac:dyDescent="0.25">
      <c r="S6343" s="6" t="s">
        <v>302</v>
      </c>
      <c r="T6343" s="6">
        <f t="shared" si="116"/>
        <v>6342</v>
      </c>
      <c r="U6343" s="4" t="s">
        <v>194</v>
      </c>
    </row>
    <row r="6344" spans="19:21" x14ac:dyDescent="0.25">
      <c r="S6344" s="6" t="s">
        <v>302</v>
      </c>
      <c r="T6344" s="6">
        <f t="shared" si="116"/>
        <v>6343</v>
      </c>
      <c r="U6344" s="4" t="s">
        <v>194</v>
      </c>
    </row>
    <row r="6345" spans="19:21" x14ac:dyDescent="0.25">
      <c r="S6345" s="6" t="s">
        <v>302</v>
      </c>
      <c r="T6345" s="6">
        <f t="shared" si="116"/>
        <v>6344</v>
      </c>
      <c r="U6345" s="4" t="s">
        <v>194</v>
      </c>
    </row>
    <row r="6346" spans="19:21" x14ac:dyDescent="0.25">
      <c r="S6346" s="6" t="s">
        <v>302</v>
      </c>
      <c r="T6346" s="6">
        <f t="shared" si="116"/>
        <v>6345</v>
      </c>
      <c r="U6346" s="4" t="s">
        <v>194</v>
      </c>
    </row>
    <row r="6347" spans="19:21" x14ac:dyDescent="0.25">
      <c r="S6347" s="6" t="s">
        <v>302</v>
      </c>
      <c r="T6347" s="6">
        <f t="shared" si="116"/>
        <v>6346</v>
      </c>
      <c r="U6347" s="4" t="s">
        <v>194</v>
      </c>
    </row>
    <row r="6348" spans="19:21" x14ac:dyDescent="0.25">
      <c r="S6348" s="6" t="s">
        <v>302</v>
      </c>
      <c r="T6348" s="6">
        <f t="shared" si="116"/>
        <v>6347</v>
      </c>
      <c r="U6348" s="4" t="s">
        <v>194</v>
      </c>
    </row>
    <row r="6349" spans="19:21" x14ac:dyDescent="0.25">
      <c r="S6349" s="6" t="s">
        <v>302</v>
      </c>
      <c r="T6349" s="6">
        <f t="shared" si="116"/>
        <v>6348</v>
      </c>
      <c r="U6349" s="4" t="s">
        <v>194</v>
      </c>
    </row>
    <row r="6350" spans="19:21" x14ac:dyDescent="0.25">
      <c r="S6350" s="6" t="s">
        <v>302</v>
      </c>
      <c r="T6350" s="6">
        <f t="shared" si="116"/>
        <v>6349</v>
      </c>
      <c r="U6350" s="4" t="s">
        <v>194</v>
      </c>
    </row>
    <row r="6351" spans="19:21" x14ac:dyDescent="0.25">
      <c r="S6351" s="6" t="s">
        <v>302</v>
      </c>
      <c r="T6351" s="6">
        <f t="shared" si="116"/>
        <v>6350</v>
      </c>
      <c r="U6351" s="4" t="s">
        <v>194</v>
      </c>
    </row>
    <row r="6352" spans="19:21" x14ac:dyDescent="0.25">
      <c r="S6352" s="6" t="s">
        <v>302</v>
      </c>
      <c r="T6352" s="6">
        <f t="shared" si="116"/>
        <v>6351</v>
      </c>
      <c r="U6352" s="4" t="s">
        <v>194</v>
      </c>
    </row>
    <row r="6353" spans="19:21" x14ac:dyDescent="0.25">
      <c r="S6353" s="6" t="s">
        <v>302</v>
      </c>
      <c r="T6353" s="6">
        <f t="shared" si="116"/>
        <v>6352</v>
      </c>
      <c r="U6353" s="4" t="s">
        <v>194</v>
      </c>
    </row>
    <row r="6354" spans="19:21" x14ac:dyDescent="0.25">
      <c r="S6354" s="6" t="s">
        <v>302</v>
      </c>
      <c r="T6354" s="6">
        <f t="shared" si="116"/>
        <v>6353</v>
      </c>
      <c r="U6354" s="4" t="s">
        <v>194</v>
      </c>
    </row>
    <row r="6355" spans="19:21" x14ac:dyDescent="0.25">
      <c r="S6355" s="6" t="s">
        <v>302</v>
      </c>
      <c r="T6355" s="6">
        <f t="shared" si="116"/>
        <v>6354</v>
      </c>
      <c r="U6355" s="4" t="s">
        <v>194</v>
      </c>
    </row>
    <row r="6356" spans="19:21" x14ac:dyDescent="0.25">
      <c r="S6356" s="6" t="s">
        <v>302</v>
      </c>
      <c r="T6356" s="6">
        <f t="shared" si="116"/>
        <v>6355</v>
      </c>
      <c r="U6356" s="4" t="s">
        <v>194</v>
      </c>
    </row>
    <row r="6357" spans="19:21" x14ac:dyDescent="0.25">
      <c r="S6357" s="6" t="s">
        <v>302</v>
      </c>
      <c r="T6357" s="6">
        <f t="shared" si="116"/>
        <v>6356</v>
      </c>
      <c r="U6357" s="4" t="s">
        <v>194</v>
      </c>
    </row>
    <row r="6358" spans="19:21" x14ac:dyDescent="0.25">
      <c r="S6358" s="6" t="s">
        <v>302</v>
      </c>
      <c r="T6358" s="6">
        <f t="shared" si="116"/>
        <v>6357</v>
      </c>
      <c r="U6358" s="4" t="s">
        <v>194</v>
      </c>
    </row>
    <row r="6359" spans="19:21" x14ac:dyDescent="0.25">
      <c r="S6359" s="6" t="s">
        <v>302</v>
      </c>
      <c r="T6359" s="6">
        <f t="shared" si="116"/>
        <v>6358</v>
      </c>
      <c r="U6359" s="4" t="s">
        <v>194</v>
      </c>
    </row>
    <row r="6360" spans="19:21" x14ac:dyDescent="0.25">
      <c r="S6360" s="6" t="s">
        <v>302</v>
      </c>
      <c r="T6360" s="6">
        <f t="shared" si="116"/>
        <v>6359</v>
      </c>
      <c r="U6360" s="4" t="s">
        <v>194</v>
      </c>
    </row>
    <row r="6361" spans="19:21" x14ac:dyDescent="0.25">
      <c r="S6361" s="6" t="s">
        <v>302</v>
      </c>
      <c r="T6361" s="6">
        <f t="shared" si="116"/>
        <v>6360</v>
      </c>
      <c r="U6361" s="4" t="s">
        <v>194</v>
      </c>
    </row>
    <row r="6362" spans="19:21" x14ac:dyDescent="0.25">
      <c r="S6362" s="6" t="s">
        <v>302</v>
      </c>
      <c r="T6362" s="6">
        <f t="shared" si="116"/>
        <v>6361</v>
      </c>
      <c r="U6362" s="4" t="s">
        <v>194</v>
      </c>
    </row>
    <row r="6363" spans="19:21" x14ac:dyDescent="0.25">
      <c r="S6363" s="6" t="s">
        <v>302</v>
      </c>
      <c r="T6363" s="6">
        <f t="shared" si="116"/>
        <v>6362</v>
      </c>
      <c r="U6363" s="4" t="s">
        <v>194</v>
      </c>
    </row>
    <row r="6364" spans="19:21" x14ac:dyDescent="0.25">
      <c r="S6364" s="6" t="s">
        <v>302</v>
      </c>
      <c r="T6364" s="6">
        <f t="shared" si="116"/>
        <v>6363</v>
      </c>
      <c r="U6364" s="4" t="s">
        <v>194</v>
      </c>
    </row>
    <row r="6365" spans="19:21" x14ac:dyDescent="0.25">
      <c r="S6365" s="6" t="s">
        <v>302</v>
      </c>
      <c r="T6365" s="6">
        <f t="shared" si="116"/>
        <v>6364</v>
      </c>
      <c r="U6365" s="4" t="s">
        <v>194</v>
      </c>
    </row>
    <row r="6366" spans="19:21" x14ac:dyDescent="0.25">
      <c r="S6366" s="6" t="s">
        <v>302</v>
      </c>
      <c r="T6366" s="6">
        <f t="shared" ref="T6366:T6429" si="117">T6365+1</f>
        <v>6365</v>
      </c>
      <c r="U6366" s="4" t="s">
        <v>194</v>
      </c>
    </row>
    <row r="6367" spans="19:21" x14ac:dyDescent="0.25">
      <c r="S6367" s="6" t="s">
        <v>302</v>
      </c>
      <c r="T6367" s="6">
        <f t="shared" si="117"/>
        <v>6366</v>
      </c>
      <c r="U6367" s="4" t="s">
        <v>194</v>
      </c>
    </row>
    <row r="6368" spans="19:21" x14ac:dyDescent="0.25">
      <c r="S6368" s="6" t="s">
        <v>302</v>
      </c>
      <c r="T6368" s="6">
        <f t="shared" si="117"/>
        <v>6367</v>
      </c>
      <c r="U6368" s="4" t="s">
        <v>194</v>
      </c>
    </row>
    <row r="6369" spans="19:21" x14ac:dyDescent="0.25">
      <c r="S6369" s="6" t="s">
        <v>302</v>
      </c>
      <c r="T6369" s="6">
        <f t="shared" si="117"/>
        <v>6368</v>
      </c>
      <c r="U6369" s="4" t="s">
        <v>194</v>
      </c>
    </row>
    <row r="6370" spans="19:21" x14ac:dyDescent="0.25">
      <c r="S6370" s="6" t="s">
        <v>302</v>
      </c>
      <c r="T6370" s="6">
        <f t="shared" si="117"/>
        <v>6369</v>
      </c>
      <c r="U6370" s="4" t="s">
        <v>194</v>
      </c>
    </row>
    <row r="6371" spans="19:21" x14ac:dyDescent="0.25">
      <c r="S6371" s="6" t="s">
        <v>302</v>
      </c>
      <c r="T6371" s="6">
        <f t="shared" si="117"/>
        <v>6370</v>
      </c>
      <c r="U6371" s="4" t="s">
        <v>194</v>
      </c>
    </row>
    <row r="6372" spans="19:21" x14ac:dyDescent="0.25">
      <c r="S6372" s="6" t="s">
        <v>302</v>
      </c>
      <c r="T6372" s="6">
        <f t="shared" si="117"/>
        <v>6371</v>
      </c>
      <c r="U6372" s="4" t="s">
        <v>194</v>
      </c>
    </row>
    <row r="6373" spans="19:21" x14ac:dyDescent="0.25">
      <c r="S6373" s="6" t="s">
        <v>302</v>
      </c>
      <c r="T6373" s="6">
        <f t="shared" si="117"/>
        <v>6372</v>
      </c>
      <c r="U6373" s="4" t="s">
        <v>194</v>
      </c>
    </row>
    <row r="6374" spans="19:21" x14ac:dyDescent="0.25">
      <c r="S6374" s="6" t="s">
        <v>302</v>
      </c>
      <c r="T6374" s="6">
        <f t="shared" si="117"/>
        <v>6373</v>
      </c>
      <c r="U6374" s="4" t="s">
        <v>194</v>
      </c>
    </row>
    <row r="6375" spans="19:21" x14ac:dyDescent="0.25">
      <c r="S6375" s="6" t="s">
        <v>302</v>
      </c>
      <c r="T6375" s="6">
        <f t="shared" si="117"/>
        <v>6374</v>
      </c>
      <c r="U6375" s="4" t="s">
        <v>194</v>
      </c>
    </row>
    <row r="6376" spans="19:21" x14ac:dyDescent="0.25">
      <c r="S6376" s="6" t="s">
        <v>302</v>
      </c>
      <c r="T6376" s="6">
        <f t="shared" si="117"/>
        <v>6375</v>
      </c>
      <c r="U6376" s="4" t="s">
        <v>194</v>
      </c>
    </row>
    <row r="6377" spans="19:21" x14ac:dyDescent="0.25">
      <c r="S6377" s="6" t="s">
        <v>302</v>
      </c>
      <c r="T6377" s="6">
        <f t="shared" si="117"/>
        <v>6376</v>
      </c>
      <c r="U6377" s="4" t="s">
        <v>194</v>
      </c>
    </row>
    <row r="6378" spans="19:21" x14ac:dyDescent="0.25">
      <c r="S6378" s="6" t="s">
        <v>302</v>
      </c>
      <c r="T6378" s="6">
        <f t="shared" si="117"/>
        <v>6377</v>
      </c>
      <c r="U6378" s="4" t="s">
        <v>194</v>
      </c>
    </row>
    <row r="6379" spans="19:21" x14ac:dyDescent="0.25">
      <c r="S6379" s="6" t="s">
        <v>302</v>
      </c>
      <c r="T6379" s="6">
        <f t="shared" si="117"/>
        <v>6378</v>
      </c>
      <c r="U6379" s="4" t="s">
        <v>194</v>
      </c>
    </row>
    <row r="6380" spans="19:21" x14ac:dyDescent="0.25">
      <c r="S6380" s="6" t="s">
        <v>302</v>
      </c>
      <c r="T6380" s="6">
        <f t="shared" si="117"/>
        <v>6379</v>
      </c>
      <c r="U6380" s="4" t="s">
        <v>194</v>
      </c>
    </row>
    <row r="6381" spans="19:21" x14ac:dyDescent="0.25">
      <c r="S6381" s="6" t="s">
        <v>302</v>
      </c>
      <c r="T6381" s="6">
        <f t="shared" si="117"/>
        <v>6380</v>
      </c>
      <c r="U6381" s="4" t="s">
        <v>194</v>
      </c>
    </row>
    <row r="6382" spans="19:21" x14ac:dyDescent="0.25">
      <c r="S6382" s="6" t="s">
        <v>302</v>
      </c>
      <c r="T6382" s="6">
        <f t="shared" si="117"/>
        <v>6381</v>
      </c>
      <c r="U6382" s="4" t="s">
        <v>194</v>
      </c>
    </row>
    <row r="6383" spans="19:21" x14ac:dyDescent="0.25">
      <c r="S6383" s="6" t="s">
        <v>302</v>
      </c>
      <c r="T6383" s="6">
        <f t="shared" si="117"/>
        <v>6382</v>
      </c>
      <c r="U6383" s="4" t="s">
        <v>194</v>
      </c>
    </row>
    <row r="6384" spans="19:21" x14ac:dyDescent="0.25">
      <c r="S6384" s="6" t="s">
        <v>302</v>
      </c>
      <c r="T6384" s="6">
        <f t="shared" si="117"/>
        <v>6383</v>
      </c>
      <c r="U6384" s="4" t="s">
        <v>194</v>
      </c>
    </row>
    <row r="6385" spans="19:21" x14ac:dyDescent="0.25">
      <c r="S6385" s="6" t="s">
        <v>302</v>
      </c>
      <c r="T6385" s="6">
        <f t="shared" si="117"/>
        <v>6384</v>
      </c>
      <c r="U6385" s="4" t="s">
        <v>194</v>
      </c>
    </row>
    <row r="6386" spans="19:21" x14ac:dyDescent="0.25">
      <c r="S6386" s="6" t="s">
        <v>302</v>
      </c>
      <c r="T6386" s="6">
        <f t="shared" si="117"/>
        <v>6385</v>
      </c>
      <c r="U6386" s="4" t="s">
        <v>194</v>
      </c>
    </row>
    <row r="6387" spans="19:21" x14ac:dyDescent="0.25">
      <c r="S6387" s="6" t="s">
        <v>302</v>
      </c>
      <c r="T6387" s="6">
        <f t="shared" si="117"/>
        <v>6386</v>
      </c>
      <c r="U6387" s="4" t="s">
        <v>194</v>
      </c>
    </row>
    <row r="6388" spans="19:21" x14ac:dyDescent="0.25">
      <c r="S6388" s="6" t="s">
        <v>302</v>
      </c>
      <c r="T6388" s="6">
        <f t="shared" si="117"/>
        <v>6387</v>
      </c>
      <c r="U6388" s="4" t="s">
        <v>194</v>
      </c>
    </row>
    <row r="6389" spans="19:21" x14ac:dyDescent="0.25">
      <c r="S6389" s="6" t="s">
        <v>302</v>
      </c>
      <c r="T6389" s="6">
        <f t="shared" si="117"/>
        <v>6388</v>
      </c>
      <c r="U6389" s="4" t="s">
        <v>194</v>
      </c>
    </row>
    <row r="6390" spans="19:21" x14ac:dyDescent="0.25">
      <c r="S6390" s="6" t="s">
        <v>302</v>
      </c>
      <c r="T6390" s="6">
        <f t="shared" si="117"/>
        <v>6389</v>
      </c>
      <c r="U6390" s="4" t="s">
        <v>194</v>
      </c>
    </row>
    <row r="6391" spans="19:21" x14ac:dyDescent="0.25">
      <c r="S6391" s="6" t="s">
        <v>302</v>
      </c>
      <c r="T6391" s="6">
        <f t="shared" si="117"/>
        <v>6390</v>
      </c>
      <c r="U6391" s="4" t="s">
        <v>194</v>
      </c>
    </row>
    <row r="6392" spans="19:21" x14ac:dyDescent="0.25">
      <c r="S6392" s="6" t="s">
        <v>302</v>
      </c>
      <c r="T6392" s="6">
        <f t="shared" si="117"/>
        <v>6391</v>
      </c>
      <c r="U6392" s="4" t="s">
        <v>194</v>
      </c>
    </row>
    <row r="6393" spans="19:21" x14ac:dyDescent="0.25">
      <c r="S6393" s="6" t="s">
        <v>302</v>
      </c>
      <c r="T6393" s="6">
        <f t="shared" si="117"/>
        <v>6392</v>
      </c>
      <c r="U6393" s="4" t="s">
        <v>194</v>
      </c>
    </row>
    <row r="6394" spans="19:21" x14ac:dyDescent="0.25">
      <c r="S6394" s="6" t="s">
        <v>302</v>
      </c>
      <c r="T6394" s="6">
        <f t="shared" si="117"/>
        <v>6393</v>
      </c>
      <c r="U6394" s="4" t="s">
        <v>194</v>
      </c>
    </row>
    <row r="6395" spans="19:21" x14ac:dyDescent="0.25">
      <c r="S6395" s="6" t="s">
        <v>302</v>
      </c>
      <c r="T6395" s="6">
        <f t="shared" si="117"/>
        <v>6394</v>
      </c>
      <c r="U6395" s="4" t="s">
        <v>194</v>
      </c>
    </row>
    <row r="6396" spans="19:21" x14ac:dyDescent="0.25">
      <c r="S6396" s="6" t="s">
        <v>302</v>
      </c>
      <c r="T6396" s="6">
        <f t="shared" si="117"/>
        <v>6395</v>
      </c>
      <c r="U6396" s="4" t="s">
        <v>194</v>
      </c>
    </row>
    <row r="6397" spans="19:21" x14ac:dyDescent="0.25">
      <c r="S6397" s="6" t="s">
        <v>302</v>
      </c>
      <c r="T6397" s="6">
        <f t="shared" si="117"/>
        <v>6396</v>
      </c>
      <c r="U6397" s="4" t="s">
        <v>194</v>
      </c>
    </row>
    <row r="6398" spans="19:21" x14ac:dyDescent="0.25">
      <c r="S6398" s="6" t="s">
        <v>302</v>
      </c>
      <c r="T6398" s="6">
        <f t="shared" si="117"/>
        <v>6397</v>
      </c>
      <c r="U6398" s="4" t="s">
        <v>194</v>
      </c>
    </row>
    <row r="6399" spans="19:21" x14ac:dyDescent="0.25">
      <c r="S6399" s="6" t="s">
        <v>302</v>
      </c>
      <c r="T6399" s="6">
        <f t="shared" si="117"/>
        <v>6398</v>
      </c>
      <c r="U6399" s="4" t="s">
        <v>194</v>
      </c>
    </row>
    <row r="6400" spans="19:21" x14ac:dyDescent="0.25">
      <c r="S6400" s="6" t="s">
        <v>302</v>
      </c>
      <c r="T6400" s="6">
        <f t="shared" si="117"/>
        <v>6399</v>
      </c>
      <c r="U6400" s="4" t="s">
        <v>194</v>
      </c>
    </row>
    <row r="6401" spans="19:21" x14ac:dyDescent="0.25">
      <c r="S6401" s="6" t="s">
        <v>302</v>
      </c>
      <c r="T6401" s="6">
        <f t="shared" si="117"/>
        <v>6400</v>
      </c>
      <c r="U6401" s="4" t="s">
        <v>194</v>
      </c>
    </row>
    <row r="6402" spans="19:21" x14ac:dyDescent="0.25">
      <c r="S6402" s="6" t="s">
        <v>302</v>
      </c>
      <c r="T6402" s="6">
        <f t="shared" si="117"/>
        <v>6401</v>
      </c>
      <c r="U6402" s="4" t="s">
        <v>194</v>
      </c>
    </row>
    <row r="6403" spans="19:21" x14ac:dyDescent="0.25">
      <c r="S6403" s="6" t="s">
        <v>302</v>
      </c>
      <c r="T6403" s="6">
        <f t="shared" si="117"/>
        <v>6402</v>
      </c>
      <c r="U6403" s="4" t="s">
        <v>194</v>
      </c>
    </row>
    <row r="6404" spans="19:21" x14ac:dyDescent="0.25">
      <c r="S6404" s="6" t="s">
        <v>302</v>
      </c>
      <c r="T6404" s="6">
        <f t="shared" si="117"/>
        <v>6403</v>
      </c>
      <c r="U6404" s="4" t="s">
        <v>194</v>
      </c>
    </row>
    <row r="6405" spans="19:21" x14ac:dyDescent="0.25">
      <c r="S6405" s="6" t="s">
        <v>302</v>
      </c>
      <c r="T6405" s="6">
        <f t="shared" si="117"/>
        <v>6404</v>
      </c>
      <c r="U6405" s="4" t="s">
        <v>194</v>
      </c>
    </row>
    <row r="6406" spans="19:21" x14ac:dyDescent="0.25">
      <c r="S6406" s="6" t="s">
        <v>302</v>
      </c>
      <c r="T6406" s="6">
        <f t="shared" si="117"/>
        <v>6405</v>
      </c>
      <c r="U6406" s="4" t="s">
        <v>194</v>
      </c>
    </row>
    <row r="6407" spans="19:21" x14ac:dyDescent="0.25">
      <c r="S6407" s="6" t="s">
        <v>302</v>
      </c>
      <c r="T6407" s="6">
        <f t="shared" si="117"/>
        <v>6406</v>
      </c>
      <c r="U6407" s="4" t="s">
        <v>194</v>
      </c>
    </row>
    <row r="6408" spans="19:21" x14ac:dyDescent="0.25">
      <c r="S6408" s="6" t="s">
        <v>302</v>
      </c>
      <c r="T6408" s="6">
        <f t="shared" si="117"/>
        <v>6407</v>
      </c>
      <c r="U6408" s="4" t="s">
        <v>194</v>
      </c>
    </row>
    <row r="6409" spans="19:21" x14ac:dyDescent="0.25">
      <c r="S6409" s="6" t="s">
        <v>302</v>
      </c>
      <c r="T6409" s="6">
        <f t="shared" si="117"/>
        <v>6408</v>
      </c>
      <c r="U6409" s="4" t="s">
        <v>194</v>
      </c>
    </row>
    <row r="6410" spans="19:21" x14ac:dyDescent="0.25">
      <c r="S6410" s="6" t="s">
        <v>302</v>
      </c>
      <c r="T6410" s="6">
        <f t="shared" si="117"/>
        <v>6409</v>
      </c>
      <c r="U6410" s="4" t="s">
        <v>194</v>
      </c>
    </row>
    <row r="6411" spans="19:21" x14ac:dyDescent="0.25">
      <c r="S6411" s="6" t="s">
        <v>302</v>
      </c>
      <c r="T6411" s="6">
        <f t="shared" si="117"/>
        <v>6410</v>
      </c>
      <c r="U6411" s="4" t="s">
        <v>194</v>
      </c>
    </row>
    <row r="6412" spans="19:21" x14ac:dyDescent="0.25">
      <c r="S6412" s="6" t="s">
        <v>302</v>
      </c>
      <c r="T6412" s="6">
        <f t="shared" si="117"/>
        <v>6411</v>
      </c>
      <c r="U6412" s="4" t="s">
        <v>194</v>
      </c>
    </row>
    <row r="6413" spans="19:21" x14ac:dyDescent="0.25">
      <c r="S6413" s="6" t="s">
        <v>302</v>
      </c>
      <c r="T6413" s="6">
        <f t="shared" si="117"/>
        <v>6412</v>
      </c>
      <c r="U6413" s="4" t="s">
        <v>194</v>
      </c>
    </row>
    <row r="6414" spans="19:21" x14ac:dyDescent="0.25">
      <c r="S6414" s="6" t="s">
        <v>302</v>
      </c>
      <c r="T6414" s="6">
        <f t="shared" si="117"/>
        <v>6413</v>
      </c>
      <c r="U6414" s="4" t="s">
        <v>194</v>
      </c>
    </row>
    <row r="6415" spans="19:21" x14ac:dyDescent="0.25">
      <c r="S6415" s="6" t="s">
        <v>302</v>
      </c>
      <c r="T6415" s="6">
        <f t="shared" si="117"/>
        <v>6414</v>
      </c>
      <c r="U6415" s="4" t="s">
        <v>194</v>
      </c>
    </row>
    <row r="6416" spans="19:21" x14ac:dyDescent="0.25">
      <c r="S6416" s="6" t="s">
        <v>302</v>
      </c>
      <c r="T6416" s="6">
        <f t="shared" si="117"/>
        <v>6415</v>
      </c>
      <c r="U6416" s="4" t="s">
        <v>194</v>
      </c>
    </row>
    <row r="6417" spans="19:21" x14ac:dyDescent="0.25">
      <c r="S6417" s="6" t="s">
        <v>302</v>
      </c>
      <c r="T6417" s="6">
        <f t="shared" si="117"/>
        <v>6416</v>
      </c>
      <c r="U6417" s="4" t="s">
        <v>194</v>
      </c>
    </row>
    <row r="6418" spans="19:21" x14ac:dyDescent="0.25">
      <c r="S6418" s="6" t="s">
        <v>302</v>
      </c>
      <c r="T6418" s="6">
        <f t="shared" si="117"/>
        <v>6417</v>
      </c>
      <c r="U6418" s="4" t="s">
        <v>194</v>
      </c>
    </row>
    <row r="6419" spans="19:21" x14ac:dyDescent="0.25">
      <c r="S6419" s="6" t="s">
        <v>302</v>
      </c>
      <c r="T6419" s="6">
        <f t="shared" si="117"/>
        <v>6418</v>
      </c>
      <c r="U6419" s="4" t="s">
        <v>194</v>
      </c>
    </row>
    <row r="6420" spans="19:21" x14ac:dyDescent="0.25">
      <c r="S6420" s="6" t="s">
        <v>302</v>
      </c>
      <c r="T6420" s="6">
        <f t="shared" si="117"/>
        <v>6419</v>
      </c>
      <c r="U6420" s="4" t="s">
        <v>194</v>
      </c>
    </row>
    <row r="6421" spans="19:21" x14ac:dyDescent="0.25">
      <c r="S6421" s="6" t="s">
        <v>302</v>
      </c>
      <c r="T6421" s="6">
        <f t="shared" si="117"/>
        <v>6420</v>
      </c>
      <c r="U6421" s="4" t="s">
        <v>194</v>
      </c>
    </row>
    <row r="6422" spans="19:21" x14ac:dyDescent="0.25">
      <c r="S6422" s="6" t="s">
        <v>302</v>
      </c>
      <c r="T6422" s="6">
        <f t="shared" si="117"/>
        <v>6421</v>
      </c>
      <c r="U6422" s="4" t="s">
        <v>194</v>
      </c>
    </row>
    <row r="6423" spans="19:21" x14ac:dyDescent="0.25">
      <c r="S6423" s="6" t="s">
        <v>302</v>
      </c>
      <c r="T6423" s="6">
        <f t="shared" si="117"/>
        <v>6422</v>
      </c>
      <c r="U6423" s="4" t="s">
        <v>194</v>
      </c>
    </row>
    <row r="6424" spans="19:21" x14ac:dyDescent="0.25">
      <c r="S6424" s="6" t="s">
        <v>302</v>
      </c>
      <c r="T6424" s="6">
        <f t="shared" si="117"/>
        <v>6423</v>
      </c>
      <c r="U6424" s="4" t="s">
        <v>194</v>
      </c>
    </row>
    <row r="6425" spans="19:21" x14ac:dyDescent="0.25">
      <c r="S6425" s="6" t="s">
        <v>302</v>
      </c>
      <c r="T6425" s="6">
        <f t="shared" si="117"/>
        <v>6424</v>
      </c>
      <c r="U6425" s="4" t="s">
        <v>194</v>
      </c>
    </row>
    <row r="6426" spans="19:21" x14ac:dyDescent="0.25">
      <c r="S6426" s="6" t="s">
        <v>302</v>
      </c>
      <c r="T6426" s="6">
        <f t="shared" si="117"/>
        <v>6425</v>
      </c>
      <c r="U6426" s="4" t="s">
        <v>194</v>
      </c>
    </row>
    <row r="6427" spans="19:21" x14ac:dyDescent="0.25">
      <c r="S6427" s="6" t="s">
        <v>302</v>
      </c>
      <c r="T6427" s="6">
        <f t="shared" si="117"/>
        <v>6426</v>
      </c>
      <c r="U6427" s="4" t="s">
        <v>194</v>
      </c>
    </row>
    <row r="6428" spans="19:21" x14ac:dyDescent="0.25">
      <c r="S6428" s="6" t="s">
        <v>302</v>
      </c>
      <c r="T6428" s="6">
        <f t="shared" si="117"/>
        <v>6427</v>
      </c>
      <c r="U6428" s="4" t="s">
        <v>194</v>
      </c>
    </row>
    <row r="6429" spans="19:21" x14ac:dyDescent="0.25">
      <c r="S6429" s="6" t="s">
        <v>302</v>
      </c>
      <c r="T6429" s="6">
        <f t="shared" si="117"/>
        <v>6428</v>
      </c>
      <c r="U6429" s="4" t="s">
        <v>194</v>
      </c>
    </row>
    <row r="6430" spans="19:21" x14ac:dyDescent="0.25">
      <c r="S6430" s="6" t="s">
        <v>302</v>
      </c>
      <c r="T6430" s="6">
        <f t="shared" ref="T6430:T6493" si="118">T6429+1</f>
        <v>6429</v>
      </c>
      <c r="U6430" s="4" t="s">
        <v>194</v>
      </c>
    </row>
    <row r="6431" spans="19:21" x14ac:dyDescent="0.25">
      <c r="S6431" s="6" t="s">
        <v>302</v>
      </c>
      <c r="T6431" s="6">
        <f t="shared" si="118"/>
        <v>6430</v>
      </c>
      <c r="U6431" s="4" t="s">
        <v>194</v>
      </c>
    </row>
    <row r="6432" spans="19:21" x14ac:dyDescent="0.25">
      <c r="S6432" s="6" t="s">
        <v>302</v>
      </c>
      <c r="T6432" s="6">
        <f t="shared" si="118"/>
        <v>6431</v>
      </c>
      <c r="U6432" s="4" t="s">
        <v>194</v>
      </c>
    </row>
    <row r="6433" spans="19:21" x14ac:dyDescent="0.25">
      <c r="S6433" s="6" t="s">
        <v>302</v>
      </c>
      <c r="T6433" s="6">
        <f t="shared" si="118"/>
        <v>6432</v>
      </c>
      <c r="U6433" s="4" t="s">
        <v>194</v>
      </c>
    </row>
    <row r="6434" spans="19:21" x14ac:dyDescent="0.25">
      <c r="S6434" s="6" t="s">
        <v>302</v>
      </c>
      <c r="T6434" s="6">
        <f t="shared" si="118"/>
        <v>6433</v>
      </c>
      <c r="U6434" s="4" t="s">
        <v>194</v>
      </c>
    </row>
    <row r="6435" spans="19:21" x14ac:dyDescent="0.25">
      <c r="S6435" s="6" t="s">
        <v>302</v>
      </c>
      <c r="T6435" s="6">
        <f t="shared" si="118"/>
        <v>6434</v>
      </c>
      <c r="U6435" s="4" t="s">
        <v>194</v>
      </c>
    </row>
    <row r="6436" spans="19:21" x14ac:dyDescent="0.25">
      <c r="S6436" s="6" t="s">
        <v>302</v>
      </c>
      <c r="T6436" s="6">
        <f t="shared" si="118"/>
        <v>6435</v>
      </c>
      <c r="U6436" s="4" t="s">
        <v>194</v>
      </c>
    </row>
    <row r="6437" spans="19:21" x14ac:dyDescent="0.25">
      <c r="S6437" s="6" t="s">
        <v>302</v>
      </c>
      <c r="T6437" s="6">
        <f t="shared" si="118"/>
        <v>6436</v>
      </c>
      <c r="U6437" s="4" t="s">
        <v>194</v>
      </c>
    </row>
    <row r="6438" spans="19:21" x14ac:dyDescent="0.25">
      <c r="S6438" s="6" t="s">
        <v>302</v>
      </c>
      <c r="T6438" s="6">
        <f t="shared" si="118"/>
        <v>6437</v>
      </c>
      <c r="U6438" s="4" t="s">
        <v>194</v>
      </c>
    </row>
    <row r="6439" spans="19:21" x14ac:dyDescent="0.25">
      <c r="S6439" s="6" t="s">
        <v>302</v>
      </c>
      <c r="T6439" s="6">
        <f t="shared" si="118"/>
        <v>6438</v>
      </c>
      <c r="U6439" s="4" t="s">
        <v>194</v>
      </c>
    </row>
    <row r="6440" spans="19:21" x14ac:dyDescent="0.25">
      <c r="S6440" s="6" t="s">
        <v>302</v>
      </c>
      <c r="T6440" s="6">
        <f t="shared" si="118"/>
        <v>6439</v>
      </c>
      <c r="U6440" s="4" t="s">
        <v>194</v>
      </c>
    </row>
    <row r="6441" spans="19:21" x14ac:dyDescent="0.25">
      <c r="S6441" s="6" t="s">
        <v>302</v>
      </c>
      <c r="T6441" s="6">
        <f t="shared" si="118"/>
        <v>6440</v>
      </c>
      <c r="U6441" s="4" t="s">
        <v>194</v>
      </c>
    </row>
    <row r="6442" spans="19:21" x14ac:dyDescent="0.25">
      <c r="S6442" s="6" t="s">
        <v>302</v>
      </c>
      <c r="T6442" s="6">
        <f t="shared" si="118"/>
        <v>6441</v>
      </c>
      <c r="U6442" s="4" t="s">
        <v>194</v>
      </c>
    </row>
    <row r="6443" spans="19:21" x14ac:dyDescent="0.25">
      <c r="S6443" s="6" t="s">
        <v>302</v>
      </c>
      <c r="T6443" s="6">
        <f t="shared" si="118"/>
        <v>6442</v>
      </c>
      <c r="U6443" s="4" t="s">
        <v>194</v>
      </c>
    </row>
    <row r="6444" spans="19:21" x14ac:dyDescent="0.25">
      <c r="S6444" s="6" t="s">
        <v>302</v>
      </c>
      <c r="T6444" s="6">
        <f t="shared" si="118"/>
        <v>6443</v>
      </c>
      <c r="U6444" s="4" t="s">
        <v>194</v>
      </c>
    </row>
    <row r="6445" spans="19:21" x14ac:dyDescent="0.25">
      <c r="S6445" s="6" t="s">
        <v>302</v>
      </c>
      <c r="T6445" s="6">
        <f t="shared" si="118"/>
        <v>6444</v>
      </c>
      <c r="U6445" s="4" t="s">
        <v>194</v>
      </c>
    </row>
    <row r="6446" spans="19:21" x14ac:dyDescent="0.25">
      <c r="S6446" s="6" t="s">
        <v>302</v>
      </c>
      <c r="T6446" s="6">
        <f t="shared" si="118"/>
        <v>6445</v>
      </c>
      <c r="U6446" s="4" t="s">
        <v>194</v>
      </c>
    </row>
    <row r="6447" spans="19:21" x14ac:dyDescent="0.25">
      <c r="S6447" s="6" t="s">
        <v>302</v>
      </c>
      <c r="T6447" s="6">
        <f t="shared" si="118"/>
        <v>6446</v>
      </c>
      <c r="U6447" s="4" t="s">
        <v>194</v>
      </c>
    </row>
    <row r="6448" spans="19:21" x14ac:dyDescent="0.25">
      <c r="S6448" s="6" t="s">
        <v>302</v>
      </c>
      <c r="T6448" s="6">
        <f t="shared" si="118"/>
        <v>6447</v>
      </c>
      <c r="U6448" s="4" t="s">
        <v>194</v>
      </c>
    </row>
    <row r="6449" spans="19:21" x14ac:dyDescent="0.25">
      <c r="S6449" s="6" t="s">
        <v>302</v>
      </c>
      <c r="T6449" s="6">
        <f t="shared" si="118"/>
        <v>6448</v>
      </c>
      <c r="U6449" s="4" t="s">
        <v>194</v>
      </c>
    </row>
    <row r="6450" spans="19:21" x14ac:dyDescent="0.25">
      <c r="S6450" s="6" t="s">
        <v>302</v>
      </c>
      <c r="T6450" s="6">
        <f t="shared" si="118"/>
        <v>6449</v>
      </c>
      <c r="U6450" s="4" t="s">
        <v>194</v>
      </c>
    </row>
    <row r="6451" spans="19:21" x14ac:dyDescent="0.25">
      <c r="S6451" s="6" t="s">
        <v>302</v>
      </c>
      <c r="T6451" s="6">
        <f t="shared" si="118"/>
        <v>6450</v>
      </c>
      <c r="U6451" s="4" t="s">
        <v>194</v>
      </c>
    </row>
    <row r="6452" spans="19:21" x14ac:dyDescent="0.25">
      <c r="S6452" s="6" t="s">
        <v>302</v>
      </c>
      <c r="T6452" s="6">
        <f t="shared" si="118"/>
        <v>6451</v>
      </c>
      <c r="U6452" s="4" t="s">
        <v>194</v>
      </c>
    </row>
    <row r="6453" spans="19:21" x14ac:dyDescent="0.25">
      <c r="S6453" s="6" t="s">
        <v>302</v>
      </c>
      <c r="T6453" s="6">
        <f t="shared" si="118"/>
        <v>6452</v>
      </c>
      <c r="U6453" s="4" t="s">
        <v>194</v>
      </c>
    </row>
    <row r="6454" spans="19:21" x14ac:dyDescent="0.25">
      <c r="S6454" s="6" t="s">
        <v>302</v>
      </c>
      <c r="T6454" s="6">
        <f t="shared" si="118"/>
        <v>6453</v>
      </c>
      <c r="U6454" s="4" t="s">
        <v>194</v>
      </c>
    </row>
    <row r="6455" spans="19:21" x14ac:dyDescent="0.25">
      <c r="S6455" s="6" t="s">
        <v>302</v>
      </c>
      <c r="T6455" s="6">
        <f t="shared" si="118"/>
        <v>6454</v>
      </c>
      <c r="U6455" s="4" t="s">
        <v>194</v>
      </c>
    </row>
    <row r="6456" spans="19:21" x14ac:dyDescent="0.25">
      <c r="S6456" s="6" t="s">
        <v>302</v>
      </c>
      <c r="T6456" s="6">
        <f t="shared" si="118"/>
        <v>6455</v>
      </c>
      <c r="U6456" s="4" t="s">
        <v>194</v>
      </c>
    </row>
    <row r="6457" spans="19:21" x14ac:dyDescent="0.25">
      <c r="S6457" s="6" t="s">
        <v>302</v>
      </c>
      <c r="T6457" s="6">
        <f t="shared" si="118"/>
        <v>6456</v>
      </c>
      <c r="U6457" s="4" t="s">
        <v>194</v>
      </c>
    </row>
    <row r="6458" spans="19:21" x14ac:dyDescent="0.25">
      <c r="S6458" s="6" t="s">
        <v>302</v>
      </c>
      <c r="T6458" s="6">
        <f t="shared" si="118"/>
        <v>6457</v>
      </c>
      <c r="U6458" s="4" t="s">
        <v>194</v>
      </c>
    </row>
    <row r="6459" spans="19:21" x14ac:dyDescent="0.25">
      <c r="S6459" s="6" t="s">
        <v>302</v>
      </c>
      <c r="T6459" s="6">
        <f t="shared" si="118"/>
        <v>6458</v>
      </c>
      <c r="U6459" s="4" t="s">
        <v>194</v>
      </c>
    </row>
    <row r="6460" spans="19:21" x14ac:dyDescent="0.25">
      <c r="S6460" s="6" t="s">
        <v>302</v>
      </c>
      <c r="T6460" s="6">
        <f t="shared" si="118"/>
        <v>6459</v>
      </c>
      <c r="U6460" s="4" t="s">
        <v>194</v>
      </c>
    </row>
    <row r="6461" spans="19:21" x14ac:dyDescent="0.25">
      <c r="S6461" s="6" t="s">
        <v>302</v>
      </c>
      <c r="T6461" s="6">
        <f t="shared" si="118"/>
        <v>6460</v>
      </c>
      <c r="U6461" s="4" t="s">
        <v>194</v>
      </c>
    </row>
    <row r="6462" spans="19:21" x14ac:dyDescent="0.25">
      <c r="S6462" s="6" t="s">
        <v>302</v>
      </c>
      <c r="T6462" s="6">
        <f t="shared" si="118"/>
        <v>6461</v>
      </c>
      <c r="U6462" s="4" t="s">
        <v>194</v>
      </c>
    </row>
    <row r="6463" spans="19:21" x14ac:dyDescent="0.25">
      <c r="S6463" s="6" t="s">
        <v>302</v>
      </c>
      <c r="T6463" s="6">
        <f t="shared" si="118"/>
        <v>6462</v>
      </c>
      <c r="U6463" s="4" t="s">
        <v>194</v>
      </c>
    </row>
    <row r="6464" spans="19:21" x14ac:dyDescent="0.25">
      <c r="S6464" s="6" t="s">
        <v>302</v>
      </c>
      <c r="T6464" s="6">
        <f t="shared" si="118"/>
        <v>6463</v>
      </c>
      <c r="U6464" s="4" t="s">
        <v>194</v>
      </c>
    </row>
    <row r="6465" spans="19:21" x14ac:dyDescent="0.25">
      <c r="S6465" s="6" t="s">
        <v>302</v>
      </c>
      <c r="T6465" s="6">
        <f t="shared" si="118"/>
        <v>6464</v>
      </c>
      <c r="U6465" s="4" t="s">
        <v>194</v>
      </c>
    </row>
    <row r="6466" spans="19:21" x14ac:dyDescent="0.25">
      <c r="S6466" s="6" t="s">
        <v>302</v>
      </c>
      <c r="T6466" s="6">
        <f t="shared" si="118"/>
        <v>6465</v>
      </c>
      <c r="U6466" s="4" t="s">
        <v>194</v>
      </c>
    </row>
    <row r="6467" spans="19:21" x14ac:dyDescent="0.25">
      <c r="S6467" s="6" t="s">
        <v>302</v>
      </c>
      <c r="T6467" s="6">
        <f t="shared" si="118"/>
        <v>6466</v>
      </c>
      <c r="U6467" s="4" t="s">
        <v>194</v>
      </c>
    </row>
    <row r="6468" spans="19:21" x14ac:dyDescent="0.25">
      <c r="S6468" s="6" t="s">
        <v>302</v>
      </c>
      <c r="T6468" s="6">
        <f t="shared" si="118"/>
        <v>6467</v>
      </c>
      <c r="U6468" s="4" t="s">
        <v>194</v>
      </c>
    </row>
    <row r="6469" spans="19:21" x14ac:dyDescent="0.25">
      <c r="S6469" s="6" t="s">
        <v>302</v>
      </c>
      <c r="T6469" s="6">
        <f t="shared" si="118"/>
        <v>6468</v>
      </c>
      <c r="U6469" s="4" t="s">
        <v>194</v>
      </c>
    </row>
    <row r="6470" spans="19:21" x14ac:dyDescent="0.25">
      <c r="S6470" s="6" t="s">
        <v>302</v>
      </c>
      <c r="T6470" s="6">
        <f t="shared" si="118"/>
        <v>6469</v>
      </c>
      <c r="U6470" s="4" t="s">
        <v>194</v>
      </c>
    </row>
    <row r="6471" spans="19:21" x14ac:dyDescent="0.25">
      <c r="S6471" s="6" t="s">
        <v>302</v>
      </c>
      <c r="T6471" s="6">
        <f t="shared" si="118"/>
        <v>6470</v>
      </c>
      <c r="U6471" s="4" t="s">
        <v>194</v>
      </c>
    </row>
    <row r="6472" spans="19:21" x14ac:dyDescent="0.25">
      <c r="S6472" s="6" t="s">
        <v>302</v>
      </c>
      <c r="T6472" s="6">
        <f t="shared" si="118"/>
        <v>6471</v>
      </c>
      <c r="U6472" s="4" t="s">
        <v>194</v>
      </c>
    </row>
    <row r="6473" spans="19:21" x14ac:dyDescent="0.25">
      <c r="S6473" s="6" t="s">
        <v>302</v>
      </c>
      <c r="T6473" s="6">
        <f t="shared" si="118"/>
        <v>6472</v>
      </c>
      <c r="U6473" s="4" t="s">
        <v>194</v>
      </c>
    </row>
    <row r="6474" spans="19:21" x14ac:dyDescent="0.25">
      <c r="S6474" s="6" t="s">
        <v>302</v>
      </c>
      <c r="T6474" s="6">
        <f t="shared" si="118"/>
        <v>6473</v>
      </c>
      <c r="U6474" s="4" t="s">
        <v>194</v>
      </c>
    </row>
    <row r="6475" spans="19:21" x14ac:dyDescent="0.25">
      <c r="S6475" s="6" t="s">
        <v>302</v>
      </c>
      <c r="T6475" s="6">
        <f t="shared" si="118"/>
        <v>6474</v>
      </c>
      <c r="U6475" s="4" t="s">
        <v>194</v>
      </c>
    </row>
    <row r="6476" spans="19:21" x14ac:dyDescent="0.25">
      <c r="S6476" s="6" t="s">
        <v>302</v>
      </c>
      <c r="T6476" s="6">
        <f t="shared" si="118"/>
        <v>6475</v>
      </c>
      <c r="U6476" s="4" t="s">
        <v>194</v>
      </c>
    </row>
    <row r="6477" spans="19:21" x14ac:dyDescent="0.25">
      <c r="S6477" s="6" t="s">
        <v>302</v>
      </c>
      <c r="T6477" s="6">
        <f t="shared" si="118"/>
        <v>6476</v>
      </c>
      <c r="U6477" s="4" t="s">
        <v>194</v>
      </c>
    </row>
    <row r="6478" spans="19:21" x14ac:dyDescent="0.25">
      <c r="S6478" s="6" t="s">
        <v>302</v>
      </c>
      <c r="T6478" s="6">
        <f t="shared" si="118"/>
        <v>6477</v>
      </c>
      <c r="U6478" s="4" t="s">
        <v>194</v>
      </c>
    </row>
    <row r="6479" spans="19:21" x14ac:dyDescent="0.25">
      <c r="S6479" s="6" t="s">
        <v>302</v>
      </c>
      <c r="T6479" s="6">
        <f t="shared" si="118"/>
        <v>6478</v>
      </c>
      <c r="U6479" s="4" t="s">
        <v>194</v>
      </c>
    </row>
    <row r="6480" spans="19:21" x14ac:dyDescent="0.25">
      <c r="S6480" s="6" t="s">
        <v>302</v>
      </c>
      <c r="T6480" s="6">
        <f t="shared" si="118"/>
        <v>6479</v>
      </c>
      <c r="U6480" s="4" t="s">
        <v>194</v>
      </c>
    </row>
    <row r="6481" spans="19:21" x14ac:dyDescent="0.25">
      <c r="S6481" s="6" t="s">
        <v>302</v>
      </c>
      <c r="T6481" s="6">
        <f t="shared" si="118"/>
        <v>6480</v>
      </c>
      <c r="U6481" s="4" t="s">
        <v>194</v>
      </c>
    </row>
    <row r="6482" spans="19:21" x14ac:dyDescent="0.25">
      <c r="S6482" s="6" t="s">
        <v>302</v>
      </c>
      <c r="T6482" s="6">
        <f t="shared" si="118"/>
        <v>6481</v>
      </c>
      <c r="U6482" s="4" t="s">
        <v>194</v>
      </c>
    </row>
    <row r="6483" spans="19:21" x14ac:dyDescent="0.25">
      <c r="S6483" s="6" t="s">
        <v>302</v>
      </c>
      <c r="T6483" s="6">
        <f t="shared" si="118"/>
        <v>6482</v>
      </c>
      <c r="U6483" s="4" t="s">
        <v>194</v>
      </c>
    </row>
    <row r="6484" spans="19:21" x14ac:dyDescent="0.25">
      <c r="S6484" s="6" t="s">
        <v>302</v>
      </c>
      <c r="T6484" s="6">
        <f t="shared" si="118"/>
        <v>6483</v>
      </c>
      <c r="U6484" s="4" t="s">
        <v>194</v>
      </c>
    </row>
    <row r="6485" spans="19:21" x14ac:dyDescent="0.25">
      <c r="S6485" s="6" t="s">
        <v>302</v>
      </c>
      <c r="T6485" s="6">
        <f t="shared" si="118"/>
        <v>6484</v>
      </c>
      <c r="U6485" s="4" t="s">
        <v>194</v>
      </c>
    </row>
    <row r="6486" spans="19:21" x14ac:dyDescent="0.25">
      <c r="S6486" s="6" t="s">
        <v>302</v>
      </c>
      <c r="T6486" s="6">
        <f t="shared" si="118"/>
        <v>6485</v>
      </c>
      <c r="U6486" s="4" t="s">
        <v>194</v>
      </c>
    </row>
    <row r="6487" spans="19:21" x14ac:dyDescent="0.25">
      <c r="S6487" s="6" t="s">
        <v>302</v>
      </c>
      <c r="T6487" s="6">
        <f t="shared" si="118"/>
        <v>6486</v>
      </c>
      <c r="U6487" s="4" t="s">
        <v>194</v>
      </c>
    </row>
    <row r="6488" spans="19:21" x14ac:dyDescent="0.25">
      <c r="S6488" s="6" t="s">
        <v>302</v>
      </c>
      <c r="T6488" s="6">
        <f t="shared" si="118"/>
        <v>6487</v>
      </c>
      <c r="U6488" s="4" t="s">
        <v>194</v>
      </c>
    </row>
    <row r="6489" spans="19:21" x14ac:dyDescent="0.25">
      <c r="S6489" s="6" t="s">
        <v>302</v>
      </c>
      <c r="T6489" s="6">
        <f t="shared" si="118"/>
        <v>6488</v>
      </c>
      <c r="U6489" s="4" t="s">
        <v>194</v>
      </c>
    </row>
    <row r="6490" spans="19:21" x14ac:dyDescent="0.25">
      <c r="S6490" s="6" t="s">
        <v>302</v>
      </c>
      <c r="T6490" s="6">
        <f t="shared" si="118"/>
        <v>6489</v>
      </c>
      <c r="U6490" s="4" t="s">
        <v>194</v>
      </c>
    </row>
    <row r="6491" spans="19:21" x14ac:dyDescent="0.25">
      <c r="S6491" s="6" t="s">
        <v>302</v>
      </c>
      <c r="T6491" s="6">
        <f t="shared" si="118"/>
        <v>6490</v>
      </c>
      <c r="U6491" s="4" t="s">
        <v>194</v>
      </c>
    </row>
    <row r="6492" spans="19:21" x14ac:dyDescent="0.25">
      <c r="S6492" s="6" t="s">
        <v>302</v>
      </c>
      <c r="T6492" s="6">
        <f t="shared" si="118"/>
        <v>6491</v>
      </c>
      <c r="U6492" s="4" t="s">
        <v>194</v>
      </c>
    </row>
    <row r="6493" spans="19:21" x14ac:dyDescent="0.25">
      <c r="S6493" s="6" t="s">
        <v>302</v>
      </c>
      <c r="T6493" s="6">
        <f t="shared" si="118"/>
        <v>6492</v>
      </c>
      <c r="U6493" s="4" t="s">
        <v>194</v>
      </c>
    </row>
    <row r="6494" spans="19:21" x14ac:dyDescent="0.25">
      <c r="S6494" s="6" t="s">
        <v>302</v>
      </c>
      <c r="T6494" s="6">
        <f t="shared" ref="T6494:T6557" si="119">T6493+1</f>
        <v>6493</v>
      </c>
      <c r="U6494" s="4" t="s">
        <v>194</v>
      </c>
    </row>
    <row r="6495" spans="19:21" x14ac:dyDescent="0.25">
      <c r="S6495" s="6" t="s">
        <v>302</v>
      </c>
      <c r="T6495" s="6">
        <f t="shared" si="119"/>
        <v>6494</v>
      </c>
      <c r="U6495" s="4" t="s">
        <v>194</v>
      </c>
    </row>
    <row r="6496" spans="19:21" x14ac:dyDescent="0.25">
      <c r="S6496" s="6" t="s">
        <v>302</v>
      </c>
      <c r="T6496" s="6">
        <f t="shared" si="119"/>
        <v>6495</v>
      </c>
      <c r="U6496" s="4" t="s">
        <v>194</v>
      </c>
    </row>
    <row r="6497" spans="19:21" x14ac:dyDescent="0.25">
      <c r="S6497" s="6" t="s">
        <v>302</v>
      </c>
      <c r="T6497" s="6">
        <f t="shared" si="119"/>
        <v>6496</v>
      </c>
      <c r="U6497" s="4" t="s">
        <v>194</v>
      </c>
    </row>
    <row r="6498" spans="19:21" x14ac:dyDescent="0.25">
      <c r="S6498" s="6" t="s">
        <v>302</v>
      </c>
      <c r="T6498" s="6">
        <f t="shared" si="119"/>
        <v>6497</v>
      </c>
      <c r="U6498" s="4" t="s">
        <v>194</v>
      </c>
    </row>
    <row r="6499" spans="19:21" x14ac:dyDescent="0.25">
      <c r="S6499" s="6" t="s">
        <v>302</v>
      </c>
      <c r="T6499" s="6">
        <f t="shared" si="119"/>
        <v>6498</v>
      </c>
      <c r="U6499" s="4" t="s">
        <v>194</v>
      </c>
    </row>
    <row r="6500" spans="19:21" x14ac:dyDescent="0.25">
      <c r="S6500" s="6" t="s">
        <v>302</v>
      </c>
      <c r="T6500" s="6">
        <f t="shared" si="119"/>
        <v>6499</v>
      </c>
      <c r="U6500" s="4" t="s">
        <v>194</v>
      </c>
    </row>
    <row r="6501" spans="19:21" x14ac:dyDescent="0.25">
      <c r="S6501" s="6" t="s">
        <v>302</v>
      </c>
      <c r="T6501" s="6">
        <f t="shared" si="119"/>
        <v>6500</v>
      </c>
      <c r="U6501" s="4" t="s">
        <v>194</v>
      </c>
    </row>
    <row r="6502" spans="19:21" x14ac:dyDescent="0.25">
      <c r="S6502" s="6" t="s">
        <v>302</v>
      </c>
      <c r="T6502" s="6">
        <f t="shared" si="119"/>
        <v>6501</v>
      </c>
      <c r="U6502" s="4" t="s">
        <v>194</v>
      </c>
    </row>
    <row r="6503" spans="19:21" x14ac:dyDescent="0.25">
      <c r="S6503" s="6" t="s">
        <v>302</v>
      </c>
      <c r="T6503" s="6">
        <f t="shared" si="119"/>
        <v>6502</v>
      </c>
      <c r="U6503" s="4" t="s">
        <v>194</v>
      </c>
    </row>
    <row r="6504" spans="19:21" x14ac:dyDescent="0.25">
      <c r="S6504" s="6" t="s">
        <v>302</v>
      </c>
      <c r="T6504" s="6">
        <f t="shared" si="119"/>
        <v>6503</v>
      </c>
      <c r="U6504" s="4" t="s">
        <v>194</v>
      </c>
    </row>
    <row r="6505" spans="19:21" x14ac:dyDescent="0.25">
      <c r="S6505" s="6" t="s">
        <v>302</v>
      </c>
      <c r="T6505" s="6">
        <f t="shared" si="119"/>
        <v>6504</v>
      </c>
      <c r="U6505" s="4" t="s">
        <v>194</v>
      </c>
    </row>
    <row r="6506" spans="19:21" x14ac:dyDescent="0.25">
      <c r="S6506" s="6" t="s">
        <v>302</v>
      </c>
      <c r="T6506" s="6">
        <f t="shared" si="119"/>
        <v>6505</v>
      </c>
      <c r="U6506" s="4" t="s">
        <v>194</v>
      </c>
    </row>
    <row r="6507" spans="19:21" x14ac:dyDescent="0.25">
      <c r="S6507" s="6" t="s">
        <v>302</v>
      </c>
      <c r="T6507" s="6">
        <f t="shared" si="119"/>
        <v>6506</v>
      </c>
      <c r="U6507" s="4" t="s">
        <v>194</v>
      </c>
    </row>
    <row r="6508" spans="19:21" x14ac:dyDescent="0.25">
      <c r="S6508" s="6" t="s">
        <v>302</v>
      </c>
      <c r="T6508" s="6">
        <f t="shared" si="119"/>
        <v>6507</v>
      </c>
      <c r="U6508" s="4" t="s">
        <v>194</v>
      </c>
    </row>
    <row r="6509" spans="19:21" x14ac:dyDescent="0.25">
      <c r="S6509" s="6" t="s">
        <v>302</v>
      </c>
      <c r="T6509" s="6">
        <f t="shared" si="119"/>
        <v>6508</v>
      </c>
      <c r="U6509" s="4" t="s">
        <v>194</v>
      </c>
    </row>
    <row r="6510" spans="19:21" x14ac:dyDescent="0.25">
      <c r="S6510" s="6" t="s">
        <v>302</v>
      </c>
      <c r="T6510" s="6">
        <f t="shared" si="119"/>
        <v>6509</v>
      </c>
      <c r="U6510" s="4" t="s">
        <v>194</v>
      </c>
    </row>
    <row r="6511" spans="19:21" x14ac:dyDescent="0.25">
      <c r="S6511" s="6" t="s">
        <v>302</v>
      </c>
      <c r="T6511" s="6">
        <f t="shared" si="119"/>
        <v>6510</v>
      </c>
      <c r="U6511" s="4" t="s">
        <v>194</v>
      </c>
    </row>
    <row r="6512" spans="19:21" x14ac:dyDescent="0.25">
      <c r="S6512" s="6" t="s">
        <v>302</v>
      </c>
      <c r="T6512" s="6">
        <f t="shared" si="119"/>
        <v>6511</v>
      </c>
      <c r="U6512" s="4" t="s">
        <v>194</v>
      </c>
    </row>
    <row r="6513" spans="19:21" x14ac:dyDescent="0.25">
      <c r="S6513" s="6" t="s">
        <v>302</v>
      </c>
      <c r="T6513" s="6">
        <f t="shared" si="119"/>
        <v>6512</v>
      </c>
      <c r="U6513" s="4" t="s">
        <v>194</v>
      </c>
    </row>
    <row r="6514" spans="19:21" x14ac:dyDescent="0.25">
      <c r="S6514" s="6" t="s">
        <v>302</v>
      </c>
      <c r="T6514" s="6">
        <f t="shared" si="119"/>
        <v>6513</v>
      </c>
      <c r="U6514" s="4" t="s">
        <v>194</v>
      </c>
    </row>
    <row r="6515" spans="19:21" x14ac:dyDescent="0.25">
      <c r="S6515" s="6" t="s">
        <v>302</v>
      </c>
      <c r="T6515" s="6">
        <f t="shared" si="119"/>
        <v>6514</v>
      </c>
      <c r="U6515" s="4" t="s">
        <v>194</v>
      </c>
    </row>
    <row r="6516" spans="19:21" x14ac:dyDescent="0.25">
      <c r="S6516" s="6" t="s">
        <v>302</v>
      </c>
      <c r="T6516" s="6">
        <f t="shared" si="119"/>
        <v>6515</v>
      </c>
      <c r="U6516" s="4" t="s">
        <v>194</v>
      </c>
    </row>
    <row r="6517" spans="19:21" x14ac:dyDescent="0.25">
      <c r="S6517" s="6" t="s">
        <v>302</v>
      </c>
      <c r="T6517" s="6">
        <f t="shared" si="119"/>
        <v>6516</v>
      </c>
      <c r="U6517" s="4" t="s">
        <v>194</v>
      </c>
    </row>
    <row r="6518" spans="19:21" x14ac:dyDescent="0.25">
      <c r="S6518" s="6" t="s">
        <v>302</v>
      </c>
      <c r="T6518" s="6">
        <f t="shared" si="119"/>
        <v>6517</v>
      </c>
      <c r="U6518" s="4" t="s">
        <v>194</v>
      </c>
    </row>
    <row r="6519" spans="19:21" x14ac:dyDescent="0.25">
      <c r="S6519" s="6" t="s">
        <v>302</v>
      </c>
      <c r="T6519" s="6">
        <f t="shared" si="119"/>
        <v>6518</v>
      </c>
      <c r="U6519" s="4" t="s">
        <v>194</v>
      </c>
    </row>
    <row r="6520" spans="19:21" x14ac:dyDescent="0.25">
      <c r="S6520" s="6" t="s">
        <v>302</v>
      </c>
      <c r="T6520" s="6">
        <f t="shared" si="119"/>
        <v>6519</v>
      </c>
      <c r="U6520" s="4" t="s">
        <v>194</v>
      </c>
    </row>
    <row r="6521" spans="19:21" x14ac:dyDescent="0.25">
      <c r="S6521" s="6" t="s">
        <v>302</v>
      </c>
      <c r="T6521" s="6">
        <f t="shared" si="119"/>
        <v>6520</v>
      </c>
      <c r="U6521" s="4" t="s">
        <v>194</v>
      </c>
    </row>
    <row r="6522" spans="19:21" x14ac:dyDescent="0.25">
      <c r="S6522" s="6" t="s">
        <v>302</v>
      </c>
      <c r="T6522" s="6">
        <f t="shared" si="119"/>
        <v>6521</v>
      </c>
      <c r="U6522" s="4" t="s">
        <v>194</v>
      </c>
    </row>
    <row r="6523" spans="19:21" x14ac:dyDescent="0.25">
      <c r="S6523" s="6" t="s">
        <v>302</v>
      </c>
      <c r="T6523" s="6">
        <f t="shared" si="119"/>
        <v>6522</v>
      </c>
      <c r="U6523" s="4" t="s">
        <v>194</v>
      </c>
    </row>
    <row r="6524" spans="19:21" x14ac:dyDescent="0.25">
      <c r="S6524" s="6" t="s">
        <v>302</v>
      </c>
      <c r="T6524" s="6">
        <f t="shared" si="119"/>
        <v>6523</v>
      </c>
      <c r="U6524" s="4" t="s">
        <v>194</v>
      </c>
    </row>
    <row r="6525" spans="19:21" x14ac:dyDescent="0.25">
      <c r="S6525" s="6" t="s">
        <v>302</v>
      </c>
      <c r="T6525" s="6">
        <f t="shared" si="119"/>
        <v>6524</v>
      </c>
      <c r="U6525" s="4" t="s">
        <v>194</v>
      </c>
    </row>
    <row r="6526" spans="19:21" x14ac:dyDescent="0.25">
      <c r="S6526" s="6" t="s">
        <v>302</v>
      </c>
      <c r="T6526" s="6">
        <f t="shared" si="119"/>
        <v>6525</v>
      </c>
      <c r="U6526" s="4" t="s">
        <v>194</v>
      </c>
    </row>
    <row r="6527" spans="19:21" x14ac:dyDescent="0.25">
      <c r="S6527" s="6" t="s">
        <v>302</v>
      </c>
      <c r="T6527" s="6">
        <f t="shared" si="119"/>
        <v>6526</v>
      </c>
      <c r="U6527" s="4" t="s">
        <v>194</v>
      </c>
    </row>
    <row r="6528" spans="19:21" x14ac:dyDescent="0.25">
      <c r="S6528" s="6" t="s">
        <v>302</v>
      </c>
      <c r="T6528" s="6">
        <f t="shared" si="119"/>
        <v>6527</v>
      </c>
      <c r="U6528" s="4" t="s">
        <v>194</v>
      </c>
    </row>
    <row r="6529" spans="19:21" x14ac:dyDescent="0.25">
      <c r="S6529" s="6" t="s">
        <v>302</v>
      </c>
      <c r="T6529" s="6">
        <f t="shared" si="119"/>
        <v>6528</v>
      </c>
      <c r="U6529" s="4" t="s">
        <v>194</v>
      </c>
    </row>
    <row r="6530" spans="19:21" x14ac:dyDescent="0.25">
      <c r="S6530" s="6" t="s">
        <v>302</v>
      </c>
      <c r="T6530" s="6">
        <f t="shared" si="119"/>
        <v>6529</v>
      </c>
      <c r="U6530" s="4" t="s">
        <v>194</v>
      </c>
    </row>
    <row r="6531" spans="19:21" x14ac:dyDescent="0.25">
      <c r="S6531" s="6" t="s">
        <v>302</v>
      </c>
      <c r="T6531" s="6">
        <f t="shared" si="119"/>
        <v>6530</v>
      </c>
      <c r="U6531" s="4" t="s">
        <v>194</v>
      </c>
    </row>
    <row r="6532" spans="19:21" x14ac:dyDescent="0.25">
      <c r="S6532" s="6" t="s">
        <v>302</v>
      </c>
      <c r="T6532" s="6">
        <f t="shared" si="119"/>
        <v>6531</v>
      </c>
      <c r="U6532" s="4" t="s">
        <v>194</v>
      </c>
    </row>
    <row r="6533" spans="19:21" x14ac:dyDescent="0.25">
      <c r="S6533" s="6" t="s">
        <v>302</v>
      </c>
      <c r="T6533" s="6">
        <f t="shared" si="119"/>
        <v>6532</v>
      </c>
      <c r="U6533" s="4" t="s">
        <v>194</v>
      </c>
    </row>
    <row r="6534" spans="19:21" x14ac:dyDescent="0.25">
      <c r="S6534" s="6" t="s">
        <v>302</v>
      </c>
      <c r="T6534" s="6">
        <f t="shared" si="119"/>
        <v>6533</v>
      </c>
      <c r="U6534" s="4" t="s">
        <v>194</v>
      </c>
    </row>
    <row r="6535" spans="19:21" x14ac:dyDescent="0.25">
      <c r="S6535" s="6" t="s">
        <v>302</v>
      </c>
      <c r="T6535" s="6">
        <f t="shared" si="119"/>
        <v>6534</v>
      </c>
      <c r="U6535" s="4" t="s">
        <v>194</v>
      </c>
    </row>
    <row r="6536" spans="19:21" x14ac:dyDescent="0.25">
      <c r="S6536" s="6" t="s">
        <v>302</v>
      </c>
      <c r="T6536" s="6">
        <f t="shared" si="119"/>
        <v>6535</v>
      </c>
      <c r="U6536" s="4" t="s">
        <v>194</v>
      </c>
    </row>
    <row r="6537" spans="19:21" x14ac:dyDescent="0.25">
      <c r="S6537" s="6" t="s">
        <v>302</v>
      </c>
      <c r="T6537" s="6">
        <f t="shared" si="119"/>
        <v>6536</v>
      </c>
      <c r="U6537" s="4" t="s">
        <v>194</v>
      </c>
    </row>
    <row r="6538" spans="19:21" x14ac:dyDescent="0.25">
      <c r="S6538" s="6" t="s">
        <v>302</v>
      </c>
      <c r="T6538" s="6">
        <f t="shared" si="119"/>
        <v>6537</v>
      </c>
      <c r="U6538" s="4" t="s">
        <v>194</v>
      </c>
    </row>
    <row r="6539" spans="19:21" x14ac:dyDescent="0.25">
      <c r="S6539" s="6" t="s">
        <v>302</v>
      </c>
      <c r="T6539" s="6">
        <f t="shared" si="119"/>
        <v>6538</v>
      </c>
      <c r="U6539" s="4" t="s">
        <v>194</v>
      </c>
    </row>
    <row r="6540" spans="19:21" x14ac:dyDescent="0.25">
      <c r="S6540" s="6" t="s">
        <v>302</v>
      </c>
      <c r="T6540" s="6">
        <f t="shared" si="119"/>
        <v>6539</v>
      </c>
      <c r="U6540" s="4" t="s">
        <v>194</v>
      </c>
    </row>
    <row r="6541" spans="19:21" x14ac:dyDescent="0.25">
      <c r="S6541" s="6" t="s">
        <v>302</v>
      </c>
      <c r="T6541" s="6">
        <f t="shared" si="119"/>
        <v>6540</v>
      </c>
      <c r="U6541" s="4" t="s">
        <v>194</v>
      </c>
    </row>
    <row r="6542" spans="19:21" x14ac:dyDescent="0.25">
      <c r="S6542" s="6" t="s">
        <v>302</v>
      </c>
      <c r="T6542" s="6">
        <f t="shared" si="119"/>
        <v>6541</v>
      </c>
      <c r="U6542" s="4" t="s">
        <v>194</v>
      </c>
    </row>
    <row r="6543" spans="19:21" x14ac:dyDescent="0.25">
      <c r="S6543" s="6" t="s">
        <v>302</v>
      </c>
      <c r="T6543" s="6">
        <f t="shared" si="119"/>
        <v>6542</v>
      </c>
      <c r="U6543" s="4" t="s">
        <v>194</v>
      </c>
    </row>
    <row r="6544" spans="19:21" x14ac:dyDescent="0.25">
      <c r="S6544" s="6" t="s">
        <v>302</v>
      </c>
      <c r="T6544" s="6">
        <f t="shared" si="119"/>
        <v>6543</v>
      </c>
      <c r="U6544" s="4" t="s">
        <v>194</v>
      </c>
    </row>
    <row r="6545" spans="19:21" x14ac:dyDescent="0.25">
      <c r="S6545" s="6" t="s">
        <v>302</v>
      </c>
      <c r="T6545" s="6">
        <f t="shared" si="119"/>
        <v>6544</v>
      </c>
      <c r="U6545" s="4" t="s">
        <v>194</v>
      </c>
    </row>
    <row r="6546" spans="19:21" x14ac:dyDescent="0.25">
      <c r="S6546" s="6" t="s">
        <v>302</v>
      </c>
      <c r="T6546" s="6">
        <f t="shared" si="119"/>
        <v>6545</v>
      </c>
      <c r="U6546" s="4" t="s">
        <v>194</v>
      </c>
    </row>
    <row r="6547" spans="19:21" x14ac:dyDescent="0.25">
      <c r="S6547" s="6" t="s">
        <v>302</v>
      </c>
      <c r="T6547" s="6">
        <f t="shared" si="119"/>
        <v>6546</v>
      </c>
      <c r="U6547" s="4" t="s">
        <v>194</v>
      </c>
    </row>
    <row r="6548" spans="19:21" x14ac:dyDescent="0.25">
      <c r="S6548" s="6" t="s">
        <v>302</v>
      </c>
      <c r="T6548" s="6">
        <f t="shared" si="119"/>
        <v>6547</v>
      </c>
      <c r="U6548" s="4" t="s">
        <v>194</v>
      </c>
    </row>
    <row r="6549" spans="19:21" x14ac:dyDescent="0.25">
      <c r="S6549" s="6" t="s">
        <v>302</v>
      </c>
      <c r="T6549" s="6">
        <f t="shared" si="119"/>
        <v>6548</v>
      </c>
      <c r="U6549" s="4" t="s">
        <v>194</v>
      </c>
    </row>
    <row r="6550" spans="19:21" x14ac:dyDescent="0.25">
      <c r="S6550" s="6" t="s">
        <v>302</v>
      </c>
      <c r="T6550" s="6">
        <f t="shared" si="119"/>
        <v>6549</v>
      </c>
      <c r="U6550" s="4" t="s">
        <v>194</v>
      </c>
    </row>
    <row r="6551" spans="19:21" x14ac:dyDescent="0.25">
      <c r="S6551" s="6" t="s">
        <v>302</v>
      </c>
      <c r="T6551" s="6">
        <f t="shared" si="119"/>
        <v>6550</v>
      </c>
      <c r="U6551" s="4" t="s">
        <v>194</v>
      </c>
    </row>
    <row r="6552" spans="19:21" x14ac:dyDescent="0.25">
      <c r="S6552" s="6" t="s">
        <v>302</v>
      </c>
      <c r="T6552" s="6">
        <f t="shared" si="119"/>
        <v>6551</v>
      </c>
      <c r="U6552" s="4" t="s">
        <v>194</v>
      </c>
    </row>
    <row r="6553" spans="19:21" x14ac:dyDescent="0.25">
      <c r="S6553" s="6" t="s">
        <v>302</v>
      </c>
      <c r="T6553" s="6">
        <f t="shared" si="119"/>
        <v>6552</v>
      </c>
      <c r="U6553" s="4" t="s">
        <v>194</v>
      </c>
    </row>
    <row r="6554" spans="19:21" x14ac:dyDescent="0.25">
      <c r="S6554" s="6" t="s">
        <v>302</v>
      </c>
      <c r="T6554" s="6">
        <f t="shared" si="119"/>
        <v>6553</v>
      </c>
      <c r="U6554" s="4" t="s">
        <v>194</v>
      </c>
    </row>
    <row r="6555" spans="19:21" x14ac:dyDescent="0.25">
      <c r="S6555" s="6" t="s">
        <v>302</v>
      </c>
      <c r="T6555" s="6">
        <f t="shared" si="119"/>
        <v>6554</v>
      </c>
      <c r="U6555" s="4" t="s">
        <v>194</v>
      </c>
    </row>
    <row r="6556" spans="19:21" x14ac:dyDescent="0.25">
      <c r="S6556" s="6" t="s">
        <v>302</v>
      </c>
      <c r="T6556" s="6">
        <f t="shared" si="119"/>
        <v>6555</v>
      </c>
      <c r="U6556" s="4" t="s">
        <v>194</v>
      </c>
    </row>
    <row r="6557" spans="19:21" x14ac:dyDescent="0.25">
      <c r="S6557" s="6" t="s">
        <v>302</v>
      </c>
      <c r="T6557" s="6">
        <f t="shared" si="119"/>
        <v>6556</v>
      </c>
      <c r="U6557" s="4" t="s">
        <v>194</v>
      </c>
    </row>
    <row r="6558" spans="19:21" x14ac:dyDescent="0.25">
      <c r="S6558" s="6" t="s">
        <v>302</v>
      </c>
      <c r="T6558" s="6">
        <f t="shared" ref="T6558:T6621" si="120">T6557+1</f>
        <v>6557</v>
      </c>
      <c r="U6558" s="4" t="s">
        <v>194</v>
      </c>
    </row>
    <row r="6559" spans="19:21" x14ac:dyDescent="0.25">
      <c r="S6559" s="6" t="s">
        <v>302</v>
      </c>
      <c r="T6559" s="6">
        <f t="shared" si="120"/>
        <v>6558</v>
      </c>
      <c r="U6559" s="4" t="s">
        <v>194</v>
      </c>
    </row>
    <row r="6560" spans="19:21" x14ac:dyDescent="0.25">
      <c r="S6560" s="6" t="s">
        <v>302</v>
      </c>
      <c r="T6560" s="6">
        <f t="shared" si="120"/>
        <v>6559</v>
      </c>
      <c r="U6560" s="4" t="s">
        <v>194</v>
      </c>
    </row>
    <row r="6561" spans="19:21" x14ac:dyDescent="0.25">
      <c r="S6561" s="6" t="s">
        <v>302</v>
      </c>
      <c r="T6561" s="6">
        <f t="shared" si="120"/>
        <v>6560</v>
      </c>
      <c r="U6561" s="4" t="s">
        <v>194</v>
      </c>
    </row>
    <row r="6562" spans="19:21" x14ac:dyDescent="0.25">
      <c r="S6562" s="6" t="s">
        <v>302</v>
      </c>
      <c r="T6562" s="6">
        <f t="shared" si="120"/>
        <v>6561</v>
      </c>
      <c r="U6562" s="4" t="s">
        <v>194</v>
      </c>
    </row>
    <row r="6563" spans="19:21" x14ac:dyDescent="0.25">
      <c r="S6563" s="6" t="s">
        <v>302</v>
      </c>
      <c r="T6563" s="6">
        <f t="shared" si="120"/>
        <v>6562</v>
      </c>
      <c r="U6563" s="4" t="s">
        <v>194</v>
      </c>
    </row>
    <row r="6564" spans="19:21" x14ac:dyDescent="0.25">
      <c r="S6564" s="6" t="s">
        <v>302</v>
      </c>
      <c r="T6564" s="6">
        <f t="shared" si="120"/>
        <v>6563</v>
      </c>
      <c r="U6564" s="4" t="s">
        <v>194</v>
      </c>
    </row>
    <row r="6565" spans="19:21" x14ac:dyDescent="0.25">
      <c r="S6565" s="6" t="s">
        <v>302</v>
      </c>
      <c r="T6565" s="6">
        <f t="shared" si="120"/>
        <v>6564</v>
      </c>
      <c r="U6565" s="4" t="s">
        <v>194</v>
      </c>
    </row>
    <row r="6566" spans="19:21" x14ac:dyDescent="0.25">
      <c r="S6566" s="6" t="s">
        <v>302</v>
      </c>
      <c r="T6566" s="6">
        <f t="shared" si="120"/>
        <v>6565</v>
      </c>
      <c r="U6566" s="4" t="s">
        <v>194</v>
      </c>
    </row>
    <row r="6567" spans="19:21" x14ac:dyDescent="0.25">
      <c r="S6567" s="6" t="s">
        <v>302</v>
      </c>
      <c r="T6567" s="6">
        <f t="shared" si="120"/>
        <v>6566</v>
      </c>
      <c r="U6567" s="4" t="s">
        <v>194</v>
      </c>
    </row>
    <row r="6568" spans="19:21" x14ac:dyDescent="0.25">
      <c r="S6568" s="6" t="s">
        <v>302</v>
      </c>
      <c r="T6568" s="6">
        <f t="shared" si="120"/>
        <v>6567</v>
      </c>
      <c r="U6568" s="4" t="s">
        <v>194</v>
      </c>
    </row>
    <row r="6569" spans="19:21" x14ac:dyDescent="0.25">
      <c r="S6569" s="6" t="s">
        <v>302</v>
      </c>
      <c r="T6569" s="6">
        <f t="shared" si="120"/>
        <v>6568</v>
      </c>
      <c r="U6569" s="4" t="s">
        <v>194</v>
      </c>
    </row>
    <row r="6570" spans="19:21" x14ac:dyDescent="0.25">
      <c r="S6570" s="6" t="s">
        <v>302</v>
      </c>
      <c r="T6570" s="6">
        <f t="shared" si="120"/>
        <v>6569</v>
      </c>
      <c r="U6570" s="4" t="s">
        <v>194</v>
      </c>
    </row>
    <row r="6571" spans="19:21" x14ac:dyDescent="0.25">
      <c r="S6571" s="6" t="s">
        <v>302</v>
      </c>
      <c r="T6571" s="6">
        <f t="shared" si="120"/>
        <v>6570</v>
      </c>
      <c r="U6571" s="4" t="s">
        <v>194</v>
      </c>
    </row>
    <row r="6572" spans="19:21" x14ac:dyDescent="0.25">
      <c r="S6572" s="6" t="s">
        <v>302</v>
      </c>
      <c r="T6572" s="6">
        <f t="shared" si="120"/>
        <v>6571</v>
      </c>
      <c r="U6572" s="4" t="s">
        <v>194</v>
      </c>
    </row>
    <row r="6573" spans="19:21" x14ac:dyDescent="0.25">
      <c r="S6573" s="6" t="s">
        <v>302</v>
      </c>
      <c r="T6573" s="6">
        <f t="shared" si="120"/>
        <v>6572</v>
      </c>
      <c r="U6573" s="4" t="s">
        <v>194</v>
      </c>
    </row>
    <row r="6574" spans="19:21" x14ac:dyDescent="0.25">
      <c r="S6574" s="6" t="s">
        <v>302</v>
      </c>
      <c r="T6574" s="6">
        <f t="shared" si="120"/>
        <v>6573</v>
      </c>
      <c r="U6574" s="4" t="s">
        <v>194</v>
      </c>
    </row>
    <row r="6575" spans="19:21" x14ac:dyDescent="0.25">
      <c r="S6575" s="6" t="s">
        <v>302</v>
      </c>
      <c r="T6575" s="6">
        <f t="shared" si="120"/>
        <v>6574</v>
      </c>
      <c r="U6575" s="4" t="s">
        <v>194</v>
      </c>
    </row>
    <row r="6576" spans="19:21" x14ac:dyDescent="0.25">
      <c r="S6576" s="6" t="s">
        <v>302</v>
      </c>
      <c r="T6576" s="6">
        <f t="shared" si="120"/>
        <v>6575</v>
      </c>
      <c r="U6576" s="4" t="s">
        <v>194</v>
      </c>
    </row>
    <row r="6577" spans="19:21" x14ac:dyDescent="0.25">
      <c r="S6577" s="6" t="s">
        <v>302</v>
      </c>
      <c r="T6577" s="6">
        <f t="shared" si="120"/>
        <v>6576</v>
      </c>
      <c r="U6577" s="4" t="s">
        <v>194</v>
      </c>
    </row>
    <row r="6578" spans="19:21" x14ac:dyDescent="0.25">
      <c r="S6578" s="6" t="s">
        <v>302</v>
      </c>
      <c r="T6578" s="6">
        <f t="shared" si="120"/>
        <v>6577</v>
      </c>
      <c r="U6578" s="4" t="s">
        <v>194</v>
      </c>
    </row>
    <row r="6579" spans="19:21" x14ac:dyDescent="0.25">
      <c r="S6579" s="6" t="s">
        <v>302</v>
      </c>
      <c r="T6579" s="6">
        <f t="shared" si="120"/>
        <v>6578</v>
      </c>
      <c r="U6579" s="4" t="s">
        <v>194</v>
      </c>
    </row>
    <row r="6580" spans="19:21" x14ac:dyDescent="0.25">
      <c r="S6580" s="6" t="s">
        <v>302</v>
      </c>
      <c r="T6580" s="6">
        <f t="shared" si="120"/>
        <v>6579</v>
      </c>
      <c r="U6580" s="4" t="s">
        <v>194</v>
      </c>
    </row>
    <row r="6581" spans="19:21" x14ac:dyDescent="0.25">
      <c r="S6581" s="6" t="s">
        <v>302</v>
      </c>
      <c r="T6581" s="6">
        <f t="shared" si="120"/>
        <v>6580</v>
      </c>
      <c r="U6581" s="4" t="s">
        <v>194</v>
      </c>
    </row>
    <row r="6582" spans="19:21" x14ac:dyDescent="0.25">
      <c r="S6582" s="6" t="s">
        <v>302</v>
      </c>
      <c r="T6582" s="6">
        <f t="shared" si="120"/>
        <v>6581</v>
      </c>
      <c r="U6582" s="4" t="s">
        <v>194</v>
      </c>
    </row>
    <row r="6583" spans="19:21" x14ac:dyDescent="0.25">
      <c r="S6583" s="6" t="s">
        <v>302</v>
      </c>
      <c r="T6583" s="6">
        <f t="shared" si="120"/>
        <v>6582</v>
      </c>
      <c r="U6583" s="4" t="s">
        <v>194</v>
      </c>
    </row>
    <row r="6584" spans="19:21" x14ac:dyDescent="0.25">
      <c r="S6584" s="6" t="s">
        <v>302</v>
      </c>
      <c r="T6584" s="6">
        <f t="shared" si="120"/>
        <v>6583</v>
      </c>
      <c r="U6584" s="4" t="s">
        <v>194</v>
      </c>
    </row>
    <row r="6585" spans="19:21" x14ac:dyDescent="0.25">
      <c r="S6585" s="6" t="s">
        <v>302</v>
      </c>
      <c r="T6585" s="6">
        <f t="shared" si="120"/>
        <v>6584</v>
      </c>
      <c r="U6585" s="4" t="s">
        <v>194</v>
      </c>
    </row>
    <row r="6586" spans="19:21" x14ac:dyDescent="0.25">
      <c r="S6586" s="6" t="s">
        <v>302</v>
      </c>
      <c r="T6586" s="6">
        <f t="shared" si="120"/>
        <v>6585</v>
      </c>
      <c r="U6586" s="4" t="s">
        <v>194</v>
      </c>
    </row>
    <row r="6587" spans="19:21" x14ac:dyDescent="0.25">
      <c r="S6587" s="6" t="s">
        <v>302</v>
      </c>
      <c r="T6587" s="6">
        <f t="shared" si="120"/>
        <v>6586</v>
      </c>
      <c r="U6587" s="4" t="s">
        <v>194</v>
      </c>
    </row>
    <row r="6588" spans="19:21" x14ac:dyDescent="0.25">
      <c r="S6588" s="6" t="s">
        <v>302</v>
      </c>
      <c r="T6588" s="6">
        <f t="shared" si="120"/>
        <v>6587</v>
      </c>
      <c r="U6588" s="4" t="s">
        <v>194</v>
      </c>
    </row>
    <row r="6589" spans="19:21" x14ac:dyDescent="0.25">
      <c r="S6589" s="6" t="s">
        <v>302</v>
      </c>
      <c r="T6589" s="6">
        <f t="shared" si="120"/>
        <v>6588</v>
      </c>
      <c r="U6589" s="4" t="s">
        <v>194</v>
      </c>
    </row>
    <row r="6590" spans="19:21" x14ac:dyDescent="0.25">
      <c r="S6590" s="6" t="s">
        <v>302</v>
      </c>
      <c r="T6590" s="6">
        <f t="shared" si="120"/>
        <v>6589</v>
      </c>
      <c r="U6590" s="4" t="s">
        <v>194</v>
      </c>
    </row>
    <row r="6591" spans="19:21" x14ac:dyDescent="0.25">
      <c r="S6591" s="6" t="s">
        <v>302</v>
      </c>
      <c r="T6591" s="6">
        <f t="shared" si="120"/>
        <v>6590</v>
      </c>
      <c r="U6591" s="4" t="s">
        <v>194</v>
      </c>
    </row>
    <row r="6592" spans="19:21" x14ac:dyDescent="0.25">
      <c r="S6592" s="6" t="s">
        <v>302</v>
      </c>
      <c r="T6592" s="6">
        <f t="shared" si="120"/>
        <v>6591</v>
      </c>
      <c r="U6592" s="4" t="s">
        <v>194</v>
      </c>
    </row>
    <row r="6593" spans="19:21" x14ac:dyDescent="0.25">
      <c r="S6593" s="6" t="s">
        <v>302</v>
      </c>
      <c r="T6593" s="6">
        <f t="shared" si="120"/>
        <v>6592</v>
      </c>
      <c r="U6593" s="4" t="s">
        <v>194</v>
      </c>
    </row>
    <row r="6594" spans="19:21" x14ac:dyDescent="0.25">
      <c r="S6594" s="6" t="s">
        <v>302</v>
      </c>
      <c r="T6594" s="6">
        <f t="shared" si="120"/>
        <v>6593</v>
      </c>
      <c r="U6594" s="4" t="s">
        <v>194</v>
      </c>
    </row>
    <row r="6595" spans="19:21" x14ac:dyDescent="0.25">
      <c r="S6595" s="6" t="s">
        <v>302</v>
      </c>
      <c r="T6595" s="6">
        <f t="shared" si="120"/>
        <v>6594</v>
      </c>
      <c r="U6595" s="4" t="s">
        <v>194</v>
      </c>
    </row>
    <row r="6596" spans="19:21" x14ac:dyDescent="0.25">
      <c r="S6596" s="6" t="s">
        <v>302</v>
      </c>
      <c r="T6596" s="6">
        <f t="shared" si="120"/>
        <v>6595</v>
      </c>
      <c r="U6596" s="4" t="s">
        <v>194</v>
      </c>
    </row>
    <row r="6597" spans="19:21" x14ac:dyDescent="0.25">
      <c r="S6597" s="6" t="s">
        <v>302</v>
      </c>
      <c r="T6597" s="6">
        <f t="shared" si="120"/>
        <v>6596</v>
      </c>
      <c r="U6597" s="4" t="s">
        <v>194</v>
      </c>
    </row>
    <row r="6598" spans="19:21" x14ac:dyDescent="0.25">
      <c r="S6598" s="6" t="s">
        <v>302</v>
      </c>
      <c r="T6598" s="6">
        <f t="shared" si="120"/>
        <v>6597</v>
      </c>
      <c r="U6598" s="4" t="s">
        <v>194</v>
      </c>
    </row>
    <row r="6599" spans="19:21" x14ac:dyDescent="0.25">
      <c r="S6599" s="6" t="s">
        <v>302</v>
      </c>
      <c r="T6599" s="6">
        <f t="shared" si="120"/>
        <v>6598</v>
      </c>
      <c r="U6599" s="4" t="s">
        <v>194</v>
      </c>
    </row>
    <row r="6600" spans="19:21" x14ac:dyDescent="0.25">
      <c r="S6600" s="6" t="s">
        <v>302</v>
      </c>
      <c r="T6600" s="6">
        <f t="shared" si="120"/>
        <v>6599</v>
      </c>
      <c r="U6600" s="4" t="s">
        <v>194</v>
      </c>
    </row>
    <row r="6601" spans="19:21" x14ac:dyDescent="0.25">
      <c r="S6601" s="6" t="s">
        <v>302</v>
      </c>
      <c r="T6601" s="6">
        <f t="shared" si="120"/>
        <v>6600</v>
      </c>
      <c r="U6601" s="4" t="s">
        <v>194</v>
      </c>
    </row>
    <row r="6602" spans="19:21" x14ac:dyDescent="0.25">
      <c r="S6602" s="6" t="s">
        <v>302</v>
      </c>
      <c r="T6602" s="6">
        <f t="shared" si="120"/>
        <v>6601</v>
      </c>
      <c r="U6602" s="4" t="s">
        <v>194</v>
      </c>
    </row>
    <row r="6603" spans="19:21" x14ac:dyDescent="0.25">
      <c r="S6603" s="6" t="s">
        <v>302</v>
      </c>
      <c r="T6603" s="6">
        <f t="shared" si="120"/>
        <v>6602</v>
      </c>
      <c r="U6603" s="4" t="s">
        <v>194</v>
      </c>
    </row>
    <row r="6604" spans="19:21" x14ac:dyDescent="0.25">
      <c r="S6604" s="6" t="s">
        <v>302</v>
      </c>
      <c r="T6604" s="6">
        <f t="shared" si="120"/>
        <v>6603</v>
      </c>
      <c r="U6604" s="4" t="s">
        <v>194</v>
      </c>
    </row>
    <row r="6605" spans="19:21" x14ac:dyDescent="0.25">
      <c r="S6605" s="6" t="s">
        <v>302</v>
      </c>
      <c r="T6605" s="6">
        <f t="shared" si="120"/>
        <v>6604</v>
      </c>
      <c r="U6605" s="4" t="s">
        <v>194</v>
      </c>
    </row>
    <row r="6606" spans="19:21" x14ac:dyDescent="0.25">
      <c r="S6606" s="6" t="s">
        <v>302</v>
      </c>
      <c r="T6606" s="6">
        <f t="shared" si="120"/>
        <v>6605</v>
      </c>
      <c r="U6606" s="4" t="s">
        <v>194</v>
      </c>
    </row>
    <row r="6607" spans="19:21" x14ac:dyDescent="0.25">
      <c r="S6607" s="6" t="s">
        <v>302</v>
      </c>
      <c r="T6607" s="6">
        <f t="shared" si="120"/>
        <v>6606</v>
      </c>
      <c r="U6607" s="4" t="s">
        <v>194</v>
      </c>
    </row>
    <row r="6608" spans="19:21" x14ac:dyDescent="0.25">
      <c r="S6608" s="6" t="s">
        <v>302</v>
      </c>
      <c r="T6608" s="6">
        <f t="shared" si="120"/>
        <v>6607</v>
      </c>
      <c r="U6608" s="4" t="s">
        <v>194</v>
      </c>
    </row>
    <row r="6609" spans="19:21" x14ac:dyDescent="0.25">
      <c r="S6609" s="6" t="s">
        <v>302</v>
      </c>
      <c r="T6609" s="6">
        <f t="shared" si="120"/>
        <v>6608</v>
      </c>
      <c r="U6609" s="4" t="s">
        <v>194</v>
      </c>
    </row>
    <row r="6610" spans="19:21" x14ac:dyDescent="0.25">
      <c r="S6610" s="6" t="s">
        <v>302</v>
      </c>
      <c r="T6610" s="6">
        <f t="shared" si="120"/>
        <v>6609</v>
      </c>
      <c r="U6610" s="4" t="s">
        <v>194</v>
      </c>
    </row>
    <row r="6611" spans="19:21" x14ac:dyDescent="0.25">
      <c r="S6611" s="6" t="s">
        <v>302</v>
      </c>
      <c r="T6611" s="6">
        <f t="shared" si="120"/>
        <v>6610</v>
      </c>
      <c r="U6611" s="4" t="s">
        <v>194</v>
      </c>
    </row>
    <row r="6612" spans="19:21" x14ac:dyDescent="0.25">
      <c r="S6612" s="6" t="s">
        <v>302</v>
      </c>
      <c r="T6612" s="6">
        <f t="shared" si="120"/>
        <v>6611</v>
      </c>
      <c r="U6612" s="4" t="s">
        <v>194</v>
      </c>
    </row>
    <row r="6613" spans="19:21" x14ac:dyDescent="0.25">
      <c r="S6613" s="6" t="s">
        <v>302</v>
      </c>
      <c r="T6613" s="6">
        <f t="shared" si="120"/>
        <v>6612</v>
      </c>
      <c r="U6613" s="4" t="s">
        <v>194</v>
      </c>
    </row>
    <row r="6614" spans="19:21" x14ac:dyDescent="0.25">
      <c r="S6614" s="6" t="s">
        <v>302</v>
      </c>
      <c r="T6614" s="6">
        <f t="shared" si="120"/>
        <v>6613</v>
      </c>
      <c r="U6614" s="4" t="s">
        <v>194</v>
      </c>
    </row>
    <row r="6615" spans="19:21" x14ac:dyDescent="0.25">
      <c r="S6615" s="6" t="s">
        <v>302</v>
      </c>
      <c r="T6615" s="6">
        <f t="shared" si="120"/>
        <v>6614</v>
      </c>
      <c r="U6615" s="4" t="s">
        <v>194</v>
      </c>
    </row>
    <row r="6616" spans="19:21" x14ac:dyDescent="0.25">
      <c r="S6616" s="6" t="s">
        <v>302</v>
      </c>
      <c r="T6616" s="6">
        <f t="shared" si="120"/>
        <v>6615</v>
      </c>
      <c r="U6616" s="4" t="s">
        <v>194</v>
      </c>
    </row>
    <row r="6617" spans="19:21" x14ac:dyDescent="0.25">
      <c r="S6617" s="6" t="s">
        <v>302</v>
      </c>
      <c r="T6617" s="6">
        <f t="shared" si="120"/>
        <v>6616</v>
      </c>
      <c r="U6617" s="4" t="s">
        <v>194</v>
      </c>
    </row>
    <row r="6618" spans="19:21" x14ac:dyDescent="0.25">
      <c r="S6618" s="6" t="s">
        <v>302</v>
      </c>
      <c r="T6618" s="6">
        <f t="shared" si="120"/>
        <v>6617</v>
      </c>
      <c r="U6618" s="4" t="s">
        <v>194</v>
      </c>
    </row>
    <row r="6619" spans="19:21" x14ac:dyDescent="0.25">
      <c r="S6619" s="6" t="s">
        <v>302</v>
      </c>
      <c r="T6619" s="6">
        <f t="shared" si="120"/>
        <v>6618</v>
      </c>
      <c r="U6619" s="4" t="s">
        <v>194</v>
      </c>
    </row>
    <row r="6620" spans="19:21" x14ac:dyDescent="0.25">
      <c r="S6620" s="6" t="s">
        <v>302</v>
      </c>
      <c r="T6620" s="6">
        <f t="shared" si="120"/>
        <v>6619</v>
      </c>
      <c r="U6620" s="4" t="s">
        <v>194</v>
      </c>
    </row>
    <row r="6621" spans="19:21" x14ac:dyDescent="0.25">
      <c r="S6621" s="6" t="s">
        <v>302</v>
      </c>
      <c r="T6621" s="6">
        <f t="shared" si="120"/>
        <v>6620</v>
      </c>
      <c r="U6621" s="4" t="s">
        <v>194</v>
      </c>
    </row>
    <row r="6622" spans="19:21" x14ac:dyDescent="0.25">
      <c r="S6622" s="6" t="s">
        <v>302</v>
      </c>
      <c r="T6622" s="6">
        <f t="shared" ref="T6622:T6685" si="121">T6621+1</f>
        <v>6621</v>
      </c>
      <c r="U6622" s="4" t="s">
        <v>194</v>
      </c>
    </row>
    <row r="6623" spans="19:21" x14ac:dyDescent="0.25">
      <c r="S6623" s="6" t="s">
        <v>302</v>
      </c>
      <c r="T6623" s="6">
        <f t="shared" si="121"/>
        <v>6622</v>
      </c>
      <c r="U6623" s="4" t="s">
        <v>194</v>
      </c>
    </row>
    <row r="6624" spans="19:21" x14ac:dyDescent="0.25">
      <c r="S6624" s="6" t="s">
        <v>302</v>
      </c>
      <c r="T6624" s="6">
        <f t="shared" si="121"/>
        <v>6623</v>
      </c>
      <c r="U6624" s="4" t="s">
        <v>194</v>
      </c>
    </row>
    <row r="6625" spans="19:21" x14ac:dyDescent="0.25">
      <c r="S6625" s="6" t="s">
        <v>302</v>
      </c>
      <c r="T6625" s="6">
        <f t="shared" si="121"/>
        <v>6624</v>
      </c>
      <c r="U6625" s="4" t="s">
        <v>194</v>
      </c>
    </row>
    <row r="6626" spans="19:21" x14ac:dyDescent="0.25">
      <c r="S6626" s="6" t="s">
        <v>302</v>
      </c>
      <c r="T6626" s="6">
        <f t="shared" si="121"/>
        <v>6625</v>
      </c>
      <c r="U6626" s="4" t="s">
        <v>194</v>
      </c>
    </row>
    <row r="6627" spans="19:21" x14ac:dyDescent="0.25">
      <c r="S6627" s="6" t="s">
        <v>302</v>
      </c>
      <c r="T6627" s="6">
        <f t="shared" si="121"/>
        <v>6626</v>
      </c>
      <c r="U6627" s="4" t="s">
        <v>194</v>
      </c>
    </row>
    <row r="6628" spans="19:21" x14ac:dyDescent="0.25">
      <c r="S6628" s="6" t="s">
        <v>302</v>
      </c>
      <c r="T6628" s="6">
        <f t="shared" si="121"/>
        <v>6627</v>
      </c>
      <c r="U6628" s="4" t="s">
        <v>194</v>
      </c>
    </row>
    <row r="6629" spans="19:21" x14ac:dyDescent="0.25">
      <c r="S6629" s="6" t="s">
        <v>302</v>
      </c>
      <c r="T6629" s="6">
        <f t="shared" si="121"/>
        <v>6628</v>
      </c>
      <c r="U6629" s="4" t="s">
        <v>194</v>
      </c>
    </row>
    <row r="6630" spans="19:21" x14ac:dyDescent="0.25">
      <c r="S6630" s="6" t="s">
        <v>302</v>
      </c>
      <c r="T6630" s="6">
        <f t="shared" si="121"/>
        <v>6629</v>
      </c>
      <c r="U6630" s="4" t="s">
        <v>194</v>
      </c>
    </row>
    <row r="6631" spans="19:21" x14ac:dyDescent="0.25">
      <c r="S6631" s="6" t="s">
        <v>302</v>
      </c>
      <c r="T6631" s="6">
        <f t="shared" si="121"/>
        <v>6630</v>
      </c>
      <c r="U6631" s="4" t="s">
        <v>194</v>
      </c>
    </row>
    <row r="6632" spans="19:21" x14ac:dyDescent="0.25">
      <c r="S6632" s="6" t="s">
        <v>302</v>
      </c>
      <c r="T6632" s="6">
        <f t="shared" si="121"/>
        <v>6631</v>
      </c>
      <c r="U6632" s="4" t="s">
        <v>194</v>
      </c>
    </row>
    <row r="6633" spans="19:21" x14ac:dyDescent="0.25">
      <c r="S6633" s="6" t="s">
        <v>302</v>
      </c>
      <c r="T6633" s="6">
        <f t="shared" si="121"/>
        <v>6632</v>
      </c>
      <c r="U6633" s="4" t="s">
        <v>194</v>
      </c>
    </row>
    <row r="6634" spans="19:21" x14ac:dyDescent="0.25">
      <c r="S6634" s="6" t="s">
        <v>302</v>
      </c>
      <c r="T6634" s="6">
        <f t="shared" si="121"/>
        <v>6633</v>
      </c>
      <c r="U6634" s="4" t="s">
        <v>194</v>
      </c>
    </row>
    <row r="6635" spans="19:21" x14ac:dyDescent="0.25">
      <c r="S6635" s="6" t="s">
        <v>302</v>
      </c>
      <c r="T6635" s="6">
        <f t="shared" si="121"/>
        <v>6634</v>
      </c>
      <c r="U6635" s="4" t="s">
        <v>194</v>
      </c>
    </row>
    <row r="6636" spans="19:21" x14ac:dyDescent="0.25">
      <c r="S6636" s="6" t="s">
        <v>302</v>
      </c>
      <c r="T6636" s="6">
        <f t="shared" si="121"/>
        <v>6635</v>
      </c>
      <c r="U6636" s="4" t="s">
        <v>194</v>
      </c>
    </row>
    <row r="6637" spans="19:21" x14ac:dyDescent="0.25">
      <c r="S6637" s="6" t="s">
        <v>302</v>
      </c>
      <c r="T6637" s="6">
        <f t="shared" si="121"/>
        <v>6636</v>
      </c>
      <c r="U6637" s="4" t="s">
        <v>194</v>
      </c>
    </row>
    <row r="6638" spans="19:21" x14ac:dyDescent="0.25">
      <c r="S6638" s="6" t="s">
        <v>302</v>
      </c>
      <c r="T6638" s="6">
        <f t="shared" si="121"/>
        <v>6637</v>
      </c>
      <c r="U6638" s="4" t="s">
        <v>194</v>
      </c>
    </row>
    <row r="6639" spans="19:21" x14ac:dyDescent="0.25">
      <c r="S6639" s="6" t="s">
        <v>302</v>
      </c>
      <c r="T6639" s="6">
        <f t="shared" si="121"/>
        <v>6638</v>
      </c>
      <c r="U6639" s="4" t="s">
        <v>194</v>
      </c>
    </row>
    <row r="6640" spans="19:21" x14ac:dyDescent="0.25">
      <c r="S6640" s="6" t="s">
        <v>302</v>
      </c>
      <c r="T6640" s="6">
        <f t="shared" si="121"/>
        <v>6639</v>
      </c>
      <c r="U6640" s="4" t="s">
        <v>194</v>
      </c>
    </row>
    <row r="6641" spans="19:21" x14ac:dyDescent="0.25">
      <c r="S6641" s="6" t="s">
        <v>302</v>
      </c>
      <c r="T6641" s="6">
        <f t="shared" si="121"/>
        <v>6640</v>
      </c>
      <c r="U6641" s="4" t="s">
        <v>194</v>
      </c>
    </row>
    <row r="6642" spans="19:21" x14ac:dyDescent="0.25">
      <c r="S6642" s="6" t="s">
        <v>302</v>
      </c>
      <c r="T6642" s="6">
        <f t="shared" si="121"/>
        <v>6641</v>
      </c>
      <c r="U6642" s="4" t="s">
        <v>194</v>
      </c>
    </row>
    <row r="6643" spans="19:21" x14ac:dyDescent="0.25">
      <c r="S6643" s="6" t="s">
        <v>302</v>
      </c>
      <c r="T6643" s="6">
        <f t="shared" si="121"/>
        <v>6642</v>
      </c>
      <c r="U6643" s="4" t="s">
        <v>194</v>
      </c>
    </row>
    <row r="6644" spans="19:21" x14ac:dyDescent="0.25">
      <c r="S6644" s="6" t="s">
        <v>302</v>
      </c>
      <c r="T6644" s="6">
        <f t="shared" si="121"/>
        <v>6643</v>
      </c>
      <c r="U6644" s="4" t="s">
        <v>194</v>
      </c>
    </row>
    <row r="6645" spans="19:21" x14ac:dyDescent="0.25">
      <c r="S6645" s="6" t="s">
        <v>302</v>
      </c>
      <c r="T6645" s="6">
        <f t="shared" si="121"/>
        <v>6644</v>
      </c>
      <c r="U6645" s="4" t="s">
        <v>194</v>
      </c>
    </row>
    <row r="6646" spans="19:21" x14ac:dyDescent="0.25">
      <c r="S6646" s="6" t="s">
        <v>302</v>
      </c>
      <c r="T6646" s="6">
        <f t="shared" si="121"/>
        <v>6645</v>
      </c>
      <c r="U6646" s="4" t="s">
        <v>194</v>
      </c>
    </row>
    <row r="6647" spans="19:21" x14ac:dyDescent="0.25">
      <c r="S6647" s="6" t="s">
        <v>302</v>
      </c>
      <c r="T6647" s="6">
        <f t="shared" si="121"/>
        <v>6646</v>
      </c>
      <c r="U6647" s="4" t="s">
        <v>194</v>
      </c>
    </row>
    <row r="6648" spans="19:21" x14ac:dyDescent="0.25">
      <c r="S6648" s="6" t="s">
        <v>302</v>
      </c>
      <c r="T6648" s="6">
        <f t="shared" si="121"/>
        <v>6647</v>
      </c>
      <c r="U6648" s="4" t="s">
        <v>194</v>
      </c>
    </row>
    <row r="6649" spans="19:21" x14ac:dyDescent="0.25">
      <c r="S6649" s="6" t="s">
        <v>302</v>
      </c>
      <c r="T6649" s="6">
        <f t="shared" si="121"/>
        <v>6648</v>
      </c>
      <c r="U6649" s="4" t="s">
        <v>194</v>
      </c>
    </row>
    <row r="6650" spans="19:21" x14ac:dyDescent="0.25">
      <c r="S6650" s="6" t="s">
        <v>302</v>
      </c>
      <c r="T6650" s="6">
        <f t="shared" si="121"/>
        <v>6649</v>
      </c>
      <c r="U6650" s="4" t="s">
        <v>194</v>
      </c>
    </row>
    <row r="6651" spans="19:21" x14ac:dyDescent="0.25">
      <c r="S6651" s="6" t="s">
        <v>302</v>
      </c>
      <c r="T6651" s="6">
        <f t="shared" si="121"/>
        <v>6650</v>
      </c>
      <c r="U6651" s="4" t="s">
        <v>194</v>
      </c>
    </row>
    <row r="6652" spans="19:21" x14ac:dyDescent="0.25">
      <c r="S6652" s="6" t="s">
        <v>302</v>
      </c>
      <c r="T6652" s="6">
        <f t="shared" si="121"/>
        <v>6651</v>
      </c>
      <c r="U6652" s="4" t="s">
        <v>194</v>
      </c>
    </row>
    <row r="6653" spans="19:21" x14ac:dyDescent="0.25">
      <c r="S6653" s="6" t="s">
        <v>302</v>
      </c>
      <c r="T6653" s="6">
        <f t="shared" si="121"/>
        <v>6652</v>
      </c>
      <c r="U6653" s="4" t="s">
        <v>194</v>
      </c>
    </row>
    <row r="6654" spans="19:21" x14ac:dyDescent="0.25">
      <c r="S6654" s="6" t="s">
        <v>302</v>
      </c>
      <c r="T6654" s="6">
        <f t="shared" si="121"/>
        <v>6653</v>
      </c>
      <c r="U6654" s="4" t="s">
        <v>194</v>
      </c>
    </row>
    <row r="6655" spans="19:21" x14ac:dyDescent="0.25">
      <c r="S6655" s="6" t="s">
        <v>302</v>
      </c>
      <c r="T6655" s="6">
        <f t="shared" si="121"/>
        <v>6654</v>
      </c>
      <c r="U6655" s="4" t="s">
        <v>194</v>
      </c>
    </row>
    <row r="6656" spans="19:21" x14ac:dyDescent="0.25">
      <c r="S6656" s="6" t="s">
        <v>302</v>
      </c>
      <c r="T6656" s="6">
        <f t="shared" si="121"/>
        <v>6655</v>
      </c>
      <c r="U6656" s="4" t="s">
        <v>194</v>
      </c>
    </row>
    <row r="6657" spans="19:21" x14ac:dyDescent="0.25">
      <c r="S6657" s="6" t="s">
        <v>302</v>
      </c>
      <c r="T6657" s="6">
        <f t="shared" si="121"/>
        <v>6656</v>
      </c>
      <c r="U6657" s="4" t="s">
        <v>194</v>
      </c>
    </row>
    <row r="6658" spans="19:21" x14ac:dyDescent="0.25">
      <c r="S6658" s="6" t="s">
        <v>302</v>
      </c>
      <c r="T6658" s="6">
        <f t="shared" si="121"/>
        <v>6657</v>
      </c>
      <c r="U6658" s="4" t="s">
        <v>194</v>
      </c>
    </row>
    <row r="6659" spans="19:21" x14ac:dyDescent="0.25">
      <c r="S6659" s="6" t="s">
        <v>302</v>
      </c>
      <c r="T6659" s="6">
        <f t="shared" si="121"/>
        <v>6658</v>
      </c>
      <c r="U6659" s="4" t="s">
        <v>194</v>
      </c>
    </row>
    <row r="6660" spans="19:21" x14ac:dyDescent="0.25">
      <c r="S6660" s="6" t="s">
        <v>302</v>
      </c>
      <c r="T6660" s="6">
        <f t="shared" si="121"/>
        <v>6659</v>
      </c>
      <c r="U6660" s="4" t="s">
        <v>194</v>
      </c>
    </row>
    <row r="6661" spans="19:21" x14ac:dyDescent="0.25">
      <c r="S6661" s="6" t="s">
        <v>302</v>
      </c>
      <c r="T6661" s="6">
        <f t="shared" si="121"/>
        <v>6660</v>
      </c>
      <c r="U6661" s="4" t="s">
        <v>194</v>
      </c>
    </row>
    <row r="6662" spans="19:21" x14ac:dyDescent="0.25">
      <c r="S6662" s="6" t="s">
        <v>302</v>
      </c>
      <c r="T6662" s="6">
        <f t="shared" si="121"/>
        <v>6661</v>
      </c>
      <c r="U6662" s="4" t="s">
        <v>194</v>
      </c>
    </row>
    <row r="6663" spans="19:21" x14ac:dyDescent="0.25">
      <c r="S6663" s="6" t="s">
        <v>302</v>
      </c>
      <c r="T6663" s="6">
        <f t="shared" si="121"/>
        <v>6662</v>
      </c>
      <c r="U6663" s="4" t="s">
        <v>194</v>
      </c>
    </row>
    <row r="6664" spans="19:21" x14ac:dyDescent="0.25">
      <c r="S6664" s="6" t="s">
        <v>302</v>
      </c>
      <c r="T6664" s="6">
        <f t="shared" si="121"/>
        <v>6663</v>
      </c>
      <c r="U6664" s="4" t="s">
        <v>194</v>
      </c>
    </row>
    <row r="6665" spans="19:21" x14ac:dyDescent="0.25">
      <c r="S6665" s="6" t="s">
        <v>302</v>
      </c>
      <c r="T6665" s="6">
        <f t="shared" si="121"/>
        <v>6664</v>
      </c>
      <c r="U6665" s="4" t="s">
        <v>194</v>
      </c>
    </row>
    <row r="6666" spans="19:21" x14ac:dyDescent="0.25">
      <c r="S6666" s="6" t="s">
        <v>302</v>
      </c>
      <c r="T6666" s="6">
        <f t="shared" si="121"/>
        <v>6665</v>
      </c>
      <c r="U6666" s="4" t="s">
        <v>194</v>
      </c>
    </row>
    <row r="6667" spans="19:21" x14ac:dyDescent="0.25">
      <c r="S6667" s="6" t="s">
        <v>302</v>
      </c>
      <c r="T6667" s="6">
        <f t="shared" si="121"/>
        <v>6666</v>
      </c>
      <c r="U6667" s="4" t="s">
        <v>194</v>
      </c>
    </row>
    <row r="6668" spans="19:21" x14ac:dyDescent="0.25">
      <c r="S6668" s="6" t="s">
        <v>302</v>
      </c>
      <c r="T6668" s="6">
        <f t="shared" si="121"/>
        <v>6667</v>
      </c>
      <c r="U6668" s="4" t="s">
        <v>194</v>
      </c>
    </row>
    <row r="6669" spans="19:21" x14ac:dyDescent="0.25">
      <c r="S6669" s="6" t="s">
        <v>302</v>
      </c>
      <c r="T6669" s="6">
        <f t="shared" si="121"/>
        <v>6668</v>
      </c>
      <c r="U6669" s="4" t="s">
        <v>194</v>
      </c>
    </row>
    <row r="6670" spans="19:21" x14ac:dyDescent="0.25">
      <c r="S6670" s="6" t="s">
        <v>302</v>
      </c>
      <c r="T6670" s="6">
        <f t="shared" si="121"/>
        <v>6669</v>
      </c>
      <c r="U6670" s="4" t="s">
        <v>194</v>
      </c>
    </row>
    <row r="6671" spans="19:21" x14ac:dyDescent="0.25">
      <c r="S6671" s="6" t="s">
        <v>302</v>
      </c>
      <c r="T6671" s="6">
        <f t="shared" si="121"/>
        <v>6670</v>
      </c>
      <c r="U6671" s="4" t="s">
        <v>194</v>
      </c>
    </row>
    <row r="6672" spans="19:21" x14ac:dyDescent="0.25">
      <c r="S6672" s="6" t="s">
        <v>302</v>
      </c>
      <c r="T6672" s="6">
        <f t="shared" si="121"/>
        <v>6671</v>
      </c>
      <c r="U6672" s="4" t="s">
        <v>194</v>
      </c>
    </row>
    <row r="6673" spans="19:21" x14ac:dyDescent="0.25">
      <c r="S6673" s="6" t="s">
        <v>302</v>
      </c>
      <c r="T6673" s="6">
        <f t="shared" si="121"/>
        <v>6672</v>
      </c>
      <c r="U6673" s="4" t="s">
        <v>194</v>
      </c>
    </row>
    <row r="6674" spans="19:21" x14ac:dyDescent="0.25">
      <c r="S6674" s="6" t="s">
        <v>302</v>
      </c>
      <c r="T6674" s="6">
        <f t="shared" si="121"/>
        <v>6673</v>
      </c>
      <c r="U6674" s="4" t="s">
        <v>194</v>
      </c>
    </row>
    <row r="6675" spans="19:21" x14ac:dyDescent="0.25">
      <c r="S6675" s="6" t="s">
        <v>302</v>
      </c>
      <c r="T6675" s="6">
        <f t="shared" si="121"/>
        <v>6674</v>
      </c>
      <c r="U6675" s="4" t="s">
        <v>194</v>
      </c>
    </row>
    <row r="6676" spans="19:21" x14ac:dyDescent="0.25">
      <c r="S6676" s="6" t="s">
        <v>302</v>
      </c>
      <c r="T6676" s="6">
        <f t="shared" si="121"/>
        <v>6675</v>
      </c>
      <c r="U6676" s="4" t="s">
        <v>194</v>
      </c>
    </row>
    <row r="6677" spans="19:21" x14ac:dyDescent="0.25">
      <c r="S6677" s="6" t="s">
        <v>302</v>
      </c>
      <c r="T6677" s="6">
        <f t="shared" si="121"/>
        <v>6676</v>
      </c>
      <c r="U6677" s="4" t="s">
        <v>194</v>
      </c>
    </row>
    <row r="6678" spans="19:21" x14ac:dyDescent="0.25">
      <c r="S6678" s="6" t="s">
        <v>302</v>
      </c>
      <c r="T6678" s="6">
        <f t="shared" si="121"/>
        <v>6677</v>
      </c>
      <c r="U6678" s="4" t="s">
        <v>194</v>
      </c>
    </row>
    <row r="6679" spans="19:21" x14ac:dyDescent="0.25">
      <c r="S6679" s="6" t="s">
        <v>302</v>
      </c>
      <c r="T6679" s="6">
        <f t="shared" si="121"/>
        <v>6678</v>
      </c>
      <c r="U6679" s="4" t="s">
        <v>194</v>
      </c>
    </row>
    <row r="6680" spans="19:21" x14ac:dyDescent="0.25">
      <c r="S6680" s="6" t="s">
        <v>302</v>
      </c>
      <c r="T6680" s="6">
        <f t="shared" si="121"/>
        <v>6679</v>
      </c>
      <c r="U6680" s="4" t="s">
        <v>194</v>
      </c>
    </row>
    <row r="6681" spans="19:21" x14ac:dyDescent="0.25">
      <c r="S6681" s="6" t="s">
        <v>302</v>
      </c>
      <c r="T6681" s="6">
        <f t="shared" si="121"/>
        <v>6680</v>
      </c>
      <c r="U6681" s="4" t="s">
        <v>194</v>
      </c>
    </row>
    <row r="6682" spans="19:21" x14ac:dyDescent="0.25">
      <c r="S6682" s="6" t="s">
        <v>302</v>
      </c>
      <c r="T6682" s="6">
        <f t="shared" si="121"/>
        <v>6681</v>
      </c>
      <c r="U6682" s="4" t="s">
        <v>194</v>
      </c>
    </row>
    <row r="6683" spans="19:21" x14ac:dyDescent="0.25">
      <c r="S6683" s="6" t="s">
        <v>302</v>
      </c>
      <c r="T6683" s="6">
        <f t="shared" si="121"/>
        <v>6682</v>
      </c>
      <c r="U6683" s="4" t="s">
        <v>194</v>
      </c>
    </row>
    <row r="6684" spans="19:21" x14ac:dyDescent="0.25">
      <c r="S6684" s="6" t="s">
        <v>302</v>
      </c>
      <c r="T6684" s="6">
        <f t="shared" si="121"/>
        <v>6683</v>
      </c>
      <c r="U6684" s="4" t="s">
        <v>194</v>
      </c>
    </row>
    <row r="6685" spans="19:21" x14ac:dyDescent="0.25">
      <c r="S6685" s="6" t="s">
        <v>302</v>
      </c>
      <c r="T6685" s="6">
        <f t="shared" si="121"/>
        <v>6684</v>
      </c>
      <c r="U6685" s="4" t="s">
        <v>194</v>
      </c>
    </row>
    <row r="6686" spans="19:21" x14ac:dyDescent="0.25">
      <c r="S6686" s="6" t="s">
        <v>302</v>
      </c>
      <c r="T6686" s="6">
        <f t="shared" ref="T6686:T6749" si="122">T6685+1</f>
        <v>6685</v>
      </c>
      <c r="U6686" s="4" t="s">
        <v>194</v>
      </c>
    </row>
    <row r="6687" spans="19:21" x14ac:dyDescent="0.25">
      <c r="S6687" s="6" t="s">
        <v>302</v>
      </c>
      <c r="T6687" s="6">
        <f t="shared" si="122"/>
        <v>6686</v>
      </c>
      <c r="U6687" s="4" t="s">
        <v>194</v>
      </c>
    </row>
    <row r="6688" spans="19:21" x14ac:dyDescent="0.25">
      <c r="S6688" s="6" t="s">
        <v>302</v>
      </c>
      <c r="T6688" s="6">
        <f t="shared" si="122"/>
        <v>6687</v>
      </c>
      <c r="U6688" s="4" t="s">
        <v>194</v>
      </c>
    </row>
    <row r="6689" spans="19:21" x14ac:dyDescent="0.25">
      <c r="S6689" s="6" t="s">
        <v>302</v>
      </c>
      <c r="T6689" s="6">
        <f t="shared" si="122"/>
        <v>6688</v>
      </c>
      <c r="U6689" s="4" t="s">
        <v>194</v>
      </c>
    </row>
    <row r="6690" spans="19:21" x14ac:dyDescent="0.25">
      <c r="S6690" s="6" t="s">
        <v>302</v>
      </c>
      <c r="T6690" s="6">
        <f t="shared" si="122"/>
        <v>6689</v>
      </c>
      <c r="U6690" s="4" t="s">
        <v>194</v>
      </c>
    </row>
    <row r="6691" spans="19:21" x14ac:dyDescent="0.25">
      <c r="S6691" s="6" t="s">
        <v>302</v>
      </c>
      <c r="T6691" s="6">
        <f t="shared" si="122"/>
        <v>6690</v>
      </c>
      <c r="U6691" s="4" t="s">
        <v>194</v>
      </c>
    </row>
    <row r="6692" spans="19:21" x14ac:dyDescent="0.25">
      <c r="S6692" s="6" t="s">
        <v>302</v>
      </c>
      <c r="T6692" s="6">
        <f t="shared" si="122"/>
        <v>6691</v>
      </c>
      <c r="U6692" s="4" t="s">
        <v>194</v>
      </c>
    </row>
    <row r="6693" spans="19:21" x14ac:dyDescent="0.25">
      <c r="S6693" s="6" t="s">
        <v>302</v>
      </c>
      <c r="T6693" s="6">
        <f t="shared" si="122"/>
        <v>6692</v>
      </c>
      <c r="U6693" s="4" t="s">
        <v>194</v>
      </c>
    </row>
    <row r="6694" spans="19:21" x14ac:dyDescent="0.25">
      <c r="S6694" s="6" t="s">
        <v>302</v>
      </c>
      <c r="T6694" s="6">
        <f t="shared" si="122"/>
        <v>6693</v>
      </c>
      <c r="U6694" s="4" t="s">
        <v>194</v>
      </c>
    </row>
    <row r="6695" spans="19:21" x14ac:dyDescent="0.25">
      <c r="S6695" s="6" t="s">
        <v>302</v>
      </c>
      <c r="T6695" s="6">
        <f t="shared" si="122"/>
        <v>6694</v>
      </c>
      <c r="U6695" s="4" t="s">
        <v>194</v>
      </c>
    </row>
    <row r="6696" spans="19:21" x14ac:dyDescent="0.25">
      <c r="S6696" s="6" t="s">
        <v>302</v>
      </c>
      <c r="T6696" s="6">
        <f t="shared" si="122"/>
        <v>6695</v>
      </c>
      <c r="U6696" s="4" t="s">
        <v>194</v>
      </c>
    </row>
    <row r="6697" spans="19:21" x14ac:dyDescent="0.25">
      <c r="S6697" s="6" t="s">
        <v>302</v>
      </c>
      <c r="T6697" s="6">
        <f t="shared" si="122"/>
        <v>6696</v>
      </c>
      <c r="U6697" s="4" t="s">
        <v>194</v>
      </c>
    </row>
    <row r="6698" spans="19:21" x14ac:dyDescent="0.25">
      <c r="S6698" s="6" t="s">
        <v>302</v>
      </c>
      <c r="T6698" s="6">
        <f t="shared" si="122"/>
        <v>6697</v>
      </c>
      <c r="U6698" s="4" t="s">
        <v>194</v>
      </c>
    </row>
    <row r="6699" spans="19:21" x14ac:dyDescent="0.25">
      <c r="S6699" s="6" t="s">
        <v>302</v>
      </c>
      <c r="T6699" s="6">
        <f t="shared" si="122"/>
        <v>6698</v>
      </c>
      <c r="U6699" s="4" t="s">
        <v>194</v>
      </c>
    </row>
    <row r="6700" spans="19:21" x14ac:dyDescent="0.25">
      <c r="S6700" s="6" t="s">
        <v>302</v>
      </c>
      <c r="T6700" s="6">
        <f t="shared" si="122"/>
        <v>6699</v>
      </c>
      <c r="U6700" s="4" t="s">
        <v>194</v>
      </c>
    </row>
    <row r="6701" spans="19:21" x14ac:dyDescent="0.25">
      <c r="S6701" s="6" t="s">
        <v>302</v>
      </c>
      <c r="T6701" s="6">
        <f t="shared" si="122"/>
        <v>6700</v>
      </c>
      <c r="U6701" s="4" t="s">
        <v>194</v>
      </c>
    </row>
    <row r="6702" spans="19:21" x14ac:dyDescent="0.25">
      <c r="S6702" s="6" t="s">
        <v>302</v>
      </c>
      <c r="T6702" s="6">
        <f t="shared" si="122"/>
        <v>6701</v>
      </c>
      <c r="U6702" s="4" t="s">
        <v>194</v>
      </c>
    </row>
    <row r="6703" spans="19:21" x14ac:dyDescent="0.25">
      <c r="S6703" s="6" t="s">
        <v>302</v>
      </c>
      <c r="T6703" s="6">
        <f t="shared" si="122"/>
        <v>6702</v>
      </c>
      <c r="U6703" s="4" t="s">
        <v>194</v>
      </c>
    </row>
    <row r="6704" spans="19:21" x14ac:dyDescent="0.25">
      <c r="S6704" s="6" t="s">
        <v>302</v>
      </c>
      <c r="T6704" s="6">
        <f t="shared" si="122"/>
        <v>6703</v>
      </c>
      <c r="U6704" s="4" t="s">
        <v>194</v>
      </c>
    </row>
    <row r="6705" spans="19:21" x14ac:dyDescent="0.25">
      <c r="S6705" s="6" t="s">
        <v>302</v>
      </c>
      <c r="T6705" s="6">
        <f t="shared" si="122"/>
        <v>6704</v>
      </c>
      <c r="U6705" s="4" t="s">
        <v>194</v>
      </c>
    </row>
    <row r="6706" spans="19:21" x14ac:dyDescent="0.25">
      <c r="S6706" s="6" t="s">
        <v>302</v>
      </c>
      <c r="T6706" s="6">
        <f t="shared" si="122"/>
        <v>6705</v>
      </c>
      <c r="U6706" s="4" t="s">
        <v>194</v>
      </c>
    </row>
    <row r="6707" spans="19:21" x14ac:dyDescent="0.25">
      <c r="S6707" s="6" t="s">
        <v>302</v>
      </c>
      <c r="T6707" s="6">
        <f t="shared" si="122"/>
        <v>6706</v>
      </c>
      <c r="U6707" s="4" t="s">
        <v>194</v>
      </c>
    </row>
    <row r="6708" spans="19:21" x14ac:dyDescent="0.25">
      <c r="S6708" s="6" t="s">
        <v>302</v>
      </c>
      <c r="T6708" s="6">
        <f t="shared" si="122"/>
        <v>6707</v>
      </c>
      <c r="U6708" s="4" t="s">
        <v>194</v>
      </c>
    </row>
    <row r="6709" spans="19:21" x14ac:dyDescent="0.25">
      <c r="S6709" s="6" t="s">
        <v>302</v>
      </c>
      <c r="T6709" s="6">
        <f t="shared" si="122"/>
        <v>6708</v>
      </c>
      <c r="U6709" s="4" t="s">
        <v>194</v>
      </c>
    </row>
    <row r="6710" spans="19:21" x14ac:dyDescent="0.25">
      <c r="S6710" s="6" t="s">
        <v>302</v>
      </c>
      <c r="T6710" s="6">
        <f t="shared" si="122"/>
        <v>6709</v>
      </c>
      <c r="U6710" s="4" t="s">
        <v>194</v>
      </c>
    </row>
    <row r="6711" spans="19:21" x14ac:dyDescent="0.25">
      <c r="S6711" s="6" t="s">
        <v>302</v>
      </c>
      <c r="T6711" s="6">
        <f t="shared" si="122"/>
        <v>6710</v>
      </c>
      <c r="U6711" s="4" t="s">
        <v>194</v>
      </c>
    </row>
    <row r="6712" spans="19:21" x14ac:dyDescent="0.25">
      <c r="S6712" s="6" t="s">
        <v>302</v>
      </c>
      <c r="T6712" s="6">
        <f t="shared" si="122"/>
        <v>6711</v>
      </c>
      <c r="U6712" s="4" t="s">
        <v>194</v>
      </c>
    </row>
    <row r="6713" spans="19:21" x14ac:dyDescent="0.25">
      <c r="S6713" s="6" t="s">
        <v>302</v>
      </c>
      <c r="T6713" s="6">
        <f t="shared" si="122"/>
        <v>6712</v>
      </c>
      <c r="U6713" s="4" t="s">
        <v>194</v>
      </c>
    </row>
    <row r="6714" spans="19:21" x14ac:dyDescent="0.25">
      <c r="S6714" s="6" t="s">
        <v>302</v>
      </c>
      <c r="T6714" s="6">
        <f t="shared" si="122"/>
        <v>6713</v>
      </c>
      <c r="U6714" s="4" t="s">
        <v>194</v>
      </c>
    </row>
    <row r="6715" spans="19:21" x14ac:dyDescent="0.25">
      <c r="S6715" s="6" t="s">
        <v>302</v>
      </c>
      <c r="T6715" s="6">
        <f t="shared" si="122"/>
        <v>6714</v>
      </c>
      <c r="U6715" s="4" t="s">
        <v>194</v>
      </c>
    </row>
    <row r="6716" spans="19:21" x14ac:dyDescent="0.25">
      <c r="S6716" s="6" t="s">
        <v>302</v>
      </c>
      <c r="T6716" s="6">
        <f t="shared" si="122"/>
        <v>6715</v>
      </c>
      <c r="U6716" s="4" t="s">
        <v>194</v>
      </c>
    </row>
    <row r="6717" spans="19:21" x14ac:dyDescent="0.25">
      <c r="S6717" s="6" t="s">
        <v>302</v>
      </c>
      <c r="T6717" s="6">
        <f t="shared" si="122"/>
        <v>6716</v>
      </c>
      <c r="U6717" s="4" t="s">
        <v>194</v>
      </c>
    </row>
    <row r="6718" spans="19:21" x14ac:dyDescent="0.25">
      <c r="S6718" s="6" t="s">
        <v>302</v>
      </c>
      <c r="T6718" s="6">
        <f t="shared" si="122"/>
        <v>6717</v>
      </c>
      <c r="U6718" s="4" t="s">
        <v>194</v>
      </c>
    </row>
    <row r="6719" spans="19:21" x14ac:dyDescent="0.25">
      <c r="S6719" s="6" t="s">
        <v>302</v>
      </c>
      <c r="T6719" s="6">
        <f t="shared" si="122"/>
        <v>6718</v>
      </c>
      <c r="U6719" s="4" t="s">
        <v>194</v>
      </c>
    </row>
    <row r="6720" spans="19:21" x14ac:dyDescent="0.25">
      <c r="S6720" s="6" t="s">
        <v>302</v>
      </c>
      <c r="T6720" s="6">
        <f t="shared" si="122"/>
        <v>6719</v>
      </c>
      <c r="U6720" s="4" t="s">
        <v>194</v>
      </c>
    </row>
    <row r="6721" spans="19:21" x14ac:dyDescent="0.25">
      <c r="S6721" s="6" t="s">
        <v>302</v>
      </c>
      <c r="T6721" s="6">
        <f t="shared" si="122"/>
        <v>6720</v>
      </c>
      <c r="U6721" s="4" t="s">
        <v>194</v>
      </c>
    </row>
    <row r="6722" spans="19:21" x14ac:dyDescent="0.25">
      <c r="S6722" s="6" t="s">
        <v>302</v>
      </c>
      <c r="T6722" s="6">
        <f t="shared" si="122"/>
        <v>6721</v>
      </c>
      <c r="U6722" s="4" t="s">
        <v>194</v>
      </c>
    </row>
    <row r="6723" spans="19:21" x14ac:dyDescent="0.25">
      <c r="S6723" s="6" t="s">
        <v>302</v>
      </c>
      <c r="T6723" s="6">
        <f t="shared" si="122"/>
        <v>6722</v>
      </c>
      <c r="U6723" s="4" t="s">
        <v>194</v>
      </c>
    </row>
    <row r="6724" spans="19:21" x14ac:dyDescent="0.25">
      <c r="S6724" s="6" t="s">
        <v>302</v>
      </c>
      <c r="T6724" s="6">
        <f t="shared" si="122"/>
        <v>6723</v>
      </c>
      <c r="U6724" s="4" t="s">
        <v>194</v>
      </c>
    </row>
    <row r="6725" spans="19:21" x14ac:dyDescent="0.25">
      <c r="S6725" s="6" t="s">
        <v>302</v>
      </c>
      <c r="T6725" s="6">
        <f t="shared" si="122"/>
        <v>6724</v>
      </c>
      <c r="U6725" s="4" t="s">
        <v>194</v>
      </c>
    </row>
    <row r="6726" spans="19:21" x14ac:dyDescent="0.25">
      <c r="S6726" s="6" t="s">
        <v>302</v>
      </c>
      <c r="T6726" s="6">
        <f t="shared" si="122"/>
        <v>6725</v>
      </c>
      <c r="U6726" s="4" t="s">
        <v>194</v>
      </c>
    </row>
    <row r="6727" spans="19:21" x14ac:dyDescent="0.25">
      <c r="S6727" s="6" t="s">
        <v>302</v>
      </c>
      <c r="T6727" s="6">
        <f t="shared" si="122"/>
        <v>6726</v>
      </c>
      <c r="U6727" s="4" t="s">
        <v>194</v>
      </c>
    </row>
    <row r="6728" spans="19:21" x14ac:dyDescent="0.25">
      <c r="S6728" s="6" t="s">
        <v>302</v>
      </c>
      <c r="T6728" s="6">
        <f t="shared" si="122"/>
        <v>6727</v>
      </c>
      <c r="U6728" s="4" t="s">
        <v>194</v>
      </c>
    </row>
    <row r="6729" spans="19:21" x14ac:dyDescent="0.25">
      <c r="S6729" s="6" t="s">
        <v>302</v>
      </c>
      <c r="T6729" s="6">
        <f t="shared" si="122"/>
        <v>6728</v>
      </c>
      <c r="U6729" s="4" t="s">
        <v>194</v>
      </c>
    </row>
    <row r="6730" spans="19:21" x14ac:dyDescent="0.25">
      <c r="S6730" s="6" t="s">
        <v>302</v>
      </c>
      <c r="T6730" s="6">
        <f t="shared" si="122"/>
        <v>6729</v>
      </c>
      <c r="U6730" s="4" t="s">
        <v>194</v>
      </c>
    </row>
    <row r="6731" spans="19:21" x14ac:dyDescent="0.25">
      <c r="S6731" s="6" t="s">
        <v>302</v>
      </c>
      <c r="T6731" s="6">
        <f t="shared" si="122"/>
        <v>6730</v>
      </c>
      <c r="U6731" s="4" t="s">
        <v>194</v>
      </c>
    </row>
    <row r="6732" spans="19:21" x14ac:dyDescent="0.25">
      <c r="S6732" s="6" t="s">
        <v>302</v>
      </c>
      <c r="T6732" s="6">
        <f t="shared" si="122"/>
        <v>6731</v>
      </c>
      <c r="U6732" s="4" t="s">
        <v>194</v>
      </c>
    </row>
    <row r="6733" spans="19:21" x14ac:dyDescent="0.25">
      <c r="S6733" s="6" t="s">
        <v>302</v>
      </c>
      <c r="T6733" s="6">
        <f t="shared" si="122"/>
        <v>6732</v>
      </c>
      <c r="U6733" s="4" t="s">
        <v>194</v>
      </c>
    </row>
    <row r="6734" spans="19:21" x14ac:dyDescent="0.25">
      <c r="S6734" s="6" t="s">
        <v>302</v>
      </c>
      <c r="T6734" s="6">
        <f t="shared" si="122"/>
        <v>6733</v>
      </c>
      <c r="U6734" s="4" t="s">
        <v>194</v>
      </c>
    </row>
    <row r="6735" spans="19:21" x14ac:dyDescent="0.25">
      <c r="S6735" s="6" t="s">
        <v>302</v>
      </c>
      <c r="T6735" s="6">
        <f t="shared" si="122"/>
        <v>6734</v>
      </c>
      <c r="U6735" s="4" t="s">
        <v>194</v>
      </c>
    </row>
    <row r="6736" spans="19:21" x14ac:dyDescent="0.25">
      <c r="S6736" s="6" t="s">
        <v>302</v>
      </c>
      <c r="T6736" s="6">
        <f t="shared" si="122"/>
        <v>6735</v>
      </c>
      <c r="U6736" s="4" t="s">
        <v>194</v>
      </c>
    </row>
    <row r="6737" spans="19:21" x14ac:dyDescent="0.25">
      <c r="S6737" s="6" t="s">
        <v>302</v>
      </c>
      <c r="T6737" s="6">
        <f t="shared" si="122"/>
        <v>6736</v>
      </c>
      <c r="U6737" s="4" t="s">
        <v>194</v>
      </c>
    </row>
    <row r="6738" spans="19:21" x14ac:dyDescent="0.25">
      <c r="S6738" s="6" t="s">
        <v>302</v>
      </c>
      <c r="T6738" s="6">
        <f t="shared" si="122"/>
        <v>6737</v>
      </c>
      <c r="U6738" s="4" t="s">
        <v>194</v>
      </c>
    </row>
    <row r="6739" spans="19:21" x14ac:dyDescent="0.25">
      <c r="S6739" s="6" t="s">
        <v>302</v>
      </c>
      <c r="T6739" s="6">
        <f t="shared" si="122"/>
        <v>6738</v>
      </c>
      <c r="U6739" s="4" t="s">
        <v>194</v>
      </c>
    </row>
    <row r="6740" spans="19:21" x14ac:dyDescent="0.25">
      <c r="S6740" s="6" t="s">
        <v>302</v>
      </c>
      <c r="T6740" s="6">
        <f t="shared" si="122"/>
        <v>6739</v>
      </c>
      <c r="U6740" s="4" t="s">
        <v>194</v>
      </c>
    </row>
    <row r="6741" spans="19:21" x14ac:dyDescent="0.25">
      <c r="S6741" s="6" t="s">
        <v>302</v>
      </c>
      <c r="T6741" s="6">
        <f t="shared" si="122"/>
        <v>6740</v>
      </c>
      <c r="U6741" s="4" t="s">
        <v>194</v>
      </c>
    </row>
    <row r="6742" spans="19:21" x14ac:dyDescent="0.25">
      <c r="S6742" s="6" t="s">
        <v>302</v>
      </c>
      <c r="T6742" s="6">
        <f t="shared" si="122"/>
        <v>6741</v>
      </c>
      <c r="U6742" s="4" t="s">
        <v>194</v>
      </c>
    </row>
    <row r="6743" spans="19:21" x14ac:dyDescent="0.25">
      <c r="S6743" s="6" t="s">
        <v>302</v>
      </c>
      <c r="T6743" s="6">
        <f t="shared" si="122"/>
        <v>6742</v>
      </c>
      <c r="U6743" s="4" t="s">
        <v>194</v>
      </c>
    </row>
    <row r="6744" spans="19:21" x14ac:dyDescent="0.25">
      <c r="S6744" s="6" t="s">
        <v>302</v>
      </c>
      <c r="T6744" s="6">
        <f t="shared" si="122"/>
        <v>6743</v>
      </c>
      <c r="U6744" s="4" t="s">
        <v>194</v>
      </c>
    </row>
    <row r="6745" spans="19:21" x14ac:dyDescent="0.25">
      <c r="S6745" s="6" t="s">
        <v>302</v>
      </c>
      <c r="T6745" s="6">
        <f t="shared" si="122"/>
        <v>6744</v>
      </c>
      <c r="U6745" s="4" t="s">
        <v>194</v>
      </c>
    </row>
    <row r="6746" spans="19:21" x14ac:dyDescent="0.25">
      <c r="S6746" s="6" t="s">
        <v>302</v>
      </c>
      <c r="T6746" s="6">
        <f t="shared" si="122"/>
        <v>6745</v>
      </c>
      <c r="U6746" s="4" t="s">
        <v>194</v>
      </c>
    </row>
    <row r="6747" spans="19:21" x14ac:dyDescent="0.25">
      <c r="S6747" s="6" t="s">
        <v>302</v>
      </c>
      <c r="T6747" s="6">
        <f t="shared" si="122"/>
        <v>6746</v>
      </c>
      <c r="U6747" s="4" t="s">
        <v>194</v>
      </c>
    </row>
    <row r="6748" spans="19:21" x14ac:dyDescent="0.25">
      <c r="S6748" s="6" t="s">
        <v>302</v>
      </c>
      <c r="T6748" s="6">
        <f t="shared" si="122"/>
        <v>6747</v>
      </c>
      <c r="U6748" s="4" t="s">
        <v>194</v>
      </c>
    </row>
    <row r="6749" spans="19:21" x14ac:dyDescent="0.25">
      <c r="S6749" s="6" t="s">
        <v>302</v>
      </c>
      <c r="T6749" s="6">
        <f t="shared" si="122"/>
        <v>6748</v>
      </c>
      <c r="U6749" s="4" t="s">
        <v>194</v>
      </c>
    </row>
    <row r="6750" spans="19:21" x14ac:dyDescent="0.25">
      <c r="S6750" s="6" t="s">
        <v>302</v>
      </c>
      <c r="T6750" s="6">
        <f t="shared" ref="T6750:T6813" si="123">T6749+1</f>
        <v>6749</v>
      </c>
      <c r="U6750" s="4" t="s">
        <v>194</v>
      </c>
    </row>
    <row r="6751" spans="19:21" x14ac:dyDescent="0.25">
      <c r="S6751" s="6" t="s">
        <v>302</v>
      </c>
      <c r="T6751" s="6">
        <f t="shared" si="123"/>
        <v>6750</v>
      </c>
      <c r="U6751" s="4" t="s">
        <v>194</v>
      </c>
    </row>
    <row r="6752" spans="19:21" x14ac:dyDescent="0.25">
      <c r="S6752" s="6" t="s">
        <v>302</v>
      </c>
      <c r="T6752" s="6">
        <f t="shared" si="123"/>
        <v>6751</v>
      </c>
      <c r="U6752" s="4" t="s">
        <v>194</v>
      </c>
    </row>
    <row r="6753" spans="19:21" x14ac:dyDescent="0.25">
      <c r="S6753" s="6" t="s">
        <v>302</v>
      </c>
      <c r="T6753" s="6">
        <f t="shared" si="123"/>
        <v>6752</v>
      </c>
      <c r="U6753" s="4" t="s">
        <v>194</v>
      </c>
    </row>
    <row r="6754" spans="19:21" x14ac:dyDescent="0.25">
      <c r="S6754" s="6" t="s">
        <v>302</v>
      </c>
      <c r="T6754" s="6">
        <f t="shared" si="123"/>
        <v>6753</v>
      </c>
      <c r="U6754" s="4" t="s">
        <v>194</v>
      </c>
    </row>
    <row r="6755" spans="19:21" x14ac:dyDescent="0.25">
      <c r="S6755" s="6" t="s">
        <v>302</v>
      </c>
      <c r="T6755" s="6">
        <f t="shared" si="123"/>
        <v>6754</v>
      </c>
      <c r="U6755" s="4" t="s">
        <v>194</v>
      </c>
    </row>
    <row r="6756" spans="19:21" x14ac:dyDescent="0.25">
      <c r="S6756" s="6" t="s">
        <v>302</v>
      </c>
      <c r="T6756" s="6">
        <f t="shared" si="123"/>
        <v>6755</v>
      </c>
      <c r="U6756" s="4" t="s">
        <v>194</v>
      </c>
    </row>
    <row r="6757" spans="19:21" x14ac:dyDescent="0.25">
      <c r="S6757" s="6" t="s">
        <v>302</v>
      </c>
      <c r="T6757" s="6">
        <f t="shared" si="123"/>
        <v>6756</v>
      </c>
      <c r="U6757" s="4" t="s">
        <v>194</v>
      </c>
    </row>
    <row r="6758" spans="19:21" x14ac:dyDescent="0.25">
      <c r="S6758" s="6" t="s">
        <v>302</v>
      </c>
      <c r="T6758" s="6">
        <f t="shared" si="123"/>
        <v>6757</v>
      </c>
      <c r="U6758" s="4" t="s">
        <v>194</v>
      </c>
    </row>
    <row r="6759" spans="19:21" x14ac:dyDescent="0.25">
      <c r="S6759" s="6" t="s">
        <v>302</v>
      </c>
      <c r="T6759" s="6">
        <f t="shared" si="123"/>
        <v>6758</v>
      </c>
      <c r="U6759" s="4" t="s">
        <v>194</v>
      </c>
    </row>
    <row r="6760" spans="19:21" x14ac:dyDescent="0.25">
      <c r="S6760" s="6" t="s">
        <v>302</v>
      </c>
      <c r="T6760" s="6">
        <f t="shared" si="123"/>
        <v>6759</v>
      </c>
      <c r="U6760" s="4" t="s">
        <v>194</v>
      </c>
    </row>
    <row r="6761" spans="19:21" x14ac:dyDescent="0.25">
      <c r="S6761" s="6" t="s">
        <v>302</v>
      </c>
      <c r="T6761" s="6">
        <f t="shared" si="123"/>
        <v>6760</v>
      </c>
      <c r="U6761" s="4" t="s">
        <v>194</v>
      </c>
    </row>
    <row r="6762" spans="19:21" x14ac:dyDescent="0.25">
      <c r="S6762" s="6" t="s">
        <v>302</v>
      </c>
      <c r="T6762" s="6">
        <f t="shared" si="123"/>
        <v>6761</v>
      </c>
      <c r="U6762" s="4" t="s">
        <v>194</v>
      </c>
    </row>
    <row r="6763" spans="19:21" x14ac:dyDescent="0.25">
      <c r="S6763" s="6" t="s">
        <v>302</v>
      </c>
      <c r="T6763" s="6">
        <f t="shared" si="123"/>
        <v>6762</v>
      </c>
      <c r="U6763" s="4" t="s">
        <v>194</v>
      </c>
    </row>
    <row r="6764" spans="19:21" x14ac:dyDescent="0.25">
      <c r="S6764" s="6" t="s">
        <v>302</v>
      </c>
      <c r="T6764" s="6">
        <f t="shared" si="123"/>
        <v>6763</v>
      </c>
      <c r="U6764" s="4" t="s">
        <v>194</v>
      </c>
    </row>
    <row r="6765" spans="19:21" x14ac:dyDescent="0.25">
      <c r="S6765" s="6" t="s">
        <v>302</v>
      </c>
      <c r="T6765" s="6">
        <f t="shared" si="123"/>
        <v>6764</v>
      </c>
      <c r="U6765" s="4" t="s">
        <v>194</v>
      </c>
    </row>
    <row r="6766" spans="19:21" x14ac:dyDescent="0.25">
      <c r="S6766" s="6" t="s">
        <v>302</v>
      </c>
      <c r="T6766" s="6">
        <f t="shared" si="123"/>
        <v>6765</v>
      </c>
      <c r="U6766" s="4" t="s">
        <v>194</v>
      </c>
    </row>
    <row r="6767" spans="19:21" x14ac:dyDescent="0.25">
      <c r="S6767" s="6" t="s">
        <v>302</v>
      </c>
      <c r="T6767" s="6">
        <f t="shared" si="123"/>
        <v>6766</v>
      </c>
      <c r="U6767" s="4" t="s">
        <v>194</v>
      </c>
    </row>
    <row r="6768" spans="19:21" x14ac:dyDescent="0.25">
      <c r="S6768" s="6" t="s">
        <v>302</v>
      </c>
      <c r="T6768" s="6">
        <f t="shared" si="123"/>
        <v>6767</v>
      </c>
      <c r="U6768" s="4" t="s">
        <v>194</v>
      </c>
    </row>
    <row r="6769" spans="19:21" x14ac:dyDescent="0.25">
      <c r="S6769" s="6" t="s">
        <v>302</v>
      </c>
      <c r="T6769" s="6">
        <f t="shared" si="123"/>
        <v>6768</v>
      </c>
      <c r="U6769" s="4" t="s">
        <v>194</v>
      </c>
    </row>
    <row r="6770" spans="19:21" x14ac:dyDescent="0.25">
      <c r="S6770" s="6" t="s">
        <v>302</v>
      </c>
      <c r="T6770" s="6">
        <f t="shared" si="123"/>
        <v>6769</v>
      </c>
      <c r="U6770" s="4" t="s">
        <v>194</v>
      </c>
    </row>
    <row r="6771" spans="19:21" x14ac:dyDescent="0.25">
      <c r="S6771" s="6" t="s">
        <v>302</v>
      </c>
      <c r="T6771" s="6">
        <f t="shared" si="123"/>
        <v>6770</v>
      </c>
      <c r="U6771" s="4" t="s">
        <v>194</v>
      </c>
    </row>
    <row r="6772" spans="19:21" x14ac:dyDescent="0.25">
      <c r="S6772" s="6" t="s">
        <v>302</v>
      </c>
      <c r="T6772" s="6">
        <f t="shared" si="123"/>
        <v>6771</v>
      </c>
      <c r="U6772" s="4" t="s">
        <v>194</v>
      </c>
    </row>
    <row r="6773" spans="19:21" x14ac:dyDescent="0.25">
      <c r="S6773" s="6" t="s">
        <v>302</v>
      </c>
      <c r="T6773" s="6">
        <f t="shared" si="123"/>
        <v>6772</v>
      </c>
      <c r="U6773" s="4" t="s">
        <v>194</v>
      </c>
    </row>
    <row r="6774" spans="19:21" x14ac:dyDescent="0.25">
      <c r="S6774" s="6" t="s">
        <v>302</v>
      </c>
      <c r="T6774" s="6">
        <f t="shared" si="123"/>
        <v>6773</v>
      </c>
      <c r="U6774" s="4" t="s">
        <v>194</v>
      </c>
    </row>
    <row r="6775" spans="19:21" x14ac:dyDescent="0.25">
      <c r="S6775" s="6" t="s">
        <v>302</v>
      </c>
      <c r="T6775" s="6">
        <f t="shared" si="123"/>
        <v>6774</v>
      </c>
      <c r="U6775" s="4" t="s">
        <v>194</v>
      </c>
    </row>
    <row r="6776" spans="19:21" x14ac:dyDescent="0.25">
      <c r="S6776" s="6" t="s">
        <v>302</v>
      </c>
      <c r="T6776" s="6">
        <f t="shared" si="123"/>
        <v>6775</v>
      </c>
      <c r="U6776" s="4" t="s">
        <v>194</v>
      </c>
    </row>
    <row r="6777" spans="19:21" x14ac:dyDescent="0.25">
      <c r="S6777" s="6" t="s">
        <v>302</v>
      </c>
      <c r="T6777" s="6">
        <f t="shared" si="123"/>
        <v>6776</v>
      </c>
      <c r="U6777" s="4" t="s">
        <v>194</v>
      </c>
    </row>
    <row r="6778" spans="19:21" x14ac:dyDescent="0.25">
      <c r="S6778" s="6" t="s">
        <v>302</v>
      </c>
      <c r="T6778" s="6">
        <f t="shared" si="123"/>
        <v>6777</v>
      </c>
      <c r="U6778" s="4" t="s">
        <v>194</v>
      </c>
    </row>
    <row r="6779" spans="19:21" x14ac:dyDescent="0.25">
      <c r="S6779" s="6" t="s">
        <v>302</v>
      </c>
      <c r="T6779" s="6">
        <f t="shared" si="123"/>
        <v>6778</v>
      </c>
      <c r="U6779" s="4" t="s">
        <v>194</v>
      </c>
    </row>
    <row r="6780" spans="19:21" x14ac:dyDescent="0.25">
      <c r="S6780" s="6" t="s">
        <v>302</v>
      </c>
      <c r="T6780" s="6">
        <f t="shared" si="123"/>
        <v>6779</v>
      </c>
      <c r="U6780" s="4" t="s">
        <v>194</v>
      </c>
    </row>
    <row r="6781" spans="19:21" x14ac:dyDescent="0.25">
      <c r="S6781" s="6" t="s">
        <v>302</v>
      </c>
      <c r="T6781" s="6">
        <f t="shared" si="123"/>
        <v>6780</v>
      </c>
      <c r="U6781" s="4" t="s">
        <v>194</v>
      </c>
    </row>
    <row r="6782" spans="19:21" x14ac:dyDescent="0.25">
      <c r="S6782" s="6" t="s">
        <v>302</v>
      </c>
      <c r="T6782" s="6">
        <f t="shared" si="123"/>
        <v>6781</v>
      </c>
      <c r="U6782" s="4" t="s">
        <v>194</v>
      </c>
    </row>
    <row r="6783" spans="19:21" x14ac:dyDescent="0.25">
      <c r="S6783" s="6" t="s">
        <v>302</v>
      </c>
      <c r="T6783" s="6">
        <f t="shared" si="123"/>
        <v>6782</v>
      </c>
      <c r="U6783" s="4" t="s">
        <v>194</v>
      </c>
    </row>
    <row r="6784" spans="19:21" x14ac:dyDescent="0.25">
      <c r="S6784" s="6" t="s">
        <v>302</v>
      </c>
      <c r="T6784" s="6">
        <f t="shared" si="123"/>
        <v>6783</v>
      </c>
      <c r="U6784" s="4" t="s">
        <v>194</v>
      </c>
    </row>
    <row r="6785" spans="19:21" x14ac:dyDescent="0.25">
      <c r="S6785" s="6" t="s">
        <v>302</v>
      </c>
      <c r="T6785" s="6">
        <f t="shared" si="123"/>
        <v>6784</v>
      </c>
      <c r="U6785" s="4" t="s">
        <v>194</v>
      </c>
    </row>
    <row r="6786" spans="19:21" x14ac:dyDescent="0.25">
      <c r="S6786" s="6" t="s">
        <v>302</v>
      </c>
      <c r="T6786" s="6">
        <f t="shared" si="123"/>
        <v>6785</v>
      </c>
      <c r="U6786" s="4" t="s">
        <v>194</v>
      </c>
    </row>
    <row r="6787" spans="19:21" x14ac:dyDescent="0.25">
      <c r="S6787" s="6" t="s">
        <v>302</v>
      </c>
      <c r="T6787" s="6">
        <f t="shared" si="123"/>
        <v>6786</v>
      </c>
      <c r="U6787" s="4" t="s">
        <v>194</v>
      </c>
    </row>
    <row r="6788" spans="19:21" x14ac:dyDescent="0.25">
      <c r="S6788" s="6" t="s">
        <v>302</v>
      </c>
      <c r="T6788" s="6">
        <f t="shared" si="123"/>
        <v>6787</v>
      </c>
      <c r="U6788" s="4" t="s">
        <v>194</v>
      </c>
    </row>
    <row r="6789" spans="19:21" x14ac:dyDescent="0.25">
      <c r="S6789" s="6" t="s">
        <v>302</v>
      </c>
      <c r="T6789" s="6">
        <f t="shared" si="123"/>
        <v>6788</v>
      </c>
      <c r="U6789" s="4" t="s">
        <v>194</v>
      </c>
    </row>
    <row r="6790" spans="19:21" x14ac:dyDescent="0.25">
      <c r="S6790" s="6" t="s">
        <v>302</v>
      </c>
      <c r="T6790" s="6">
        <f t="shared" si="123"/>
        <v>6789</v>
      </c>
      <c r="U6790" s="4" t="s">
        <v>194</v>
      </c>
    </row>
    <row r="6791" spans="19:21" x14ac:dyDescent="0.25">
      <c r="S6791" s="6" t="s">
        <v>302</v>
      </c>
      <c r="T6791" s="6">
        <f t="shared" si="123"/>
        <v>6790</v>
      </c>
      <c r="U6791" s="4" t="s">
        <v>194</v>
      </c>
    </row>
    <row r="6792" spans="19:21" x14ac:dyDescent="0.25">
      <c r="S6792" s="6" t="s">
        <v>302</v>
      </c>
      <c r="T6792" s="6">
        <f t="shared" si="123"/>
        <v>6791</v>
      </c>
      <c r="U6792" s="4" t="s">
        <v>194</v>
      </c>
    </row>
    <row r="6793" spans="19:21" x14ac:dyDescent="0.25">
      <c r="S6793" s="6" t="s">
        <v>302</v>
      </c>
      <c r="T6793" s="6">
        <f t="shared" si="123"/>
        <v>6792</v>
      </c>
      <c r="U6793" s="4" t="s">
        <v>194</v>
      </c>
    </row>
    <row r="6794" spans="19:21" x14ac:dyDescent="0.25">
      <c r="S6794" s="6" t="s">
        <v>302</v>
      </c>
      <c r="T6794" s="6">
        <f t="shared" si="123"/>
        <v>6793</v>
      </c>
      <c r="U6794" s="4" t="s">
        <v>194</v>
      </c>
    </row>
    <row r="6795" spans="19:21" x14ac:dyDescent="0.25">
      <c r="S6795" s="6" t="s">
        <v>302</v>
      </c>
      <c r="T6795" s="6">
        <f t="shared" si="123"/>
        <v>6794</v>
      </c>
      <c r="U6795" s="4" t="s">
        <v>194</v>
      </c>
    </row>
    <row r="6796" spans="19:21" x14ac:dyDescent="0.25">
      <c r="S6796" s="6" t="s">
        <v>302</v>
      </c>
      <c r="T6796" s="6">
        <f t="shared" si="123"/>
        <v>6795</v>
      </c>
      <c r="U6796" s="4" t="s">
        <v>194</v>
      </c>
    </row>
    <row r="6797" spans="19:21" x14ac:dyDescent="0.25">
      <c r="S6797" s="6" t="s">
        <v>302</v>
      </c>
      <c r="T6797" s="6">
        <f t="shared" si="123"/>
        <v>6796</v>
      </c>
      <c r="U6797" s="4" t="s">
        <v>194</v>
      </c>
    </row>
    <row r="6798" spans="19:21" x14ac:dyDescent="0.25">
      <c r="S6798" s="6" t="s">
        <v>302</v>
      </c>
      <c r="T6798" s="6">
        <f t="shared" si="123"/>
        <v>6797</v>
      </c>
      <c r="U6798" s="4" t="s">
        <v>194</v>
      </c>
    </row>
    <row r="6799" spans="19:21" x14ac:dyDescent="0.25">
      <c r="S6799" s="6" t="s">
        <v>302</v>
      </c>
      <c r="T6799" s="6">
        <f t="shared" si="123"/>
        <v>6798</v>
      </c>
      <c r="U6799" s="4" t="s">
        <v>194</v>
      </c>
    </row>
    <row r="6800" spans="19:21" x14ac:dyDescent="0.25">
      <c r="S6800" s="6" t="s">
        <v>302</v>
      </c>
      <c r="T6800" s="6">
        <f t="shared" si="123"/>
        <v>6799</v>
      </c>
      <c r="U6800" s="4" t="s">
        <v>194</v>
      </c>
    </row>
    <row r="6801" spans="19:21" x14ac:dyDescent="0.25">
      <c r="S6801" s="6" t="s">
        <v>302</v>
      </c>
      <c r="T6801" s="6">
        <f t="shared" si="123"/>
        <v>6800</v>
      </c>
      <c r="U6801" s="4" t="s">
        <v>194</v>
      </c>
    </row>
    <row r="6802" spans="19:21" x14ac:dyDescent="0.25">
      <c r="S6802" s="6" t="s">
        <v>302</v>
      </c>
      <c r="T6802" s="6">
        <f t="shared" si="123"/>
        <v>6801</v>
      </c>
      <c r="U6802" s="4" t="s">
        <v>194</v>
      </c>
    </row>
    <row r="6803" spans="19:21" x14ac:dyDescent="0.25">
      <c r="S6803" s="6" t="s">
        <v>302</v>
      </c>
      <c r="T6803" s="6">
        <f t="shared" si="123"/>
        <v>6802</v>
      </c>
      <c r="U6803" s="4" t="s">
        <v>194</v>
      </c>
    </row>
    <row r="6804" spans="19:21" x14ac:dyDescent="0.25">
      <c r="S6804" s="6" t="s">
        <v>302</v>
      </c>
      <c r="T6804" s="6">
        <f t="shared" si="123"/>
        <v>6803</v>
      </c>
      <c r="U6804" s="4" t="s">
        <v>194</v>
      </c>
    </row>
    <row r="6805" spans="19:21" x14ac:dyDescent="0.25">
      <c r="S6805" s="6" t="s">
        <v>302</v>
      </c>
      <c r="T6805" s="6">
        <f t="shared" si="123"/>
        <v>6804</v>
      </c>
      <c r="U6805" s="4" t="s">
        <v>194</v>
      </c>
    </row>
    <row r="6806" spans="19:21" x14ac:dyDescent="0.25">
      <c r="S6806" s="6" t="s">
        <v>302</v>
      </c>
      <c r="T6806" s="6">
        <f t="shared" si="123"/>
        <v>6805</v>
      </c>
      <c r="U6806" s="4" t="s">
        <v>194</v>
      </c>
    </row>
    <row r="6807" spans="19:21" x14ac:dyDescent="0.25">
      <c r="S6807" s="6" t="s">
        <v>302</v>
      </c>
      <c r="T6807" s="6">
        <f t="shared" si="123"/>
        <v>6806</v>
      </c>
      <c r="U6807" s="4" t="s">
        <v>194</v>
      </c>
    </row>
    <row r="6808" spans="19:21" x14ac:dyDescent="0.25">
      <c r="S6808" s="6" t="s">
        <v>302</v>
      </c>
      <c r="T6808" s="6">
        <f t="shared" si="123"/>
        <v>6807</v>
      </c>
      <c r="U6808" s="4" t="s">
        <v>194</v>
      </c>
    </row>
    <row r="6809" spans="19:21" x14ac:dyDescent="0.25">
      <c r="S6809" s="6" t="s">
        <v>302</v>
      </c>
      <c r="T6809" s="6">
        <f t="shared" si="123"/>
        <v>6808</v>
      </c>
      <c r="U6809" s="4" t="s">
        <v>194</v>
      </c>
    </row>
    <row r="6810" spans="19:21" x14ac:dyDescent="0.25">
      <c r="S6810" s="6" t="s">
        <v>302</v>
      </c>
      <c r="T6810" s="6">
        <f t="shared" si="123"/>
        <v>6809</v>
      </c>
      <c r="U6810" s="4" t="s">
        <v>194</v>
      </c>
    </row>
    <row r="6811" spans="19:21" x14ac:dyDescent="0.25">
      <c r="S6811" s="6" t="s">
        <v>302</v>
      </c>
      <c r="T6811" s="6">
        <f t="shared" si="123"/>
        <v>6810</v>
      </c>
      <c r="U6811" s="4" t="s">
        <v>194</v>
      </c>
    </row>
    <row r="6812" spans="19:21" x14ac:dyDescent="0.25">
      <c r="S6812" s="6" t="s">
        <v>302</v>
      </c>
      <c r="T6812" s="6">
        <f t="shared" si="123"/>
        <v>6811</v>
      </c>
      <c r="U6812" s="4" t="s">
        <v>194</v>
      </c>
    </row>
    <row r="6813" spans="19:21" x14ac:dyDescent="0.25">
      <c r="S6813" s="6" t="s">
        <v>302</v>
      </c>
      <c r="T6813" s="6">
        <f t="shared" si="123"/>
        <v>6812</v>
      </c>
      <c r="U6813" s="4" t="s">
        <v>194</v>
      </c>
    </row>
    <row r="6814" spans="19:21" x14ac:dyDescent="0.25">
      <c r="S6814" s="6" t="s">
        <v>302</v>
      </c>
      <c r="T6814" s="6">
        <f t="shared" ref="T6814:T6877" si="124">T6813+1</f>
        <v>6813</v>
      </c>
      <c r="U6814" s="4" t="s">
        <v>194</v>
      </c>
    </row>
    <row r="6815" spans="19:21" x14ac:dyDescent="0.25">
      <c r="S6815" s="6" t="s">
        <v>302</v>
      </c>
      <c r="T6815" s="6">
        <f t="shared" si="124"/>
        <v>6814</v>
      </c>
      <c r="U6815" s="4" t="s">
        <v>194</v>
      </c>
    </row>
    <row r="6816" spans="19:21" x14ac:dyDescent="0.25">
      <c r="S6816" s="6" t="s">
        <v>302</v>
      </c>
      <c r="T6816" s="6">
        <f t="shared" si="124"/>
        <v>6815</v>
      </c>
      <c r="U6816" s="4" t="s">
        <v>194</v>
      </c>
    </row>
    <row r="6817" spans="19:21" x14ac:dyDescent="0.25">
      <c r="S6817" s="6" t="s">
        <v>302</v>
      </c>
      <c r="T6817" s="6">
        <f t="shared" si="124"/>
        <v>6816</v>
      </c>
      <c r="U6817" s="4" t="s">
        <v>194</v>
      </c>
    </row>
    <row r="6818" spans="19:21" x14ac:dyDescent="0.25">
      <c r="S6818" s="6" t="s">
        <v>302</v>
      </c>
      <c r="T6818" s="6">
        <f t="shared" si="124"/>
        <v>6817</v>
      </c>
      <c r="U6818" s="4" t="s">
        <v>194</v>
      </c>
    </row>
    <row r="6819" spans="19:21" x14ac:dyDescent="0.25">
      <c r="S6819" s="6" t="s">
        <v>302</v>
      </c>
      <c r="T6819" s="6">
        <f t="shared" si="124"/>
        <v>6818</v>
      </c>
      <c r="U6819" s="4" t="s">
        <v>194</v>
      </c>
    </row>
    <row r="6820" spans="19:21" x14ac:dyDescent="0.25">
      <c r="S6820" s="6" t="s">
        <v>302</v>
      </c>
      <c r="T6820" s="6">
        <f t="shared" si="124"/>
        <v>6819</v>
      </c>
      <c r="U6820" s="4" t="s">
        <v>194</v>
      </c>
    </row>
    <row r="6821" spans="19:21" x14ac:dyDescent="0.25">
      <c r="S6821" s="6" t="s">
        <v>302</v>
      </c>
      <c r="T6821" s="6">
        <f t="shared" si="124"/>
        <v>6820</v>
      </c>
      <c r="U6821" s="4" t="s">
        <v>194</v>
      </c>
    </row>
    <row r="6822" spans="19:21" x14ac:dyDescent="0.25">
      <c r="S6822" s="6" t="s">
        <v>302</v>
      </c>
      <c r="T6822" s="6">
        <f t="shared" si="124"/>
        <v>6821</v>
      </c>
      <c r="U6822" s="4" t="s">
        <v>194</v>
      </c>
    </row>
    <row r="6823" spans="19:21" x14ac:dyDescent="0.25">
      <c r="S6823" s="6" t="s">
        <v>302</v>
      </c>
      <c r="T6823" s="6">
        <f t="shared" si="124"/>
        <v>6822</v>
      </c>
      <c r="U6823" s="4" t="s">
        <v>194</v>
      </c>
    </row>
    <row r="6824" spans="19:21" x14ac:dyDescent="0.25">
      <c r="S6824" s="6" t="s">
        <v>302</v>
      </c>
      <c r="T6824" s="6">
        <f t="shared" si="124"/>
        <v>6823</v>
      </c>
      <c r="U6824" s="4" t="s">
        <v>194</v>
      </c>
    </row>
    <row r="6825" spans="19:21" x14ac:dyDescent="0.25">
      <c r="S6825" s="6" t="s">
        <v>302</v>
      </c>
      <c r="T6825" s="6">
        <f t="shared" si="124"/>
        <v>6824</v>
      </c>
      <c r="U6825" s="4" t="s">
        <v>194</v>
      </c>
    </row>
    <row r="6826" spans="19:21" x14ac:dyDescent="0.25">
      <c r="S6826" s="6" t="s">
        <v>302</v>
      </c>
      <c r="T6826" s="6">
        <f t="shared" si="124"/>
        <v>6825</v>
      </c>
      <c r="U6826" s="4" t="s">
        <v>194</v>
      </c>
    </row>
    <row r="6827" spans="19:21" x14ac:dyDescent="0.25">
      <c r="S6827" s="6" t="s">
        <v>302</v>
      </c>
      <c r="T6827" s="6">
        <f t="shared" si="124"/>
        <v>6826</v>
      </c>
      <c r="U6827" s="4" t="s">
        <v>194</v>
      </c>
    </row>
    <row r="6828" spans="19:21" x14ac:dyDescent="0.25">
      <c r="S6828" s="6" t="s">
        <v>302</v>
      </c>
      <c r="T6828" s="6">
        <f t="shared" si="124"/>
        <v>6827</v>
      </c>
      <c r="U6828" s="4" t="s">
        <v>194</v>
      </c>
    </row>
    <row r="6829" spans="19:21" x14ac:dyDescent="0.25">
      <c r="S6829" s="6" t="s">
        <v>302</v>
      </c>
      <c r="T6829" s="6">
        <f t="shared" si="124"/>
        <v>6828</v>
      </c>
      <c r="U6829" s="4" t="s">
        <v>194</v>
      </c>
    </row>
    <row r="6830" spans="19:21" x14ac:dyDescent="0.25">
      <c r="S6830" s="6" t="s">
        <v>302</v>
      </c>
      <c r="T6830" s="6">
        <f t="shared" si="124"/>
        <v>6829</v>
      </c>
      <c r="U6830" s="4" t="s">
        <v>194</v>
      </c>
    </row>
    <row r="6831" spans="19:21" x14ac:dyDescent="0.25">
      <c r="S6831" s="6" t="s">
        <v>302</v>
      </c>
      <c r="T6831" s="6">
        <f t="shared" si="124"/>
        <v>6830</v>
      </c>
      <c r="U6831" s="4" t="s">
        <v>194</v>
      </c>
    </row>
    <row r="6832" spans="19:21" x14ac:dyDescent="0.25">
      <c r="S6832" s="6" t="s">
        <v>302</v>
      </c>
      <c r="T6832" s="6">
        <f t="shared" si="124"/>
        <v>6831</v>
      </c>
      <c r="U6832" s="4" t="s">
        <v>194</v>
      </c>
    </row>
    <row r="6833" spans="19:21" x14ac:dyDescent="0.25">
      <c r="S6833" s="6" t="s">
        <v>302</v>
      </c>
      <c r="T6833" s="6">
        <f t="shared" si="124"/>
        <v>6832</v>
      </c>
      <c r="U6833" s="4" t="s">
        <v>194</v>
      </c>
    </row>
    <row r="6834" spans="19:21" x14ac:dyDescent="0.25">
      <c r="S6834" s="6" t="s">
        <v>302</v>
      </c>
      <c r="T6834" s="6">
        <f t="shared" si="124"/>
        <v>6833</v>
      </c>
      <c r="U6834" s="4" t="s">
        <v>194</v>
      </c>
    </row>
    <row r="6835" spans="19:21" x14ac:dyDescent="0.25">
      <c r="S6835" s="6" t="s">
        <v>302</v>
      </c>
      <c r="T6835" s="6">
        <f t="shared" si="124"/>
        <v>6834</v>
      </c>
      <c r="U6835" s="4" t="s">
        <v>194</v>
      </c>
    </row>
    <row r="6836" spans="19:21" x14ac:dyDescent="0.25">
      <c r="S6836" s="6" t="s">
        <v>302</v>
      </c>
      <c r="T6836" s="6">
        <f t="shared" si="124"/>
        <v>6835</v>
      </c>
      <c r="U6836" s="4" t="s">
        <v>194</v>
      </c>
    </row>
    <row r="6837" spans="19:21" x14ac:dyDescent="0.25">
      <c r="S6837" s="6" t="s">
        <v>302</v>
      </c>
      <c r="T6837" s="6">
        <f t="shared" si="124"/>
        <v>6836</v>
      </c>
      <c r="U6837" s="4" t="s">
        <v>194</v>
      </c>
    </row>
    <row r="6838" spans="19:21" x14ac:dyDescent="0.25">
      <c r="S6838" s="6" t="s">
        <v>302</v>
      </c>
      <c r="T6838" s="6">
        <f t="shared" si="124"/>
        <v>6837</v>
      </c>
      <c r="U6838" s="4" t="s">
        <v>194</v>
      </c>
    </row>
    <row r="6839" spans="19:21" x14ac:dyDescent="0.25">
      <c r="S6839" s="6" t="s">
        <v>302</v>
      </c>
      <c r="T6839" s="6">
        <f t="shared" si="124"/>
        <v>6838</v>
      </c>
      <c r="U6839" s="4" t="s">
        <v>194</v>
      </c>
    </row>
    <row r="6840" spans="19:21" x14ac:dyDescent="0.25">
      <c r="S6840" s="6" t="s">
        <v>302</v>
      </c>
      <c r="T6840" s="6">
        <f t="shared" si="124"/>
        <v>6839</v>
      </c>
      <c r="U6840" s="4" t="s">
        <v>194</v>
      </c>
    </row>
    <row r="6841" spans="19:21" x14ac:dyDescent="0.25">
      <c r="S6841" s="6" t="s">
        <v>302</v>
      </c>
      <c r="T6841" s="6">
        <f t="shared" si="124"/>
        <v>6840</v>
      </c>
      <c r="U6841" s="4" t="s">
        <v>194</v>
      </c>
    </row>
    <row r="6842" spans="19:21" x14ac:dyDescent="0.25">
      <c r="S6842" s="6" t="s">
        <v>302</v>
      </c>
      <c r="T6842" s="6">
        <f t="shared" si="124"/>
        <v>6841</v>
      </c>
      <c r="U6842" s="4" t="s">
        <v>194</v>
      </c>
    </row>
    <row r="6843" spans="19:21" x14ac:dyDescent="0.25">
      <c r="S6843" s="6" t="s">
        <v>302</v>
      </c>
      <c r="T6843" s="6">
        <f t="shared" si="124"/>
        <v>6842</v>
      </c>
      <c r="U6843" s="4" t="s">
        <v>194</v>
      </c>
    </row>
    <row r="6844" spans="19:21" x14ac:dyDescent="0.25">
      <c r="S6844" s="6" t="s">
        <v>302</v>
      </c>
      <c r="T6844" s="6">
        <f t="shared" si="124"/>
        <v>6843</v>
      </c>
      <c r="U6844" s="4" t="s">
        <v>194</v>
      </c>
    </row>
    <row r="6845" spans="19:21" x14ac:dyDescent="0.25">
      <c r="S6845" s="6" t="s">
        <v>302</v>
      </c>
      <c r="T6845" s="6">
        <f t="shared" si="124"/>
        <v>6844</v>
      </c>
      <c r="U6845" s="4" t="s">
        <v>194</v>
      </c>
    </row>
    <row r="6846" spans="19:21" x14ac:dyDescent="0.25">
      <c r="S6846" s="6" t="s">
        <v>302</v>
      </c>
      <c r="T6846" s="6">
        <f t="shared" si="124"/>
        <v>6845</v>
      </c>
      <c r="U6846" s="4" t="s">
        <v>194</v>
      </c>
    </row>
    <row r="6847" spans="19:21" x14ac:dyDescent="0.25">
      <c r="S6847" s="6" t="s">
        <v>302</v>
      </c>
      <c r="T6847" s="6">
        <f t="shared" si="124"/>
        <v>6846</v>
      </c>
      <c r="U6847" s="4" t="s">
        <v>194</v>
      </c>
    </row>
    <row r="6848" spans="19:21" x14ac:dyDescent="0.25">
      <c r="S6848" s="6" t="s">
        <v>302</v>
      </c>
      <c r="T6848" s="6">
        <f t="shared" si="124"/>
        <v>6847</v>
      </c>
      <c r="U6848" s="4" t="s">
        <v>194</v>
      </c>
    </row>
    <row r="6849" spans="19:21" x14ac:dyDescent="0.25">
      <c r="S6849" s="6" t="s">
        <v>302</v>
      </c>
      <c r="T6849" s="6">
        <f t="shared" si="124"/>
        <v>6848</v>
      </c>
      <c r="U6849" s="4" t="s">
        <v>194</v>
      </c>
    </row>
    <row r="6850" spans="19:21" x14ac:dyDescent="0.25">
      <c r="S6850" s="6" t="s">
        <v>302</v>
      </c>
      <c r="T6850" s="6">
        <f t="shared" si="124"/>
        <v>6849</v>
      </c>
      <c r="U6850" s="4" t="s">
        <v>194</v>
      </c>
    </row>
    <row r="6851" spans="19:21" x14ac:dyDescent="0.25">
      <c r="S6851" s="6" t="s">
        <v>302</v>
      </c>
      <c r="T6851" s="6">
        <f t="shared" si="124"/>
        <v>6850</v>
      </c>
      <c r="U6851" s="4" t="s">
        <v>194</v>
      </c>
    </row>
    <row r="6852" spans="19:21" x14ac:dyDescent="0.25">
      <c r="S6852" s="6" t="s">
        <v>302</v>
      </c>
      <c r="T6852" s="6">
        <f t="shared" si="124"/>
        <v>6851</v>
      </c>
      <c r="U6852" s="4" t="s">
        <v>194</v>
      </c>
    </row>
    <row r="6853" spans="19:21" x14ac:dyDescent="0.25">
      <c r="S6853" s="6" t="s">
        <v>302</v>
      </c>
      <c r="T6853" s="6">
        <f t="shared" si="124"/>
        <v>6852</v>
      </c>
      <c r="U6853" s="4" t="s">
        <v>194</v>
      </c>
    </row>
    <row r="6854" spans="19:21" x14ac:dyDescent="0.25">
      <c r="S6854" s="6" t="s">
        <v>302</v>
      </c>
      <c r="T6854" s="6">
        <f t="shared" si="124"/>
        <v>6853</v>
      </c>
      <c r="U6854" s="4" t="s">
        <v>194</v>
      </c>
    </row>
    <row r="6855" spans="19:21" x14ac:dyDescent="0.25">
      <c r="S6855" s="6" t="s">
        <v>302</v>
      </c>
      <c r="T6855" s="6">
        <f t="shared" si="124"/>
        <v>6854</v>
      </c>
      <c r="U6855" s="4" t="s">
        <v>194</v>
      </c>
    </row>
    <row r="6856" spans="19:21" x14ac:dyDescent="0.25">
      <c r="S6856" s="6" t="s">
        <v>302</v>
      </c>
      <c r="T6856" s="6">
        <f t="shared" si="124"/>
        <v>6855</v>
      </c>
      <c r="U6856" s="4" t="s">
        <v>194</v>
      </c>
    </row>
    <row r="6857" spans="19:21" x14ac:dyDescent="0.25">
      <c r="S6857" s="6" t="s">
        <v>302</v>
      </c>
      <c r="T6857" s="6">
        <f t="shared" si="124"/>
        <v>6856</v>
      </c>
      <c r="U6857" s="4" t="s">
        <v>194</v>
      </c>
    </row>
    <row r="6858" spans="19:21" x14ac:dyDescent="0.25">
      <c r="S6858" s="6" t="s">
        <v>302</v>
      </c>
      <c r="T6858" s="6">
        <f t="shared" si="124"/>
        <v>6857</v>
      </c>
      <c r="U6858" s="4" t="s">
        <v>194</v>
      </c>
    </row>
    <row r="6859" spans="19:21" x14ac:dyDescent="0.25">
      <c r="S6859" s="6" t="s">
        <v>302</v>
      </c>
      <c r="T6859" s="6">
        <f t="shared" si="124"/>
        <v>6858</v>
      </c>
      <c r="U6859" s="4" t="s">
        <v>194</v>
      </c>
    </row>
    <row r="6860" spans="19:21" x14ac:dyDescent="0.25">
      <c r="S6860" s="6" t="s">
        <v>302</v>
      </c>
      <c r="T6860" s="6">
        <f t="shared" si="124"/>
        <v>6859</v>
      </c>
      <c r="U6860" s="4" t="s">
        <v>194</v>
      </c>
    </row>
    <row r="6861" spans="19:21" x14ac:dyDescent="0.25">
      <c r="S6861" s="6" t="s">
        <v>302</v>
      </c>
      <c r="T6861" s="6">
        <f t="shared" si="124"/>
        <v>6860</v>
      </c>
      <c r="U6861" s="4" t="s">
        <v>194</v>
      </c>
    </row>
    <row r="6862" spans="19:21" x14ac:dyDescent="0.25">
      <c r="S6862" s="6" t="s">
        <v>302</v>
      </c>
      <c r="T6862" s="6">
        <f t="shared" si="124"/>
        <v>6861</v>
      </c>
      <c r="U6862" s="4" t="s">
        <v>194</v>
      </c>
    </row>
    <row r="6863" spans="19:21" x14ac:dyDescent="0.25">
      <c r="S6863" s="6" t="s">
        <v>302</v>
      </c>
      <c r="T6863" s="6">
        <f t="shared" si="124"/>
        <v>6862</v>
      </c>
      <c r="U6863" s="4" t="s">
        <v>194</v>
      </c>
    </row>
    <row r="6864" spans="19:21" x14ac:dyDescent="0.25">
      <c r="S6864" s="6" t="s">
        <v>302</v>
      </c>
      <c r="T6864" s="6">
        <f t="shared" si="124"/>
        <v>6863</v>
      </c>
      <c r="U6864" s="4" t="s">
        <v>194</v>
      </c>
    </row>
    <row r="6865" spans="19:21" x14ac:dyDescent="0.25">
      <c r="S6865" s="6" t="s">
        <v>302</v>
      </c>
      <c r="T6865" s="6">
        <f t="shared" si="124"/>
        <v>6864</v>
      </c>
      <c r="U6865" s="4" t="s">
        <v>194</v>
      </c>
    </row>
    <row r="6866" spans="19:21" x14ac:dyDescent="0.25">
      <c r="S6866" s="6" t="s">
        <v>302</v>
      </c>
      <c r="T6866" s="6">
        <f t="shared" si="124"/>
        <v>6865</v>
      </c>
      <c r="U6866" s="4" t="s">
        <v>194</v>
      </c>
    </row>
    <row r="6867" spans="19:21" x14ac:dyDescent="0.25">
      <c r="S6867" s="6" t="s">
        <v>302</v>
      </c>
      <c r="T6867" s="6">
        <f t="shared" si="124"/>
        <v>6866</v>
      </c>
      <c r="U6867" s="4" t="s">
        <v>194</v>
      </c>
    </row>
    <row r="6868" spans="19:21" x14ac:dyDescent="0.25">
      <c r="S6868" s="6" t="s">
        <v>302</v>
      </c>
      <c r="T6868" s="6">
        <f t="shared" si="124"/>
        <v>6867</v>
      </c>
      <c r="U6868" s="4" t="s">
        <v>194</v>
      </c>
    </row>
    <row r="6869" spans="19:21" x14ac:dyDescent="0.25">
      <c r="S6869" s="6" t="s">
        <v>302</v>
      </c>
      <c r="T6869" s="6">
        <f t="shared" si="124"/>
        <v>6868</v>
      </c>
      <c r="U6869" s="4" t="s">
        <v>194</v>
      </c>
    </row>
    <row r="6870" spans="19:21" x14ac:dyDescent="0.25">
      <c r="S6870" s="6" t="s">
        <v>302</v>
      </c>
      <c r="T6870" s="6">
        <f t="shared" si="124"/>
        <v>6869</v>
      </c>
      <c r="U6870" s="4" t="s">
        <v>194</v>
      </c>
    </row>
    <row r="6871" spans="19:21" x14ac:dyDescent="0.25">
      <c r="S6871" s="6" t="s">
        <v>302</v>
      </c>
      <c r="T6871" s="6">
        <f t="shared" si="124"/>
        <v>6870</v>
      </c>
      <c r="U6871" s="4" t="s">
        <v>194</v>
      </c>
    </row>
    <row r="6872" spans="19:21" x14ac:dyDescent="0.25">
      <c r="S6872" s="6" t="s">
        <v>302</v>
      </c>
      <c r="T6872" s="6">
        <f t="shared" si="124"/>
        <v>6871</v>
      </c>
      <c r="U6872" s="4" t="s">
        <v>194</v>
      </c>
    </row>
    <row r="6873" spans="19:21" x14ac:dyDescent="0.25">
      <c r="S6873" s="6" t="s">
        <v>302</v>
      </c>
      <c r="T6873" s="6">
        <f t="shared" si="124"/>
        <v>6872</v>
      </c>
      <c r="U6873" s="4" t="s">
        <v>194</v>
      </c>
    </row>
    <row r="6874" spans="19:21" x14ac:dyDescent="0.25">
      <c r="S6874" s="6" t="s">
        <v>302</v>
      </c>
      <c r="T6874" s="6">
        <f t="shared" si="124"/>
        <v>6873</v>
      </c>
      <c r="U6874" s="4" t="s">
        <v>194</v>
      </c>
    </row>
    <row r="6875" spans="19:21" x14ac:dyDescent="0.25">
      <c r="S6875" s="6" t="s">
        <v>302</v>
      </c>
      <c r="T6875" s="6">
        <f t="shared" si="124"/>
        <v>6874</v>
      </c>
      <c r="U6875" s="4" t="s">
        <v>194</v>
      </c>
    </row>
    <row r="6876" spans="19:21" x14ac:dyDescent="0.25">
      <c r="S6876" s="6" t="s">
        <v>302</v>
      </c>
      <c r="T6876" s="6">
        <f t="shared" si="124"/>
        <v>6875</v>
      </c>
      <c r="U6876" s="4" t="s">
        <v>194</v>
      </c>
    </row>
    <row r="6877" spans="19:21" x14ac:dyDescent="0.25">
      <c r="S6877" s="6" t="s">
        <v>302</v>
      </c>
      <c r="T6877" s="6">
        <f t="shared" si="124"/>
        <v>6876</v>
      </c>
      <c r="U6877" s="4" t="s">
        <v>194</v>
      </c>
    </row>
    <row r="6878" spans="19:21" x14ac:dyDescent="0.25">
      <c r="S6878" s="6" t="s">
        <v>302</v>
      </c>
      <c r="T6878" s="6">
        <f t="shared" ref="T6878:T6941" si="125">T6877+1</f>
        <v>6877</v>
      </c>
      <c r="U6878" s="4" t="s">
        <v>194</v>
      </c>
    </row>
    <row r="6879" spans="19:21" x14ac:dyDescent="0.25">
      <c r="S6879" s="6" t="s">
        <v>302</v>
      </c>
      <c r="T6879" s="6">
        <f t="shared" si="125"/>
        <v>6878</v>
      </c>
      <c r="U6879" s="4" t="s">
        <v>194</v>
      </c>
    </row>
    <row r="6880" spans="19:21" x14ac:dyDescent="0.25">
      <c r="S6880" s="6" t="s">
        <v>302</v>
      </c>
      <c r="T6880" s="6">
        <f t="shared" si="125"/>
        <v>6879</v>
      </c>
      <c r="U6880" s="4" t="s">
        <v>194</v>
      </c>
    </row>
    <row r="6881" spans="19:21" x14ac:dyDescent="0.25">
      <c r="S6881" s="6" t="s">
        <v>302</v>
      </c>
      <c r="T6881" s="6">
        <f t="shared" si="125"/>
        <v>6880</v>
      </c>
      <c r="U6881" s="4" t="s">
        <v>194</v>
      </c>
    </row>
    <row r="6882" spans="19:21" x14ac:dyDescent="0.25">
      <c r="S6882" s="6" t="s">
        <v>302</v>
      </c>
      <c r="T6882" s="6">
        <f t="shared" si="125"/>
        <v>6881</v>
      </c>
      <c r="U6882" s="4" t="s">
        <v>194</v>
      </c>
    </row>
    <row r="6883" spans="19:21" x14ac:dyDescent="0.25">
      <c r="S6883" s="6" t="s">
        <v>302</v>
      </c>
      <c r="T6883" s="6">
        <f t="shared" si="125"/>
        <v>6882</v>
      </c>
      <c r="U6883" s="4" t="s">
        <v>194</v>
      </c>
    </row>
    <row r="6884" spans="19:21" x14ac:dyDescent="0.25">
      <c r="S6884" s="6" t="s">
        <v>302</v>
      </c>
      <c r="T6884" s="6">
        <f t="shared" si="125"/>
        <v>6883</v>
      </c>
      <c r="U6884" s="4" t="s">
        <v>194</v>
      </c>
    </row>
    <row r="6885" spans="19:21" x14ac:dyDescent="0.25">
      <c r="S6885" s="6" t="s">
        <v>302</v>
      </c>
      <c r="T6885" s="6">
        <f t="shared" si="125"/>
        <v>6884</v>
      </c>
      <c r="U6885" s="4" t="s">
        <v>194</v>
      </c>
    </row>
    <row r="6886" spans="19:21" x14ac:dyDescent="0.25">
      <c r="S6886" s="6" t="s">
        <v>302</v>
      </c>
      <c r="T6886" s="6">
        <f t="shared" si="125"/>
        <v>6885</v>
      </c>
      <c r="U6886" s="4" t="s">
        <v>194</v>
      </c>
    </row>
    <row r="6887" spans="19:21" x14ac:dyDescent="0.25">
      <c r="S6887" s="6" t="s">
        <v>302</v>
      </c>
      <c r="T6887" s="6">
        <f t="shared" si="125"/>
        <v>6886</v>
      </c>
      <c r="U6887" s="4" t="s">
        <v>194</v>
      </c>
    </row>
    <row r="6888" spans="19:21" x14ac:dyDescent="0.25">
      <c r="S6888" s="6" t="s">
        <v>302</v>
      </c>
      <c r="T6888" s="6">
        <f t="shared" si="125"/>
        <v>6887</v>
      </c>
      <c r="U6888" s="4" t="s">
        <v>194</v>
      </c>
    </row>
    <row r="6889" spans="19:21" x14ac:dyDescent="0.25">
      <c r="S6889" s="6" t="s">
        <v>302</v>
      </c>
      <c r="T6889" s="6">
        <f t="shared" si="125"/>
        <v>6888</v>
      </c>
      <c r="U6889" s="4" t="s">
        <v>194</v>
      </c>
    </row>
    <row r="6890" spans="19:21" x14ac:dyDescent="0.25">
      <c r="S6890" s="6" t="s">
        <v>302</v>
      </c>
      <c r="T6890" s="6">
        <f t="shared" si="125"/>
        <v>6889</v>
      </c>
      <c r="U6890" s="4" t="s">
        <v>194</v>
      </c>
    </row>
    <row r="6891" spans="19:21" x14ac:dyDescent="0.25">
      <c r="S6891" s="6" t="s">
        <v>302</v>
      </c>
      <c r="T6891" s="6">
        <f t="shared" si="125"/>
        <v>6890</v>
      </c>
      <c r="U6891" s="4" t="s">
        <v>194</v>
      </c>
    </row>
    <row r="6892" spans="19:21" x14ac:dyDescent="0.25">
      <c r="S6892" s="6" t="s">
        <v>302</v>
      </c>
      <c r="T6892" s="6">
        <f t="shared" si="125"/>
        <v>6891</v>
      </c>
      <c r="U6892" s="4" t="s">
        <v>194</v>
      </c>
    </row>
    <row r="6893" spans="19:21" x14ac:dyDescent="0.25">
      <c r="S6893" s="6" t="s">
        <v>302</v>
      </c>
      <c r="T6893" s="6">
        <f t="shared" si="125"/>
        <v>6892</v>
      </c>
      <c r="U6893" s="4" t="s">
        <v>194</v>
      </c>
    </row>
    <row r="6894" spans="19:21" x14ac:dyDescent="0.25">
      <c r="S6894" s="6" t="s">
        <v>302</v>
      </c>
      <c r="T6894" s="6">
        <f t="shared" si="125"/>
        <v>6893</v>
      </c>
      <c r="U6894" s="4" t="s">
        <v>194</v>
      </c>
    </row>
    <row r="6895" spans="19:21" x14ac:dyDescent="0.25">
      <c r="S6895" s="6" t="s">
        <v>302</v>
      </c>
      <c r="T6895" s="6">
        <f t="shared" si="125"/>
        <v>6894</v>
      </c>
      <c r="U6895" s="4" t="s">
        <v>194</v>
      </c>
    </row>
    <row r="6896" spans="19:21" x14ac:dyDescent="0.25">
      <c r="S6896" s="6" t="s">
        <v>302</v>
      </c>
      <c r="T6896" s="6">
        <f t="shared" si="125"/>
        <v>6895</v>
      </c>
      <c r="U6896" s="4" t="s">
        <v>194</v>
      </c>
    </row>
    <row r="6897" spans="19:21" x14ac:dyDescent="0.25">
      <c r="S6897" s="6" t="s">
        <v>302</v>
      </c>
      <c r="T6897" s="6">
        <f t="shared" si="125"/>
        <v>6896</v>
      </c>
      <c r="U6897" s="4" t="s">
        <v>194</v>
      </c>
    </row>
    <row r="6898" spans="19:21" x14ac:dyDescent="0.25">
      <c r="S6898" s="6" t="s">
        <v>302</v>
      </c>
      <c r="T6898" s="6">
        <f t="shared" si="125"/>
        <v>6897</v>
      </c>
      <c r="U6898" s="4" t="s">
        <v>194</v>
      </c>
    </row>
    <row r="6899" spans="19:21" x14ac:dyDescent="0.25">
      <c r="S6899" s="6" t="s">
        <v>302</v>
      </c>
      <c r="T6899" s="6">
        <f t="shared" si="125"/>
        <v>6898</v>
      </c>
      <c r="U6899" s="4" t="s">
        <v>194</v>
      </c>
    </row>
    <row r="6900" spans="19:21" x14ac:dyDescent="0.25">
      <c r="S6900" s="6" t="s">
        <v>302</v>
      </c>
      <c r="T6900" s="6">
        <f t="shared" si="125"/>
        <v>6899</v>
      </c>
      <c r="U6900" s="4" t="s">
        <v>194</v>
      </c>
    </row>
    <row r="6901" spans="19:21" x14ac:dyDescent="0.25">
      <c r="S6901" s="6" t="s">
        <v>302</v>
      </c>
      <c r="T6901" s="6">
        <f t="shared" si="125"/>
        <v>6900</v>
      </c>
      <c r="U6901" s="4" t="s">
        <v>194</v>
      </c>
    </row>
    <row r="6902" spans="19:21" x14ac:dyDescent="0.25">
      <c r="S6902" s="6" t="s">
        <v>302</v>
      </c>
      <c r="T6902" s="6">
        <f t="shared" si="125"/>
        <v>6901</v>
      </c>
      <c r="U6902" s="4" t="s">
        <v>194</v>
      </c>
    </row>
    <row r="6903" spans="19:21" x14ac:dyDescent="0.25">
      <c r="S6903" s="6" t="s">
        <v>302</v>
      </c>
      <c r="T6903" s="6">
        <f t="shared" si="125"/>
        <v>6902</v>
      </c>
      <c r="U6903" s="4" t="s">
        <v>194</v>
      </c>
    </row>
    <row r="6904" spans="19:21" x14ac:dyDescent="0.25">
      <c r="S6904" s="6" t="s">
        <v>302</v>
      </c>
      <c r="T6904" s="6">
        <f t="shared" si="125"/>
        <v>6903</v>
      </c>
      <c r="U6904" s="4" t="s">
        <v>194</v>
      </c>
    </row>
    <row r="6905" spans="19:21" x14ac:dyDescent="0.25">
      <c r="S6905" s="6" t="s">
        <v>302</v>
      </c>
      <c r="T6905" s="6">
        <f t="shared" si="125"/>
        <v>6904</v>
      </c>
      <c r="U6905" s="4" t="s">
        <v>194</v>
      </c>
    </row>
    <row r="6906" spans="19:21" x14ac:dyDescent="0.25">
      <c r="S6906" s="6" t="s">
        <v>302</v>
      </c>
      <c r="T6906" s="6">
        <f t="shared" si="125"/>
        <v>6905</v>
      </c>
      <c r="U6906" s="4" t="s">
        <v>194</v>
      </c>
    </row>
    <row r="6907" spans="19:21" x14ac:dyDescent="0.25">
      <c r="S6907" s="6" t="s">
        <v>302</v>
      </c>
      <c r="T6907" s="6">
        <f t="shared" si="125"/>
        <v>6906</v>
      </c>
      <c r="U6907" s="4" t="s">
        <v>194</v>
      </c>
    </row>
    <row r="6908" spans="19:21" x14ac:dyDescent="0.25">
      <c r="S6908" s="6" t="s">
        <v>302</v>
      </c>
      <c r="T6908" s="6">
        <f t="shared" si="125"/>
        <v>6907</v>
      </c>
      <c r="U6908" s="4" t="s">
        <v>194</v>
      </c>
    </row>
    <row r="6909" spans="19:21" x14ac:dyDescent="0.25">
      <c r="S6909" s="6" t="s">
        <v>302</v>
      </c>
      <c r="T6909" s="6">
        <f t="shared" si="125"/>
        <v>6908</v>
      </c>
      <c r="U6909" s="4" t="s">
        <v>194</v>
      </c>
    </row>
    <row r="6910" spans="19:21" x14ac:dyDescent="0.25">
      <c r="S6910" s="6" t="s">
        <v>302</v>
      </c>
      <c r="T6910" s="6">
        <f t="shared" si="125"/>
        <v>6909</v>
      </c>
      <c r="U6910" s="4" t="s">
        <v>194</v>
      </c>
    </row>
    <row r="6911" spans="19:21" x14ac:dyDescent="0.25">
      <c r="S6911" s="6" t="s">
        <v>302</v>
      </c>
      <c r="T6911" s="6">
        <f t="shared" si="125"/>
        <v>6910</v>
      </c>
      <c r="U6911" s="4" t="s">
        <v>194</v>
      </c>
    </row>
    <row r="6912" spans="19:21" x14ac:dyDescent="0.25">
      <c r="S6912" s="6" t="s">
        <v>302</v>
      </c>
      <c r="T6912" s="6">
        <f t="shared" si="125"/>
        <v>6911</v>
      </c>
      <c r="U6912" s="4" t="s">
        <v>194</v>
      </c>
    </row>
    <row r="6913" spans="19:21" x14ac:dyDescent="0.25">
      <c r="S6913" s="6" t="s">
        <v>302</v>
      </c>
      <c r="T6913" s="6">
        <f t="shared" si="125"/>
        <v>6912</v>
      </c>
      <c r="U6913" s="4" t="s">
        <v>194</v>
      </c>
    </row>
    <row r="6914" spans="19:21" x14ac:dyDescent="0.25">
      <c r="S6914" s="6" t="s">
        <v>302</v>
      </c>
      <c r="T6914" s="6">
        <f t="shared" si="125"/>
        <v>6913</v>
      </c>
      <c r="U6914" s="4" t="s">
        <v>194</v>
      </c>
    </row>
    <row r="6915" spans="19:21" x14ac:dyDescent="0.25">
      <c r="S6915" s="6" t="s">
        <v>302</v>
      </c>
      <c r="T6915" s="6">
        <f t="shared" si="125"/>
        <v>6914</v>
      </c>
      <c r="U6915" s="4" t="s">
        <v>194</v>
      </c>
    </row>
    <row r="6916" spans="19:21" x14ac:dyDescent="0.25">
      <c r="S6916" s="6" t="s">
        <v>302</v>
      </c>
      <c r="T6916" s="6">
        <f t="shared" si="125"/>
        <v>6915</v>
      </c>
      <c r="U6916" s="4" t="s">
        <v>194</v>
      </c>
    </row>
    <row r="6917" spans="19:21" x14ac:dyDescent="0.25">
      <c r="S6917" s="6" t="s">
        <v>302</v>
      </c>
      <c r="T6917" s="6">
        <f t="shared" si="125"/>
        <v>6916</v>
      </c>
      <c r="U6917" s="4" t="s">
        <v>194</v>
      </c>
    </row>
    <row r="6918" spans="19:21" x14ac:dyDescent="0.25">
      <c r="S6918" s="6" t="s">
        <v>302</v>
      </c>
      <c r="T6918" s="6">
        <f t="shared" si="125"/>
        <v>6917</v>
      </c>
      <c r="U6918" s="4" t="s">
        <v>194</v>
      </c>
    </row>
    <row r="6919" spans="19:21" x14ac:dyDescent="0.25">
      <c r="S6919" s="6" t="s">
        <v>302</v>
      </c>
      <c r="T6919" s="6">
        <f t="shared" si="125"/>
        <v>6918</v>
      </c>
      <c r="U6919" s="4" t="s">
        <v>194</v>
      </c>
    </row>
    <row r="6920" spans="19:21" x14ac:dyDescent="0.25">
      <c r="S6920" s="6" t="s">
        <v>302</v>
      </c>
      <c r="T6920" s="6">
        <f t="shared" si="125"/>
        <v>6919</v>
      </c>
      <c r="U6920" s="4" t="s">
        <v>194</v>
      </c>
    </row>
    <row r="6921" spans="19:21" x14ac:dyDescent="0.25">
      <c r="S6921" s="6" t="s">
        <v>302</v>
      </c>
      <c r="T6921" s="6">
        <f t="shared" si="125"/>
        <v>6920</v>
      </c>
      <c r="U6921" s="4" t="s">
        <v>194</v>
      </c>
    </row>
    <row r="6922" spans="19:21" x14ac:dyDescent="0.25">
      <c r="S6922" s="6" t="s">
        <v>302</v>
      </c>
      <c r="T6922" s="6">
        <f t="shared" si="125"/>
        <v>6921</v>
      </c>
      <c r="U6922" s="4" t="s">
        <v>194</v>
      </c>
    </row>
    <row r="6923" spans="19:21" x14ac:dyDescent="0.25">
      <c r="S6923" s="6" t="s">
        <v>302</v>
      </c>
      <c r="T6923" s="6">
        <f t="shared" si="125"/>
        <v>6922</v>
      </c>
      <c r="U6923" s="4" t="s">
        <v>194</v>
      </c>
    </row>
    <row r="6924" spans="19:21" x14ac:dyDescent="0.25">
      <c r="S6924" s="6" t="s">
        <v>302</v>
      </c>
      <c r="T6924" s="6">
        <f t="shared" si="125"/>
        <v>6923</v>
      </c>
      <c r="U6924" s="4" t="s">
        <v>194</v>
      </c>
    </row>
    <row r="6925" spans="19:21" x14ac:dyDescent="0.25">
      <c r="S6925" s="6" t="s">
        <v>302</v>
      </c>
      <c r="T6925" s="6">
        <f t="shared" si="125"/>
        <v>6924</v>
      </c>
      <c r="U6925" s="4" t="s">
        <v>194</v>
      </c>
    </row>
    <row r="6926" spans="19:21" x14ac:dyDescent="0.25">
      <c r="S6926" s="6" t="s">
        <v>302</v>
      </c>
      <c r="T6926" s="6">
        <f t="shared" si="125"/>
        <v>6925</v>
      </c>
      <c r="U6926" s="4" t="s">
        <v>194</v>
      </c>
    </row>
    <row r="6927" spans="19:21" x14ac:dyDescent="0.25">
      <c r="S6927" s="6" t="s">
        <v>302</v>
      </c>
      <c r="T6927" s="6">
        <f t="shared" si="125"/>
        <v>6926</v>
      </c>
      <c r="U6927" s="4" t="s">
        <v>194</v>
      </c>
    </row>
    <row r="6928" spans="19:21" x14ac:dyDescent="0.25">
      <c r="S6928" s="6" t="s">
        <v>302</v>
      </c>
      <c r="T6928" s="6">
        <f t="shared" si="125"/>
        <v>6927</v>
      </c>
      <c r="U6928" s="4" t="s">
        <v>194</v>
      </c>
    </row>
    <row r="6929" spans="19:21" x14ac:dyDescent="0.25">
      <c r="S6929" s="6" t="s">
        <v>302</v>
      </c>
      <c r="T6929" s="6">
        <f t="shared" si="125"/>
        <v>6928</v>
      </c>
      <c r="U6929" s="4" t="s">
        <v>194</v>
      </c>
    </row>
    <row r="6930" spans="19:21" x14ac:dyDescent="0.25">
      <c r="S6930" s="6" t="s">
        <v>302</v>
      </c>
      <c r="T6930" s="6">
        <f t="shared" si="125"/>
        <v>6929</v>
      </c>
      <c r="U6930" s="4" t="s">
        <v>194</v>
      </c>
    </row>
    <row r="6931" spans="19:21" x14ac:dyDescent="0.25">
      <c r="S6931" s="6" t="s">
        <v>302</v>
      </c>
      <c r="T6931" s="6">
        <f t="shared" si="125"/>
        <v>6930</v>
      </c>
      <c r="U6931" s="4" t="s">
        <v>194</v>
      </c>
    </row>
    <row r="6932" spans="19:21" x14ac:dyDescent="0.25">
      <c r="S6932" s="6" t="s">
        <v>302</v>
      </c>
      <c r="T6932" s="6">
        <f t="shared" si="125"/>
        <v>6931</v>
      </c>
      <c r="U6932" s="4" t="s">
        <v>194</v>
      </c>
    </row>
    <row r="6933" spans="19:21" x14ac:dyDescent="0.25">
      <c r="S6933" s="6" t="s">
        <v>302</v>
      </c>
      <c r="T6933" s="6">
        <f t="shared" si="125"/>
        <v>6932</v>
      </c>
      <c r="U6933" s="4" t="s">
        <v>194</v>
      </c>
    </row>
    <row r="6934" spans="19:21" x14ac:dyDescent="0.25">
      <c r="S6934" s="6" t="s">
        <v>302</v>
      </c>
      <c r="T6934" s="6">
        <f t="shared" si="125"/>
        <v>6933</v>
      </c>
      <c r="U6934" s="4" t="s">
        <v>194</v>
      </c>
    </row>
    <row r="6935" spans="19:21" x14ac:dyDescent="0.25">
      <c r="S6935" s="6" t="s">
        <v>302</v>
      </c>
      <c r="T6935" s="6">
        <f t="shared" si="125"/>
        <v>6934</v>
      </c>
      <c r="U6935" s="4" t="s">
        <v>194</v>
      </c>
    </row>
    <row r="6936" spans="19:21" x14ac:dyDescent="0.25">
      <c r="S6936" s="6" t="s">
        <v>302</v>
      </c>
      <c r="T6936" s="6">
        <f t="shared" si="125"/>
        <v>6935</v>
      </c>
      <c r="U6936" s="4" t="s">
        <v>194</v>
      </c>
    </row>
    <row r="6937" spans="19:21" x14ac:dyDescent="0.25">
      <c r="S6937" s="6" t="s">
        <v>302</v>
      </c>
      <c r="T6937" s="6">
        <f t="shared" si="125"/>
        <v>6936</v>
      </c>
      <c r="U6937" s="4" t="s">
        <v>194</v>
      </c>
    </row>
    <row r="6938" spans="19:21" x14ac:dyDescent="0.25">
      <c r="S6938" s="6" t="s">
        <v>302</v>
      </c>
      <c r="T6938" s="6">
        <f t="shared" si="125"/>
        <v>6937</v>
      </c>
      <c r="U6938" s="4" t="s">
        <v>194</v>
      </c>
    </row>
    <row r="6939" spans="19:21" x14ac:dyDescent="0.25">
      <c r="S6939" s="6" t="s">
        <v>302</v>
      </c>
      <c r="T6939" s="6">
        <f t="shared" si="125"/>
        <v>6938</v>
      </c>
      <c r="U6939" s="4" t="s">
        <v>194</v>
      </c>
    </row>
    <row r="6940" spans="19:21" x14ac:dyDescent="0.25">
      <c r="S6940" s="6" t="s">
        <v>302</v>
      </c>
      <c r="T6940" s="6">
        <f t="shared" si="125"/>
        <v>6939</v>
      </c>
      <c r="U6940" s="4" t="s">
        <v>194</v>
      </c>
    </row>
    <row r="6941" spans="19:21" x14ac:dyDescent="0.25">
      <c r="S6941" s="6" t="s">
        <v>302</v>
      </c>
      <c r="T6941" s="6">
        <f t="shared" si="125"/>
        <v>6940</v>
      </c>
      <c r="U6941" s="4" t="s">
        <v>194</v>
      </c>
    </row>
    <row r="6942" spans="19:21" x14ac:dyDescent="0.25">
      <c r="S6942" s="6" t="s">
        <v>302</v>
      </c>
      <c r="T6942" s="6">
        <f t="shared" ref="T6942:T7005" si="126">T6941+1</f>
        <v>6941</v>
      </c>
      <c r="U6942" s="4" t="s">
        <v>194</v>
      </c>
    </row>
    <row r="6943" spans="19:21" x14ac:dyDescent="0.25">
      <c r="S6943" s="6" t="s">
        <v>302</v>
      </c>
      <c r="T6943" s="6">
        <f t="shared" si="126"/>
        <v>6942</v>
      </c>
      <c r="U6943" s="4" t="s">
        <v>194</v>
      </c>
    </row>
    <row r="6944" spans="19:21" x14ac:dyDescent="0.25">
      <c r="S6944" s="6" t="s">
        <v>302</v>
      </c>
      <c r="T6944" s="6">
        <f t="shared" si="126"/>
        <v>6943</v>
      </c>
      <c r="U6944" s="4" t="s">
        <v>194</v>
      </c>
    </row>
    <row r="6945" spans="19:21" x14ac:dyDescent="0.25">
      <c r="S6945" s="6" t="s">
        <v>302</v>
      </c>
      <c r="T6945" s="6">
        <f t="shared" si="126"/>
        <v>6944</v>
      </c>
      <c r="U6945" s="4" t="s">
        <v>194</v>
      </c>
    </row>
    <row r="6946" spans="19:21" x14ac:dyDescent="0.25">
      <c r="S6946" s="6" t="s">
        <v>302</v>
      </c>
      <c r="T6946" s="6">
        <f t="shared" si="126"/>
        <v>6945</v>
      </c>
      <c r="U6946" s="4" t="s">
        <v>194</v>
      </c>
    </row>
    <row r="6947" spans="19:21" x14ac:dyDescent="0.25">
      <c r="S6947" s="6" t="s">
        <v>302</v>
      </c>
      <c r="T6947" s="6">
        <f t="shared" si="126"/>
        <v>6946</v>
      </c>
      <c r="U6947" s="4" t="s">
        <v>194</v>
      </c>
    </row>
    <row r="6948" spans="19:21" x14ac:dyDescent="0.25">
      <c r="S6948" s="6" t="s">
        <v>302</v>
      </c>
      <c r="T6948" s="6">
        <f t="shared" si="126"/>
        <v>6947</v>
      </c>
      <c r="U6948" s="4" t="s">
        <v>194</v>
      </c>
    </row>
    <row r="6949" spans="19:21" x14ac:dyDescent="0.25">
      <c r="S6949" s="6" t="s">
        <v>302</v>
      </c>
      <c r="T6949" s="6">
        <f t="shared" si="126"/>
        <v>6948</v>
      </c>
      <c r="U6949" s="4" t="s">
        <v>194</v>
      </c>
    </row>
    <row r="6950" spans="19:21" x14ac:dyDescent="0.25">
      <c r="S6950" s="6" t="s">
        <v>302</v>
      </c>
      <c r="T6950" s="6">
        <f t="shared" si="126"/>
        <v>6949</v>
      </c>
      <c r="U6950" s="4" t="s">
        <v>194</v>
      </c>
    </row>
    <row r="6951" spans="19:21" x14ac:dyDescent="0.25">
      <c r="S6951" s="6" t="s">
        <v>302</v>
      </c>
      <c r="T6951" s="6">
        <f t="shared" si="126"/>
        <v>6950</v>
      </c>
      <c r="U6951" s="4" t="s">
        <v>194</v>
      </c>
    </row>
    <row r="6952" spans="19:21" x14ac:dyDescent="0.25">
      <c r="S6952" s="6" t="s">
        <v>302</v>
      </c>
      <c r="T6952" s="6">
        <f t="shared" si="126"/>
        <v>6951</v>
      </c>
      <c r="U6952" s="4" t="s">
        <v>194</v>
      </c>
    </row>
    <row r="6953" spans="19:21" x14ac:dyDescent="0.25">
      <c r="S6953" s="6" t="s">
        <v>302</v>
      </c>
      <c r="T6953" s="6">
        <f t="shared" si="126"/>
        <v>6952</v>
      </c>
      <c r="U6953" s="4" t="s">
        <v>194</v>
      </c>
    </row>
    <row r="6954" spans="19:21" x14ac:dyDescent="0.25">
      <c r="S6954" s="6" t="s">
        <v>302</v>
      </c>
      <c r="T6954" s="6">
        <f t="shared" si="126"/>
        <v>6953</v>
      </c>
      <c r="U6954" s="4" t="s">
        <v>194</v>
      </c>
    </row>
    <row r="6955" spans="19:21" x14ac:dyDescent="0.25">
      <c r="S6955" s="6" t="s">
        <v>302</v>
      </c>
      <c r="T6955" s="6">
        <f t="shared" si="126"/>
        <v>6954</v>
      </c>
      <c r="U6955" s="4" t="s">
        <v>194</v>
      </c>
    </row>
    <row r="6956" spans="19:21" x14ac:dyDescent="0.25">
      <c r="S6956" s="6" t="s">
        <v>302</v>
      </c>
      <c r="T6956" s="6">
        <f t="shared" si="126"/>
        <v>6955</v>
      </c>
      <c r="U6956" s="4" t="s">
        <v>194</v>
      </c>
    </row>
    <row r="6957" spans="19:21" x14ac:dyDescent="0.25">
      <c r="S6957" s="6" t="s">
        <v>302</v>
      </c>
      <c r="T6957" s="6">
        <f t="shared" si="126"/>
        <v>6956</v>
      </c>
      <c r="U6957" s="4" t="s">
        <v>194</v>
      </c>
    </row>
    <row r="6958" spans="19:21" x14ac:dyDescent="0.25">
      <c r="S6958" s="6" t="s">
        <v>302</v>
      </c>
      <c r="T6958" s="6">
        <f t="shared" si="126"/>
        <v>6957</v>
      </c>
      <c r="U6958" s="4" t="s">
        <v>194</v>
      </c>
    </row>
    <row r="6959" spans="19:21" x14ac:dyDescent="0.25">
      <c r="S6959" s="6" t="s">
        <v>302</v>
      </c>
      <c r="T6959" s="6">
        <f t="shared" si="126"/>
        <v>6958</v>
      </c>
      <c r="U6959" s="4" t="s">
        <v>194</v>
      </c>
    </row>
    <row r="6960" spans="19:21" x14ac:dyDescent="0.25">
      <c r="S6960" s="6" t="s">
        <v>302</v>
      </c>
      <c r="T6960" s="6">
        <f t="shared" si="126"/>
        <v>6959</v>
      </c>
      <c r="U6960" s="4" t="s">
        <v>194</v>
      </c>
    </row>
    <row r="6961" spans="19:21" x14ac:dyDescent="0.25">
      <c r="S6961" s="6" t="s">
        <v>302</v>
      </c>
      <c r="T6961" s="6">
        <f t="shared" si="126"/>
        <v>6960</v>
      </c>
      <c r="U6961" s="4" t="s">
        <v>194</v>
      </c>
    </row>
    <row r="6962" spans="19:21" x14ac:dyDescent="0.25">
      <c r="S6962" s="6" t="s">
        <v>302</v>
      </c>
      <c r="T6962" s="6">
        <f t="shared" si="126"/>
        <v>6961</v>
      </c>
      <c r="U6962" s="4" t="s">
        <v>194</v>
      </c>
    </row>
    <row r="6963" spans="19:21" x14ac:dyDescent="0.25">
      <c r="S6963" s="6" t="s">
        <v>302</v>
      </c>
      <c r="T6963" s="6">
        <f t="shared" si="126"/>
        <v>6962</v>
      </c>
      <c r="U6963" s="4" t="s">
        <v>194</v>
      </c>
    </row>
    <row r="6964" spans="19:21" x14ac:dyDescent="0.25">
      <c r="S6964" s="6" t="s">
        <v>302</v>
      </c>
      <c r="T6964" s="6">
        <f t="shared" si="126"/>
        <v>6963</v>
      </c>
      <c r="U6964" s="4" t="s">
        <v>194</v>
      </c>
    </row>
    <row r="6965" spans="19:21" x14ac:dyDescent="0.25">
      <c r="S6965" s="6" t="s">
        <v>302</v>
      </c>
      <c r="T6965" s="6">
        <f t="shared" si="126"/>
        <v>6964</v>
      </c>
      <c r="U6965" s="4" t="s">
        <v>194</v>
      </c>
    </row>
    <row r="6966" spans="19:21" x14ac:dyDescent="0.25">
      <c r="S6966" s="6" t="s">
        <v>302</v>
      </c>
      <c r="T6966" s="6">
        <f t="shared" si="126"/>
        <v>6965</v>
      </c>
      <c r="U6966" s="4" t="s">
        <v>194</v>
      </c>
    </row>
    <row r="6967" spans="19:21" x14ac:dyDescent="0.25">
      <c r="S6967" s="6" t="s">
        <v>302</v>
      </c>
      <c r="T6967" s="6">
        <f t="shared" si="126"/>
        <v>6966</v>
      </c>
      <c r="U6967" s="4" t="s">
        <v>194</v>
      </c>
    </row>
    <row r="6968" spans="19:21" x14ac:dyDescent="0.25">
      <c r="S6968" s="6" t="s">
        <v>302</v>
      </c>
      <c r="T6968" s="6">
        <f t="shared" si="126"/>
        <v>6967</v>
      </c>
      <c r="U6968" s="4" t="s">
        <v>194</v>
      </c>
    </row>
    <row r="6969" spans="19:21" x14ac:dyDescent="0.25">
      <c r="S6969" s="6" t="s">
        <v>302</v>
      </c>
      <c r="T6969" s="6">
        <f t="shared" si="126"/>
        <v>6968</v>
      </c>
      <c r="U6969" s="4" t="s">
        <v>194</v>
      </c>
    </row>
    <row r="6970" spans="19:21" x14ac:dyDescent="0.25">
      <c r="S6970" s="6" t="s">
        <v>302</v>
      </c>
      <c r="T6970" s="6">
        <f t="shared" si="126"/>
        <v>6969</v>
      </c>
      <c r="U6970" s="4" t="s">
        <v>194</v>
      </c>
    </row>
    <row r="6971" spans="19:21" x14ac:dyDescent="0.25">
      <c r="S6971" s="6" t="s">
        <v>302</v>
      </c>
      <c r="T6971" s="6">
        <f t="shared" si="126"/>
        <v>6970</v>
      </c>
      <c r="U6971" s="4" t="s">
        <v>194</v>
      </c>
    </row>
    <row r="6972" spans="19:21" x14ac:dyDescent="0.25">
      <c r="S6972" s="6" t="s">
        <v>302</v>
      </c>
      <c r="T6972" s="6">
        <f t="shared" si="126"/>
        <v>6971</v>
      </c>
      <c r="U6972" s="4" t="s">
        <v>194</v>
      </c>
    </row>
    <row r="6973" spans="19:21" x14ac:dyDescent="0.25">
      <c r="S6973" s="6" t="s">
        <v>302</v>
      </c>
      <c r="T6973" s="6">
        <f t="shared" si="126"/>
        <v>6972</v>
      </c>
      <c r="U6973" s="4" t="s">
        <v>194</v>
      </c>
    </row>
    <row r="6974" spans="19:21" x14ac:dyDescent="0.25">
      <c r="S6974" s="6" t="s">
        <v>302</v>
      </c>
      <c r="T6974" s="6">
        <f t="shared" si="126"/>
        <v>6973</v>
      </c>
      <c r="U6974" s="4" t="s">
        <v>194</v>
      </c>
    </row>
    <row r="6975" spans="19:21" x14ac:dyDescent="0.25">
      <c r="S6975" s="6" t="s">
        <v>302</v>
      </c>
      <c r="T6975" s="6">
        <f t="shared" si="126"/>
        <v>6974</v>
      </c>
      <c r="U6975" s="4" t="s">
        <v>194</v>
      </c>
    </row>
    <row r="6976" spans="19:21" x14ac:dyDescent="0.25">
      <c r="S6976" s="6" t="s">
        <v>302</v>
      </c>
      <c r="T6976" s="6">
        <f t="shared" si="126"/>
        <v>6975</v>
      </c>
      <c r="U6976" s="4" t="s">
        <v>194</v>
      </c>
    </row>
    <row r="6977" spans="19:21" x14ac:dyDescent="0.25">
      <c r="S6977" s="6" t="s">
        <v>302</v>
      </c>
      <c r="T6977" s="6">
        <f t="shared" si="126"/>
        <v>6976</v>
      </c>
      <c r="U6977" s="4" t="s">
        <v>194</v>
      </c>
    </row>
    <row r="6978" spans="19:21" x14ac:dyDescent="0.25">
      <c r="S6978" s="6" t="s">
        <v>302</v>
      </c>
      <c r="T6978" s="6">
        <f t="shared" si="126"/>
        <v>6977</v>
      </c>
      <c r="U6978" s="4" t="s">
        <v>194</v>
      </c>
    </row>
    <row r="6979" spans="19:21" x14ac:dyDescent="0.25">
      <c r="S6979" s="6" t="s">
        <v>302</v>
      </c>
      <c r="T6979" s="6">
        <f t="shared" si="126"/>
        <v>6978</v>
      </c>
      <c r="U6979" s="4" t="s">
        <v>194</v>
      </c>
    </row>
    <row r="6980" spans="19:21" x14ac:dyDescent="0.25">
      <c r="S6980" s="6" t="s">
        <v>302</v>
      </c>
      <c r="T6980" s="6">
        <f t="shared" si="126"/>
        <v>6979</v>
      </c>
      <c r="U6980" s="4" t="s">
        <v>194</v>
      </c>
    </row>
    <row r="6981" spans="19:21" x14ac:dyDescent="0.25">
      <c r="S6981" s="6" t="s">
        <v>302</v>
      </c>
      <c r="T6981" s="6">
        <f t="shared" si="126"/>
        <v>6980</v>
      </c>
      <c r="U6981" s="4" t="s">
        <v>194</v>
      </c>
    </row>
    <row r="6982" spans="19:21" x14ac:dyDescent="0.25">
      <c r="S6982" s="6" t="s">
        <v>302</v>
      </c>
      <c r="T6982" s="6">
        <f t="shared" si="126"/>
        <v>6981</v>
      </c>
      <c r="U6982" s="4" t="s">
        <v>194</v>
      </c>
    </row>
    <row r="6983" spans="19:21" x14ac:dyDescent="0.25">
      <c r="S6983" s="6" t="s">
        <v>302</v>
      </c>
      <c r="T6983" s="6">
        <f t="shared" si="126"/>
        <v>6982</v>
      </c>
      <c r="U6983" s="4" t="s">
        <v>194</v>
      </c>
    </row>
    <row r="6984" spans="19:21" x14ac:dyDescent="0.25">
      <c r="S6984" s="6" t="s">
        <v>302</v>
      </c>
      <c r="T6984" s="6">
        <f t="shared" si="126"/>
        <v>6983</v>
      </c>
      <c r="U6984" s="4" t="s">
        <v>194</v>
      </c>
    </row>
    <row r="6985" spans="19:21" x14ac:dyDescent="0.25">
      <c r="S6985" s="6" t="s">
        <v>302</v>
      </c>
      <c r="T6985" s="6">
        <f t="shared" si="126"/>
        <v>6984</v>
      </c>
      <c r="U6985" s="4" t="s">
        <v>194</v>
      </c>
    </row>
    <row r="6986" spans="19:21" x14ac:dyDescent="0.25">
      <c r="S6986" s="6" t="s">
        <v>302</v>
      </c>
      <c r="T6986" s="6">
        <f t="shared" si="126"/>
        <v>6985</v>
      </c>
      <c r="U6986" s="4" t="s">
        <v>194</v>
      </c>
    </row>
    <row r="6987" spans="19:21" x14ac:dyDescent="0.25">
      <c r="S6987" s="6" t="s">
        <v>302</v>
      </c>
      <c r="T6987" s="6">
        <f t="shared" si="126"/>
        <v>6986</v>
      </c>
      <c r="U6987" s="4" t="s">
        <v>194</v>
      </c>
    </row>
    <row r="6988" spans="19:21" x14ac:dyDescent="0.25">
      <c r="S6988" s="6" t="s">
        <v>302</v>
      </c>
      <c r="T6988" s="6">
        <f t="shared" si="126"/>
        <v>6987</v>
      </c>
      <c r="U6988" s="4" t="s">
        <v>194</v>
      </c>
    </row>
    <row r="6989" spans="19:21" x14ac:dyDescent="0.25">
      <c r="S6989" s="6" t="s">
        <v>302</v>
      </c>
      <c r="T6989" s="6">
        <f t="shared" si="126"/>
        <v>6988</v>
      </c>
      <c r="U6989" s="4" t="s">
        <v>194</v>
      </c>
    </row>
    <row r="6990" spans="19:21" x14ac:dyDescent="0.25">
      <c r="S6990" s="6" t="s">
        <v>302</v>
      </c>
      <c r="T6990" s="6">
        <f t="shared" si="126"/>
        <v>6989</v>
      </c>
      <c r="U6990" s="4" t="s">
        <v>194</v>
      </c>
    </row>
    <row r="6991" spans="19:21" x14ac:dyDescent="0.25">
      <c r="S6991" s="6" t="s">
        <v>302</v>
      </c>
      <c r="T6991" s="6">
        <f t="shared" si="126"/>
        <v>6990</v>
      </c>
      <c r="U6991" s="4" t="s">
        <v>194</v>
      </c>
    </row>
    <row r="6992" spans="19:21" x14ac:dyDescent="0.25">
      <c r="S6992" s="6" t="s">
        <v>302</v>
      </c>
      <c r="T6992" s="6">
        <f t="shared" si="126"/>
        <v>6991</v>
      </c>
      <c r="U6992" s="4" t="s">
        <v>194</v>
      </c>
    </row>
    <row r="6993" spans="19:21" x14ac:dyDescent="0.25">
      <c r="S6993" s="6" t="s">
        <v>302</v>
      </c>
      <c r="T6993" s="6">
        <f t="shared" si="126"/>
        <v>6992</v>
      </c>
      <c r="U6993" s="4" t="s">
        <v>194</v>
      </c>
    </row>
    <row r="6994" spans="19:21" x14ac:dyDescent="0.25">
      <c r="S6994" s="6" t="s">
        <v>302</v>
      </c>
      <c r="T6994" s="6">
        <f t="shared" si="126"/>
        <v>6993</v>
      </c>
      <c r="U6994" s="4" t="s">
        <v>194</v>
      </c>
    </row>
    <row r="6995" spans="19:21" x14ac:dyDescent="0.25">
      <c r="S6995" s="6" t="s">
        <v>302</v>
      </c>
      <c r="T6995" s="6">
        <f t="shared" si="126"/>
        <v>6994</v>
      </c>
      <c r="U6995" s="4" t="s">
        <v>194</v>
      </c>
    </row>
    <row r="6996" spans="19:21" x14ac:dyDescent="0.25">
      <c r="S6996" s="6" t="s">
        <v>302</v>
      </c>
      <c r="T6996" s="6">
        <f t="shared" si="126"/>
        <v>6995</v>
      </c>
      <c r="U6996" s="4" t="s">
        <v>194</v>
      </c>
    </row>
    <row r="6997" spans="19:21" x14ac:dyDescent="0.25">
      <c r="S6997" s="6" t="s">
        <v>302</v>
      </c>
      <c r="T6997" s="6">
        <f t="shared" si="126"/>
        <v>6996</v>
      </c>
      <c r="U6997" s="4" t="s">
        <v>194</v>
      </c>
    </row>
    <row r="6998" spans="19:21" x14ac:dyDescent="0.25">
      <c r="S6998" s="6" t="s">
        <v>302</v>
      </c>
      <c r="T6998" s="6">
        <f t="shared" si="126"/>
        <v>6997</v>
      </c>
      <c r="U6998" s="4" t="s">
        <v>194</v>
      </c>
    </row>
    <row r="6999" spans="19:21" x14ac:dyDescent="0.25">
      <c r="S6999" s="6" t="s">
        <v>302</v>
      </c>
      <c r="T6999" s="6">
        <f t="shared" si="126"/>
        <v>6998</v>
      </c>
      <c r="U6999" s="4" t="s">
        <v>194</v>
      </c>
    </row>
    <row r="7000" spans="19:21" x14ac:dyDescent="0.25">
      <c r="S7000" s="6" t="s">
        <v>302</v>
      </c>
      <c r="T7000" s="6">
        <f t="shared" si="126"/>
        <v>6999</v>
      </c>
      <c r="U7000" s="4" t="s">
        <v>194</v>
      </c>
    </row>
    <row r="7001" spans="19:21" x14ac:dyDescent="0.25">
      <c r="S7001" s="6" t="s">
        <v>302</v>
      </c>
      <c r="T7001" s="6">
        <f t="shared" si="126"/>
        <v>7000</v>
      </c>
      <c r="U7001" s="4" t="s">
        <v>194</v>
      </c>
    </row>
    <row r="7002" spans="19:21" x14ac:dyDescent="0.25">
      <c r="S7002" s="6" t="s">
        <v>302</v>
      </c>
      <c r="T7002" s="6">
        <f t="shared" si="126"/>
        <v>7001</v>
      </c>
      <c r="U7002" s="4" t="s">
        <v>194</v>
      </c>
    </row>
    <row r="7003" spans="19:21" x14ac:dyDescent="0.25">
      <c r="S7003" s="6" t="s">
        <v>302</v>
      </c>
      <c r="T7003" s="6">
        <f t="shared" si="126"/>
        <v>7002</v>
      </c>
      <c r="U7003" s="4" t="s">
        <v>194</v>
      </c>
    </row>
    <row r="7004" spans="19:21" x14ac:dyDescent="0.25">
      <c r="S7004" s="6" t="s">
        <v>302</v>
      </c>
      <c r="T7004" s="6">
        <f t="shared" si="126"/>
        <v>7003</v>
      </c>
      <c r="U7004" s="4" t="s">
        <v>194</v>
      </c>
    </row>
    <row r="7005" spans="19:21" x14ac:dyDescent="0.25">
      <c r="S7005" s="6" t="s">
        <v>302</v>
      </c>
      <c r="T7005" s="6">
        <f t="shared" si="126"/>
        <v>7004</v>
      </c>
      <c r="U7005" s="4" t="s">
        <v>194</v>
      </c>
    </row>
    <row r="7006" spans="19:21" x14ac:dyDescent="0.25">
      <c r="S7006" s="6" t="s">
        <v>302</v>
      </c>
      <c r="T7006" s="6">
        <f t="shared" ref="T7006:T7069" si="127">T7005+1</f>
        <v>7005</v>
      </c>
      <c r="U7006" s="4" t="s">
        <v>194</v>
      </c>
    </row>
    <row r="7007" spans="19:21" x14ac:dyDescent="0.25">
      <c r="S7007" s="6" t="s">
        <v>302</v>
      </c>
      <c r="T7007" s="6">
        <f t="shared" si="127"/>
        <v>7006</v>
      </c>
      <c r="U7007" s="4" t="s">
        <v>194</v>
      </c>
    </row>
    <row r="7008" spans="19:21" x14ac:dyDescent="0.25">
      <c r="S7008" s="6" t="s">
        <v>302</v>
      </c>
      <c r="T7008" s="6">
        <f t="shared" si="127"/>
        <v>7007</v>
      </c>
      <c r="U7008" s="4" t="s">
        <v>194</v>
      </c>
    </row>
    <row r="7009" spans="19:21" x14ac:dyDescent="0.25">
      <c r="S7009" s="6" t="s">
        <v>302</v>
      </c>
      <c r="T7009" s="6">
        <f t="shared" si="127"/>
        <v>7008</v>
      </c>
      <c r="U7009" s="4" t="s">
        <v>194</v>
      </c>
    </row>
    <row r="7010" spans="19:21" x14ac:dyDescent="0.25">
      <c r="S7010" s="6" t="s">
        <v>302</v>
      </c>
      <c r="T7010" s="6">
        <f t="shared" si="127"/>
        <v>7009</v>
      </c>
      <c r="U7010" s="4" t="s">
        <v>194</v>
      </c>
    </row>
    <row r="7011" spans="19:21" x14ac:dyDescent="0.25">
      <c r="S7011" s="6" t="s">
        <v>302</v>
      </c>
      <c r="T7011" s="6">
        <f t="shared" si="127"/>
        <v>7010</v>
      </c>
      <c r="U7011" s="4" t="s">
        <v>194</v>
      </c>
    </row>
    <row r="7012" spans="19:21" x14ac:dyDescent="0.25">
      <c r="S7012" s="6" t="s">
        <v>302</v>
      </c>
      <c r="T7012" s="6">
        <f t="shared" si="127"/>
        <v>7011</v>
      </c>
      <c r="U7012" s="4" t="s">
        <v>194</v>
      </c>
    </row>
    <row r="7013" spans="19:21" x14ac:dyDescent="0.25">
      <c r="S7013" s="6" t="s">
        <v>302</v>
      </c>
      <c r="T7013" s="6">
        <f t="shared" si="127"/>
        <v>7012</v>
      </c>
      <c r="U7013" s="4" t="s">
        <v>194</v>
      </c>
    </row>
    <row r="7014" spans="19:21" x14ac:dyDescent="0.25">
      <c r="S7014" s="6" t="s">
        <v>302</v>
      </c>
      <c r="T7014" s="6">
        <f t="shared" si="127"/>
        <v>7013</v>
      </c>
      <c r="U7014" s="4" t="s">
        <v>194</v>
      </c>
    </row>
    <row r="7015" spans="19:21" x14ac:dyDescent="0.25">
      <c r="S7015" s="6" t="s">
        <v>302</v>
      </c>
      <c r="T7015" s="6">
        <f t="shared" si="127"/>
        <v>7014</v>
      </c>
      <c r="U7015" s="4" t="s">
        <v>194</v>
      </c>
    </row>
    <row r="7016" spans="19:21" x14ac:dyDescent="0.25">
      <c r="S7016" s="6" t="s">
        <v>302</v>
      </c>
      <c r="T7016" s="6">
        <f t="shared" si="127"/>
        <v>7015</v>
      </c>
      <c r="U7016" s="4" t="s">
        <v>194</v>
      </c>
    </row>
    <row r="7017" spans="19:21" x14ac:dyDescent="0.25">
      <c r="S7017" s="6" t="s">
        <v>302</v>
      </c>
      <c r="T7017" s="6">
        <f t="shared" si="127"/>
        <v>7016</v>
      </c>
      <c r="U7017" s="4" t="s">
        <v>194</v>
      </c>
    </row>
    <row r="7018" spans="19:21" x14ac:dyDescent="0.25">
      <c r="S7018" s="6" t="s">
        <v>302</v>
      </c>
      <c r="T7018" s="6">
        <f t="shared" si="127"/>
        <v>7017</v>
      </c>
      <c r="U7018" s="4" t="s">
        <v>194</v>
      </c>
    </row>
    <row r="7019" spans="19:21" x14ac:dyDescent="0.25">
      <c r="S7019" s="6" t="s">
        <v>302</v>
      </c>
      <c r="T7019" s="6">
        <f t="shared" si="127"/>
        <v>7018</v>
      </c>
      <c r="U7019" s="4" t="s">
        <v>194</v>
      </c>
    </row>
    <row r="7020" spans="19:21" x14ac:dyDescent="0.25">
      <c r="S7020" s="6" t="s">
        <v>302</v>
      </c>
      <c r="T7020" s="6">
        <f t="shared" si="127"/>
        <v>7019</v>
      </c>
      <c r="U7020" s="4" t="s">
        <v>194</v>
      </c>
    </row>
    <row r="7021" spans="19:21" x14ac:dyDescent="0.25">
      <c r="S7021" s="6" t="s">
        <v>302</v>
      </c>
      <c r="T7021" s="6">
        <f t="shared" si="127"/>
        <v>7020</v>
      </c>
      <c r="U7021" s="4" t="s">
        <v>194</v>
      </c>
    </row>
    <row r="7022" spans="19:21" x14ac:dyDescent="0.25">
      <c r="S7022" s="6" t="s">
        <v>302</v>
      </c>
      <c r="T7022" s="6">
        <f t="shared" si="127"/>
        <v>7021</v>
      </c>
      <c r="U7022" s="4" t="s">
        <v>194</v>
      </c>
    </row>
    <row r="7023" spans="19:21" x14ac:dyDescent="0.25">
      <c r="S7023" s="6" t="s">
        <v>302</v>
      </c>
      <c r="T7023" s="6">
        <f t="shared" si="127"/>
        <v>7022</v>
      </c>
      <c r="U7023" s="4" t="s">
        <v>194</v>
      </c>
    </row>
    <row r="7024" spans="19:21" x14ac:dyDescent="0.25">
      <c r="S7024" s="6" t="s">
        <v>302</v>
      </c>
      <c r="T7024" s="6">
        <f t="shared" si="127"/>
        <v>7023</v>
      </c>
      <c r="U7024" s="4" t="s">
        <v>194</v>
      </c>
    </row>
    <row r="7025" spans="19:21" x14ac:dyDescent="0.25">
      <c r="S7025" s="6" t="s">
        <v>302</v>
      </c>
      <c r="T7025" s="6">
        <f t="shared" si="127"/>
        <v>7024</v>
      </c>
      <c r="U7025" s="4" t="s">
        <v>194</v>
      </c>
    </row>
    <row r="7026" spans="19:21" x14ac:dyDescent="0.25">
      <c r="S7026" s="6" t="s">
        <v>302</v>
      </c>
      <c r="T7026" s="6">
        <f t="shared" si="127"/>
        <v>7025</v>
      </c>
      <c r="U7026" s="4" t="s">
        <v>194</v>
      </c>
    </row>
    <row r="7027" spans="19:21" x14ac:dyDescent="0.25">
      <c r="S7027" s="6" t="s">
        <v>302</v>
      </c>
      <c r="T7027" s="6">
        <f t="shared" si="127"/>
        <v>7026</v>
      </c>
      <c r="U7027" s="4" t="s">
        <v>194</v>
      </c>
    </row>
    <row r="7028" spans="19:21" x14ac:dyDescent="0.25">
      <c r="S7028" s="6" t="s">
        <v>302</v>
      </c>
      <c r="T7028" s="6">
        <f t="shared" si="127"/>
        <v>7027</v>
      </c>
      <c r="U7028" s="4" t="s">
        <v>194</v>
      </c>
    </row>
    <row r="7029" spans="19:21" x14ac:dyDescent="0.25">
      <c r="S7029" s="6" t="s">
        <v>302</v>
      </c>
      <c r="T7029" s="6">
        <f t="shared" si="127"/>
        <v>7028</v>
      </c>
      <c r="U7029" s="4" t="s">
        <v>194</v>
      </c>
    </row>
    <row r="7030" spans="19:21" x14ac:dyDescent="0.25">
      <c r="S7030" s="6" t="s">
        <v>302</v>
      </c>
      <c r="T7030" s="6">
        <f t="shared" si="127"/>
        <v>7029</v>
      </c>
      <c r="U7030" s="4" t="s">
        <v>194</v>
      </c>
    </row>
    <row r="7031" spans="19:21" x14ac:dyDescent="0.25">
      <c r="S7031" s="6" t="s">
        <v>302</v>
      </c>
      <c r="T7031" s="6">
        <f t="shared" si="127"/>
        <v>7030</v>
      </c>
      <c r="U7031" s="4" t="s">
        <v>194</v>
      </c>
    </row>
    <row r="7032" spans="19:21" x14ac:dyDescent="0.25">
      <c r="S7032" s="6" t="s">
        <v>302</v>
      </c>
      <c r="T7032" s="6">
        <f t="shared" si="127"/>
        <v>7031</v>
      </c>
      <c r="U7032" s="4" t="s">
        <v>194</v>
      </c>
    </row>
    <row r="7033" spans="19:21" x14ac:dyDescent="0.25">
      <c r="S7033" s="6" t="s">
        <v>302</v>
      </c>
      <c r="T7033" s="6">
        <f t="shared" si="127"/>
        <v>7032</v>
      </c>
      <c r="U7033" s="4" t="s">
        <v>194</v>
      </c>
    </row>
    <row r="7034" spans="19:21" x14ac:dyDescent="0.25">
      <c r="S7034" s="6" t="s">
        <v>302</v>
      </c>
      <c r="T7034" s="6">
        <f t="shared" si="127"/>
        <v>7033</v>
      </c>
      <c r="U7034" s="4" t="s">
        <v>194</v>
      </c>
    </row>
    <row r="7035" spans="19:21" x14ac:dyDescent="0.25">
      <c r="S7035" s="6" t="s">
        <v>302</v>
      </c>
      <c r="T7035" s="6">
        <f t="shared" si="127"/>
        <v>7034</v>
      </c>
      <c r="U7035" s="4" t="s">
        <v>194</v>
      </c>
    </row>
    <row r="7036" spans="19:21" x14ac:dyDescent="0.25">
      <c r="S7036" s="6" t="s">
        <v>302</v>
      </c>
      <c r="T7036" s="6">
        <f t="shared" si="127"/>
        <v>7035</v>
      </c>
      <c r="U7036" s="4" t="s">
        <v>194</v>
      </c>
    </row>
    <row r="7037" spans="19:21" x14ac:dyDescent="0.25">
      <c r="S7037" s="6" t="s">
        <v>302</v>
      </c>
      <c r="T7037" s="6">
        <f t="shared" si="127"/>
        <v>7036</v>
      </c>
      <c r="U7037" s="4" t="s">
        <v>194</v>
      </c>
    </row>
    <row r="7038" spans="19:21" x14ac:dyDescent="0.25">
      <c r="S7038" s="6" t="s">
        <v>302</v>
      </c>
      <c r="T7038" s="6">
        <f t="shared" si="127"/>
        <v>7037</v>
      </c>
      <c r="U7038" s="4" t="s">
        <v>194</v>
      </c>
    </row>
    <row r="7039" spans="19:21" x14ac:dyDescent="0.25">
      <c r="S7039" s="6" t="s">
        <v>302</v>
      </c>
      <c r="T7039" s="6">
        <f t="shared" si="127"/>
        <v>7038</v>
      </c>
      <c r="U7039" s="4" t="s">
        <v>194</v>
      </c>
    </row>
    <row r="7040" spans="19:21" x14ac:dyDescent="0.25">
      <c r="S7040" s="6" t="s">
        <v>302</v>
      </c>
      <c r="T7040" s="6">
        <f t="shared" si="127"/>
        <v>7039</v>
      </c>
      <c r="U7040" s="4" t="s">
        <v>194</v>
      </c>
    </row>
    <row r="7041" spans="19:21" x14ac:dyDescent="0.25">
      <c r="S7041" s="6" t="s">
        <v>302</v>
      </c>
      <c r="T7041" s="6">
        <f t="shared" si="127"/>
        <v>7040</v>
      </c>
      <c r="U7041" s="4" t="s">
        <v>194</v>
      </c>
    </row>
    <row r="7042" spans="19:21" x14ac:dyDescent="0.25">
      <c r="S7042" s="6" t="s">
        <v>302</v>
      </c>
      <c r="T7042" s="6">
        <f t="shared" si="127"/>
        <v>7041</v>
      </c>
      <c r="U7042" s="4" t="s">
        <v>194</v>
      </c>
    </row>
    <row r="7043" spans="19:21" x14ac:dyDescent="0.25">
      <c r="S7043" s="6" t="s">
        <v>302</v>
      </c>
      <c r="T7043" s="6">
        <f t="shared" si="127"/>
        <v>7042</v>
      </c>
      <c r="U7043" s="4" t="s">
        <v>194</v>
      </c>
    </row>
    <row r="7044" spans="19:21" x14ac:dyDescent="0.25">
      <c r="S7044" s="6" t="s">
        <v>302</v>
      </c>
      <c r="T7044" s="6">
        <f t="shared" si="127"/>
        <v>7043</v>
      </c>
      <c r="U7044" s="4" t="s">
        <v>194</v>
      </c>
    </row>
    <row r="7045" spans="19:21" x14ac:dyDescent="0.25">
      <c r="S7045" s="6" t="s">
        <v>302</v>
      </c>
      <c r="T7045" s="6">
        <f t="shared" si="127"/>
        <v>7044</v>
      </c>
      <c r="U7045" s="4" t="s">
        <v>194</v>
      </c>
    </row>
    <row r="7046" spans="19:21" x14ac:dyDescent="0.25">
      <c r="S7046" s="6" t="s">
        <v>302</v>
      </c>
      <c r="T7046" s="6">
        <f t="shared" si="127"/>
        <v>7045</v>
      </c>
      <c r="U7046" s="4" t="s">
        <v>194</v>
      </c>
    </row>
    <row r="7047" spans="19:21" x14ac:dyDescent="0.25">
      <c r="S7047" s="6" t="s">
        <v>302</v>
      </c>
      <c r="T7047" s="6">
        <f t="shared" si="127"/>
        <v>7046</v>
      </c>
      <c r="U7047" s="4" t="s">
        <v>194</v>
      </c>
    </row>
    <row r="7048" spans="19:21" x14ac:dyDescent="0.25">
      <c r="S7048" s="6" t="s">
        <v>302</v>
      </c>
      <c r="T7048" s="6">
        <f t="shared" si="127"/>
        <v>7047</v>
      </c>
      <c r="U7048" s="4" t="s">
        <v>194</v>
      </c>
    </row>
    <row r="7049" spans="19:21" x14ac:dyDescent="0.25">
      <c r="S7049" s="6" t="s">
        <v>302</v>
      </c>
      <c r="T7049" s="6">
        <f t="shared" si="127"/>
        <v>7048</v>
      </c>
      <c r="U7049" s="4" t="s">
        <v>194</v>
      </c>
    </row>
    <row r="7050" spans="19:21" x14ac:dyDescent="0.25">
      <c r="S7050" s="6" t="s">
        <v>302</v>
      </c>
      <c r="T7050" s="6">
        <f t="shared" si="127"/>
        <v>7049</v>
      </c>
      <c r="U7050" s="4" t="s">
        <v>194</v>
      </c>
    </row>
    <row r="7051" spans="19:21" x14ac:dyDescent="0.25">
      <c r="S7051" s="6" t="s">
        <v>302</v>
      </c>
      <c r="T7051" s="6">
        <f t="shared" si="127"/>
        <v>7050</v>
      </c>
      <c r="U7051" s="4" t="s">
        <v>194</v>
      </c>
    </row>
    <row r="7052" spans="19:21" x14ac:dyDescent="0.25">
      <c r="S7052" s="6" t="s">
        <v>302</v>
      </c>
      <c r="T7052" s="6">
        <f t="shared" si="127"/>
        <v>7051</v>
      </c>
      <c r="U7052" s="4" t="s">
        <v>194</v>
      </c>
    </row>
    <row r="7053" spans="19:21" x14ac:dyDescent="0.25">
      <c r="S7053" s="6" t="s">
        <v>302</v>
      </c>
      <c r="T7053" s="6">
        <f t="shared" si="127"/>
        <v>7052</v>
      </c>
      <c r="U7053" s="4" t="s">
        <v>194</v>
      </c>
    </row>
    <row r="7054" spans="19:21" x14ac:dyDescent="0.25">
      <c r="S7054" s="6" t="s">
        <v>302</v>
      </c>
      <c r="T7054" s="6">
        <f t="shared" si="127"/>
        <v>7053</v>
      </c>
      <c r="U7054" s="4" t="s">
        <v>194</v>
      </c>
    </row>
    <row r="7055" spans="19:21" x14ac:dyDescent="0.25">
      <c r="S7055" s="6" t="s">
        <v>302</v>
      </c>
      <c r="T7055" s="6">
        <f t="shared" si="127"/>
        <v>7054</v>
      </c>
      <c r="U7055" s="4" t="s">
        <v>194</v>
      </c>
    </row>
    <row r="7056" spans="19:21" x14ac:dyDescent="0.25">
      <c r="S7056" s="6" t="s">
        <v>302</v>
      </c>
      <c r="T7056" s="6">
        <f t="shared" si="127"/>
        <v>7055</v>
      </c>
      <c r="U7056" s="4" t="s">
        <v>194</v>
      </c>
    </row>
    <row r="7057" spans="19:21" x14ac:dyDescent="0.25">
      <c r="S7057" s="6" t="s">
        <v>302</v>
      </c>
      <c r="T7057" s="6">
        <f t="shared" si="127"/>
        <v>7056</v>
      </c>
      <c r="U7057" s="4" t="s">
        <v>194</v>
      </c>
    </row>
    <row r="7058" spans="19:21" x14ac:dyDescent="0.25">
      <c r="S7058" s="6" t="s">
        <v>302</v>
      </c>
      <c r="T7058" s="6">
        <f t="shared" si="127"/>
        <v>7057</v>
      </c>
      <c r="U7058" s="4" t="s">
        <v>194</v>
      </c>
    </row>
    <row r="7059" spans="19:21" x14ac:dyDescent="0.25">
      <c r="S7059" s="6" t="s">
        <v>302</v>
      </c>
      <c r="T7059" s="6">
        <f t="shared" si="127"/>
        <v>7058</v>
      </c>
      <c r="U7059" s="4" t="s">
        <v>194</v>
      </c>
    </row>
    <row r="7060" spans="19:21" x14ac:dyDescent="0.25">
      <c r="S7060" s="6" t="s">
        <v>302</v>
      </c>
      <c r="T7060" s="6">
        <f t="shared" si="127"/>
        <v>7059</v>
      </c>
      <c r="U7060" s="4" t="s">
        <v>194</v>
      </c>
    </row>
    <row r="7061" spans="19:21" x14ac:dyDescent="0.25">
      <c r="S7061" s="6" t="s">
        <v>302</v>
      </c>
      <c r="T7061" s="6">
        <f t="shared" si="127"/>
        <v>7060</v>
      </c>
      <c r="U7061" s="4" t="s">
        <v>194</v>
      </c>
    </row>
    <row r="7062" spans="19:21" x14ac:dyDescent="0.25">
      <c r="S7062" s="6" t="s">
        <v>302</v>
      </c>
      <c r="T7062" s="6">
        <f t="shared" si="127"/>
        <v>7061</v>
      </c>
      <c r="U7062" s="4" t="s">
        <v>194</v>
      </c>
    </row>
    <row r="7063" spans="19:21" x14ac:dyDescent="0.25">
      <c r="S7063" s="6" t="s">
        <v>302</v>
      </c>
      <c r="T7063" s="6">
        <f t="shared" si="127"/>
        <v>7062</v>
      </c>
      <c r="U7063" s="4" t="s">
        <v>194</v>
      </c>
    </row>
    <row r="7064" spans="19:21" x14ac:dyDescent="0.25">
      <c r="S7064" s="6" t="s">
        <v>302</v>
      </c>
      <c r="T7064" s="6">
        <f t="shared" si="127"/>
        <v>7063</v>
      </c>
      <c r="U7064" s="4" t="s">
        <v>194</v>
      </c>
    </row>
    <row r="7065" spans="19:21" x14ac:dyDescent="0.25">
      <c r="S7065" s="6" t="s">
        <v>302</v>
      </c>
      <c r="T7065" s="6">
        <f t="shared" si="127"/>
        <v>7064</v>
      </c>
      <c r="U7065" s="4" t="s">
        <v>194</v>
      </c>
    </row>
    <row r="7066" spans="19:21" x14ac:dyDescent="0.25">
      <c r="S7066" s="6" t="s">
        <v>302</v>
      </c>
      <c r="T7066" s="6">
        <f t="shared" si="127"/>
        <v>7065</v>
      </c>
      <c r="U7066" s="4" t="s">
        <v>194</v>
      </c>
    </row>
    <row r="7067" spans="19:21" x14ac:dyDescent="0.25">
      <c r="S7067" s="6" t="s">
        <v>302</v>
      </c>
      <c r="T7067" s="6">
        <f t="shared" si="127"/>
        <v>7066</v>
      </c>
      <c r="U7067" s="4" t="s">
        <v>194</v>
      </c>
    </row>
    <row r="7068" spans="19:21" x14ac:dyDescent="0.25">
      <c r="S7068" s="6" t="s">
        <v>302</v>
      </c>
      <c r="T7068" s="6">
        <f t="shared" si="127"/>
        <v>7067</v>
      </c>
      <c r="U7068" s="4" t="s">
        <v>194</v>
      </c>
    </row>
    <row r="7069" spans="19:21" x14ac:dyDescent="0.25">
      <c r="S7069" s="6" t="s">
        <v>302</v>
      </c>
      <c r="T7069" s="6">
        <f t="shared" si="127"/>
        <v>7068</v>
      </c>
      <c r="U7069" s="4" t="s">
        <v>194</v>
      </c>
    </row>
    <row r="7070" spans="19:21" x14ac:dyDescent="0.25">
      <c r="S7070" s="6" t="s">
        <v>302</v>
      </c>
      <c r="T7070" s="6">
        <f t="shared" ref="T7070:T7133" si="128">T7069+1</f>
        <v>7069</v>
      </c>
      <c r="U7070" s="4" t="s">
        <v>194</v>
      </c>
    </row>
    <row r="7071" spans="19:21" x14ac:dyDescent="0.25">
      <c r="S7071" s="6" t="s">
        <v>302</v>
      </c>
      <c r="T7071" s="6">
        <f t="shared" si="128"/>
        <v>7070</v>
      </c>
      <c r="U7071" s="4" t="s">
        <v>194</v>
      </c>
    </row>
    <row r="7072" spans="19:21" x14ac:dyDescent="0.25">
      <c r="S7072" s="6" t="s">
        <v>302</v>
      </c>
      <c r="T7072" s="6">
        <f t="shared" si="128"/>
        <v>7071</v>
      </c>
      <c r="U7072" s="4" t="s">
        <v>194</v>
      </c>
    </row>
    <row r="7073" spans="19:21" x14ac:dyDescent="0.25">
      <c r="S7073" s="6" t="s">
        <v>302</v>
      </c>
      <c r="T7073" s="6">
        <f t="shared" si="128"/>
        <v>7072</v>
      </c>
      <c r="U7073" s="4" t="s">
        <v>194</v>
      </c>
    </row>
    <row r="7074" spans="19:21" x14ac:dyDescent="0.25">
      <c r="S7074" s="6" t="s">
        <v>302</v>
      </c>
      <c r="T7074" s="6">
        <f t="shared" si="128"/>
        <v>7073</v>
      </c>
      <c r="U7074" s="4" t="s">
        <v>194</v>
      </c>
    </row>
    <row r="7075" spans="19:21" x14ac:dyDescent="0.25">
      <c r="S7075" s="6" t="s">
        <v>302</v>
      </c>
      <c r="T7075" s="6">
        <f t="shared" si="128"/>
        <v>7074</v>
      </c>
      <c r="U7075" s="4" t="s">
        <v>194</v>
      </c>
    </row>
    <row r="7076" spans="19:21" x14ac:dyDescent="0.25">
      <c r="S7076" s="6" t="s">
        <v>302</v>
      </c>
      <c r="T7076" s="6">
        <f t="shared" si="128"/>
        <v>7075</v>
      </c>
      <c r="U7076" s="4" t="s">
        <v>194</v>
      </c>
    </row>
    <row r="7077" spans="19:21" x14ac:dyDescent="0.25">
      <c r="S7077" s="6" t="s">
        <v>302</v>
      </c>
      <c r="T7077" s="6">
        <f t="shared" si="128"/>
        <v>7076</v>
      </c>
      <c r="U7077" s="4" t="s">
        <v>194</v>
      </c>
    </row>
    <row r="7078" spans="19:21" x14ac:dyDescent="0.25">
      <c r="S7078" s="6" t="s">
        <v>302</v>
      </c>
      <c r="T7078" s="6">
        <f t="shared" si="128"/>
        <v>7077</v>
      </c>
      <c r="U7078" s="4" t="s">
        <v>194</v>
      </c>
    </row>
    <row r="7079" spans="19:21" x14ac:dyDescent="0.25">
      <c r="S7079" s="6" t="s">
        <v>302</v>
      </c>
      <c r="T7079" s="6">
        <f t="shared" si="128"/>
        <v>7078</v>
      </c>
      <c r="U7079" s="4" t="s">
        <v>194</v>
      </c>
    </row>
    <row r="7080" spans="19:21" x14ac:dyDescent="0.25">
      <c r="S7080" s="6" t="s">
        <v>302</v>
      </c>
      <c r="T7080" s="6">
        <f t="shared" si="128"/>
        <v>7079</v>
      </c>
      <c r="U7080" s="4" t="s">
        <v>194</v>
      </c>
    </row>
    <row r="7081" spans="19:21" x14ac:dyDescent="0.25">
      <c r="S7081" s="6" t="s">
        <v>302</v>
      </c>
      <c r="T7081" s="6">
        <f t="shared" si="128"/>
        <v>7080</v>
      </c>
      <c r="U7081" s="4" t="s">
        <v>194</v>
      </c>
    </row>
    <row r="7082" spans="19:21" x14ac:dyDescent="0.25">
      <c r="S7082" s="6" t="s">
        <v>302</v>
      </c>
      <c r="T7082" s="6">
        <f t="shared" si="128"/>
        <v>7081</v>
      </c>
      <c r="U7082" s="4" t="s">
        <v>194</v>
      </c>
    </row>
    <row r="7083" spans="19:21" x14ac:dyDescent="0.25">
      <c r="S7083" s="6" t="s">
        <v>302</v>
      </c>
      <c r="T7083" s="6">
        <f t="shared" si="128"/>
        <v>7082</v>
      </c>
      <c r="U7083" s="4" t="s">
        <v>194</v>
      </c>
    </row>
    <row r="7084" spans="19:21" x14ac:dyDescent="0.25">
      <c r="S7084" s="6" t="s">
        <v>302</v>
      </c>
      <c r="T7084" s="6">
        <f t="shared" si="128"/>
        <v>7083</v>
      </c>
      <c r="U7084" s="4" t="s">
        <v>194</v>
      </c>
    </row>
    <row r="7085" spans="19:21" x14ac:dyDescent="0.25">
      <c r="S7085" s="6" t="s">
        <v>302</v>
      </c>
      <c r="T7085" s="6">
        <f t="shared" si="128"/>
        <v>7084</v>
      </c>
      <c r="U7085" s="4" t="s">
        <v>194</v>
      </c>
    </row>
    <row r="7086" spans="19:21" x14ac:dyDescent="0.25">
      <c r="S7086" s="6" t="s">
        <v>302</v>
      </c>
      <c r="T7086" s="6">
        <f t="shared" si="128"/>
        <v>7085</v>
      </c>
      <c r="U7086" s="4" t="s">
        <v>194</v>
      </c>
    </row>
    <row r="7087" spans="19:21" x14ac:dyDescent="0.25">
      <c r="S7087" s="6" t="s">
        <v>302</v>
      </c>
      <c r="T7087" s="6">
        <f t="shared" si="128"/>
        <v>7086</v>
      </c>
      <c r="U7087" s="4" t="s">
        <v>194</v>
      </c>
    </row>
    <row r="7088" spans="19:21" x14ac:dyDescent="0.25">
      <c r="S7088" s="6" t="s">
        <v>302</v>
      </c>
      <c r="T7088" s="6">
        <f t="shared" si="128"/>
        <v>7087</v>
      </c>
      <c r="U7088" s="4" t="s">
        <v>194</v>
      </c>
    </row>
    <row r="7089" spans="19:21" x14ac:dyDescent="0.25">
      <c r="S7089" s="6" t="s">
        <v>302</v>
      </c>
      <c r="T7089" s="6">
        <f t="shared" si="128"/>
        <v>7088</v>
      </c>
      <c r="U7089" s="4" t="s">
        <v>194</v>
      </c>
    </row>
    <row r="7090" spans="19:21" x14ac:dyDescent="0.25">
      <c r="S7090" s="6" t="s">
        <v>302</v>
      </c>
      <c r="T7090" s="6">
        <f t="shared" si="128"/>
        <v>7089</v>
      </c>
      <c r="U7090" s="4" t="s">
        <v>194</v>
      </c>
    </row>
    <row r="7091" spans="19:21" x14ac:dyDescent="0.25">
      <c r="S7091" s="6" t="s">
        <v>302</v>
      </c>
      <c r="T7091" s="6">
        <f t="shared" si="128"/>
        <v>7090</v>
      </c>
      <c r="U7091" s="4" t="s">
        <v>194</v>
      </c>
    </row>
    <row r="7092" spans="19:21" x14ac:dyDescent="0.25">
      <c r="S7092" s="6" t="s">
        <v>302</v>
      </c>
      <c r="T7092" s="6">
        <f t="shared" si="128"/>
        <v>7091</v>
      </c>
      <c r="U7092" s="4" t="s">
        <v>194</v>
      </c>
    </row>
    <row r="7093" spans="19:21" x14ac:dyDescent="0.25">
      <c r="S7093" s="6" t="s">
        <v>302</v>
      </c>
      <c r="T7093" s="6">
        <f t="shared" si="128"/>
        <v>7092</v>
      </c>
      <c r="U7093" s="4" t="s">
        <v>194</v>
      </c>
    </row>
    <row r="7094" spans="19:21" x14ac:dyDescent="0.25">
      <c r="S7094" s="6" t="s">
        <v>302</v>
      </c>
      <c r="T7094" s="6">
        <f t="shared" si="128"/>
        <v>7093</v>
      </c>
      <c r="U7094" s="4" t="s">
        <v>194</v>
      </c>
    </row>
    <row r="7095" spans="19:21" x14ac:dyDescent="0.25">
      <c r="S7095" s="6" t="s">
        <v>302</v>
      </c>
      <c r="T7095" s="6">
        <f t="shared" si="128"/>
        <v>7094</v>
      </c>
      <c r="U7095" s="4" t="s">
        <v>194</v>
      </c>
    </row>
    <row r="7096" spans="19:21" x14ac:dyDescent="0.25">
      <c r="S7096" s="6" t="s">
        <v>302</v>
      </c>
      <c r="T7096" s="6">
        <f t="shared" si="128"/>
        <v>7095</v>
      </c>
      <c r="U7096" s="4" t="s">
        <v>194</v>
      </c>
    </row>
    <row r="7097" spans="19:21" x14ac:dyDescent="0.25">
      <c r="S7097" s="6" t="s">
        <v>302</v>
      </c>
      <c r="T7097" s="6">
        <f t="shared" si="128"/>
        <v>7096</v>
      </c>
      <c r="U7097" s="4" t="s">
        <v>194</v>
      </c>
    </row>
    <row r="7098" spans="19:21" x14ac:dyDescent="0.25">
      <c r="S7098" s="6" t="s">
        <v>302</v>
      </c>
      <c r="T7098" s="6">
        <f t="shared" si="128"/>
        <v>7097</v>
      </c>
      <c r="U7098" s="4" t="s">
        <v>194</v>
      </c>
    </row>
    <row r="7099" spans="19:21" x14ac:dyDescent="0.25">
      <c r="S7099" s="6" t="s">
        <v>302</v>
      </c>
      <c r="T7099" s="6">
        <f t="shared" si="128"/>
        <v>7098</v>
      </c>
      <c r="U7099" s="4" t="s">
        <v>194</v>
      </c>
    </row>
    <row r="7100" spans="19:21" x14ac:dyDescent="0.25">
      <c r="S7100" s="6" t="s">
        <v>302</v>
      </c>
      <c r="T7100" s="6">
        <f t="shared" si="128"/>
        <v>7099</v>
      </c>
      <c r="U7100" s="4" t="s">
        <v>194</v>
      </c>
    </row>
    <row r="7101" spans="19:21" x14ac:dyDescent="0.25">
      <c r="S7101" s="6" t="s">
        <v>302</v>
      </c>
      <c r="T7101" s="6">
        <f t="shared" si="128"/>
        <v>7100</v>
      </c>
      <c r="U7101" s="4" t="s">
        <v>194</v>
      </c>
    </row>
    <row r="7102" spans="19:21" x14ac:dyDescent="0.25">
      <c r="S7102" s="6" t="s">
        <v>302</v>
      </c>
      <c r="T7102" s="6">
        <f t="shared" si="128"/>
        <v>7101</v>
      </c>
      <c r="U7102" s="4" t="s">
        <v>194</v>
      </c>
    </row>
    <row r="7103" spans="19:21" x14ac:dyDescent="0.25">
      <c r="S7103" s="6" t="s">
        <v>302</v>
      </c>
      <c r="T7103" s="6">
        <f t="shared" si="128"/>
        <v>7102</v>
      </c>
      <c r="U7103" s="4" t="s">
        <v>194</v>
      </c>
    </row>
    <row r="7104" spans="19:21" x14ac:dyDescent="0.25">
      <c r="S7104" s="6" t="s">
        <v>302</v>
      </c>
      <c r="T7104" s="6">
        <f t="shared" si="128"/>
        <v>7103</v>
      </c>
      <c r="U7104" s="4" t="s">
        <v>194</v>
      </c>
    </row>
    <row r="7105" spans="19:21" x14ac:dyDescent="0.25">
      <c r="S7105" s="6" t="s">
        <v>302</v>
      </c>
      <c r="T7105" s="6">
        <f t="shared" si="128"/>
        <v>7104</v>
      </c>
      <c r="U7105" s="4" t="s">
        <v>194</v>
      </c>
    </row>
    <row r="7106" spans="19:21" x14ac:dyDescent="0.25">
      <c r="S7106" s="6" t="s">
        <v>302</v>
      </c>
      <c r="T7106" s="6">
        <f t="shared" si="128"/>
        <v>7105</v>
      </c>
      <c r="U7106" s="4" t="s">
        <v>194</v>
      </c>
    </row>
    <row r="7107" spans="19:21" x14ac:dyDescent="0.25">
      <c r="S7107" s="6" t="s">
        <v>302</v>
      </c>
      <c r="T7107" s="6">
        <f t="shared" si="128"/>
        <v>7106</v>
      </c>
      <c r="U7107" s="4" t="s">
        <v>194</v>
      </c>
    </row>
    <row r="7108" spans="19:21" x14ac:dyDescent="0.25">
      <c r="S7108" s="6" t="s">
        <v>302</v>
      </c>
      <c r="T7108" s="6">
        <f t="shared" si="128"/>
        <v>7107</v>
      </c>
      <c r="U7108" s="4" t="s">
        <v>194</v>
      </c>
    </row>
    <row r="7109" spans="19:21" x14ac:dyDescent="0.25">
      <c r="S7109" s="6" t="s">
        <v>302</v>
      </c>
      <c r="T7109" s="6">
        <f t="shared" si="128"/>
        <v>7108</v>
      </c>
      <c r="U7109" s="4" t="s">
        <v>194</v>
      </c>
    </row>
    <row r="7110" spans="19:21" x14ac:dyDescent="0.25">
      <c r="S7110" s="6" t="s">
        <v>302</v>
      </c>
      <c r="T7110" s="6">
        <f t="shared" si="128"/>
        <v>7109</v>
      </c>
      <c r="U7110" s="4" t="s">
        <v>194</v>
      </c>
    </row>
    <row r="7111" spans="19:21" x14ac:dyDescent="0.25">
      <c r="S7111" s="6" t="s">
        <v>302</v>
      </c>
      <c r="T7111" s="6">
        <f t="shared" si="128"/>
        <v>7110</v>
      </c>
      <c r="U7111" s="4" t="s">
        <v>194</v>
      </c>
    </row>
    <row r="7112" spans="19:21" x14ac:dyDescent="0.25">
      <c r="S7112" s="6" t="s">
        <v>302</v>
      </c>
      <c r="T7112" s="6">
        <f t="shared" si="128"/>
        <v>7111</v>
      </c>
      <c r="U7112" s="4" t="s">
        <v>194</v>
      </c>
    </row>
    <row r="7113" spans="19:21" x14ac:dyDescent="0.25">
      <c r="S7113" s="6" t="s">
        <v>302</v>
      </c>
      <c r="T7113" s="6">
        <f t="shared" si="128"/>
        <v>7112</v>
      </c>
      <c r="U7113" s="4" t="s">
        <v>194</v>
      </c>
    </row>
    <row r="7114" spans="19:21" x14ac:dyDescent="0.25">
      <c r="S7114" s="6" t="s">
        <v>302</v>
      </c>
      <c r="T7114" s="6">
        <f t="shared" si="128"/>
        <v>7113</v>
      </c>
      <c r="U7114" s="4" t="s">
        <v>194</v>
      </c>
    </row>
    <row r="7115" spans="19:21" x14ac:dyDescent="0.25">
      <c r="S7115" s="6" t="s">
        <v>302</v>
      </c>
      <c r="T7115" s="6">
        <f t="shared" si="128"/>
        <v>7114</v>
      </c>
      <c r="U7115" s="4" t="s">
        <v>194</v>
      </c>
    </row>
    <row r="7116" spans="19:21" x14ac:dyDescent="0.25">
      <c r="S7116" s="6" t="s">
        <v>302</v>
      </c>
      <c r="T7116" s="6">
        <f t="shared" si="128"/>
        <v>7115</v>
      </c>
      <c r="U7116" s="4" t="s">
        <v>194</v>
      </c>
    </row>
    <row r="7117" spans="19:21" x14ac:dyDescent="0.25">
      <c r="S7117" s="6" t="s">
        <v>302</v>
      </c>
      <c r="T7117" s="6">
        <f t="shared" si="128"/>
        <v>7116</v>
      </c>
      <c r="U7117" s="4" t="s">
        <v>194</v>
      </c>
    </row>
    <row r="7118" spans="19:21" x14ac:dyDescent="0.25">
      <c r="S7118" s="6" t="s">
        <v>302</v>
      </c>
      <c r="T7118" s="6">
        <f t="shared" si="128"/>
        <v>7117</v>
      </c>
      <c r="U7118" s="4" t="s">
        <v>194</v>
      </c>
    </row>
    <row r="7119" spans="19:21" x14ac:dyDescent="0.25">
      <c r="S7119" s="6" t="s">
        <v>302</v>
      </c>
      <c r="T7119" s="6">
        <f t="shared" si="128"/>
        <v>7118</v>
      </c>
      <c r="U7119" s="4" t="s">
        <v>194</v>
      </c>
    </row>
    <row r="7120" spans="19:21" x14ac:dyDescent="0.25">
      <c r="S7120" s="6" t="s">
        <v>302</v>
      </c>
      <c r="T7120" s="6">
        <f t="shared" si="128"/>
        <v>7119</v>
      </c>
      <c r="U7120" s="4" t="s">
        <v>194</v>
      </c>
    </row>
    <row r="7121" spans="19:21" x14ac:dyDescent="0.25">
      <c r="S7121" s="6" t="s">
        <v>302</v>
      </c>
      <c r="T7121" s="6">
        <f t="shared" si="128"/>
        <v>7120</v>
      </c>
      <c r="U7121" s="4" t="s">
        <v>194</v>
      </c>
    </row>
    <row r="7122" spans="19:21" x14ac:dyDescent="0.25">
      <c r="S7122" s="6" t="s">
        <v>302</v>
      </c>
      <c r="T7122" s="6">
        <f t="shared" si="128"/>
        <v>7121</v>
      </c>
      <c r="U7122" s="4" t="s">
        <v>194</v>
      </c>
    </row>
    <row r="7123" spans="19:21" x14ac:dyDescent="0.25">
      <c r="S7123" s="6" t="s">
        <v>302</v>
      </c>
      <c r="T7123" s="6">
        <f t="shared" si="128"/>
        <v>7122</v>
      </c>
      <c r="U7123" s="4" t="s">
        <v>194</v>
      </c>
    </row>
    <row r="7124" spans="19:21" x14ac:dyDescent="0.25">
      <c r="S7124" s="6" t="s">
        <v>302</v>
      </c>
      <c r="T7124" s="6">
        <f t="shared" si="128"/>
        <v>7123</v>
      </c>
      <c r="U7124" s="4" t="s">
        <v>194</v>
      </c>
    </row>
    <row r="7125" spans="19:21" x14ac:dyDescent="0.25">
      <c r="S7125" s="6" t="s">
        <v>302</v>
      </c>
      <c r="T7125" s="6">
        <f t="shared" si="128"/>
        <v>7124</v>
      </c>
      <c r="U7125" s="4" t="s">
        <v>194</v>
      </c>
    </row>
    <row r="7126" spans="19:21" x14ac:dyDescent="0.25">
      <c r="S7126" s="6" t="s">
        <v>302</v>
      </c>
      <c r="T7126" s="6">
        <f t="shared" si="128"/>
        <v>7125</v>
      </c>
      <c r="U7126" s="4" t="s">
        <v>194</v>
      </c>
    </row>
    <row r="7127" spans="19:21" x14ac:dyDescent="0.25">
      <c r="S7127" s="6" t="s">
        <v>302</v>
      </c>
      <c r="T7127" s="6">
        <f t="shared" si="128"/>
        <v>7126</v>
      </c>
      <c r="U7127" s="4" t="s">
        <v>194</v>
      </c>
    </row>
    <row r="7128" spans="19:21" x14ac:dyDescent="0.25">
      <c r="S7128" s="6" t="s">
        <v>302</v>
      </c>
      <c r="T7128" s="6">
        <f t="shared" si="128"/>
        <v>7127</v>
      </c>
      <c r="U7128" s="4" t="s">
        <v>194</v>
      </c>
    </row>
    <row r="7129" spans="19:21" x14ac:dyDescent="0.25">
      <c r="S7129" s="6" t="s">
        <v>302</v>
      </c>
      <c r="T7129" s="6">
        <f t="shared" si="128"/>
        <v>7128</v>
      </c>
      <c r="U7129" s="4" t="s">
        <v>194</v>
      </c>
    </row>
    <row r="7130" spans="19:21" x14ac:dyDescent="0.25">
      <c r="S7130" s="6" t="s">
        <v>302</v>
      </c>
      <c r="T7130" s="6">
        <f t="shared" si="128"/>
        <v>7129</v>
      </c>
      <c r="U7130" s="4" t="s">
        <v>194</v>
      </c>
    </row>
    <row r="7131" spans="19:21" x14ac:dyDescent="0.25">
      <c r="S7131" s="6" t="s">
        <v>302</v>
      </c>
      <c r="T7131" s="6">
        <f t="shared" si="128"/>
        <v>7130</v>
      </c>
      <c r="U7131" s="4" t="s">
        <v>194</v>
      </c>
    </row>
    <row r="7132" spans="19:21" x14ac:dyDescent="0.25">
      <c r="S7132" s="6" t="s">
        <v>302</v>
      </c>
      <c r="T7132" s="6">
        <f t="shared" si="128"/>
        <v>7131</v>
      </c>
      <c r="U7132" s="4" t="s">
        <v>194</v>
      </c>
    </row>
    <row r="7133" spans="19:21" x14ac:dyDescent="0.25">
      <c r="S7133" s="6" t="s">
        <v>302</v>
      </c>
      <c r="T7133" s="6">
        <f t="shared" si="128"/>
        <v>7132</v>
      </c>
      <c r="U7133" s="4" t="s">
        <v>194</v>
      </c>
    </row>
    <row r="7134" spans="19:21" x14ac:dyDescent="0.25">
      <c r="S7134" s="6" t="s">
        <v>302</v>
      </c>
      <c r="T7134" s="6">
        <f t="shared" ref="T7134:T7197" si="129">T7133+1</f>
        <v>7133</v>
      </c>
      <c r="U7134" s="4" t="s">
        <v>194</v>
      </c>
    </row>
    <row r="7135" spans="19:21" x14ac:dyDescent="0.25">
      <c r="S7135" s="6" t="s">
        <v>302</v>
      </c>
      <c r="T7135" s="6">
        <f t="shared" si="129"/>
        <v>7134</v>
      </c>
      <c r="U7135" s="4" t="s">
        <v>194</v>
      </c>
    </row>
    <row r="7136" spans="19:21" x14ac:dyDescent="0.25">
      <c r="S7136" s="6" t="s">
        <v>302</v>
      </c>
      <c r="T7136" s="6">
        <f t="shared" si="129"/>
        <v>7135</v>
      </c>
      <c r="U7136" s="4" t="s">
        <v>194</v>
      </c>
    </row>
    <row r="7137" spans="19:21" x14ac:dyDescent="0.25">
      <c r="S7137" s="6" t="s">
        <v>302</v>
      </c>
      <c r="T7137" s="6">
        <f t="shared" si="129"/>
        <v>7136</v>
      </c>
      <c r="U7137" s="4" t="s">
        <v>194</v>
      </c>
    </row>
    <row r="7138" spans="19:21" x14ac:dyDescent="0.25">
      <c r="S7138" s="6" t="s">
        <v>302</v>
      </c>
      <c r="T7138" s="6">
        <f t="shared" si="129"/>
        <v>7137</v>
      </c>
      <c r="U7138" s="4" t="s">
        <v>194</v>
      </c>
    </row>
    <row r="7139" spans="19:21" x14ac:dyDescent="0.25">
      <c r="S7139" s="6" t="s">
        <v>302</v>
      </c>
      <c r="T7139" s="6">
        <f t="shared" si="129"/>
        <v>7138</v>
      </c>
      <c r="U7139" s="4" t="s">
        <v>194</v>
      </c>
    </row>
    <row r="7140" spans="19:21" x14ac:dyDescent="0.25">
      <c r="S7140" s="6" t="s">
        <v>302</v>
      </c>
      <c r="T7140" s="6">
        <f t="shared" si="129"/>
        <v>7139</v>
      </c>
      <c r="U7140" s="4" t="s">
        <v>194</v>
      </c>
    </row>
    <row r="7141" spans="19:21" x14ac:dyDescent="0.25">
      <c r="S7141" s="6" t="s">
        <v>302</v>
      </c>
      <c r="T7141" s="6">
        <f t="shared" si="129"/>
        <v>7140</v>
      </c>
      <c r="U7141" s="4" t="s">
        <v>194</v>
      </c>
    </row>
    <row r="7142" spans="19:21" x14ac:dyDescent="0.25">
      <c r="S7142" s="6" t="s">
        <v>302</v>
      </c>
      <c r="T7142" s="6">
        <f t="shared" si="129"/>
        <v>7141</v>
      </c>
      <c r="U7142" s="4" t="s">
        <v>194</v>
      </c>
    </row>
    <row r="7143" spans="19:21" x14ac:dyDescent="0.25">
      <c r="S7143" s="6" t="s">
        <v>302</v>
      </c>
      <c r="T7143" s="6">
        <f t="shared" si="129"/>
        <v>7142</v>
      </c>
      <c r="U7143" s="4" t="s">
        <v>194</v>
      </c>
    </row>
    <row r="7144" spans="19:21" x14ac:dyDescent="0.25">
      <c r="S7144" s="6" t="s">
        <v>302</v>
      </c>
      <c r="T7144" s="6">
        <f t="shared" si="129"/>
        <v>7143</v>
      </c>
      <c r="U7144" s="4" t="s">
        <v>194</v>
      </c>
    </row>
    <row r="7145" spans="19:21" x14ac:dyDescent="0.25">
      <c r="S7145" s="6" t="s">
        <v>302</v>
      </c>
      <c r="T7145" s="6">
        <f t="shared" si="129"/>
        <v>7144</v>
      </c>
      <c r="U7145" s="4" t="s">
        <v>194</v>
      </c>
    </row>
    <row r="7146" spans="19:21" x14ac:dyDescent="0.25">
      <c r="S7146" s="6" t="s">
        <v>302</v>
      </c>
      <c r="T7146" s="6">
        <f t="shared" si="129"/>
        <v>7145</v>
      </c>
      <c r="U7146" s="4" t="s">
        <v>194</v>
      </c>
    </row>
    <row r="7147" spans="19:21" x14ac:dyDescent="0.25">
      <c r="S7147" s="6" t="s">
        <v>302</v>
      </c>
      <c r="T7147" s="6">
        <f t="shared" si="129"/>
        <v>7146</v>
      </c>
      <c r="U7147" s="4" t="s">
        <v>194</v>
      </c>
    </row>
    <row r="7148" spans="19:21" x14ac:dyDescent="0.25">
      <c r="S7148" s="6" t="s">
        <v>302</v>
      </c>
      <c r="T7148" s="6">
        <f t="shared" si="129"/>
        <v>7147</v>
      </c>
      <c r="U7148" s="4" t="s">
        <v>194</v>
      </c>
    </row>
    <row r="7149" spans="19:21" x14ac:dyDescent="0.25">
      <c r="S7149" s="6" t="s">
        <v>302</v>
      </c>
      <c r="T7149" s="6">
        <f t="shared" si="129"/>
        <v>7148</v>
      </c>
      <c r="U7149" s="4" t="s">
        <v>194</v>
      </c>
    </row>
    <row r="7150" spans="19:21" x14ac:dyDescent="0.25">
      <c r="S7150" s="6" t="s">
        <v>302</v>
      </c>
      <c r="T7150" s="6">
        <f t="shared" si="129"/>
        <v>7149</v>
      </c>
      <c r="U7150" s="4" t="s">
        <v>194</v>
      </c>
    </row>
    <row r="7151" spans="19:21" x14ac:dyDescent="0.25">
      <c r="S7151" s="6" t="s">
        <v>302</v>
      </c>
      <c r="T7151" s="6">
        <f t="shared" si="129"/>
        <v>7150</v>
      </c>
      <c r="U7151" s="4" t="s">
        <v>194</v>
      </c>
    </row>
    <row r="7152" spans="19:21" x14ac:dyDescent="0.25">
      <c r="S7152" s="6" t="s">
        <v>302</v>
      </c>
      <c r="T7152" s="6">
        <f t="shared" si="129"/>
        <v>7151</v>
      </c>
      <c r="U7152" s="4" t="s">
        <v>194</v>
      </c>
    </row>
    <row r="7153" spans="19:21" x14ac:dyDescent="0.25">
      <c r="S7153" s="6" t="s">
        <v>302</v>
      </c>
      <c r="T7153" s="6">
        <f t="shared" si="129"/>
        <v>7152</v>
      </c>
      <c r="U7153" s="4" t="s">
        <v>194</v>
      </c>
    </row>
    <row r="7154" spans="19:21" x14ac:dyDescent="0.25">
      <c r="S7154" s="6" t="s">
        <v>302</v>
      </c>
      <c r="T7154" s="6">
        <f t="shared" si="129"/>
        <v>7153</v>
      </c>
      <c r="U7154" s="4" t="s">
        <v>194</v>
      </c>
    </row>
    <row r="7155" spans="19:21" x14ac:dyDescent="0.25">
      <c r="S7155" s="6" t="s">
        <v>302</v>
      </c>
      <c r="T7155" s="6">
        <f t="shared" si="129"/>
        <v>7154</v>
      </c>
      <c r="U7155" s="4" t="s">
        <v>194</v>
      </c>
    </row>
    <row r="7156" spans="19:21" x14ac:dyDescent="0.25">
      <c r="S7156" s="6" t="s">
        <v>302</v>
      </c>
      <c r="T7156" s="6">
        <f t="shared" si="129"/>
        <v>7155</v>
      </c>
      <c r="U7156" s="4" t="s">
        <v>194</v>
      </c>
    </row>
    <row r="7157" spans="19:21" x14ac:dyDescent="0.25">
      <c r="S7157" s="6" t="s">
        <v>302</v>
      </c>
      <c r="T7157" s="6">
        <f t="shared" si="129"/>
        <v>7156</v>
      </c>
      <c r="U7157" s="4" t="s">
        <v>194</v>
      </c>
    </row>
    <row r="7158" spans="19:21" x14ac:dyDescent="0.25">
      <c r="S7158" s="6" t="s">
        <v>302</v>
      </c>
      <c r="T7158" s="6">
        <f t="shared" si="129"/>
        <v>7157</v>
      </c>
      <c r="U7158" s="4" t="s">
        <v>194</v>
      </c>
    </row>
    <row r="7159" spans="19:21" x14ac:dyDescent="0.25">
      <c r="S7159" s="6" t="s">
        <v>302</v>
      </c>
      <c r="T7159" s="6">
        <f t="shared" si="129"/>
        <v>7158</v>
      </c>
      <c r="U7159" s="4" t="s">
        <v>194</v>
      </c>
    </row>
    <row r="7160" spans="19:21" x14ac:dyDescent="0.25">
      <c r="S7160" s="6" t="s">
        <v>302</v>
      </c>
      <c r="T7160" s="6">
        <f t="shared" si="129"/>
        <v>7159</v>
      </c>
      <c r="U7160" s="4" t="s">
        <v>194</v>
      </c>
    </row>
    <row r="7161" spans="19:21" x14ac:dyDescent="0.25">
      <c r="S7161" s="6" t="s">
        <v>302</v>
      </c>
      <c r="T7161" s="6">
        <f t="shared" si="129"/>
        <v>7160</v>
      </c>
      <c r="U7161" s="4" t="s">
        <v>194</v>
      </c>
    </row>
    <row r="7162" spans="19:21" x14ac:dyDescent="0.25">
      <c r="S7162" s="6" t="s">
        <v>302</v>
      </c>
      <c r="T7162" s="6">
        <f t="shared" si="129"/>
        <v>7161</v>
      </c>
      <c r="U7162" s="4" t="s">
        <v>194</v>
      </c>
    </row>
    <row r="7163" spans="19:21" x14ac:dyDescent="0.25">
      <c r="S7163" s="6" t="s">
        <v>302</v>
      </c>
      <c r="T7163" s="6">
        <f t="shared" si="129"/>
        <v>7162</v>
      </c>
      <c r="U7163" s="4" t="s">
        <v>194</v>
      </c>
    </row>
    <row r="7164" spans="19:21" x14ac:dyDescent="0.25">
      <c r="S7164" s="6" t="s">
        <v>302</v>
      </c>
      <c r="T7164" s="6">
        <f t="shared" si="129"/>
        <v>7163</v>
      </c>
      <c r="U7164" s="4" t="s">
        <v>194</v>
      </c>
    </row>
    <row r="7165" spans="19:21" x14ac:dyDescent="0.25">
      <c r="S7165" s="6" t="s">
        <v>302</v>
      </c>
      <c r="T7165" s="6">
        <f t="shared" si="129"/>
        <v>7164</v>
      </c>
      <c r="U7165" s="4" t="s">
        <v>194</v>
      </c>
    </row>
    <row r="7166" spans="19:21" x14ac:dyDescent="0.25">
      <c r="S7166" s="6" t="s">
        <v>302</v>
      </c>
      <c r="T7166" s="6">
        <f t="shared" si="129"/>
        <v>7165</v>
      </c>
      <c r="U7166" s="4" t="s">
        <v>194</v>
      </c>
    </row>
    <row r="7167" spans="19:21" x14ac:dyDescent="0.25">
      <c r="S7167" s="6" t="s">
        <v>302</v>
      </c>
      <c r="T7167" s="6">
        <f t="shared" si="129"/>
        <v>7166</v>
      </c>
      <c r="U7167" s="4" t="s">
        <v>194</v>
      </c>
    </row>
    <row r="7168" spans="19:21" x14ac:dyDescent="0.25">
      <c r="S7168" s="6" t="s">
        <v>302</v>
      </c>
      <c r="T7168" s="6">
        <f t="shared" si="129"/>
        <v>7167</v>
      </c>
      <c r="U7168" s="4" t="s">
        <v>194</v>
      </c>
    </row>
    <row r="7169" spans="19:21" x14ac:dyDescent="0.25">
      <c r="S7169" s="6" t="s">
        <v>302</v>
      </c>
      <c r="T7169" s="6">
        <f t="shared" si="129"/>
        <v>7168</v>
      </c>
      <c r="U7169" s="4" t="s">
        <v>194</v>
      </c>
    </row>
    <row r="7170" spans="19:21" x14ac:dyDescent="0.25">
      <c r="S7170" s="6" t="s">
        <v>302</v>
      </c>
      <c r="T7170" s="6">
        <f t="shared" si="129"/>
        <v>7169</v>
      </c>
      <c r="U7170" s="4" t="s">
        <v>194</v>
      </c>
    </row>
    <row r="7171" spans="19:21" x14ac:dyDescent="0.25">
      <c r="S7171" s="6" t="s">
        <v>302</v>
      </c>
      <c r="T7171" s="6">
        <f t="shared" si="129"/>
        <v>7170</v>
      </c>
      <c r="U7171" s="4" t="s">
        <v>194</v>
      </c>
    </row>
    <row r="7172" spans="19:21" x14ac:dyDescent="0.25">
      <c r="S7172" s="6" t="s">
        <v>302</v>
      </c>
      <c r="T7172" s="6">
        <f t="shared" si="129"/>
        <v>7171</v>
      </c>
      <c r="U7172" s="4" t="s">
        <v>194</v>
      </c>
    </row>
    <row r="7173" spans="19:21" x14ac:dyDescent="0.25">
      <c r="S7173" s="6" t="s">
        <v>302</v>
      </c>
      <c r="T7173" s="6">
        <f t="shared" si="129"/>
        <v>7172</v>
      </c>
      <c r="U7173" s="4" t="s">
        <v>194</v>
      </c>
    </row>
    <row r="7174" spans="19:21" x14ac:dyDescent="0.25">
      <c r="S7174" s="6" t="s">
        <v>302</v>
      </c>
      <c r="T7174" s="6">
        <f t="shared" si="129"/>
        <v>7173</v>
      </c>
      <c r="U7174" s="4" t="s">
        <v>194</v>
      </c>
    </row>
    <row r="7175" spans="19:21" x14ac:dyDescent="0.25">
      <c r="S7175" s="6" t="s">
        <v>302</v>
      </c>
      <c r="T7175" s="6">
        <f t="shared" si="129"/>
        <v>7174</v>
      </c>
      <c r="U7175" s="4" t="s">
        <v>194</v>
      </c>
    </row>
    <row r="7176" spans="19:21" x14ac:dyDescent="0.25">
      <c r="S7176" s="6" t="s">
        <v>302</v>
      </c>
      <c r="T7176" s="6">
        <f t="shared" si="129"/>
        <v>7175</v>
      </c>
      <c r="U7176" s="4" t="s">
        <v>194</v>
      </c>
    </row>
    <row r="7177" spans="19:21" x14ac:dyDescent="0.25">
      <c r="S7177" s="6" t="s">
        <v>302</v>
      </c>
      <c r="T7177" s="6">
        <f t="shared" si="129"/>
        <v>7176</v>
      </c>
      <c r="U7177" s="4" t="s">
        <v>194</v>
      </c>
    </row>
    <row r="7178" spans="19:21" x14ac:dyDescent="0.25">
      <c r="S7178" s="6" t="s">
        <v>302</v>
      </c>
      <c r="T7178" s="6">
        <f t="shared" si="129"/>
        <v>7177</v>
      </c>
      <c r="U7178" s="4" t="s">
        <v>194</v>
      </c>
    </row>
    <row r="7179" spans="19:21" x14ac:dyDescent="0.25">
      <c r="S7179" s="6" t="s">
        <v>302</v>
      </c>
      <c r="T7179" s="6">
        <f t="shared" si="129"/>
        <v>7178</v>
      </c>
      <c r="U7179" s="4" t="s">
        <v>194</v>
      </c>
    </row>
    <row r="7180" spans="19:21" x14ac:dyDescent="0.25">
      <c r="S7180" s="6" t="s">
        <v>302</v>
      </c>
      <c r="T7180" s="6">
        <f t="shared" si="129"/>
        <v>7179</v>
      </c>
      <c r="U7180" s="4" t="s">
        <v>194</v>
      </c>
    </row>
    <row r="7181" spans="19:21" x14ac:dyDescent="0.25">
      <c r="S7181" s="6" t="s">
        <v>302</v>
      </c>
      <c r="T7181" s="6">
        <f t="shared" si="129"/>
        <v>7180</v>
      </c>
      <c r="U7181" s="4" t="s">
        <v>194</v>
      </c>
    </row>
    <row r="7182" spans="19:21" x14ac:dyDescent="0.25">
      <c r="S7182" s="6" t="s">
        <v>302</v>
      </c>
      <c r="T7182" s="6">
        <f t="shared" si="129"/>
        <v>7181</v>
      </c>
      <c r="U7182" s="4" t="s">
        <v>194</v>
      </c>
    </row>
    <row r="7183" spans="19:21" x14ac:dyDescent="0.25">
      <c r="S7183" s="6" t="s">
        <v>302</v>
      </c>
      <c r="T7183" s="6">
        <f t="shared" si="129"/>
        <v>7182</v>
      </c>
      <c r="U7183" s="4" t="s">
        <v>194</v>
      </c>
    </row>
    <row r="7184" spans="19:21" x14ac:dyDescent="0.25">
      <c r="S7184" s="6" t="s">
        <v>302</v>
      </c>
      <c r="T7184" s="6">
        <f t="shared" si="129"/>
        <v>7183</v>
      </c>
      <c r="U7184" s="4" t="s">
        <v>194</v>
      </c>
    </row>
    <row r="7185" spans="19:21" x14ac:dyDescent="0.25">
      <c r="S7185" s="6" t="s">
        <v>302</v>
      </c>
      <c r="T7185" s="6">
        <f t="shared" si="129"/>
        <v>7184</v>
      </c>
      <c r="U7185" s="4" t="s">
        <v>194</v>
      </c>
    </row>
    <row r="7186" spans="19:21" x14ac:dyDescent="0.25">
      <c r="S7186" s="6" t="s">
        <v>302</v>
      </c>
      <c r="T7186" s="6">
        <f t="shared" si="129"/>
        <v>7185</v>
      </c>
      <c r="U7186" s="4" t="s">
        <v>194</v>
      </c>
    </row>
    <row r="7187" spans="19:21" x14ac:dyDescent="0.25">
      <c r="S7187" s="6" t="s">
        <v>302</v>
      </c>
      <c r="T7187" s="6">
        <f t="shared" si="129"/>
        <v>7186</v>
      </c>
      <c r="U7187" s="4" t="s">
        <v>194</v>
      </c>
    </row>
    <row r="7188" spans="19:21" x14ac:dyDescent="0.25">
      <c r="S7188" s="6" t="s">
        <v>302</v>
      </c>
      <c r="T7188" s="6">
        <f t="shared" si="129"/>
        <v>7187</v>
      </c>
      <c r="U7188" s="4" t="s">
        <v>194</v>
      </c>
    </row>
    <row r="7189" spans="19:21" x14ac:dyDescent="0.25">
      <c r="S7189" s="6" t="s">
        <v>302</v>
      </c>
      <c r="T7189" s="6">
        <f t="shared" si="129"/>
        <v>7188</v>
      </c>
      <c r="U7189" s="4" t="s">
        <v>194</v>
      </c>
    </row>
    <row r="7190" spans="19:21" x14ac:dyDescent="0.25">
      <c r="S7190" s="6" t="s">
        <v>302</v>
      </c>
      <c r="T7190" s="6">
        <f t="shared" si="129"/>
        <v>7189</v>
      </c>
      <c r="U7190" s="4" t="s">
        <v>194</v>
      </c>
    </row>
    <row r="7191" spans="19:21" x14ac:dyDescent="0.25">
      <c r="S7191" s="6" t="s">
        <v>302</v>
      </c>
      <c r="T7191" s="6">
        <f t="shared" si="129"/>
        <v>7190</v>
      </c>
      <c r="U7191" s="4" t="s">
        <v>194</v>
      </c>
    </row>
    <row r="7192" spans="19:21" x14ac:dyDescent="0.25">
      <c r="S7192" s="6" t="s">
        <v>302</v>
      </c>
      <c r="T7192" s="6">
        <f t="shared" si="129"/>
        <v>7191</v>
      </c>
      <c r="U7192" s="4" t="s">
        <v>194</v>
      </c>
    </row>
    <row r="7193" spans="19:21" x14ac:dyDescent="0.25">
      <c r="S7193" s="6" t="s">
        <v>302</v>
      </c>
      <c r="T7193" s="6">
        <f t="shared" si="129"/>
        <v>7192</v>
      </c>
      <c r="U7193" s="4" t="s">
        <v>194</v>
      </c>
    </row>
    <row r="7194" spans="19:21" x14ac:dyDescent="0.25">
      <c r="S7194" s="6" t="s">
        <v>302</v>
      </c>
      <c r="T7194" s="6">
        <f t="shared" si="129"/>
        <v>7193</v>
      </c>
      <c r="U7194" s="4" t="s">
        <v>194</v>
      </c>
    </row>
    <row r="7195" spans="19:21" x14ac:dyDescent="0.25">
      <c r="S7195" s="6" t="s">
        <v>302</v>
      </c>
      <c r="T7195" s="6">
        <f t="shared" si="129"/>
        <v>7194</v>
      </c>
      <c r="U7195" s="4" t="s">
        <v>194</v>
      </c>
    </row>
    <row r="7196" spans="19:21" x14ac:dyDescent="0.25">
      <c r="S7196" s="6" t="s">
        <v>302</v>
      </c>
      <c r="T7196" s="6">
        <f t="shared" si="129"/>
        <v>7195</v>
      </c>
      <c r="U7196" s="4" t="s">
        <v>194</v>
      </c>
    </row>
    <row r="7197" spans="19:21" x14ac:dyDescent="0.25">
      <c r="S7197" s="6" t="s">
        <v>302</v>
      </c>
      <c r="T7197" s="6">
        <f t="shared" si="129"/>
        <v>7196</v>
      </c>
      <c r="U7197" s="4" t="s">
        <v>194</v>
      </c>
    </row>
    <row r="7198" spans="19:21" x14ac:dyDescent="0.25">
      <c r="S7198" s="6" t="s">
        <v>302</v>
      </c>
      <c r="T7198" s="6">
        <f t="shared" ref="T7198:T7261" si="130">T7197+1</f>
        <v>7197</v>
      </c>
      <c r="U7198" s="4" t="s">
        <v>194</v>
      </c>
    </row>
    <row r="7199" spans="19:21" x14ac:dyDescent="0.25">
      <c r="S7199" s="6" t="s">
        <v>302</v>
      </c>
      <c r="T7199" s="6">
        <f t="shared" si="130"/>
        <v>7198</v>
      </c>
      <c r="U7199" s="4" t="s">
        <v>194</v>
      </c>
    </row>
    <row r="7200" spans="19:21" x14ac:dyDescent="0.25">
      <c r="S7200" s="6" t="s">
        <v>302</v>
      </c>
      <c r="T7200" s="6">
        <f t="shared" si="130"/>
        <v>7199</v>
      </c>
      <c r="U7200" s="4" t="s">
        <v>194</v>
      </c>
    </row>
    <row r="7201" spans="19:21" x14ac:dyDescent="0.25">
      <c r="S7201" s="6" t="s">
        <v>302</v>
      </c>
      <c r="T7201" s="6">
        <f t="shared" si="130"/>
        <v>7200</v>
      </c>
      <c r="U7201" s="4" t="s">
        <v>194</v>
      </c>
    </row>
    <row r="7202" spans="19:21" x14ac:dyDescent="0.25">
      <c r="S7202" s="6" t="s">
        <v>302</v>
      </c>
      <c r="T7202" s="6">
        <f t="shared" si="130"/>
        <v>7201</v>
      </c>
      <c r="U7202" s="4" t="s">
        <v>194</v>
      </c>
    </row>
    <row r="7203" spans="19:21" x14ac:dyDescent="0.25">
      <c r="S7203" s="6" t="s">
        <v>302</v>
      </c>
      <c r="T7203" s="6">
        <f t="shared" si="130"/>
        <v>7202</v>
      </c>
      <c r="U7203" s="4" t="s">
        <v>194</v>
      </c>
    </row>
    <row r="7204" spans="19:21" x14ac:dyDescent="0.25">
      <c r="S7204" s="6" t="s">
        <v>302</v>
      </c>
      <c r="T7204" s="6">
        <f t="shared" si="130"/>
        <v>7203</v>
      </c>
      <c r="U7204" s="4" t="s">
        <v>194</v>
      </c>
    </row>
    <row r="7205" spans="19:21" x14ac:dyDescent="0.25">
      <c r="S7205" s="6" t="s">
        <v>302</v>
      </c>
      <c r="T7205" s="6">
        <f t="shared" si="130"/>
        <v>7204</v>
      </c>
      <c r="U7205" s="4" t="s">
        <v>194</v>
      </c>
    </row>
    <row r="7206" spans="19:21" x14ac:dyDescent="0.25">
      <c r="S7206" s="6" t="s">
        <v>302</v>
      </c>
      <c r="T7206" s="6">
        <f t="shared" si="130"/>
        <v>7205</v>
      </c>
      <c r="U7206" s="4" t="s">
        <v>194</v>
      </c>
    </row>
    <row r="7207" spans="19:21" x14ac:dyDescent="0.25">
      <c r="S7207" s="6" t="s">
        <v>302</v>
      </c>
      <c r="T7207" s="6">
        <f t="shared" si="130"/>
        <v>7206</v>
      </c>
      <c r="U7207" s="4" t="s">
        <v>194</v>
      </c>
    </row>
    <row r="7208" spans="19:21" x14ac:dyDescent="0.25">
      <c r="S7208" s="6" t="s">
        <v>302</v>
      </c>
      <c r="T7208" s="6">
        <f t="shared" si="130"/>
        <v>7207</v>
      </c>
      <c r="U7208" s="4" t="s">
        <v>194</v>
      </c>
    </row>
    <row r="7209" spans="19:21" x14ac:dyDescent="0.25">
      <c r="S7209" s="6" t="s">
        <v>302</v>
      </c>
      <c r="T7209" s="6">
        <f t="shared" si="130"/>
        <v>7208</v>
      </c>
      <c r="U7209" s="4" t="s">
        <v>194</v>
      </c>
    </row>
    <row r="7210" spans="19:21" x14ac:dyDescent="0.25">
      <c r="S7210" s="6" t="s">
        <v>302</v>
      </c>
      <c r="T7210" s="6">
        <f t="shared" si="130"/>
        <v>7209</v>
      </c>
      <c r="U7210" s="4" t="s">
        <v>194</v>
      </c>
    </row>
    <row r="7211" spans="19:21" x14ac:dyDescent="0.25">
      <c r="S7211" s="6" t="s">
        <v>302</v>
      </c>
      <c r="T7211" s="6">
        <f t="shared" si="130"/>
        <v>7210</v>
      </c>
      <c r="U7211" s="4" t="s">
        <v>194</v>
      </c>
    </row>
    <row r="7212" spans="19:21" x14ac:dyDescent="0.25">
      <c r="S7212" s="6" t="s">
        <v>302</v>
      </c>
      <c r="T7212" s="6">
        <f t="shared" si="130"/>
        <v>7211</v>
      </c>
      <c r="U7212" s="4" t="s">
        <v>194</v>
      </c>
    </row>
    <row r="7213" spans="19:21" x14ac:dyDescent="0.25">
      <c r="S7213" s="6" t="s">
        <v>302</v>
      </c>
      <c r="T7213" s="6">
        <f t="shared" si="130"/>
        <v>7212</v>
      </c>
      <c r="U7213" s="4" t="s">
        <v>194</v>
      </c>
    </row>
    <row r="7214" spans="19:21" x14ac:dyDescent="0.25">
      <c r="S7214" s="6" t="s">
        <v>302</v>
      </c>
      <c r="T7214" s="6">
        <f t="shared" si="130"/>
        <v>7213</v>
      </c>
      <c r="U7214" s="4" t="s">
        <v>194</v>
      </c>
    </row>
    <row r="7215" spans="19:21" x14ac:dyDescent="0.25">
      <c r="S7215" s="6" t="s">
        <v>302</v>
      </c>
      <c r="T7215" s="6">
        <f t="shared" si="130"/>
        <v>7214</v>
      </c>
      <c r="U7215" s="4" t="s">
        <v>194</v>
      </c>
    </row>
    <row r="7216" spans="19:21" x14ac:dyDescent="0.25">
      <c r="S7216" s="6" t="s">
        <v>302</v>
      </c>
      <c r="T7216" s="6">
        <f t="shared" si="130"/>
        <v>7215</v>
      </c>
      <c r="U7216" s="4" t="s">
        <v>194</v>
      </c>
    </row>
    <row r="7217" spans="19:21" x14ac:dyDescent="0.25">
      <c r="S7217" s="6" t="s">
        <v>302</v>
      </c>
      <c r="T7217" s="6">
        <f t="shared" si="130"/>
        <v>7216</v>
      </c>
      <c r="U7217" s="4" t="s">
        <v>194</v>
      </c>
    </row>
    <row r="7218" spans="19:21" x14ac:dyDescent="0.25">
      <c r="S7218" s="6" t="s">
        <v>302</v>
      </c>
      <c r="T7218" s="6">
        <f t="shared" si="130"/>
        <v>7217</v>
      </c>
      <c r="U7218" s="4" t="s">
        <v>194</v>
      </c>
    </row>
    <row r="7219" spans="19:21" x14ac:dyDescent="0.25">
      <c r="S7219" s="6" t="s">
        <v>302</v>
      </c>
      <c r="T7219" s="6">
        <f t="shared" si="130"/>
        <v>7218</v>
      </c>
      <c r="U7219" s="4" t="s">
        <v>194</v>
      </c>
    </row>
    <row r="7220" spans="19:21" x14ac:dyDescent="0.25">
      <c r="S7220" s="6" t="s">
        <v>302</v>
      </c>
      <c r="T7220" s="6">
        <f t="shared" si="130"/>
        <v>7219</v>
      </c>
      <c r="U7220" s="4" t="s">
        <v>194</v>
      </c>
    </row>
    <row r="7221" spans="19:21" x14ac:dyDescent="0.25">
      <c r="S7221" s="6" t="s">
        <v>302</v>
      </c>
      <c r="T7221" s="6">
        <f t="shared" si="130"/>
        <v>7220</v>
      </c>
      <c r="U7221" s="4" t="s">
        <v>194</v>
      </c>
    </row>
    <row r="7222" spans="19:21" x14ac:dyDescent="0.25">
      <c r="S7222" s="6" t="s">
        <v>302</v>
      </c>
      <c r="T7222" s="6">
        <f t="shared" si="130"/>
        <v>7221</v>
      </c>
      <c r="U7222" s="4" t="s">
        <v>194</v>
      </c>
    </row>
    <row r="7223" spans="19:21" x14ac:dyDescent="0.25">
      <c r="S7223" s="6" t="s">
        <v>302</v>
      </c>
      <c r="T7223" s="6">
        <f t="shared" si="130"/>
        <v>7222</v>
      </c>
      <c r="U7223" s="4" t="s">
        <v>194</v>
      </c>
    </row>
    <row r="7224" spans="19:21" x14ac:dyDescent="0.25">
      <c r="S7224" s="6" t="s">
        <v>302</v>
      </c>
      <c r="T7224" s="6">
        <f t="shared" si="130"/>
        <v>7223</v>
      </c>
      <c r="U7224" s="4" t="s">
        <v>194</v>
      </c>
    </row>
    <row r="7225" spans="19:21" x14ac:dyDescent="0.25">
      <c r="S7225" s="6" t="s">
        <v>302</v>
      </c>
      <c r="T7225" s="6">
        <f t="shared" si="130"/>
        <v>7224</v>
      </c>
      <c r="U7225" s="4" t="s">
        <v>194</v>
      </c>
    </row>
    <row r="7226" spans="19:21" x14ac:dyDescent="0.25">
      <c r="S7226" s="6" t="s">
        <v>302</v>
      </c>
      <c r="T7226" s="6">
        <f t="shared" si="130"/>
        <v>7225</v>
      </c>
      <c r="U7226" s="4" t="s">
        <v>194</v>
      </c>
    </row>
    <row r="7227" spans="19:21" x14ac:dyDescent="0.25">
      <c r="S7227" s="6" t="s">
        <v>302</v>
      </c>
      <c r="T7227" s="6">
        <f t="shared" si="130"/>
        <v>7226</v>
      </c>
      <c r="U7227" s="4" t="s">
        <v>194</v>
      </c>
    </row>
    <row r="7228" spans="19:21" x14ac:dyDescent="0.25">
      <c r="S7228" s="6" t="s">
        <v>302</v>
      </c>
      <c r="T7228" s="6">
        <f t="shared" si="130"/>
        <v>7227</v>
      </c>
      <c r="U7228" s="4" t="s">
        <v>194</v>
      </c>
    </row>
    <row r="7229" spans="19:21" x14ac:dyDescent="0.25">
      <c r="S7229" s="6" t="s">
        <v>302</v>
      </c>
      <c r="T7229" s="6">
        <f t="shared" si="130"/>
        <v>7228</v>
      </c>
      <c r="U7229" s="4" t="s">
        <v>194</v>
      </c>
    </row>
    <row r="7230" spans="19:21" x14ac:dyDescent="0.25">
      <c r="S7230" s="6" t="s">
        <v>302</v>
      </c>
      <c r="T7230" s="6">
        <f t="shared" si="130"/>
        <v>7229</v>
      </c>
      <c r="U7230" s="4" t="s">
        <v>194</v>
      </c>
    </row>
    <row r="7231" spans="19:21" x14ac:dyDescent="0.25">
      <c r="S7231" s="6" t="s">
        <v>302</v>
      </c>
      <c r="T7231" s="6">
        <f t="shared" si="130"/>
        <v>7230</v>
      </c>
      <c r="U7231" s="4" t="s">
        <v>194</v>
      </c>
    </row>
    <row r="7232" spans="19:21" x14ac:dyDescent="0.25">
      <c r="S7232" s="6" t="s">
        <v>302</v>
      </c>
      <c r="T7232" s="6">
        <f t="shared" si="130"/>
        <v>7231</v>
      </c>
      <c r="U7232" s="4" t="s">
        <v>194</v>
      </c>
    </row>
    <row r="7233" spans="19:21" x14ac:dyDescent="0.25">
      <c r="S7233" s="6" t="s">
        <v>302</v>
      </c>
      <c r="T7233" s="6">
        <f t="shared" si="130"/>
        <v>7232</v>
      </c>
      <c r="U7233" s="4" t="s">
        <v>194</v>
      </c>
    </row>
    <row r="7234" spans="19:21" x14ac:dyDescent="0.25">
      <c r="S7234" s="6" t="s">
        <v>302</v>
      </c>
      <c r="T7234" s="6">
        <f t="shared" si="130"/>
        <v>7233</v>
      </c>
      <c r="U7234" s="4" t="s">
        <v>194</v>
      </c>
    </row>
    <row r="7235" spans="19:21" x14ac:dyDescent="0.25">
      <c r="S7235" s="6" t="s">
        <v>302</v>
      </c>
      <c r="T7235" s="6">
        <f t="shared" si="130"/>
        <v>7234</v>
      </c>
      <c r="U7235" s="4" t="s">
        <v>194</v>
      </c>
    </row>
    <row r="7236" spans="19:21" x14ac:dyDescent="0.25">
      <c r="S7236" s="6" t="s">
        <v>302</v>
      </c>
      <c r="T7236" s="6">
        <f t="shared" si="130"/>
        <v>7235</v>
      </c>
      <c r="U7236" s="4" t="s">
        <v>194</v>
      </c>
    </row>
    <row r="7237" spans="19:21" x14ac:dyDescent="0.25">
      <c r="S7237" s="6" t="s">
        <v>302</v>
      </c>
      <c r="T7237" s="6">
        <f t="shared" si="130"/>
        <v>7236</v>
      </c>
      <c r="U7237" s="4" t="s">
        <v>194</v>
      </c>
    </row>
    <row r="7238" spans="19:21" x14ac:dyDescent="0.25">
      <c r="S7238" s="6" t="s">
        <v>302</v>
      </c>
      <c r="T7238" s="6">
        <f t="shared" si="130"/>
        <v>7237</v>
      </c>
      <c r="U7238" s="4" t="s">
        <v>194</v>
      </c>
    </row>
    <row r="7239" spans="19:21" x14ac:dyDescent="0.25">
      <c r="S7239" s="6" t="s">
        <v>302</v>
      </c>
      <c r="T7239" s="6">
        <f t="shared" si="130"/>
        <v>7238</v>
      </c>
      <c r="U7239" s="4" t="s">
        <v>194</v>
      </c>
    </row>
    <row r="7240" spans="19:21" x14ac:dyDescent="0.25">
      <c r="S7240" s="6" t="s">
        <v>302</v>
      </c>
      <c r="T7240" s="6">
        <f t="shared" si="130"/>
        <v>7239</v>
      </c>
      <c r="U7240" s="4" t="s">
        <v>194</v>
      </c>
    </row>
    <row r="7241" spans="19:21" x14ac:dyDescent="0.25">
      <c r="S7241" s="6" t="s">
        <v>302</v>
      </c>
      <c r="T7241" s="6">
        <f t="shared" si="130"/>
        <v>7240</v>
      </c>
      <c r="U7241" s="4" t="s">
        <v>194</v>
      </c>
    </row>
    <row r="7242" spans="19:21" x14ac:dyDescent="0.25">
      <c r="S7242" s="6" t="s">
        <v>302</v>
      </c>
      <c r="T7242" s="6">
        <f t="shared" si="130"/>
        <v>7241</v>
      </c>
      <c r="U7242" s="4" t="s">
        <v>194</v>
      </c>
    </row>
    <row r="7243" spans="19:21" x14ac:dyDescent="0.25">
      <c r="S7243" s="6" t="s">
        <v>302</v>
      </c>
      <c r="T7243" s="6">
        <f t="shared" si="130"/>
        <v>7242</v>
      </c>
      <c r="U7243" s="4" t="s">
        <v>194</v>
      </c>
    </row>
    <row r="7244" spans="19:21" x14ac:dyDescent="0.25">
      <c r="S7244" s="6" t="s">
        <v>302</v>
      </c>
      <c r="T7244" s="6">
        <f t="shared" si="130"/>
        <v>7243</v>
      </c>
      <c r="U7244" s="4" t="s">
        <v>194</v>
      </c>
    </row>
    <row r="7245" spans="19:21" x14ac:dyDescent="0.25">
      <c r="S7245" s="6" t="s">
        <v>302</v>
      </c>
      <c r="T7245" s="6">
        <f t="shared" si="130"/>
        <v>7244</v>
      </c>
      <c r="U7245" s="4" t="s">
        <v>194</v>
      </c>
    </row>
    <row r="7246" spans="19:21" x14ac:dyDescent="0.25">
      <c r="S7246" s="6" t="s">
        <v>302</v>
      </c>
      <c r="T7246" s="6">
        <f t="shared" si="130"/>
        <v>7245</v>
      </c>
      <c r="U7246" s="4" t="s">
        <v>194</v>
      </c>
    </row>
    <row r="7247" spans="19:21" x14ac:dyDescent="0.25">
      <c r="S7247" s="6" t="s">
        <v>302</v>
      </c>
      <c r="T7247" s="6">
        <f t="shared" si="130"/>
        <v>7246</v>
      </c>
      <c r="U7247" s="4" t="s">
        <v>194</v>
      </c>
    </row>
    <row r="7248" spans="19:21" x14ac:dyDescent="0.25">
      <c r="S7248" s="6" t="s">
        <v>302</v>
      </c>
      <c r="T7248" s="6">
        <f t="shared" si="130"/>
        <v>7247</v>
      </c>
      <c r="U7248" s="4" t="s">
        <v>194</v>
      </c>
    </row>
    <row r="7249" spans="19:21" x14ac:dyDescent="0.25">
      <c r="S7249" s="6" t="s">
        <v>302</v>
      </c>
      <c r="T7249" s="6">
        <f t="shared" si="130"/>
        <v>7248</v>
      </c>
      <c r="U7249" s="4" t="s">
        <v>194</v>
      </c>
    </row>
    <row r="7250" spans="19:21" x14ac:dyDescent="0.25">
      <c r="S7250" s="6" t="s">
        <v>302</v>
      </c>
      <c r="T7250" s="6">
        <f t="shared" si="130"/>
        <v>7249</v>
      </c>
      <c r="U7250" s="4" t="s">
        <v>194</v>
      </c>
    </row>
    <row r="7251" spans="19:21" x14ac:dyDescent="0.25">
      <c r="S7251" s="6" t="s">
        <v>302</v>
      </c>
      <c r="T7251" s="6">
        <f t="shared" si="130"/>
        <v>7250</v>
      </c>
      <c r="U7251" s="4" t="s">
        <v>194</v>
      </c>
    </row>
    <row r="7252" spans="19:21" x14ac:dyDescent="0.25">
      <c r="S7252" s="6" t="s">
        <v>302</v>
      </c>
      <c r="T7252" s="6">
        <f t="shared" si="130"/>
        <v>7251</v>
      </c>
      <c r="U7252" s="4" t="s">
        <v>194</v>
      </c>
    </row>
    <row r="7253" spans="19:21" x14ac:dyDescent="0.25">
      <c r="S7253" s="6" t="s">
        <v>302</v>
      </c>
      <c r="T7253" s="6">
        <f t="shared" si="130"/>
        <v>7252</v>
      </c>
      <c r="U7253" s="4" t="s">
        <v>194</v>
      </c>
    </row>
    <row r="7254" spans="19:21" x14ac:dyDescent="0.25">
      <c r="S7254" s="6" t="s">
        <v>302</v>
      </c>
      <c r="T7254" s="6">
        <f t="shared" si="130"/>
        <v>7253</v>
      </c>
      <c r="U7254" s="4" t="s">
        <v>194</v>
      </c>
    </row>
    <row r="7255" spans="19:21" x14ac:dyDescent="0.25">
      <c r="S7255" s="6" t="s">
        <v>302</v>
      </c>
      <c r="T7255" s="6">
        <f t="shared" si="130"/>
        <v>7254</v>
      </c>
      <c r="U7255" s="4" t="s">
        <v>194</v>
      </c>
    </row>
    <row r="7256" spans="19:21" x14ac:dyDescent="0.25">
      <c r="S7256" s="6" t="s">
        <v>302</v>
      </c>
      <c r="T7256" s="6">
        <f t="shared" si="130"/>
        <v>7255</v>
      </c>
      <c r="U7256" s="4" t="s">
        <v>194</v>
      </c>
    </row>
    <row r="7257" spans="19:21" x14ac:dyDescent="0.25">
      <c r="S7257" s="6" t="s">
        <v>302</v>
      </c>
      <c r="T7257" s="6">
        <f t="shared" si="130"/>
        <v>7256</v>
      </c>
      <c r="U7257" s="4" t="s">
        <v>194</v>
      </c>
    </row>
    <row r="7258" spans="19:21" x14ac:dyDescent="0.25">
      <c r="S7258" s="6" t="s">
        <v>302</v>
      </c>
      <c r="T7258" s="6">
        <f t="shared" si="130"/>
        <v>7257</v>
      </c>
      <c r="U7258" s="4" t="s">
        <v>194</v>
      </c>
    </row>
    <row r="7259" spans="19:21" x14ac:dyDescent="0.25">
      <c r="S7259" s="6" t="s">
        <v>302</v>
      </c>
      <c r="T7259" s="6">
        <f t="shared" si="130"/>
        <v>7258</v>
      </c>
      <c r="U7259" s="4" t="s">
        <v>194</v>
      </c>
    </row>
    <row r="7260" spans="19:21" x14ac:dyDescent="0.25">
      <c r="S7260" s="6" t="s">
        <v>302</v>
      </c>
      <c r="T7260" s="6">
        <f t="shared" si="130"/>
        <v>7259</v>
      </c>
      <c r="U7260" s="4" t="s">
        <v>194</v>
      </c>
    </row>
    <row r="7261" spans="19:21" x14ac:dyDescent="0.25">
      <c r="S7261" s="6" t="s">
        <v>302</v>
      </c>
      <c r="T7261" s="6">
        <f t="shared" si="130"/>
        <v>7260</v>
      </c>
      <c r="U7261" s="4" t="s">
        <v>194</v>
      </c>
    </row>
    <row r="7262" spans="19:21" x14ac:dyDescent="0.25">
      <c r="S7262" s="6" t="s">
        <v>302</v>
      </c>
      <c r="T7262" s="6">
        <f t="shared" ref="T7262:T7325" si="131">T7261+1</f>
        <v>7261</v>
      </c>
      <c r="U7262" s="4" t="s">
        <v>194</v>
      </c>
    </row>
    <row r="7263" spans="19:21" x14ac:dyDescent="0.25">
      <c r="S7263" s="6" t="s">
        <v>302</v>
      </c>
      <c r="T7263" s="6">
        <f t="shared" si="131"/>
        <v>7262</v>
      </c>
      <c r="U7263" s="4" t="s">
        <v>194</v>
      </c>
    </row>
    <row r="7264" spans="19:21" x14ac:dyDescent="0.25">
      <c r="S7264" s="6" t="s">
        <v>302</v>
      </c>
      <c r="T7264" s="6">
        <f t="shared" si="131"/>
        <v>7263</v>
      </c>
      <c r="U7264" s="4" t="s">
        <v>194</v>
      </c>
    </row>
    <row r="7265" spans="19:21" x14ac:dyDescent="0.25">
      <c r="S7265" s="6" t="s">
        <v>302</v>
      </c>
      <c r="T7265" s="6">
        <f t="shared" si="131"/>
        <v>7264</v>
      </c>
      <c r="U7265" s="4" t="s">
        <v>194</v>
      </c>
    </row>
    <row r="7266" spans="19:21" x14ac:dyDescent="0.25">
      <c r="S7266" s="6" t="s">
        <v>302</v>
      </c>
      <c r="T7266" s="6">
        <f t="shared" si="131"/>
        <v>7265</v>
      </c>
      <c r="U7266" s="4" t="s">
        <v>194</v>
      </c>
    </row>
    <row r="7267" spans="19:21" x14ac:dyDescent="0.25">
      <c r="S7267" s="6" t="s">
        <v>302</v>
      </c>
      <c r="T7267" s="6">
        <f t="shared" si="131"/>
        <v>7266</v>
      </c>
      <c r="U7267" s="4" t="s">
        <v>194</v>
      </c>
    </row>
    <row r="7268" spans="19:21" x14ac:dyDescent="0.25">
      <c r="S7268" s="6" t="s">
        <v>302</v>
      </c>
      <c r="T7268" s="6">
        <f t="shared" si="131"/>
        <v>7267</v>
      </c>
      <c r="U7268" s="4" t="s">
        <v>194</v>
      </c>
    </row>
    <row r="7269" spans="19:21" x14ac:dyDescent="0.25">
      <c r="S7269" s="6" t="s">
        <v>302</v>
      </c>
      <c r="T7269" s="6">
        <f t="shared" si="131"/>
        <v>7268</v>
      </c>
      <c r="U7269" s="4" t="s">
        <v>194</v>
      </c>
    </row>
    <row r="7270" spans="19:21" x14ac:dyDescent="0.25">
      <c r="S7270" s="6" t="s">
        <v>302</v>
      </c>
      <c r="T7270" s="6">
        <f t="shared" si="131"/>
        <v>7269</v>
      </c>
      <c r="U7270" s="4" t="s">
        <v>194</v>
      </c>
    </row>
    <row r="7271" spans="19:21" x14ac:dyDescent="0.25">
      <c r="S7271" s="6" t="s">
        <v>302</v>
      </c>
      <c r="T7271" s="6">
        <f t="shared" si="131"/>
        <v>7270</v>
      </c>
      <c r="U7271" s="4" t="s">
        <v>194</v>
      </c>
    </row>
    <row r="7272" spans="19:21" x14ac:dyDescent="0.25">
      <c r="S7272" s="6" t="s">
        <v>302</v>
      </c>
      <c r="T7272" s="6">
        <f t="shared" si="131"/>
        <v>7271</v>
      </c>
      <c r="U7272" s="4" t="s">
        <v>194</v>
      </c>
    </row>
    <row r="7273" spans="19:21" x14ac:dyDescent="0.25">
      <c r="S7273" s="6" t="s">
        <v>302</v>
      </c>
      <c r="T7273" s="6">
        <f t="shared" si="131"/>
        <v>7272</v>
      </c>
      <c r="U7273" s="4" t="s">
        <v>194</v>
      </c>
    </row>
    <row r="7274" spans="19:21" x14ac:dyDescent="0.25">
      <c r="S7274" s="6" t="s">
        <v>302</v>
      </c>
      <c r="T7274" s="6">
        <f t="shared" si="131"/>
        <v>7273</v>
      </c>
      <c r="U7274" s="4" t="s">
        <v>194</v>
      </c>
    </row>
    <row r="7275" spans="19:21" x14ac:dyDescent="0.25">
      <c r="S7275" s="6" t="s">
        <v>302</v>
      </c>
      <c r="T7275" s="6">
        <f t="shared" si="131"/>
        <v>7274</v>
      </c>
      <c r="U7275" s="4" t="s">
        <v>194</v>
      </c>
    </row>
    <row r="7276" spans="19:21" x14ac:dyDescent="0.25">
      <c r="S7276" s="6" t="s">
        <v>302</v>
      </c>
      <c r="T7276" s="6">
        <f t="shared" si="131"/>
        <v>7275</v>
      </c>
      <c r="U7276" s="4" t="s">
        <v>194</v>
      </c>
    </row>
    <row r="7277" spans="19:21" x14ac:dyDescent="0.25">
      <c r="S7277" s="6" t="s">
        <v>302</v>
      </c>
      <c r="T7277" s="6">
        <f t="shared" si="131"/>
        <v>7276</v>
      </c>
      <c r="U7277" s="4" t="s">
        <v>194</v>
      </c>
    </row>
    <row r="7278" spans="19:21" x14ac:dyDescent="0.25">
      <c r="S7278" s="6" t="s">
        <v>302</v>
      </c>
      <c r="T7278" s="6">
        <f t="shared" si="131"/>
        <v>7277</v>
      </c>
      <c r="U7278" s="4" t="s">
        <v>194</v>
      </c>
    </row>
    <row r="7279" spans="19:21" x14ac:dyDescent="0.25">
      <c r="S7279" s="6" t="s">
        <v>302</v>
      </c>
      <c r="T7279" s="6">
        <f t="shared" si="131"/>
        <v>7278</v>
      </c>
      <c r="U7279" s="4" t="s">
        <v>194</v>
      </c>
    </row>
    <row r="7280" spans="19:21" x14ac:dyDescent="0.25">
      <c r="S7280" s="6" t="s">
        <v>302</v>
      </c>
      <c r="T7280" s="6">
        <f t="shared" si="131"/>
        <v>7279</v>
      </c>
      <c r="U7280" s="4" t="s">
        <v>194</v>
      </c>
    </row>
    <row r="7281" spans="19:21" x14ac:dyDescent="0.25">
      <c r="S7281" s="6" t="s">
        <v>302</v>
      </c>
      <c r="T7281" s="6">
        <f t="shared" si="131"/>
        <v>7280</v>
      </c>
      <c r="U7281" s="4" t="s">
        <v>194</v>
      </c>
    </row>
    <row r="7282" spans="19:21" x14ac:dyDescent="0.25">
      <c r="S7282" s="6" t="s">
        <v>302</v>
      </c>
      <c r="T7282" s="6">
        <f t="shared" si="131"/>
        <v>7281</v>
      </c>
      <c r="U7282" s="4" t="s">
        <v>194</v>
      </c>
    </row>
    <row r="7283" spans="19:21" x14ac:dyDescent="0.25">
      <c r="S7283" s="6" t="s">
        <v>302</v>
      </c>
      <c r="T7283" s="6">
        <f t="shared" si="131"/>
        <v>7282</v>
      </c>
      <c r="U7283" s="4" t="s">
        <v>194</v>
      </c>
    </row>
    <row r="7284" spans="19:21" x14ac:dyDescent="0.25">
      <c r="S7284" s="6" t="s">
        <v>302</v>
      </c>
      <c r="T7284" s="6">
        <f t="shared" si="131"/>
        <v>7283</v>
      </c>
      <c r="U7284" s="4" t="s">
        <v>194</v>
      </c>
    </row>
    <row r="7285" spans="19:21" x14ac:dyDescent="0.25">
      <c r="S7285" s="6" t="s">
        <v>302</v>
      </c>
      <c r="T7285" s="6">
        <f t="shared" si="131"/>
        <v>7284</v>
      </c>
      <c r="U7285" s="4" t="s">
        <v>194</v>
      </c>
    </row>
    <row r="7286" spans="19:21" x14ac:dyDescent="0.25">
      <c r="S7286" s="6" t="s">
        <v>302</v>
      </c>
      <c r="T7286" s="6">
        <f t="shared" si="131"/>
        <v>7285</v>
      </c>
      <c r="U7286" s="4" t="s">
        <v>194</v>
      </c>
    </row>
    <row r="7287" spans="19:21" x14ac:dyDescent="0.25">
      <c r="S7287" s="6" t="s">
        <v>302</v>
      </c>
      <c r="T7287" s="6">
        <f t="shared" si="131"/>
        <v>7286</v>
      </c>
      <c r="U7287" s="4" t="s">
        <v>194</v>
      </c>
    </row>
    <row r="7288" spans="19:21" x14ac:dyDescent="0.25">
      <c r="S7288" s="6" t="s">
        <v>302</v>
      </c>
      <c r="T7288" s="6">
        <f t="shared" si="131"/>
        <v>7287</v>
      </c>
      <c r="U7288" s="4" t="s">
        <v>194</v>
      </c>
    </row>
    <row r="7289" spans="19:21" x14ac:dyDescent="0.25">
      <c r="S7289" s="6" t="s">
        <v>302</v>
      </c>
      <c r="T7289" s="6">
        <f t="shared" si="131"/>
        <v>7288</v>
      </c>
      <c r="U7289" s="4" t="s">
        <v>194</v>
      </c>
    </row>
    <row r="7290" spans="19:21" x14ac:dyDescent="0.25">
      <c r="S7290" s="6" t="s">
        <v>302</v>
      </c>
      <c r="T7290" s="6">
        <f t="shared" si="131"/>
        <v>7289</v>
      </c>
      <c r="U7290" s="4" t="s">
        <v>194</v>
      </c>
    </row>
    <row r="7291" spans="19:21" x14ac:dyDescent="0.25">
      <c r="S7291" s="6" t="s">
        <v>302</v>
      </c>
      <c r="T7291" s="6">
        <f t="shared" si="131"/>
        <v>7290</v>
      </c>
      <c r="U7291" s="4" t="s">
        <v>194</v>
      </c>
    </row>
    <row r="7292" spans="19:21" x14ac:dyDescent="0.25">
      <c r="S7292" s="6" t="s">
        <v>302</v>
      </c>
      <c r="T7292" s="6">
        <f t="shared" si="131"/>
        <v>7291</v>
      </c>
      <c r="U7292" s="4" t="s">
        <v>194</v>
      </c>
    </row>
    <row r="7293" spans="19:21" x14ac:dyDescent="0.25">
      <c r="S7293" s="6" t="s">
        <v>302</v>
      </c>
      <c r="T7293" s="6">
        <f t="shared" si="131"/>
        <v>7292</v>
      </c>
      <c r="U7293" s="4" t="s">
        <v>194</v>
      </c>
    </row>
    <row r="7294" spans="19:21" x14ac:dyDescent="0.25">
      <c r="S7294" s="6" t="s">
        <v>302</v>
      </c>
      <c r="T7294" s="6">
        <f t="shared" si="131"/>
        <v>7293</v>
      </c>
      <c r="U7294" s="4" t="s">
        <v>194</v>
      </c>
    </row>
    <row r="7295" spans="19:21" x14ac:dyDescent="0.25">
      <c r="S7295" s="6" t="s">
        <v>302</v>
      </c>
      <c r="T7295" s="6">
        <f t="shared" si="131"/>
        <v>7294</v>
      </c>
      <c r="U7295" s="4" t="s">
        <v>194</v>
      </c>
    </row>
    <row r="7296" spans="19:21" x14ac:dyDescent="0.25">
      <c r="S7296" s="6" t="s">
        <v>302</v>
      </c>
      <c r="T7296" s="6">
        <f t="shared" si="131"/>
        <v>7295</v>
      </c>
      <c r="U7296" s="4" t="s">
        <v>194</v>
      </c>
    </row>
    <row r="7297" spans="19:21" x14ac:dyDescent="0.25">
      <c r="S7297" s="6" t="s">
        <v>302</v>
      </c>
      <c r="T7297" s="6">
        <f t="shared" si="131"/>
        <v>7296</v>
      </c>
      <c r="U7297" s="4" t="s">
        <v>194</v>
      </c>
    </row>
    <row r="7298" spans="19:21" x14ac:dyDescent="0.25">
      <c r="S7298" s="6" t="s">
        <v>302</v>
      </c>
      <c r="T7298" s="6">
        <f t="shared" si="131"/>
        <v>7297</v>
      </c>
      <c r="U7298" s="4" t="s">
        <v>194</v>
      </c>
    </row>
    <row r="7299" spans="19:21" x14ac:dyDescent="0.25">
      <c r="S7299" s="6" t="s">
        <v>302</v>
      </c>
      <c r="T7299" s="6">
        <f t="shared" si="131"/>
        <v>7298</v>
      </c>
      <c r="U7299" s="4" t="s">
        <v>194</v>
      </c>
    </row>
    <row r="7300" spans="19:21" x14ac:dyDescent="0.25">
      <c r="S7300" s="6" t="s">
        <v>302</v>
      </c>
      <c r="T7300" s="6">
        <f t="shared" si="131"/>
        <v>7299</v>
      </c>
      <c r="U7300" s="4" t="s">
        <v>194</v>
      </c>
    </row>
    <row r="7301" spans="19:21" x14ac:dyDescent="0.25">
      <c r="S7301" s="6" t="s">
        <v>302</v>
      </c>
      <c r="T7301" s="6">
        <f t="shared" si="131"/>
        <v>7300</v>
      </c>
      <c r="U7301" s="4" t="s">
        <v>194</v>
      </c>
    </row>
    <row r="7302" spans="19:21" x14ac:dyDescent="0.25">
      <c r="S7302" s="6" t="s">
        <v>302</v>
      </c>
      <c r="T7302" s="6">
        <f t="shared" si="131"/>
        <v>7301</v>
      </c>
      <c r="U7302" s="4" t="s">
        <v>194</v>
      </c>
    </row>
    <row r="7303" spans="19:21" x14ac:dyDescent="0.25">
      <c r="S7303" s="6" t="s">
        <v>302</v>
      </c>
      <c r="T7303" s="6">
        <f t="shared" si="131"/>
        <v>7302</v>
      </c>
      <c r="U7303" s="4" t="s">
        <v>194</v>
      </c>
    </row>
    <row r="7304" spans="19:21" x14ac:dyDescent="0.25">
      <c r="S7304" s="6" t="s">
        <v>302</v>
      </c>
      <c r="T7304" s="6">
        <f t="shared" si="131"/>
        <v>7303</v>
      </c>
      <c r="U7304" s="4" t="s">
        <v>194</v>
      </c>
    </row>
    <row r="7305" spans="19:21" x14ac:dyDescent="0.25">
      <c r="S7305" s="6" t="s">
        <v>302</v>
      </c>
      <c r="T7305" s="6">
        <f t="shared" si="131"/>
        <v>7304</v>
      </c>
      <c r="U7305" s="4" t="s">
        <v>194</v>
      </c>
    </row>
    <row r="7306" spans="19:21" x14ac:dyDescent="0.25">
      <c r="S7306" s="6" t="s">
        <v>302</v>
      </c>
      <c r="T7306" s="6">
        <f t="shared" si="131"/>
        <v>7305</v>
      </c>
      <c r="U7306" s="4" t="s">
        <v>194</v>
      </c>
    </row>
    <row r="7307" spans="19:21" x14ac:dyDescent="0.25">
      <c r="S7307" s="6" t="s">
        <v>302</v>
      </c>
      <c r="T7307" s="6">
        <f t="shared" si="131"/>
        <v>7306</v>
      </c>
      <c r="U7307" s="4" t="s">
        <v>194</v>
      </c>
    </row>
    <row r="7308" spans="19:21" x14ac:dyDescent="0.25">
      <c r="S7308" s="6" t="s">
        <v>302</v>
      </c>
      <c r="T7308" s="6">
        <f t="shared" si="131"/>
        <v>7307</v>
      </c>
      <c r="U7308" s="4" t="s">
        <v>194</v>
      </c>
    </row>
    <row r="7309" spans="19:21" x14ac:dyDescent="0.25">
      <c r="S7309" s="6" t="s">
        <v>302</v>
      </c>
      <c r="T7309" s="6">
        <f t="shared" si="131"/>
        <v>7308</v>
      </c>
      <c r="U7309" s="4" t="s">
        <v>194</v>
      </c>
    </row>
    <row r="7310" spans="19:21" x14ac:dyDescent="0.25">
      <c r="S7310" s="6" t="s">
        <v>302</v>
      </c>
      <c r="T7310" s="6">
        <f t="shared" si="131"/>
        <v>7309</v>
      </c>
      <c r="U7310" s="4" t="s">
        <v>194</v>
      </c>
    </row>
    <row r="7311" spans="19:21" x14ac:dyDescent="0.25">
      <c r="S7311" s="6" t="s">
        <v>302</v>
      </c>
      <c r="T7311" s="6">
        <f t="shared" si="131"/>
        <v>7310</v>
      </c>
      <c r="U7311" s="4" t="s">
        <v>194</v>
      </c>
    </row>
    <row r="7312" spans="19:21" x14ac:dyDescent="0.25">
      <c r="S7312" s="6" t="s">
        <v>302</v>
      </c>
      <c r="T7312" s="6">
        <f t="shared" si="131"/>
        <v>7311</v>
      </c>
      <c r="U7312" s="4" t="s">
        <v>194</v>
      </c>
    </row>
    <row r="7313" spans="19:21" x14ac:dyDescent="0.25">
      <c r="S7313" s="6" t="s">
        <v>302</v>
      </c>
      <c r="T7313" s="6">
        <f t="shared" si="131"/>
        <v>7312</v>
      </c>
      <c r="U7313" s="4" t="s">
        <v>194</v>
      </c>
    </row>
    <row r="7314" spans="19:21" x14ac:dyDescent="0.25">
      <c r="S7314" s="6" t="s">
        <v>302</v>
      </c>
      <c r="T7314" s="6">
        <f t="shared" si="131"/>
        <v>7313</v>
      </c>
      <c r="U7314" s="4" t="s">
        <v>194</v>
      </c>
    </row>
    <row r="7315" spans="19:21" x14ac:dyDescent="0.25">
      <c r="S7315" s="6" t="s">
        <v>302</v>
      </c>
      <c r="T7315" s="6">
        <f t="shared" si="131"/>
        <v>7314</v>
      </c>
      <c r="U7315" s="4" t="s">
        <v>194</v>
      </c>
    </row>
    <row r="7316" spans="19:21" x14ac:dyDescent="0.25">
      <c r="S7316" s="6" t="s">
        <v>302</v>
      </c>
      <c r="T7316" s="6">
        <f t="shared" si="131"/>
        <v>7315</v>
      </c>
      <c r="U7316" s="4" t="s">
        <v>194</v>
      </c>
    </row>
    <row r="7317" spans="19:21" x14ac:dyDescent="0.25">
      <c r="S7317" s="6" t="s">
        <v>302</v>
      </c>
      <c r="T7317" s="6">
        <f t="shared" si="131"/>
        <v>7316</v>
      </c>
      <c r="U7317" s="4" t="s">
        <v>194</v>
      </c>
    </row>
    <row r="7318" spans="19:21" x14ac:dyDescent="0.25">
      <c r="S7318" s="6" t="s">
        <v>302</v>
      </c>
      <c r="T7318" s="6">
        <f t="shared" si="131"/>
        <v>7317</v>
      </c>
      <c r="U7318" s="4" t="s">
        <v>194</v>
      </c>
    </row>
    <row r="7319" spans="19:21" x14ac:dyDescent="0.25">
      <c r="S7319" s="6" t="s">
        <v>302</v>
      </c>
      <c r="T7319" s="6">
        <f t="shared" si="131"/>
        <v>7318</v>
      </c>
      <c r="U7319" s="4" t="s">
        <v>194</v>
      </c>
    </row>
    <row r="7320" spans="19:21" x14ac:dyDescent="0.25">
      <c r="S7320" s="6" t="s">
        <v>302</v>
      </c>
      <c r="T7320" s="6">
        <f t="shared" si="131"/>
        <v>7319</v>
      </c>
      <c r="U7320" s="4" t="s">
        <v>194</v>
      </c>
    </row>
    <row r="7321" spans="19:21" x14ac:dyDescent="0.25">
      <c r="S7321" s="6" t="s">
        <v>302</v>
      </c>
      <c r="T7321" s="6">
        <f t="shared" si="131"/>
        <v>7320</v>
      </c>
      <c r="U7321" s="4" t="s">
        <v>194</v>
      </c>
    </row>
    <row r="7322" spans="19:21" x14ac:dyDescent="0.25">
      <c r="S7322" s="6" t="s">
        <v>302</v>
      </c>
      <c r="T7322" s="6">
        <f t="shared" si="131"/>
        <v>7321</v>
      </c>
      <c r="U7322" s="4" t="s">
        <v>194</v>
      </c>
    </row>
    <row r="7323" spans="19:21" x14ac:dyDescent="0.25">
      <c r="S7323" s="6" t="s">
        <v>302</v>
      </c>
      <c r="T7323" s="6">
        <f t="shared" si="131"/>
        <v>7322</v>
      </c>
      <c r="U7323" s="4" t="s">
        <v>194</v>
      </c>
    </row>
    <row r="7324" spans="19:21" x14ac:dyDescent="0.25">
      <c r="S7324" s="6" t="s">
        <v>302</v>
      </c>
      <c r="T7324" s="6">
        <f t="shared" si="131"/>
        <v>7323</v>
      </c>
      <c r="U7324" s="4" t="s">
        <v>194</v>
      </c>
    </row>
    <row r="7325" spans="19:21" x14ac:dyDescent="0.25">
      <c r="S7325" s="6" t="s">
        <v>302</v>
      </c>
      <c r="T7325" s="6">
        <f t="shared" si="131"/>
        <v>7324</v>
      </c>
      <c r="U7325" s="4" t="s">
        <v>194</v>
      </c>
    </row>
    <row r="7326" spans="19:21" x14ac:dyDescent="0.25">
      <c r="S7326" s="6" t="s">
        <v>302</v>
      </c>
      <c r="T7326" s="6">
        <f t="shared" ref="T7326:T7389" si="132">T7325+1</f>
        <v>7325</v>
      </c>
      <c r="U7326" s="4" t="s">
        <v>194</v>
      </c>
    </row>
    <row r="7327" spans="19:21" x14ac:dyDescent="0.25">
      <c r="S7327" s="6" t="s">
        <v>302</v>
      </c>
      <c r="T7327" s="6">
        <f t="shared" si="132"/>
        <v>7326</v>
      </c>
      <c r="U7327" s="4" t="s">
        <v>194</v>
      </c>
    </row>
    <row r="7328" spans="19:21" x14ac:dyDescent="0.25">
      <c r="S7328" s="6" t="s">
        <v>302</v>
      </c>
      <c r="T7328" s="6">
        <f t="shared" si="132"/>
        <v>7327</v>
      </c>
      <c r="U7328" s="4" t="s">
        <v>194</v>
      </c>
    </row>
    <row r="7329" spans="19:21" x14ac:dyDescent="0.25">
      <c r="S7329" s="6" t="s">
        <v>302</v>
      </c>
      <c r="T7329" s="6">
        <f t="shared" si="132"/>
        <v>7328</v>
      </c>
      <c r="U7329" s="4" t="s">
        <v>194</v>
      </c>
    </row>
    <row r="7330" spans="19:21" x14ac:dyDescent="0.25">
      <c r="S7330" s="6" t="s">
        <v>302</v>
      </c>
      <c r="T7330" s="6">
        <f t="shared" si="132"/>
        <v>7329</v>
      </c>
      <c r="U7330" s="4" t="s">
        <v>194</v>
      </c>
    </row>
    <row r="7331" spans="19:21" x14ac:dyDescent="0.25">
      <c r="S7331" s="6" t="s">
        <v>302</v>
      </c>
      <c r="T7331" s="6">
        <f t="shared" si="132"/>
        <v>7330</v>
      </c>
      <c r="U7331" s="4" t="s">
        <v>194</v>
      </c>
    </row>
    <row r="7332" spans="19:21" x14ac:dyDescent="0.25">
      <c r="S7332" s="6" t="s">
        <v>302</v>
      </c>
      <c r="T7332" s="6">
        <f t="shared" si="132"/>
        <v>7331</v>
      </c>
      <c r="U7332" s="4" t="s">
        <v>194</v>
      </c>
    </row>
    <row r="7333" spans="19:21" x14ac:dyDescent="0.25">
      <c r="S7333" s="6" t="s">
        <v>302</v>
      </c>
      <c r="T7333" s="6">
        <f t="shared" si="132"/>
        <v>7332</v>
      </c>
      <c r="U7333" s="4" t="s">
        <v>194</v>
      </c>
    </row>
    <row r="7334" spans="19:21" x14ac:dyDescent="0.25">
      <c r="S7334" s="6" t="s">
        <v>302</v>
      </c>
      <c r="T7334" s="6">
        <f t="shared" si="132"/>
        <v>7333</v>
      </c>
      <c r="U7334" s="4" t="s">
        <v>194</v>
      </c>
    </row>
    <row r="7335" spans="19:21" x14ac:dyDescent="0.25">
      <c r="S7335" s="6" t="s">
        <v>302</v>
      </c>
      <c r="T7335" s="6">
        <f t="shared" si="132"/>
        <v>7334</v>
      </c>
      <c r="U7335" s="4" t="s">
        <v>194</v>
      </c>
    </row>
    <row r="7336" spans="19:21" x14ac:dyDescent="0.25">
      <c r="S7336" s="6" t="s">
        <v>302</v>
      </c>
      <c r="T7336" s="6">
        <f t="shared" si="132"/>
        <v>7335</v>
      </c>
      <c r="U7336" s="4" t="s">
        <v>194</v>
      </c>
    </row>
    <row r="7337" spans="19:21" x14ac:dyDescent="0.25">
      <c r="S7337" s="6" t="s">
        <v>302</v>
      </c>
      <c r="T7337" s="6">
        <f t="shared" si="132"/>
        <v>7336</v>
      </c>
      <c r="U7337" s="4" t="s">
        <v>194</v>
      </c>
    </row>
    <row r="7338" spans="19:21" x14ac:dyDescent="0.25">
      <c r="S7338" s="6" t="s">
        <v>302</v>
      </c>
      <c r="T7338" s="6">
        <f t="shared" si="132"/>
        <v>7337</v>
      </c>
      <c r="U7338" s="4" t="s">
        <v>194</v>
      </c>
    </row>
    <row r="7339" spans="19:21" x14ac:dyDescent="0.25">
      <c r="S7339" s="6" t="s">
        <v>302</v>
      </c>
      <c r="T7339" s="6">
        <f t="shared" si="132"/>
        <v>7338</v>
      </c>
      <c r="U7339" s="4" t="s">
        <v>194</v>
      </c>
    </row>
    <row r="7340" spans="19:21" x14ac:dyDescent="0.25">
      <c r="S7340" s="6" t="s">
        <v>302</v>
      </c>
      <c r="T7340" s="6">
        <f t="shared" si="132"/>
        <v>7339</v>
      </c>
      <c r="U7340" s="4" t="s">
        <v>194</v>
      </c>
    </row>
    <row r="7341" spans="19:21" x14ac:dyDescent="0.25">
      <c r="S7341" s="6" t="s">
        <v>302</v>
      </c>
      <c r="T7341" s="6">
        <f t="shared" si="132"/>
        <v>7340</v>
      </c>
      <c r="U7341" s="4" t="s">
        <v>194</v>
      </c>
    </row>
    <row r="7342" spans="19:21" x14ac:dyDescent="0.25">
      <c r="S7342" s="6" t="s">
        <v>302</v>
      </c>
      <c r="T7342" s="6">
        <f t="shared" si="132"/>
        <v>7341</v>
      </c>
      <c r="U7342" s="4" t="s">
        <v>194</v>
      </c>
    </row>
    <row r="7343" spans="19:21" x14ac:dyDescent="0.25">
      <c r="S7343" s="6" t="s">
        <v>302</v>
      </c>
      <c r="T7343" s="6">
        <f t="shared" si="132"/>
        <v>7342</v>
      </c>
      <c r="U7343" s="4" t="s">
        <v>194</v>
      </c>
    </row>
    <row r="7344" spans="19:21" x14ac:dyDescent="0.25">
      <c r="S7344" s="6" t="s">
        <v>302</v>
      </c>
      <c r="T7344" s="6">
        <f t="shared" si="132"/>
        <v>7343</v>
      </c>
      <c r="U7344" s="4" t="s">
        <v>194</v>
      </c>
    </row>
    <row r="7345" spans="19:21" x14ac:dyDescent="0.25">
      <c r="S7345" s="6" t="s">
        <v>302</v>
      </c>
      <c r="T7345" s="6">
        <f t="shared" si="132"/>
        <v>7344</v>
      </c>
      <c r="U7345" s="4" t="s">
        <v>194</v>
      </c>
    </row>
    <row r="7346" spans="19:21" x14ac:dyDescent="0.25">
      <c r="S7346" s="6" t="s">
        <v>302</v>
      </c>
      <c r="T7346" s="6">
        <f t="shared" si="132"/>
        <v>7345</v>
      </c>
      <c r="U7346" s="4" t="s">
        <v>194</v>
      </c>
    </row>
    <row r="7347" spans="19:21" x14ac:dyDescent="0.25">
      <c r="S7347" s="6" t="s">
        <v>302</v>
      </c>
      <c r="T7347" s="6">
        <f t="shared" si="132"/>
        <v>7346</v>
      </c>
      <c r="U7347" s="4" t="s">
        <v>194</v>
      </c>
    </row>
    <row r="7348" spans="19:21" x14ac:dyDescent="0.25">
      <c r="S7348" s="6" t="s">
        <v>302</v>
      </c>
      <c r="T7348" s="6">
        <f t="shared" si="132"/>
        <v>7347</v>
      </c>
      <c r="U7348" s="4" t="s">
        <v>194</v>
      </c>
    </row>
    <row r="7349" spans="19:21" x14ac:dyDescent="0.25">
      <c r="S7349" s="6" t="s">
        <v>302</v>
      </c>
      <c r="T7349" s="6">
        <f t="shared" si="132"/>
        <v>7348</v>
      </c>
      <c r="U7349" s="4" t="s">
        <v>194</v>
      </c>
    </row>
    <row r="7350" spans="19:21" x14ac:dyDescent="0.25">
      <c r="S7350" s="6" t="s">
        <v>302</v>
      </c>
      <c r="T7350" s="6">
        <f t="shared" si="132"/>
        <v>7349</v>
      </c>
      <c r="U7350" s="4" t="s">
        <v>194</v>
      </c>
    </row>
    <row r="7351" spans="19:21" x14ac:dyDescent="0.25">
      <c r="S7351" s="6" t="s">
        <v>302</v>
      </c>
      <c r="T7351" s="6">
        <f t="shared" si="132"/>
        <v>7350</v>
      </c>
      <c r="U7351" s="4" t="s">
        <v>194</v>
      </c>
    </row>
    <row r="7352" spans="19:21" x14ac:dyDescent="0.25">
      <c r="S7352" s="6" t="s">
        <v>302</v>
      </c>
      <c r="T7352" s="6">
        <f t="shared" si="132"/>
        <v>7351</v>
      </c>
      <c r="U7352" s="4" t="s">
        <v>194</v>
      </c>
    </row>
    <row r="7353" spans="19:21" x14ac:dyDescent="0.25">
      <c r="S7353" s="6" t="s">
        <v>302</v>
      </c>
      <c r="T7353" s="6">
        <f t="shared" si="132"/>
        <v>7352</v>
      </c>
      <c r="U7353" s="4" t="s">
        <v>194</v>
      </c>
    </row>
    <row r="7354" spans="19:21" x14ac:dyDescent="0.25">
      <c r="S7354" s="6" t="s">
        <v>302</v>
      </c>
      <c r="T7354" s="6">
        <f t="shared" si="132"/>
        <v>7353</v>
      </c>
      <c r="U7354" s="4" t="s">
        <v>194</v>
      </c>
    </row>
    <row r="7355" spans="19:21" x14ac:dyDescent="0.25">
      <c r="S7355" s="6" t="s">
        <v>302</v>
      </c>
      <c r="T7355" s="6">
        <f t="shared" si="132"/>
        <v>7354</v>
      </c>
      <c r="U7355" s="4" t="s">
        <v>194</v>
      </c>
    </row>
    <row r="7356" spans="19:21" x14ac:dyDescent="0.25">
      <c r="S7356" s="6" t="s">
        <v>302</v>
      </c>
      <c r="T7356" s="6">
        <f t="shared" si="132"/>
        <v>7355</v>
      </c>
      <c r="U7356" s="4" t="s">
        <v>194</v>
      </c>
    </row>
    <row r="7357" spans="19:21" x14ac:dyDescent="0.25">
      <c r="S7357" s="6" t="s">
        <v>302</v>
      </c>
      <c r="T7357" s="6">
        <f t="shared" si="132"/>
        <v>7356</v>
      </c>
      <c r="U7357" s="4" t="s">
        <v>194</v>
      </c>
    </row>
    <row r="7358" spans="19:21" x14ac:dyDescent="0.25">
      <c r="S7358" s="6" t="s">
        <v>302</v>
      </c>
      <c r="T7358" s="6">
        <f t="shared" si="132"/>
        <v>7357</v>
      </c>
      <c r="U7358" s="4" t="s">
        <v>194</v>
      </c>
    </row>
    <row r="7359" spans="19:21" x14ac:dyDescent="0.25">
      <c r="S7359" s="6" t="s">
        <v>302</v>
      </c>
      <c r="T7359" s="6">
        <f t="shared" si="132"/>
        <v>7358</v>
      </c>
      <c r="U7359" s="4" t="s">
        <v>194</v>
      </c>
    </row>
    <row r="7360" spans="19:21" x14ac:dyDescent="0.25">
      <c r="S7360" s="6" t="s">
        <v>302</v>
      </c>
      <c r="T7360" s="6">
        <f t="shared" si="132"/>
        <v>7359</v>
      </c>
      <c r="U7360" s="4" t="s">
        <v>194</v>
      </c>
    </row>
    <row r="7361" spans="19:21" x14ac:dyDescent="0.25">
      <c r="S7361" s="6" t="s">
        <v>302</v>
      </c>
      <c r="T7361" s="6">
        <f t="shared" si="132"/>
        <v>7360</v>
      </c>
      <c r="U7361" s="4" t="s">
        <v>194</v>
      </c>
    </row>
    <row r="7362" spans="19:21" x14ac:dyDescent="0.25">
      <c r="S7362" s="6" t="s">
        <v>302</v>
      </c>
      <c r="T7362" s="6">
        <f t="shared" si="132"/>
        <v>7361</v>
      </c>
      <c r="U7362" s="4" t="s">
        <v>194</v>
      </c>
    </row>
    <row r="7363" spans="19:21" x14ac:dyDescent="0.25">
      <c r="S7363" s="6" t="s">
        <v>302</v>
      </c>
      <c r="T7363" s="6">
        <f t="shared" si="132"/>
        <v>7362</v>
      </c>
      <c r="U7363" s="4" t="s">
        <v>194</v>
      </c>
    </row>
    <row r="7364" spans="19:21" x14ac:dyDescent="0.25">
      <c r="S7364" s="6" t="s">
        <v>302</v>
      </c>
      <c r="T7364" s="6">
        <f t="shared" si="132"/>
        <v>7363</v>
      </c>
      <c r="U7364" s="4" t="s">
        <v>194</v>
      </c>
    </row>
    <row r="7365" spans="19:21" x14ac:dyDescent="0.25">
      <c r="S7365" s="6" t="s">
        <v>302</v>
      </c>
      <c r="T7365" s="6">
        <f t="shared" si="132"/>
        <v>7364</v>
      </c>
      <c r="U7365" s="4" t="s">
        <v>194</v>
      </c>
    </row>
    <row r="7366" spans="19:21" x14ac:dyDescent="0.25">
      <c r="S7366" s="6" t="s">
        <v>302</v>
      </c>
      <c r="T7366" s="6">
        <f t="shared" si="132"/>
        <v>7365</v>
      </c>
      <c r="U7366" s="4" t="s">
        <v>194</v>
      </c>
    </row>
    <row r="7367" spans="19:21" x14ac:dyDescent="0.25">
      <c r="S7367" s="6" t="s">
        <v>302</v>
      </c>
      <c r="T7367" s="6">
        <f t="shared" si="132"/>
        <v>7366</v>
      </c>
      <c r="U7367" s="4" t="s">
        <v>194</v>
      </c>
    </row>
    <row r="7368" spans="19:21" x14ac:dyDescent="0.25">
      <c r="S7368" s="6" t="s">
        <v>302</v>
      </c>
      <c r="T7368" s="6">
        <f t="shared" si="132"/>
        <v>7367</v>
      </c>
      <c r="U7368" s="4" t="s">
        <v>194</v>
      </c>
    </row>
    <row r="7369" spans="19:21" x14ac:dyDescent="0.25">
      <c r="S7369" s="6" t="s">
        <v>302</v>
      </c>
      <c r="T7369" s="6">
        <f t="shared" si="132"/>
        <v>7368</v>
      </c>
      <c r="U7369" s="4" t="s">
        <v>194</v>
      </c>
    </row>
    <row r="7370" spans="19:21" x14ac:dyDescent="0.25">
      <c r="S7370" s="6" t="s">
        <v>302</v>
      </c>
      <c r="T7370" s="6">
        <f t="shared" si="132"/>
        <v>7369</v>
      </c>
      <c r="U7370" s="4" t="s">
        <v>194</v>
      </c>
    </row>
    <row r="7371" spans="19:21" x14ac:dyDescent="0.25">
      <c r="S7371" s="6" t="s">
        <v>302</v>
      </c>
      <c r="T7371" s="6">
        <f t="shared" si="132"/>
        <v>7370</v>
      </c>
      <c r="U7371" s="4" t="s">
        <v>194</v>
      </c>
    </row>
    <row r="7372" spans="19:21" x14ac:dyDescent="0.25">
      <c r="S7372" s="6" t="s">
        <v>302</v>
      </c>
      <c r="T7372" s="6">
        <f t="shared" si="132"/>
        <v>7371</v>
      </c>
      <c r="U7372" s="4" t="s">
        <v>194</v>
      </c>
    </row>
    <row r="7373" spans="19:21" x14ac:dyDescent="0.25">
      <c r="S7373" s="6" t="s">
        <v>302</v>
      </c>
      <c r="T7373" s="6">
        <f t="shared" si="132"/>
        <v>7372</v>
      </c>
      <c r="U7373" s="4" t="s">
        <v>194</v>
      </c>
    </row>
    <row r="7374" spans="19:21" x14ac:dyDescent="0.25">
      <c r="S7374" s="6" t="s">
        <v>302</v>
      </c>
      <c r="T7374" s="6">
        <f t="shared" si="132"/>
        <v>7373</v>
      </c>
      <c r="U7374" s="4" t="s">
        <v>194</v>
      </c>
    </row>
    <row r="7375" spans="19:21" x14ac:dyDescent="0.25">
      <c r="S7375" s="6" t="s">
        <v>302</v>
      </c>
      <c r="T7375" s="6">
        <f t="shared" si="132"/>
        <v>7374</v>
      </c>
      <c r="U7375" s="4" t="s">
        <v>194</v>
      </c>
    </row>
    <row r="7376" spans="19:21" x14ac:dyDescent="0.25">
      <c r="S7376" s="6" t="s">
        <v>302</v>
      </c>
      <c r="T7376" s="6">
        <f t="shared" si="132"/>
        <v>7375</v>
      </c>
      <c r="U7376" s="4" t="s">
        <v>194</v>
      </c>
    </row>
    <row r="7377" spans="19:21" x14ac:dyDescent="0.25">
      <c r="S7377" s="6" t="s">
        <v>302</v>
      </c>
      <c r="T7377" s="6">
        <f t="shared" si="132"/>
        <v>7376</v>
      </c>
      <c r="U7377" s="4" t="s">
        <v>194</v>
      </c>
    </row>
    <row r="7378" spans="19:21" x14ac:dyDescent="0.25">
      <c r="S7378" s="6" t="s">
        <v>302</v>
      </c>
      <c r="T7378" s="6">
        <f t="shared" si="132"/>
        <v>7377</v>
      </c>
      <c r="U7378" s="4" t="s">
        <v>194</v>
      </c>
    </row>
    <row r="7379" spans="19:21" x14ac:dyDescent="0.25">
      <c r="S7379" s="6" t="s">
        <v>302</v>
      </c>
      <c r="T7379" s="6">
        <f t="shared" si="132"/>
        <v>7378</v>
      </c>
      <c r="U7379" s="4" t="s">
        <v>194</v>
      </c>
    </row>
    <row r="7380" spans="19:21" x14ac:dyDescent="0.25">
      <c r="S7380" s="6" t="s">
        <v>302</v>
      </c>
      <c r="T7380" s="6">
        <f t="shared" si="132"/>
        <v>7379</v>
      </c>
      <c r="U7380" s="4" t="s">
        <v>194</v>
      </c>
    </row>
    <row r="7381" spans="19:21" x14ac:dyDescent="0.25">
      <c r="S7381" s="6" t="s">
        <v>302</v>
      </c>
      <c r="T7381" s="6">
        <f t="shared" si="132"/>
        <v>7380</v>
      </c>
      <c r="U7381" s="4" t="s">
        <v>194</v>
      </c>
    </row>
    <row r="7382" spans="19:21" x14ac:dyDescent="0.25">
      <c r="S7382" s="6" t="s">
        <v>302</v>
      </c>
      <c r="T7382" s="6">
        <f t="shared" si="132"/>
        <v>7381</v>
      </c>
      <c r="U7382" s="4" t="s">
        <v>194</v>
      </c>
    </row>
    <row r="7383" spans="19:21" x14ac:dyDescent="0.25">
      <c r="S7383" s="6" t="s">
        <v>302</v>
      </c>
      <c r="T7383" s="6">
        <f t="shared" si="132"/>
        <v>7382</v>
      </c>
      <c r="U7383" s="4" t="s">
        <v>194</v>
      </c>
    </row>
    <row r="7384" spans="19:21" x14ac:dyDescent="0.25">
      <c r="S7384" s="6" t="s">
        <v>302</v>
      </c>
      <c r="T7384" s="6">
        <f t="shared" si="132"/>
        <v>7383</v>
      </c>
      <c r="U7384" s="4" t="s">
        <v>194</v>
      </c>
    </row>
    <row r="7385" spans="19:21" x14ac:dyDescent="0.25">
      <c r="S7385" s="6" t="s">
        <v>302</v>
      </c>
      <c r="T7385" s="6">
        <f t="shared" si="132"/>
        <v>7384</v>
      </c>
      <c r="U7385" s="4" t="s">
        <v>194</v>
      </c>
    </row>
    <row r="7386" spans="19:21" x14ac:dyDescent="0.25">
      <c r="S7386" s="6" t="s">
        <v>302</v>
      </c>
      <c r="T7386" s="6">
        <f t="shared" si="132"/>
        <v>7385</v>
      </c>
      <c r="U7386" s="4" t="s">
        <v>194</v>
      </c>
    </row>
    <row r="7387" spans="19:21" x14ac:dyDescent="0.25">
      <c r="S7387" s="6" t="s">
        <v>302</v>
      </c>
      <c r="T7387" s="6">
        <f t="shared" si="132"/>
        <v>7386</v>
      </c>
      <c r="U7387" s="4" t="s">
        <v>194</v>
      </c>
    </row>
    <row r="7388" spans="19:21" x14ac:dyDescent="0.25">
      <c r="S7388" s="6" t="s">
        <v>302</v>
      </c>
      <c r="T7388" s="6">
        <f t="shared" si="132"/>
        <v>7387</v>
      </c>
      <c r="U7388" s="4" t="s">
        <v>194</v>
      </c>
    </row>
    <row r="7389" spans="19:21" x14ac:dyDescent="0.25">
      <c r="S7389" s="6" t="s">
        <v>302</v>
      </c>
      <c r="T7389" s="6">
        <f t="shared" si="132"/>
        <v>7388</v>
      </c>
      <c r="U7389" s="4" t="s">
        <v>194</v>
      </c>
    </row>
    <row r="7390" spans="19:21" x14ac:dyDescent="0.25">
      <c r="S7390" s="6" t="s">
        <v>302</v>
      </c>
      <c r="T7390" s="6">
        <f t="shared" ref="T7390:T7453" si="133">T7389+1</f>
        <v>7389</v>
      </c>
      <c r="U7390" s="4" t="s">
        <v>194</v>
      </c>
    </row>
    <row r="7391" spans="19:21" x14ac:dyDescent="0.25">
      <c r="S7391" s="6" t="s">
        <v>302</v>
      </c>
      <c r="T7391" s="6">
        <f t="shared" si="133"/>
        <v>7390</v>
      </c>
      <c r="U7391" s="4" t="s">
        <v>194</v>
      </c>
    </row>
    <row r="7392" spans="19:21" x14ac:dyDescent="0.25">
      <c r="S7392" s="6" t="s">
        <v>302</v>
      </c>
      <c r="T7392" s="6">
        <f t="shared" si="133"/>
        <v>7391</v>
      </c>
      <c r="U7392" s="4" t="s">
        <v>194</v>
      </c>
    </row>
    <row r="7393" spans="19:21" x14ac:dyDescent="0.25">
      <c r="S7393" s="6" t="s">
        <v>302</v>
      </c>
      <c r="T7393" s="6">
        <f t="shared" si="133"/>
        <v>7392</v>
      </c>
      <c r="U7393" s="4" t="s">
        <v>194</v>
      </c>
    </row>
    <row r="7394" spans="19:21" x14ac:dyDescent="0.25">
      <c r="S7394" s="6" t="s">
        <v>302</v>
      </c>
      <c r="T7394" s="6">
        <f t="shared" si="133"/>
        <v>7393</v>
      </c>
      <c r="U7394" s="4" t="s">
        <v>194</v>
      </c>
    </row>
    <row r="7395" spans="19:21" x14ac:dyDescent="0.25">
      <c r="S7395" s="6" t="s">
        <v>302</v>
      </c>
      <c r="T7395" s="6">
        <f t="shared" si="133"/>
        <v>7394</v>
      </c>
      <c r="U7395" s="4" t="s">
        <v>194</v>
      </c>
    </row>
    <row r="7396" spans="19:21" x14ac:dyDescent="0.25">
      <c r="S7396" s="6" t="s">
        <v>302</v>
      </c>
      <c r="T7396" s="6">
        <f t="shared" si="133"/>
        <v>7395</v>
      </c>
      <c r="U7396" s="4" t="s">
        <v>194</v>
      </c>
    </row>
    <row r="7397" spans="19:21" x14ac:dyDescent="0.25">
      <c r="S7397" s="6" t="s">
        <v>302</v>
      </c>
      <c r="T7397" s="6">
        <f t="shared" si="133"/>
        <v>7396</v>
      </c>
      <c r="U7397" s="4" t="s">
        <v>194</v>
      </c>
    </row>
    <row r="7398" spans="19:21" x14ac:dyDescent="0.25">
      <c r="S7398" s="6" t="s">
        <v>302</v>
      </c>
      <c r="T7398" s="6">
        <f t="shared" si="133"/>
        <v>7397</v>
      </c>
      <c r="U7398" s="4" t="s">
        <v>194</v>
      </c>
    </row>
    <row r="7399" spans="19:21" x14ac:dyDescent="0.25">
      <c r="S7399" s="6" t="s">
        <v>302</v>
      </c>
      <c r="T7399" s="6">
        <f t="shared" si="133"/>
        <v>7398</v>
      </c>
      <c r="U7399" s="4" t="s">
        <v>194</v>
      </c>
    </row>
    <row r="7400" spans="19:21" x14ac:dyDescent="0.25">
      <c r="S7400" s="6" t="s">
        <v>302</v>
      </c>
      <c r="T7400" s="6">
        <f t="shared" si="133"/>
        <v>7399</v>
      </c>
      <c r="U7400" s="4" t="s">
        <v>194</v>
      </c>
    </row>
    <row r="7401" spans="19:21" x14ac:dyDescent="0.25">
      <c r="S7401" s="6" t="s">
        <v>302</v>
      </c>
      <c r="T7401" s="6">
        <f t="shared" si="133"/>
        <v>7400</v>
      </c>
      <c r="U7401" s="4" t="s">
        <v>194</v>
      </c>
    </row>
    <row r="7402" spans="19:21" x14ac:dyDescent="0.25">
      <c r="S7402" s="6" t="s">
        <v>302</v>
      </c>
      <c r="T7402" s="6">
        <f t="shared" si="133"/>
        <v>7401</v>
      </c>
      <c r="U7402" s="4" t="s">
        <v>194</v>
      </c>
    </row>
    <row r="7403" spans="19:21" x14ac:dyDescent="0.25">
      <c r="S7403" s="6" t="s">
        <v>302</v>
      </c>
      <c r="T7403" s="6">
        <f t="shared" si="133"/>
        <v>7402</v>
      </c>
      <c r="U7403" s="4" t="s">
        <v>194</v>
      </c>
    </row>
    <row r="7404" spans="19:21" x14ac:dyDescent="0.25">
      <c r="S7404" s="6" t="s">
        <v>302</v>
      </c>
      <c r="T7404" s="6">
        <f t="shared" si="133"/>
        <v>7403</v>
      </c>
      <c r="U7404" s="4" t="s">
        <v>194</v>
      </c>
    </row>
    <row r="7405" spans="19:21" x14ac:dyDescent="0.25">
      <c r="S7405" s="6" t="s">
        <v>302</v>
      </c>
      <c r="T7405" s="6">
        <f t="shared" si="133"/>
        <v>7404</v>
      </c>
      <c r="U7405" s="4" t="s">
        <v>194</v>
      </c>
    </row>
    <row r="7406" spans="19:21" x14ac:dyDescent="0.25">
      <c r="S7406" s="6" t="s">
        <v>302</v>
      </c>
      <c r="T7406" s="6">
        <f t="shared" si="133"/>
        <v>7405</v>
      </c>
      <c r="U7406" s="4" t="s">
        <v>194</v>
      </c>
    </row>
    <row r="7407" spans="19:21" x14ac:dyDescent="0.25">
      <c r="S7407" s="6" t="s">
        <v>302</v>
      </c>
      <c r="T7407" s="6">
        <f t="shared" si="133"/>
        <v>7406</v>
      </c>
      <c r="U7407" s="4" t="s">
        <v>194</v>
      </c>
    </row>
    <row r="7408" spans="19:21" x14ac:dyDescent="0.25">
      <c r="S7408" s="6" t="s">
        <v>302</v>
      </c>
      <c r="T7408" s="6">
        <f t="shared" si="133"/>
        <v>7407</v>
      </c>
      <c r="U7408" s="4" t="s">
        <v>194</v>
      </c>
    </row>
    <row r="7409" spans="19:21" x14ac:dyDescent="0.25">
      <c r="S7409" s="6" t="s">
        <v>302</v>
      </c>
      <c r="T7409" s="6">
        <f t="shared" si="133"/>
        <v>7408</v>
      </c>
      <c r="U7409" s="4" t="s">
        <v>194</v>
      </c>
    </row>
    <row r="7410" spans="19:21" x14ac:dyDescent="0.25">
      <c r="S7410" s="6" t="s">
        <v>302</v>
      </c>
      <c r="T7410" s="6">
        <f t="shared" si="133"/>
        <v>7409</v>
      </c>
      <c r="U7410" s="4" t="s">
        <v>194</v>
      </c>
    </row>
    <row r="7411" spans="19:21" x14ac:dyDescent="0.25">
      <c r="S7411" s="6" t="s">
        <v>302</v>
      </c>
      <c r="T7411" s="6">
        <f t="shared" si="133"/>
        <v>7410</v>
      </c>
      <c r="U7411" s="4" t="s">
        <v>194</v>
      </c>
    </row>
    <row r="7412" spans="19:21" x14ac:dyDescent="0.25">
      <c r="S7412" s="6" t="s">
        <v>302</v>
      </c>
      <c r="T7412" s="6">
        <f t="shared" si="133"/>
        <v>7411</v>
      </c>
      <c r="U7412" s="4" t="s">
        <v>194</v>
      </c>
    </row>
    <row r="7413" spans="19:21" x14ac:dyDescent="0.25">
      <c r="S7413" s="6" t="s">
        <v>302</v>
      </c>
      <c r="T7413" s="6">
        <f t="shared" si="133"/>
        <v>7412</v>
      </c>
      <c r="U7413" s="4" t="s">
        <v>194</v>
      </c>
    </row>
    <row r="7414" spans="19:21" x14ac:dyDescent="0.25">
      <c r="S7414" s="6" t="s">
        <v>302</v>
      </c>
      <c r="T7414" s="6">
        <f t="shared" si="133"/>
        <v>7413</v>
      </c>
      <c r="U7414" s="4" t="s">
        <v>194</v>
      </c>
    </row>
    <row r="7415" spans="19:21" x14ac:dyDescent="0.25">
      <c r="S7415" s="6" t="s">
        <v>302</v>
      </c>
      <c r="T7415" s="6">
        <f t="shared" si="133"/>
        <v>7414</v>
      </c>
      <c r="U7415" s="4" t="s">
        <v>194</v>
      </c>
    </row>
    <row r="7416" spans="19:21" x14ac:dyDescent="0.25">
      <c r="S7416" s="6" t="s">
        <v>302</v>
      </c>
      <c r="T7416" s="6">
        <f t="shared" si="133"/>
        <v>7415</v>
      </c>
      <c r="U7416" s="4" t="s">
        <v>194</v>
      </c>
    </row>
    <row r="7417" spans="19:21" x14ac:dyDescent="0.25">
      <c r="S7417" s="6" t="s">
        <v>302</v>
      </c>
      <c r="T7417" s="6">
        <f t="shared" si="133"/>
        <v>7416</v>
      </c>
      <c r="U7417" s="4" t="s">
        <v>194</v>
      </c>
    </row>
    <row r="7418" spans="19:21" x14ac:dyDescent="0.25">
      <c r="S7418" s="6" t="s">
        <v>302</v>
      </c>
      <c r="T7418" s="6">
        <f t="shared" si="133"/>
        <v>7417</v>
      </c>
      <c r="U7418" s="4" t="s">
        <v>194</v>
      </c>
    </row>
    <row r="7419" spans="19:21" x14ac:dyDescent="0.25">
      <c r="S7419" s="6" t="s">
        <v>302</v>
      </c>
      <c r="T7419" s="6">
        <f t="shared" si="133"/>
        <v>7418</v>
      </c>
      <c r="U7419" s="4" t="s">
        <v>194</v>
      </c>
    </row>
    <row r="7420" spans="19:21" x14ac:dyDescent="0.25">
      <c r="S7420" s="6" t="s">
        <v>302</v>
      </c>
      <c r="T7420" s="6">
        <f t="shared" si="133"/>
        <v>7419</v>
      </c>
      <c r="U7420" s="4" t="s">
        <v>194</v>
      </c>
    </row>
    <row r="7421" spans="19:21" x14ac:dyDescent="0.25">
      <c r="S7421" s="6" t="s">
        <v>302</v>
      </c>
      <c r="T7421" s="6">
        <f t="shared" si="133"/>
        <v>7420</v>
      </c>
      <c r="U7421" s="4" t="s">
        <v>194</v>
      </c>
    </row>
    <row r="7422" spans="19:21" x14ac:dyDescent="0.25">
      <c r="S7422" s="6" t="s">
        <v>302</v>
      </c>
      <c r="T7422" s="6">
        <f t="shared" si="133"/>
        <v>7421</v>
      </c>
      <c r="U7422" s="4" t="s">
        <v>194</v>
      </c>
    </row>
    <row r="7423" spans="19:21" x14ac:dyDescent="0.25">
      <c r="S7423" s="6" t="s">
        <v>302</v>
      </c>
      <c r="T7423" s="6">
        <f t="shared" si="133"/>
        <v>7422</v>
      </c>
      <c r="U7423" s="4" t="s">
        <v>194</v>
      </c>
    </row>
    <row r="7424" spans="19:21" x14ac:dyDescent="0.25">
      <c r="S7424" s="6" t="s">
        <v>302</v>
      </c>
      <c r="T7424" s="6">
        <f t="shared" si="133"/>
        <v>7423</v>
      </c>
      <c r="U7424" s="4" t="s">
        <v>194</v>
      </c>
    </row>
    <row r="7425" spans="19:21" x14ac:dyDescent="0.25">
      <c r="S7425" s="6" t="s">
        <v>302</v>
      </c>
      <c r="T7425" s="6">
        <f t="shared" si="133"/>
        <v>7424</v>
      </c>
      <c r="U7425" s="4" t="s">
        <v>194</v>
      </c>
    </row>
    <row r="7426" spans="19:21" x14ac:dyDescent="0.25">
      <c r="S7426" s="6" t="s">
        <v>302</v>
      </c>
      <c r="T7426" s="6">
        <f t="shared" si="133"/>
        <v>7425</v>
      </c>
      <c r="U7426" s="4" t="s">
        <v>194</v>
      </c>
    </row>
    <row r="7427" spans="19:21" x14ac:dyDescent="0.25">
      <c r="S7427" s="6" t="s">
        <v>302</v>
      </c>
      <c r="T7427" s="6">
        <f t="shared" si="133"/>
        <v>7426</v>
      </c>
      <c r="U7427" s="4" t="s">
        <v>194</v>
      </c>
    </row>
    <row r="7428" spans="19:21" x14ac:dyDescent="0.25">
      <c r="S7428" s="6" t="s">
        <v>302</v>
      </c>
      <c r="T7428" s="6">
        <f t="shared" si="133"/>
        <v>7427</v>
      </c>
      <c r="U7428" s="4" t="s">
        <v>194</v>
      </c>
    </row>
    <row r="7429" spans="19:21" x14ac:dyDescent="0.25">
      <c r="S7429" s="6" t="s">
        <v>302</v>
      </c>
      <c r="T7429" s="6">
        <f t="shared" si="133"/>
        <v>7428</v>
      </c>
      <c r="U7429" s="4" t="s">
        <v>194</v>
      </c>
    </row>
    <row r="7430" spans="19:21" x14ac:dyDescent="0.25">
      <c r="S7430" s="6" t="s">
        <v>302</v>
      </c>
      <c r="T7430" s="6">
        <f t="shared" si="133"/>
        <v>7429</v>
      </c>
      <c r="U7430" s="4" t="s">
        <v>194</v>
      </c>
    </row>
    <row r="7431" spans="19:21" x14ac:dyDescent="0.25">
      <c r="S7431" s="6" t="s">
        <v>302</v>
      </c>
      <c r="T7431" s="6">
        <f t="shared" si="133"/>
        <v>7430</v>
      </c>
      <c r="U7431" s="4" t="s">
        <v>194</v>
      </c>
    </row>
    <row r="7432" spans="19:21" x14ac:dyDescent="0.25">
      <c r="S7432" s="6" t="s">
        <v>302</v>
      </c>
      <c r="T7432" s="6">
        <f t="shared" si="133"/>
        <v>7431</v>
      </c>
      <c r="U7432" s="4" t="s">
        <v>194</v>
      </c>
    </row>
    <row r="7433" spans="19:21" x14ac:dyDescent="0.25">
      <c r="S7433" s="6" t="s">
        <v>302</v>
      </c>
      <c r="T7433" s="6">
        <f t="shared" si="133"/>
        <v>7432</v>
      </c>
      <c r="U7433" s="4" t="s">
        <v>194</v>
      </c>
    </row>
    <row r="7434" spans="19:21" x14ac:dyDescent="0.25">
      <c r="S7434" s="6" t="s">
        <v>302</v>
      </c>
      <c r="T7434" s="6">
        <f t="shared" si="133"/>
        <v>7433</v>
      </c>
      <c r="U7434" s="4" t="s">
        <v>194</v>
      </c>
    </row>
    <row r="7435" spans="19:21" x14ac:dyDescent="0.25">
      <c r="S7435" s="6" t="s">
        <v>302</v>
      </c>
      <c r="T7435" s="6">
        <f t="shared" si="133"/>
        <v>7434</v>
      </c>
      <c r="U7435" s="4" t="s">
        <v>194</v>
      </c>
    </row>
    <row r="7436" spans="19:21" x14ac:dyDescent="0.25">
      <c r="S7436" s="6" t="s">
        <v>302</v>
      </c>
      <c r="T7436" s="6">
        <f t="shared" si="133"/>
        <v>7435</v>
      </c>
      <c r="U7436" s="4" t="s">
        <v>194</v>
      </c>
    </row>
    <row r="7437" spans="19:21" x14ac:dyDescent="0.25">
      <c r="S7437" s="6" t="s">
        <v>302</v>
      </c>
      <c r="T7437" s="6">
        <f t="shared" si="133"/>
        <v>7436</v>
      </c>
      <c r="U7437" s="4" t="s">
        <v>194</v>
      </c>
    </row>
    <row r="7438" spans="19:21" x14ac:dyDescent="0.25">
      <c r="S7438" s="6" t="s">
        <v>302</v>
      </c>
      <c r="T7438" s="6">
        <f t="shared" si="133"/>
        <v>7437</v>
      </c>
      <c r="U7438" s="4" t="s">
        <v>194</v>
      </c>
    </row>
    <row r="7439" spans="19:21" x14ac:dyDescent="0.25">
      <c r="S7439" s="6" t="s">
        <v>302</v>
      </c>
      <c r="T7439" s="6">
        <f t="shared" si="133"/>
        <v>7438</v>
      </c>
      <c r="U7439" s="4" t="s">
        <v>194</v>
      </c>
    </row>
    <row r="7440" spans="19:21" x14ac:dyDescent="0.25">
      <c r="S7440" s="6" t="s">
        <v>302</v>
      </c>
      <c r="T7440" s="6">
        <f t="shared" si="133"/>
        <v>7439</v>
      </c>
      <c r="U7440" s="4" t="s">
        <v>194</v>
      </c>
    </row>
    <row r="7441" spans="19:21" x14ac:dyDescent="0.25">
      <c r="S7441" s="6" t="s">
        <v>302</v>
      </c>
      <c r="T7441" s="6">
        <f t="shared" si="133"/>
        <v>7440</v>
      </c>
      <c r="U7441" s="4" t="s">
        <v>194</v>
      </c>
    </row>
    <row r="7442" spans="19:21" x14ac:dyDescent="0.25">
      <c r="S7442" s="6" t="s">
        <v>302</v>
      </c>
      <c r="T7442" s="6">
        <f t="shared" si="133"/>
        <v>7441</v>
      </c>
      <c r="U7442" s="4" t="s">
        <v>194</v>
      </c>
    </row>
    <row r="7443" spans="19:21" x14ac:dyDescent="0.25">
      <c r="S7443" s="6" t="s">
        <v>302</v>
      </c>
      <c r="T7443" s="6">
        <f t="shared" si="133"/>
        <v>7442</v>
      </c>
      <c r="U7443" s="4" t="s">
        <v>194</v>
      </c>
    </row>
    <row r="7444" spans="19:21" x14ac:dyDescent="0.25">
      <c r="S7444" s="6" t="s">
        <v>302</v>
      </c>
      <c r="T7444" s="6">
        <f t="shared" si="133"/>
        <v>7443</v>
      </c>
      <c r="U7444" s="4" t="s">
        <v>194</v>
      </c>
    </row>
    <row r="7445" spans="19:21" x14ac:dyDescent="0.25">
      <c r="S7445" s="6" t="s">
        <v>302</v>
      </c>
      <c r="T7445" s="6">
        <f t="shared" si="133"/>
        <v>7444</v>
      </c>
      <c r="U7445" s="4" t="s">
        <v>194</v>
      </c>
    </row>
    <row r="7446" spans="19:21" x14ac:dyDescent="0.25">
      <c r="S7446" s="6" t="s">
        <v>302</v>
      </c>
      <c r="T7446" s="6">
        <f t="shared" si="133"/>
        <v>7445</v>
      </c>
      <c r="U7446" s="4" t="s">
        <v>194</v>
      </c>
    </row>
    <row r="7447" spans="19:21" x14ac:dyDescent="0.25">
      <c r="S7447" s="6" t="s">
        <v>302</v>
      </c>
      <c r="T7447" s="6">
        <f t="shared" si="133"/>
        <v>7446</v>
      </c>
      <c r="U7447" s="4" t="s">
        <v>194</v>
      </c>
    </row>
    <row r="7448" spans="19:21" x14ac:dyDescent="0.25">
      <c r="S7448" s="6" t="s">
        <v>302</v>
      </c>
      <c r="T7448" s="6">
        <f t="shared" si="133"/>
        <v>7447</v>
      </c>
      <c r="U7448" s="4" t="s">
        <v>194</v>
      </c>
    </row>
    <row r="7449" spans="19:21" x14ac:dyDescent="0.25">
      <c r="S7449" s="6" t="s">
        <v>302</v>
      </c>
      <c r="T7449" s="6">
        <f t="shared" si="133"/>
        <v>7448</v>
      </c>
      <c r="U7449" s="4" t="s">
        <v>194</v>
      </c>
    </row>
    <row r="7450" spans="19:21" x14ac:dyDescent="0.25">
      <c r="S7450" s="6" t="s">
        <v>302</v>
      </c>
      <c r="T7450" s="6">
        <f t="shared" si="133"/>
        <v>7449</v>
      </c>
      <c r="U7450" s="4" t="s">
        <v>194</v>
      </c>
    </row>
    <row r="7451" spans="19:21" x14ac:dyDescent="0.25">
      <c r="S7451" s="6" t="s">
        <v>302</v>
      </c>
      <c r="T7451" s="6">
        <f t="shared" si="133"/>
        <v>7450</v>
      </c>
      <c r="U7451" s="4" t="s">
        <v>194</v>
      </c>
    </row>
    <row r="7452" spans="19:21" x14ac:dyDescent="0.25">
      <c r="S7452" s="6" t="s">
        <v>302</v>
      </c>
      <c r="T7452" s="6">
        <f t="shared" si="133"/>
        <v>7451</v>
      </c>
      <c r="U7452" s="4" t="s">
        <v>194</v>
      </c>
    </row>
    <row r="7453" spans="19:21" x14ac:dyDescent="0.25">
      <c r="S7453" s="6" t="s">
        <v>302</v>
      </c>
      <c r="T7453" s="6">
        <f t="shared" si="133"/>
        <v>7452</v>
      </c>
      <c r="U7453" s="4" t="s">
        <v>194</v>
      </c>
    </row>
    <row r="7454" spans="19:21" x14ac:dyDescent="0.25">
      <c r="S7454" s="6" t="s">
        <v>302</v>
      </c>
      <c r="T7454" s="6">
        <f t="shared" ref="T7454:T7517" si="134">T7453+1</f>
        <v>7453</v>
      </c>
      <c r="U7454" s="4" t="s">
        <v>194</v>
      </c>
    </row>
    <row r="7455" spans="19:21" x14ac:dyDescent="0.25">
      <c r="S7455" s="6" t="s">
        <v>302</v>
      </c>
      <c r="T7455" s="6">
        <f t="shared" si="134"/>
        <v>7454</v>
      </c>
      <c r="U7455" s="4" t="s">
        <v>194</v>
      </c>
    </row>
    <row r="7456" spans="19:21" x14ac:dyDescent="0.25">
      <c r="S7456" s="6" t="s">
        <v>302</v>
      </c>
      <c r="T7456" s="6">
        <f t="shared" si="134"/>
        <v>7455</v>
      </c>
      <c r="U7456" s="4" t="s">
        <v>194</v>
      </c>
    </row>
    <row r="7457" spans="19:21" x14ac:dyDescent="0.25">
      <c r="S7457" s="6" t="s">
        <v>302</v>
      </c>
      <c r="T7457" s="6">
        <f t="shared" si="134"/>
        <v>7456</v>
      </c>
      <c r="U7457" s="4" t="s">
        <v>194</v>
      </c>
    </row>
    <row r="7458" spans="19:21" x14ac:dyDescent="0.25">
      <c r="S7458" s="6" t="s">
        <v>302</v>
      </c>
      <c r="T7458" s="6">
        <f t="shared" si="134"/>
        <v>7457</v>
      </c>
      <c r="U7458" s="4" t="s">
        <v>194</v>
      </c>
    </row>
    <row r="7459" spans="19:21" x14ac:dyDescent="0.25">
      <c r="S7459" s="6" t="s">
        <v>302</v>
      </c>
      <c r="T7459" s="6">
        <f t="shared" si="134"/>
        <v>7458</v>
      </c>
      <c r="U7459" s="4" t="s">
        <v>194</v>
      </c>
    </row>
    <row r="7460" spans="19:21" x14ac:dyDescent="0.25">
      <c r="S7460" s="6" t="s">
        <v>302</v>
      </c>
      <c r="T7460" s="6">
        <f t="shared" si="134"/>
        <v>7459</v>
      </c>
      <c r="U7460" s="4" t="s">
        <v>194</v>
      </c>
    </row>
    <row r="7461" spans="19:21" x14ac:dyDescent="0.25">
      <c r="S7461" s="6" t="s">
        <v>302</v>
      </c>
      <c r="T7461" s="6">
        <f t="shared" si="134"/>
        <v>7460</v>
      </c>
      <c r="U7461" s="4" t="s">
        <v>194</v>
      </c>
    </row>
    <row r="7462" spans="19:21" x14ac:dyDescent="0.25">
      <c r="S7462" s="6" t="s">
        <v>302</v>
      </c>
      <c r="T7462" s="6">
        <f t="shared" si="134"/>
        <v>7461</v>
      </c>
      <c r="U7462" s="4" t="s">
        <v>194</v>
      </c>
    </row>
    <row r="7463" spans="19:21" x14ac:dyDescent="0.25">
      <c r="S7463" s="6" t="s">
        <v>302</v>
      </c>
      <c r="T7463" s="6">
        <f t="shared" si="134"/>
        <v>7462</v>
      </c>
      <c r="U7463" s="4" t="s">
        <v>194</v>
      </c>
    </row>
    <row r="7464" spans="19:21" x14ac:dyDescent="0.25">
      <c r="S7464" s="6" t="s">
        <v>302</v>
      </c>
      <c r="T7464" s="6">
        <f t="shared" si="134"/>
        <v>7463</v>
      </c>
      <c r="U7464" s="4" t="s">
        <v>194</v>
      </c>
    </row>
    <row r="7465" spans="19:21" x14ac:dyDescent="0.25">
      <c r="S7465" s="6" t="s">
        <v>302</v>
      </c>
      <c r="T7465" s="6">
        <f t="shared" si="134"/>
        <v>7464</v>
      </c>
      <c r="U7465" s="4" t="s">
        <v>194</v>
      </c>
    </row>
    <row r="7466" spans="19:21" x14ac:dyDescent="0.25">
      <c r="S7466" s="6" t="s">
        <v>302</v>
      </c>
      <c r="T7466" s="6">
        <f t="shared" si="134"/>
        <v>7465</v>
      </c>
      <c r="U7466" s="4" t="s">
        <v>194</v>
      </c>
    </row>
    <row r="7467" spans="19:21" x14ac:dyDescent="0.25">
      <c r="S7467" s="6" t="s">
        <v>302</v>
      </c>
      <c r="T7467" s="6">
        <f t="shared" si="134"/>
        <v>7466</v>
      </c>
      <c r="U7467" s="4" t="s">
        <v>194</v>
      </c>
    </row>
    <row r="7468" spans="19:21" x14ac:dyDescent="0.25">
      <c r="S7468" s="6" t="s">
        <v>302</v>
      </c>
      <c r="T7468" s="6">
        <f t="shared" si="134"/>
        <v>7467</v>
      </c>
      <c r="U7468" s="4" t="s">
        <v>194</v>
      </c>
    </row>
    <row r="7469" spans="19:21" x14ac:dyDescent="0.25">
      <c r="S7469" s="6" t="s">
        <v>302</v>
      </c>
      <c r="T7469" s="6">
        <f t="shared" si="134"/>
        <v>7468</v>
      </c>
      <c r="U7469" s="4" t="s">
        <v>194</v>
      </c>
    </row>
    <row r="7470" spans="19:21" x14ac:dyDescent="0.25">
      <c r="S7470" s="6" t="s">
        <v>302</v>
      </c>
      <c r="T7470" s="6">
        <f t="shared" si="134"/>
        <v>7469</v>
      </c>
      <c r="U7470" s="4" t="s">
        <v>194</v>
      </c>
    </row>
    <row r="7471" spans="19:21" x14ac:dyDescent="0.25">
      <c r="S7471" s="6" t="s">
        <v>302</v>
      </c>
      <c r="T7471" s="6">
        <f t="shared" si="134"/>
        <v>7470</v>
      </c>
      <c r="U7471" s="4" t="s">
        <v>194</v>
      </c>
    </row>
    <row r="7472" spans="19:21" x14ac:dyDescent="0.25">
      <c r="S7472" s="6" t="s">
        <v>302</v>
      </c>
      <c r="T7472" s="6">
        <f t="shared" si="134"/>
        <v>7471</v>
      </c>
      <c r="U7472" s="4" t="s">
        <v>194</v>
      </c>
    </row>
    <row r="7473" spans="19:21" x14ac:dyDescent="0.25">
      <c r="S7473" s="6" t="s">
        <v>302</v>
      </c>
      <c r="T7473" s="6">
        <f t="shared" si="134"/>
        <v>7472</v>
      </c>
      <c r="U7473" s="4" t="s">
        <v>194</v>
      </c>
    </row>
    <row r="7474" spans="19:21" x14ac:dyDescent="0.25">
      <c r="S7474" s="6" t="s">
        <v>302</v>
      </c>
      <c r="T7474" s="6">
        <f t="shared" si="134"/>
        <v>7473</v>
      </c>
      <c r="U7474" s="4" t="s">
        <v>194</v>
      </c>
    </row>
    <row r="7475" spans="19:21" x14ac:dyDescent="0.25">
      <c r="S7475" s="6" t="s">
        <v>302</v>
      </c>
      <c r="T7475" s="6">
        <f t="shared" si="134"/>
        <v>7474</v>
      </c>
      <c r="U7475" s="4" t="s">
        <v>194</v>
      </c>
    </row>
    <row r="7476" spans="19:21" x14ac:dyDescent="0.25">
      <c r="S7476" s="6" t="s">
        <v>302</v>
      </c>
      <c r="T7476" s="6">
        <f t="shared" si="134"/>
        <v>7475</v>
      </c>
      <c r="U7476" s="4" t="s">
        <v>194</v>
      </c>
    </row>
    <row r="7477" spans="19:21" x14ac:dyDescent="0.25">
      <c r="S7477" s="6" t="s">
        <v>302</v>
      </c>
      <c r="T7477" s="6">
        <f t="shared" si="134"/>
        <v>7476</v>
      </c>
      <c r="U7477" s="4" t="s">
        <v>194</v>
      </c>
    </row>
    <row r="7478" spans="19:21" x14ac:dyDescent="0.25">
      <c r="S7478" s="6" t="s">
        <v>302</v>
      </c>
      <c r="T7478" s="6">
        <f t="shared" si="134"/>
        <v>7477</v>
      </c>
      <c r="U7478" s="4" t="s">
        <v>194</v>
      </c>
    </row>
    <row r="7479" spans="19:21" x14ac:dyDescent="0.25">
      <c r="S7479" s="6" t="s">
        <v>302</v>
      </c>
      <c r="T7479" s="6">
        <f t="shared" si="134"/>
        <v>7478</v>
      </c>
      <c r="U7479" s="4" t="s">
        <v>194</v>
      </c>
    </row>
    <row r="7480" spans="19:21" x14ac:dyDescent="0.25">
      <c r="S7480" s="6" t="s">
        <v>302</v>
      </c>
      <c r="T7480" s="6">
        <f t="shared" si="134"/>
        <v>7479</v>
      </c>
      <c r="U7480" s="4" t="s">
        <v>194</v>
      </c>
    </row>
    <row r="7481" spans="19:21" x14ac:dyDescent="0.25">
      <c r="S7481" s="6" t="s">
        <v>302</v>
      </c>
      <c r="T7481" s="6">
        <f t="shared" si="134"/>
        <v>7480</v>
      </c>
      <c r="U7481" s="4" t="s">
        <v>194</v>
      </c>
    </row>
    <row r="7482" spans="19:21" x14ac:dyDescent="0.25">
      <c r="S7482" s="6" t="s">
        <v>302</v>
      </c>
      <c r="T7482" s="6">
        <f t="shared" si="134"/>
        <v>7481</v>
      </c>
      <c r="U7482" s="4" t="s">
        <v>194</v>
      </c>
    </row>
    <row r="7483" spans="19:21" x14ac:dyDescent="0.25">
      <c r="S7483" s="6" t="s">
        <v>302</v>
      </c>
      <c r="T7483" s="6">
        <f t="shared" si="134"/>
        <v>7482</v>
      </c>
      <c r="U7483" s="4" t="s">
        <v>194</v>
      </c>
    </row>
    <row r="7484" spans="19:21" x14ac:dyDescent="0.25">
      <c r="S7484" s="6" t="s">
        <v>302</v>
      </c>
      <c r="T7484" s="6">
        <f t="shared" si="134"/>
        <v>7483</v>
      </c>
      <c r="U7484" s="4" t="s">
        <v>194</v>
      </c>
    </row>
    <row r="7485" spans="19:21" x14ac:dyDescent="0.25">
      <c r="S7485" s="6" t="s">
        <v>302</v>
      </c>
      <c r="T7485" s="6">
        <f t="shared" si="134"/>
        <v>7484</v>
      </c>
      <c r="U7485" s="4" t="s">
        <v>194</v>
      </c>
    </row>
    <row r="7486" spans="19:21" x14ac:dyDescent="0.25">
      <c r="S7486" s="6" t="s">
        <v>302</v>
      </c>
      <c r="T7486" s="6">
        <f t="shared" si="134"/>
        <v>7485</v>
      </c>
      <c r="U7486" s="4" t="s">
        <v>194</v>
      </c>
    </row>
    <row r="7487" spans="19:21" x14ac:dyDescent="0.25">
      <c r="S7487" s="6" t="s">
        <v>302</v>
      </c>
      <c r="T7487" s="6">
        <f t="shared" si="134"/>
        <v>7486</v>
      </c>
      <c r="U7487" s="4" t="s">
        <v>194</v>
      </c>
    </row>
    <row r="7488" spans="19:21" x14ac:dyDescent="0.25">
      <c r="S7488" s="6" t="s">
        <v>302</v>
      </c>
      <c r="T7488" s="6">
        <f t="shared" si="134"/>
        <v>7487</v>
      </c>
      <c r="U7488" s="4" t="s">
        <v>194</v>
      </c>
    </row>
    <row r="7489" spans="19:21" x14ac:dyDescent="0.25">
      <c r="S7489" s="6" t="s">
        <v>302</v>
      </c>
      <c r="T7489" s="6">
        <f t="shared" si="134"/>
        <v>7488</v>
      </c>
      <c r="U7489" s="4" t="s">
        <v>194</v>
      </c>
    </row>
    <row r="7490" spans="19:21" x14ac:dyDescent="0.25">
      <c r="S7490" s="6" t="s">
        <v>302</v>
      </c>
      <c r="T7490" s="6">
        <f t="shared" si="134"/>
        <v>7489</v>
      </c>
      <c r="U7490" s="4" t="s">
        <v>194</v>
      </c>
    </row>
    <row r="7491" spans="19:21" x14ac:dyDescent="0.25">
      <c r="S7491" s="6" t="s">
        <v>302</v>
      </c>
      <c r="T7491" s="6">
        <f t="shared" si="134"/>
        <v>7490</v>
      </c>
      <c r="U7491" s="4" t="s">
        <v>194</v>
      </c>
    </row>
    <row r="7492" spans="19:21" x14ac:dyDescent="0.25">
      <c r="S7492" s="6" t="s">
        <v>302</v>
      </c>
      <c r="T7492" s="6">
        <f t="shared" si="134"/>
        <v>7491</v>
      </c>
      <c r="U7492" s="4" t="s">
        <v>194</v>
      </c>
    </row>
    <row r="7493" spans="19:21" x14ac:dyDescent="0.25">
      <c r="S7493" s="6" t="s">
        <v>302</v>
      </c>
      <c r="T7493" s="6">
        <f t="shared" si="134"/>
        <v>7492</v>
      </c>
      <c r="U7493" s="4" t="s">
        <v>194</v>
      </c>
    </row>
    <row r="7494" spans="19:21" x14ac:dyDescent="0.25">
      <c r="S7494" s="6" t="s">
        <v>302</v>
      </c>
      <c r="T7494" s="6">
        <f t="shared" si="134"/>
        <v>7493</v>
      </c>
      <c r="U7494" s="4" t="s">
        <v>194</v>
      </c>
    </row>
    <row r="7495" spans="19:21" x14ac:dyDescent="0.25">
      <c r="S7495" s="6" t="s">
        <v>302</v>
      </c>
      <c r="T7495" s="6">
        <f t="shared" si="134"/>
        <v>7494</v>
      </c>
      <c r="U7495" s="4" t="s">
        <v>194</v>
      </c>
    </row>
    <row r="7496" spans="19:21" x14ac:dyDescent="0.25">
      <c r="S7496" s="6" t="s">
        <v>302</v>
      </c>
      <c r="T7496" s="6">
        <f t="shared" si="134"/>
        <v>7495</v>
      </c>
      <c r="U7496" s="4" t="s">
        <v>194</v>
      </c>
    </row>
    <row r="7497" spans="19:21" x14ac:dyDescent="0.25">
      <c r="S7497" s="6" t="s">
        <v>302</v>
      </c>
      <c r="T7497" s="6">
        <f t="shared" si="134"/>
        <v>7496</v>
      </c>
      <c r="U7497" s="4" t="s">
        <v>194</v>
      </c>
    </row>
    <row r="7498" spans="19:21" x14ac:dyDescent="0.25">
      <c r="S7498" s="6" t="s">
        <v>302</v>
      </c>
      <c r="T7498" s="6">
        <f t="shared" si="134"/>
        <v>7497</v>
      </c>
      <c r="U7498" s="4" t="s">
        <v>194</v>
      </c>
    </row>
    <row r="7499" spans="19:21" x14ac:dyDescent="0.25">
      <c r="S7499" s="6" t="s">
        <v>302</v>
      </c>
      <c r="T7499" s="6">
        <f t="shared" si="134"/>
        <v>7498</v>
      </c>
      <c r="U7499" s="4" t="s">
        <v>194</v>
      </c>
    </row>
    <row r="7500" spans="19:21" x14ac:dyDescent="0.25">
      <c r="S7500" s="6" t="s">
        <v>302</v>
      </c>
      <c r="T7500" s="6">
        <f t="shared" si="134"/>
        <v>7499</v>
      </c>
      <c r="U7500" s="4" t="s">
        <v>194</v>
      </c>
    </row>
    <row r="7501" spans="19:21" x14ac:dyDescent="0.25">
      <c r="S7501" s="6" t="s">
        <v>302</v>
      </c>
      <c r="T7501" s="6">
        <f t="shared" si="134"/>
        <v>7500</v>
      </c>
      <c r="U7501" s="4" t="s">
        <v>194</v>
      </c>
    </row>
    <row r="7502" spans="19:21" x14ac:dyDescent="0.25">
      <c r="S7502" s="6" t="s">
        <v>302</v>
      </c>
      <c r="T7502" s="6">
        <f t="shared" si="134"/>
        <v>7501</v>
      </c>
      <c r="U7502" s="4" t="s">
        <v>194</v>
      </c>
    </row>
    <row r="7503" spans="19:21" x14ac:dyDescent="0.25">
      <c r="S7503" s="6" t="s">
        <v>302</v>
      </c>
      <c r="T7503" s="6">
        <f t="shared" si="134"/>
        <v>7502</v>
      </c>
      <c r="U7503" s="4" t="s">
        <v>194</v>
      </c>
    </row>
    <row r="7504" spans="19:21" x14ac:dyDescent="0.25">
      <c r="S7504" s="6" t="s">
        <v>302</v>
      </c>
      <c r="T7504" s="6">
        <f t="shared" si="134"/>
        <v>7503</v>
      </c>
      <c r="U7504" s="4" t="s">
        <v>194</v>
      </c>
    </row>
    <row r="7505" spans="19:21" x14ac:dyDescent="0.25">
      <c r="S7505" s="6" t="s">
        <v>302</v>
      </c>
      <c r="T7505" s="6">
        <f t="shared" si="134"/>
        <v>7504</v>
      </c>
      <c r="U7505" s="4" t="s">
        <v>194</v>
      </c>
    </row>
    <row r="7506" spans="19:21" x14ac:dyDescent="0.25">
      <c r="S7506" s="6" t="s">
        <v>302</v>
      </c>
      <c r="T7506" s="6">
        <f t="shared" si="134"/>
        <v>7505</v>
      </c>
      <c r="U7506" s="4" t="s">
        <v>194</v>
      </c>
    </row>
    <row r="7507" spans="19:21" x14ac:dyDescent="0.25">
      <c r="S7507" s="6" t="s">
        <v>302</v>
      </c>
      <c r="T7507" s="6">
        <f t="shared" si="134"/>
        <v>7506</v>
      </c>
      <c r="U7507" s="4" t="s">
        <v>194</v>
      </c>
    </row>
    <row r="7508" spans="19:21" x14ac:dyDescent="0.25">
      <c r="S7508" s="6" t="s">
        <v>302</v>
      </c>
      <c r="T7508" s="6">
        <f t="shared" si="134"/>
        <v>7507</v>
      </c>
      <c r="U7508" s="4" t="s">
        <v>194</v>
      </c>
    </row>
    <row r="7509" spans="19:21" x14ac:dyDescent="0.25">
      <c r="S7509" s="6" t="s">
        <v>302</v>
      </c>
      <c r="T7509" s="6">
        <f t="shared" si="134"/>
        <v>7508</v>
      </c>
      <c r="U7509" s="4" t="s">
        <v>194</v>
      </c>
    </row>
    <row r="7510" spans="19:21" x14ac:dyDescent="0.25">
      <c r="S7510" s="6" t="s">
        <v>302</v>
      </c>
      <c r="T7510" s="6">
        <f t="shared" si="134"/>
        <v>7509</v>
      </c>
      <c r="U7510" s="4" t="s">
        <v>194</v>
      </c>
    </row>
    <row r="7511" spans="19:21" x14ac:dyDescent="0.25">
      <c r="S7511" s="6" t="s">
        <v>302</v>
      </c>
      <c r="T7511" s="6">
        <f t="shared" si="134"/>
        <v>7510</v>
      </c>
      <c r="U7511" s="4" t="s">
        <v>194</v>
      </c>
    </row>
    <row r="7512" spans="19:21" x14ac:dyDescent="0.25">
      <c r="S7512" s="6" t="s">
        <v>302</v>
      </c>
      <c r="T7512" s="6">
        <f t="shared" si="134"/>
        <v>7511</v>
      </c>
      <c r="U7512" s="4" t="s">
        <v>194</v>
      </c>
    </row>
    <row r="7513" spans="19:21" x14ac:dyDescent="0.25">
      <c r="S7513" s="6" t="s">
        <v>302</v>
      </c>
      <c r="T7513" s="6">
        <f t="shared" si="134"/>
        <v>7512</v>
      </c>
      <c r="U7513" s="4" t="s">
        <v>194</v>
      </c>
    </row>
    <row r="7514" spans="19:21" x14ac:dyDescent="0.25">
      <c r="S7514" s="6" t="s">
        <v>302</v>
      </c>
      <c r="T7514" s="6">
        <f t="shared" si="134"/>
        <v>7513</v>
      </c>
      <c r="U7514" s="4" t="s">
        <v>194</v>
      </c>
    </row>
    <row r="7515" spans="19:21" x14ac:dyDescent="0.25">
      <c r="S7515" s="6" t="s">
        <v>302</v>
      </c>
      <c r="T7515" s="6">
        <f t="shared" si="134"/>
        <v>7514</v>
      </c>
      <c r="U7515" s="4" t="s">
        <v>194</v>
      </c>
    </row>
    <row r="7516" spans="19:21" x14ac:dyDescent="0.25">
      <c r="S7516" s="6" t="s">
        <v>302</v>
      </c>
      <c r="T7516" s="6">
        <f t="shared" si="134"/>
        <v>7515</v>
      </c>
      <c r="U7516" s="4" t="s">
        <v>194</v>
      </c>
    </row>
    <row r="7517" spans="19:21" x14ac:dyDescent="0.25">
      <c r="S7517" s="6" t="s">
        <v>302</v>
      </c>
      <c r="T7517" s="6">
        <f t="shared" si="134"/>
        <v>7516</v>
      </c>
      <c r="U7517" s="4" t="s">
        <v>194</v>
      </c>
    </row>
    <row r="7518" spans="19:21" x14ac:dyDescent="0.25">
      <c r="S7518" s="6" t="s">
        <v>302</v>
      </c>
      <c r="T7518" s="6">
        <f t="shared" ref="T7518:T7581" si="135">T7517+1</f>
        <v>7517</v>
      </c>
      <c r="U7518" s="4" t="s">
        <v>194</v>
      </c>
    </row>
    <row r="7519" spans="19:21" x14ac:dyDescent="0.25">
      <c r="S7519" s="6" t="s">
        <v>302</v>
      </c>
      <c r="T7519" s="6">
        <f t="shared" si="135"/>
        <v>7518</v>
      </c>
      <c r="U7519" s="4" t="s">
        <v>194</v>
      </c>
    </row>
    <row r="7520" spans="19:21" x14ac:dyDescent="0.25">
      <c r="S7520" s="6" t="s">
        <v>302</v>
      </c>
      <c r="T7520" s="6">
        <f t="shared" si="135"/>
        <v>7519</v>
      </c>
      <c r="U7520" s="4" t="s">
        <v>194</v>
      </c>
    </row>
    <row r="7521" spans="19:21" x14ac:dyDescent="0.25">
      <c r="S7521" s="6" t="s">
        <v>302</v>
      </c>
      <c r="T7521" s="6">
        <f t="shared" si="135"/>
        <v>7520</v>
      </c>
      <c r="U7521" s="4" t="s">
        <v>194</v>
      </c>
    </row>
    <row r="7522" spans="19:21" x14ac:dyDescent="0.25">
      <c r="S7522" s="6" t="s">
        <v>302</v>
      </c>
      <c r="T7522" s="6">
        <f t="shared" si="135"/>
        <v>7521</v>
      </c>
      <c r="U7522" s="4" t="s">
        <v>194</v>
      </c>
    </row>
    <row r="7523" spans="19:21" x14ac:dyDescent="0.25">
      <c r="S7523" s="6" t="s">
        <v>302</v>
      </c>
      <c r="T7523" s="6">
        <f t="shared" si="135"/>
        <v>7522</v>
      </c>
      <c r="U7523" s="4" t="s">
        <v>194</v>
      </c>
    </row>
    <row r="7524" spans="19:21" x14ac:dyDescent="0.25">
      <c r="S7524" s="6" t="s">
        <v>302</v>
      </c>
      <c r="T7524" s="6">
        <f t="shared" si="135"/>
        <v>7523</v>
      </c>
      <c r="U7524" s="4" t="s">
        <v>194</v>
      </c>
    </row>
    <row r="7525" spans="19:21" x14ac:dyDescent="0.25">
      <c r="S7525" s="6" t="s">
        <v>302</v>
      </c>
      <c r="T7525" s="6">
        <f t="shared" si="135"/>
        <v>7524</v>
      </c>
      <c r="U7525" s="4" t="s">
        <v>194</v>
      </c>
    </row>
    <row r="7526" spans="19:21" x14ac:dyDescent="0.25">
      <c r="S7526" s="6" t="s">
        <v>302</v>
      </c>
      <c r="T7526" s="6">
        <f t="shared" si="135"/>
        <v>7525</v>
      </c>
      <c r="U7526" s="4" t="s">
        <v>194</v>
      </c>
    </row>
    <row r="7527" spans="19:21" x14ac:dyDescent="0.25">
      <c r="S7527" s="6" t="s">
        <v>302</v>
      </c>
      <c r="T7527" s="6">
        <f t="shared" si="135"/>
        <v>7526</v>
      </c>
      <c r="U7527" s="4" t="s">
        <v>194</v>
      </c>
    </row>
    <row r="7528" spans="19:21" x14ac:dyDescent="0.25">
      <c r="S7528" s="6" t="s">
        <v>302</v>
      </c>
      <c r="T7528" s="6">
        <f t="shared" si="135"/>
        <v>7527</v>
      </c>
      <c r="U7528" s="4" t="s">
        <v>194</v>
      </c>
    </row>
    <row r="7529" spans="19:21" x14ac:dyDescent="0.25">
      <c r="S7529" s="6" t="s">
        <v>302</v>
      </c>
      <c r="T7529" s="6">
        <f t="shared" si="135"/>
        <v>7528</v>
      </c>
      <c r="U7529" s="4" t="s">
        <v>194</v>
      </c>
    </row>
    <row r="7530" spans="19:21" x14ac:dyDescent="0.25">
      <c r="S7530" s="6" t="s">
        <v>302</v>
      </c>
      <c r="T7530" s="6">
        <f t="shared" si="135"/>
        <v>7529</v>
      </c>
      <c r="U7530" s="4" t="s">
        <v>194</v>
      </c>
    </row>
    <row r="7531" spans="19:21" x14ac:dyDescent="0.25">
      <c r="S7531" s="6" t="s">
        <v>302</v>
      </c>
      <c r="T7531" s="6">
        <f t="shared" si="135"/>
        <v>7530</v>
      </c>
      <c r="U7531" s="4" t="s">
        <v>194</v>
      </c>
    </row>
    <row r="7532" spans="19:21" x14ac:dyDescent="0.25">
      <c r="S7532" s="6" t="s">
        <v>302</v>
      </c>
      <c r="T7532" s="6">
        <f t="shared" si="135"/>
        <v>7531</v>
      </c>
      <c r="U7532" s="4" t="s">
        <v>194</v>
      </c>
    </row>
    <row r="7533" spans="19:21" x14ac:dyDescent="0.25">
      <c r="S7533" s="6" t="s">
        <v>302</v>
      </c>
      <c r="T7533" s="6">
        <f t="shared" si="135"/>
        <v>7532</v>
      </c>
      <c r="U7533" s="4" t="s">
        <v>194</v>
      </c>
    </row>
    <row r="7534" spans="19:21" x14ac:dyDescent="0.25">
      <c r="S7534" s="6" t="s">
        <v>302</v>
      </c>
      <c r="T7534" s="6">
        <f t="shared" si="135"/>
        <v>7533</v>
      </c>
      <c r="U7534" s="4" t="s">
        <v>194</v>
      </c>
    </row>
    <row r="7535" spans="19:21" x14ac:dyDescent="0.25">
      <c r="S7535" s="6" t="s">
        <v>302</v>
      </c>
      <c r="T7535" s="6">
        <f t="shared" si="135"/>
        <v>7534</v>
      </c>
      <c r="U7535" s="4" t="s">
        <v>194</v>
      </c>
    </row>
    <row r="7536" spans="19:21" x14ac:dyDescent="0.25">
      <c r="S7536" s="6" t="s">
        <v>302</v>
      </c>
      <c r="T7536" s="6">
        <f t="shared" si="135"/>
        <v>7535</v>
      </c>
      <c r="U7536" s="4" t="s">
        <v>194</v>
      </c>
    </row>
    <row r="7537" spans="19:21" x14ac:dyDescent="0.25">
      <c r="S7537" s="6" t="s">
        <v>302</v>
      </c>
      <c r="T7537" s="6">
        <f t="shared" si="135"/>
        <v>7536</v>
      </c>
      <c r="U7537" s="4" t="s">
        <v>194</v>
      </c>
    </row>
    <row r="7538" spans="19:21" x14ac:dyDescent="0.25">
      <c r="S7538" s="6" t="s">
        <v>302</v>
      </c>
      <c r="T7538" s="6">
        <f t="shared" si="135"/>
        <v>7537</v>
      </c>
      <c r="U7538" s="4" t="s">
        <v>194</v>
      </c>
    </row>
    <row r="7539" spans="19:21" x14ac:dyDescent="0.25">
      <c r="S7539" s="6" t="s">
        <v>302</v>
      </c>
      <c r="T7539" s="6">
        <f t="shared" si="135"/>
        <v>7538</v>
      </c>
      <c r="U7539" s="4" t="s">
        <v>194</v>
      </c>
    </row>
    <row r="7540" spans="19:21" x14ac:dyDescent="0.25">
      <c r="S7540" s="6" t="s">
        <v>302</v>
      </c>
      <c r="T7540" s="6">
        <f t="shared" si="135"/>
        <v>7539</v>
      </c>
      <c r="U7540" s="4" t="s">
        <v>194</v>
      </c>
    </row>
    <row r="7541" spans="19:21" x14ac:dyDescent="0.25">
      <c r="S7541" s="6" t="s">
        <v>302</v>
      </c>
      <c r="T7541" s="6">
        <f t="shared" si="135"/>
        <v>7540</v>
      </c>
      <c r="U7541" s="4" t="s">
        <v>194</v>
      </c>
    </row>
    <row r="7542" spans="19:21" x14ac:dyDescent="0.25">
      <c r="S7542" s="6" t="s">
        <v>302</v>
      </c>
      <c r="T7542" s="6">
        <f t="shared" si="135"/>
        <v>7541</v>
      </c>
      <c r="U7542" s="4" t="s">
        <v>194</v>
      </c>
    </row>
    <row r="7543" spans="19:21" x14ac:dyDescent="0.25">
      <c r="S7543" s="6" t="s">
        <v>302</v>
      </c>
      <c r="T7543" s="6">
        <f t="shared" si="135"/>
        <v>7542</v>
      </c>
      <c r="U7543" s="4" t="s">
        <v>194</v>
      </c>
    </row>
    <row r="7544" spans="19:21" x14ac:dyDescent="0.25">
      <c r="S7544" s="6" t="s">
        <v>302</v>
      </c>
      <c r="T7544" s="6">
        <f t="shared" si="135"/>
        <v>7543</v>
      </c>
      <c r="U7544" s="4" t="s">
        <v>194</v>
      </c>
    </row>
    <row r="7545" spans="19:21" x14ac:dyDescent="0.25">
      <c r="S7545" s="6" t="s">
        <v>302</v>
      </c>
      <c r="T7545" s="6">
        <f t="shared" si="135"/>
        <v>7544</v>
      </c>
      <c r="U7545" s="4" t="s">
        <v>194</v>
      </c>
    </row>
    <row r="7546" spans="19:21" x14ac:dyDescent="0.25">
      <c r="S7546" s="6" t="s">
        <v>302</v>
      </c>
      <c r="T7546" s="6">
        <f t="shared" si="135"/>
        <v>7545</v>
      </c>
      <c r="U7546" s="4" t="s">
        <v>194</v>
      </c>
    </row>
    <row r="7547" spans="19:21" x14ac:dyDescent="0.25">
      <c r="S7547" s="6" t="s">
        <v>302</v>
      </c>
      <c r="T7547" s="6">
        <f t="shared" si="135"/>
        <v>7546</v>
      </c>
      <c r="U7547" s="4" t="s">
        <v>194</v>
      </c>
    </row>
    <row r="7548" spans="19:21" x14ac:dyDescent="0.25">
      <c r="S7548" s="6" t="s">
        <v>302</v>
      </c>
      <c r="T7548" s="6">
        <f t="shared" si="135"/>
        <v>7547</v>
      </c>
      <c r="U7548" s="4" t="s">
        <v>194</v>
      </c>
    </row>
    <row r="7549" spans="19:21" x14ac:dyDescent="0.25">
      <c r="S7549" s="6" t="s">
        <v>302</v>
      </c>
      <c r="T7549" s="6">
        <f t="shared" si="135"/>
        <v>7548</v>
      </c>
      <c r="U7549" s="4" t="s">
        <v>194</v>
      </c>
    </row>
    <row r="7550" spans="19:21" x14ac:dyDescent="0.25">
      <c r="S7550" s="6" t="s">
        <v>302</v>
      </c>
      <c r="T7550" s="6">
        <f t="shared" si="135"/>
        <v>7549</v>
      </c>
      <c r="U7550" s="4" t="s">
        <v>194</v>
      </c>
    </row>
    <row r="7551" spans="19:21" x14ac:dyDescent="0.25">
      <c r="S7551" s="6" t="s">
        <v>302</v>
      </c>
      <c r="T7551" s="6">
        <f t="shared" si="135"/>
        <v>7550</v>
      </c>
      <c r="U7551" s="4" t="s">
        <v>194</v>
      </c>
    </row>
    <row r="7552" spans="19:21" x14ac:dyDescent="0.25">
      <c r="S7552" s="6" t="s">
        <v>302</v>
      </c>
      <c r="T7552" s="6">
        <f t="shared" si="135"/>
        <v>7551</v>
      </c>
      <c r="U7552" s="4" t="s">
        <v>194</v>
      </c>
    </row>
    <row r="7553" spans="19:21" x14ac:dyDescent="0.25">
      <c r="S7553" s="6" t="s">
        <v>302</v>
      </c>
      <c r="T7553" s="6">
        <f t="shared" si="135"/>
        <v>7552</v>
      </c>
      <c r="U7553" s="4" t="s">
        <v>194</v>
      </c>
    </row>
    <row r="7554" spans="19:21" x14ac:dyDescent="0.25">
      <c r="S7554" s="6" t="s">
        <v>302</v>
      </c>
      <c r="T7554" s="6">
        <f t="shared" si="135"/>
        <v>7553</v>
      </c>
      <c r="U7554" s="4" t="s">
        <v>194</v>
      </c>
    </row>
    <row r="7555" spans="19:21" x14ac:dyDescent="0.25">
      <c r="S7555" s="6" t="s">
        <v>302</v>
      </c>
      <c r="T7555" s="6">
        <f t="shared" si="135"/>
        <v>7554</v>
      </c>
      <c r="U7555" s="4" t="s">
        <v>194</v>
      </c>
    </row>
    <row r="7556" spans="19:21" x14ac:dyDescent="0.25">
      <c r="S7556" s="6" t="s">
        <v>302</v>
      </c>
      <c r="T7556" s="6">
        <f t="shared" si="135"/>
        <v>7555</v>
      </c>
      <c r="U7556" s="4" t="s">
        <v>194</v>
      </c>
    </row>
    <row r="7557" spans="19:21" x14ac:dyDescent="0.25">
      <c r="S7557" s="6" t="s">
        <v>302</v>
      </c>
      <c r="T7557" s="6">
        <f t="shared" si="135"/>
        <v>7556</v>
      </c>
      <c r="U7557" s="4" t="s">
        <v>194</v>
      </c>
    </row>
    <row r="7558" spans="19:21" x14ac:dyDescent="0.25">
      <c r="S7558" s="6" t="s">
        <v>302</v>
      </c>
      <c r="T7558" s="6">
        <f t="shared" si="135"/>
        <v>7557</v>
      </c>
      <c r="U7558" s="4" t="s">
        <v>194</v>
      </c>
    </row>
    <row r="7559" spans="19:21" x14ac:dyDescent="0.25">
      <c r="S7559" s="6" t="s">
        <v>302</v>
      </c>
      <c r="T7559" s="6">
        <f t="shared" si="135"/>
        <v>7558</v>
      </c>
      <c r="U7559" s="4" t="s">
        <v>194</v>
      </c>
    </row>
    <row r="7560" spans="19:21" x14ac:dyDescent="0.25">
      <c r="S7560" s="6" t="s">
        <v>302</v>
      </c>
      <c r="T7560" s="6">
        <f t="shared" si="135"/>
        <v>7559</v>
      </c>
      <c r="U7560" s="4" t="s">
        <v>194</v>
      </c>
    </row>
    <row r="7561" spans="19:21" x14ac:dyDescent="0.25">
      <c r="S7561" s="6" t="s">
        <v>302</v>
      </c>
      <c r="T7561" s="6">
        <f t="shared" si="135"/>
        <v>7560</v>
      </c>
      <c r="U7561" s="4" t="s">
        <v>194</v>
      </c>
    </row>
    <row r="7562" spans="19:21" x14ac:dyDescent="0.25">
      <c r="S7562" s="6" t="s">
        <v>302</v>
      </c>
      <c r="T7562" s="6">
        <f t="shared" si="135"/>
        <v>7561</v>
      </c>
      <c r="U7562" s="4" t="s">
        <v>194</v>
      </c>
    </row>
    <row r="7563" spans="19:21" x14ac:dyDescent="0.25">
      <c r="S7563" s="6" t="s">
        <v>302</v>
      </c>
      <c r="T7563" s="6">
        <f t="shared" si="135"/>
        <v>7562</v>
      </c>
      <c r="U7563" s="4" t="s">
        <v>194</v>
      </c>
    </row>
    <row r="7564" spans="19:21" x14ac:dyDescent="0.25">
      <c r="S7564" s="6" t="s">
        <v>302</v>
      </c>
      <c r="T7564" s="6">
        <f t="shared" si="135"/>
        <v>7563</v>
      </c>
      <c r="U7564" s="4" t="s">
        <v>194</v>
      </c>
    </row>
    <row r="7565" spans="19:21" x14ac:dyDescent="0.25">
      <c r="S7565" s="6" t="s">
        <v>302</v>
      </c>
      <c r="T7565" s="6">
        <f t="shared" si="135"/>
        <v>7564</v>
      </c>
      <c r="U7565" s="4" t="s">
        <v>194</v>
      </c>
    </row>
    <row r="7566" spans="19:21" x14ac:dyDescent="0.25">
      <c r="S7566" s="6" t="s">
        <v>302</v>
      </c>
      <c r="T7566" s="6">
        <f t="shared" si="135"/>
        <v>7565</v>
      </c>
      <c r="U7566" s="4" t="s">
        <v>194</v>
      </c>
    </row>
    <row r="7567" spans="19:21" x14ac:dyDescent="0.25">
      <c r="S7567" s="6" t="s">
        <v>302</v>
      </c>
      <c r="T7567" s="6">
        <f t="shared" si="135"/>
        <v>7566</v>
      </c>
      <c r="U7567" s="4" t="s">
        <v>194</v>
      </c>
    </row>
    <row r="7568" spans="19:21" x14ac:dyDescent="0.25">
      <c r="S7568" s="6" t="s">
        <v>302</v>
      </c>
      <c r="T7568" s="6">
        <f t="shared" si="135"/>
        <v>7567</v>
      </c>
      <c r="U7568" s="4" t="s">
        <v>194</v>
      </c>
    </row>
    <row r="7569" spans="19:21" x14ac:dyDescent="0.25">
      <c r="S7569" s="6" t="s">
        <v>302</v>
      </c>
      <c r="T7569" s="6">
        <f t="shared" si="135"/>
        <v>7568</v>
      </c>
      <c r="U7569" s="4" t="s">
        <v>194</v>
      </c>
    </row>
    <row r="7570" spans="19:21" x14ac:dyDescent="0.25">
      <c r="S7570" s="6" t="s">
        <v>302</v>
      </c>
      <c r="T7570" s="6">
        <f t="shared" si="135"/>
        <v>7569</v>
      </c>
      <c r="U7570" s="4" t="s">
        <v>194</v>
      </c>
    </row>
    <row r="7571" spans="19:21" x14ac:dyDescent="0.25">
      <c r="S7571" s="6" t="s">
        <v>302</v>
      </c>
      <c r="T7571" s="6">
        <f t="shared" si="135"/>
        <v>7570</v>
      </c>
      <c r="U7571" s="4" t="s">
        <v>194</v>
      </c>
    </row>
    <row r="7572" spans="19:21" x14ac:dyDescent="0.25">
      <c r="S7572" s="6" t="s">
        <v>302</v>
      </c>
      <c r="T7572" s="6">
        <f t="shared" si="135"/>
        <v>7571</v>
      </c>
      <c r="U7572" s="4" t="s">
        <v>194</v>
      </c>
    </row>
    <row r="7573" spans="19:21" x14ac:dyDescent="0.25">
      <c r="S7573" s="6" t="s">
        <v>302</v>
      </c>
      <c r="T7573" s="6">
        <f t="shared" si="135"/>
        <v>7572</v>
      </c>
      <c r="U7573" s="4" t="s">
        <v>194</v>
      </c>
    </row>
    <row r="7574" spans="19:21" x14ac:dyDescent="0.25">
      <c r="S7574" s="6" t="s">
        <v>302</v>
      </c>
      <c r="T7574" s="6">
        <f t="shared" si="135"/>
        <v>7573</v>
      </c>
      <c r="U7574" s="4" t="s">
        <v>194</v>
      </c>
    </row>
    <row r="7575" spans="19:21" x14ac:dyDescent="0.25">
      <c r="S7575" s="6" t="s">
        <v>302</v>
      </c>
      <c r="T7575" s="6">
        <f t="shared" si="135"/>
        <v>7574</v>
      </c>
      <c r="U7575" s="4" t="s">
        <v>194</v>
      </c>
    </row>
    <row r="7576" spans="19:21" x14ac:dyDescent="0.25">
      <c r="S7576" s="6" t="s">
        <v>302</v>
      </c>
      <c r="T7576" s="6">
        <f t="shared" si="135"/>
        <v>7575</v>
      </c>
      <c r="U7576" s="4" t="s">
        <v>194</v>
      </c>
    </row>
    <row r="7577" spans="19:21" x14ac:dyDescent="0.25">
      <c r="S7577" s="6" t="s">
        <v>302</v>
      </c>
      <c r="T7577" s="6">
        <f t="shared" si="135"/>
        <v>7576</v>
      </c>
      <c r="U7577" s="4" t="s">
        <v>194</v>
      </c>
    </row>
    <row r="7578" spans="19:21" x14ac:dyDescent="0.25">
      <c r="S7578" s="6" t="s">
        <v>302</v>
      </c>
      <c r="T7578" s="6">
        <f t="shared" si="135"/>
        <v>7577</v>
      </c>
      <c r="U7578" s="4" t="s">
        <v>194</v>
      </c>
    </row>
    <row r="7579" spans="19:21" x14ac:dyDescent="0.25">
      <c r="S7579" s="6" t="s">
        <v>302</v>
      </c>
      <c r="T7579" s="6">
        <f t="shared" si="135"/>
        <v>7578</v>
      </c>
      <c r="U7579" s="4" t="s">
        <v>194</v>
      </c>
    </row>
    <row r="7580" spans="19:21" x14ac:dyDescent="0.25">
      <c r="S7580" s="6" t="s">
        <v>302</v>
      </c>
      <c r="T7580" s="6">
        <f t="shared" si="135"/>
        <v>7579</v>
      </c>
      <c r="U7580" s="4" t="s">
        <v>194</v>
      </c>
    </row>
    <row r="7581" spans="19:21" x14ac:dyDescent="0.25">
      <c r="S7581" s="6" t="s">
        <v>302</v>
      </c>
      <c r="T7581" s="6">
        <f t="shared" si="135"/>
        <v>7580</v>
      </c>
      <c r="U7581" s="4" t="s">
        <v>194</v>
      </c>
    </row>
    <row r="7582" spans="19:21" x14ac:dyDescent="0.25">
      <c r="S7582" s="6" t="s">
        <v>302</v>
      </c>
      <c r="T7582" s="6">
        <f t="shared" ref="T7582:T7645" si="136">T7581+1</f>
        <v>7581</v>
      </c>
      <c r="U7582" s="4" t="s">
        <v>194</v>
      </c>
    </row>
    <row r="7583" spans="19:21" x14ac:dyDescent="0.25">
      <c r="S7583" s="6" t="s">
        <v>302</v>
      </c>
      <c r="T7583" s="6">
        <f t="shared" si="136"/>
        <v>7582</v>
      </c>
      <c r="U7583" s="4" t="s">
        <v>194</v>
      </c>
    </row>
    <row r="7584" spans="19:21" x14ac:dyDescent="0.25">
      <c r="S7584" s="6" t="s">
        <v>302</v>
      </c>
      <c r="T7584" s="6">
        <f t="shared" si="136"/>
        <v>7583</v>
      </c>
      <c r="U7584" s="4" t="s">
        <v>194</v>
      </c>
    </row>
    <row r="7585" spans="19:21" x14ac:dyDescent="0.25">
      <c r="S7585" s="6" t="s">
        <v>302</v>
      </c>
      <c r="T7585" s="6">
        <f t="shared" si="136"/>
        <v>7584</v>
      </c>
      <c r="U7585" s="4" t="s">
        <v>194</v>
      </c>
    </row>
    <row r="7586" spans="19:21" x14ac:dyDescent="0.25">
      <c r="S7586" s="6" t="s">
        <v>302</v>
      </c>
      <c r="T7586" s="6">
        <f t="shared" si="136"/>
        <v>7585</v>
      </c>
      <c r="U7586" s="4" t="s">
        <v>194</v>
      </c>
    </row>
    <row r="7587" spans="19:21" x14ac:dyDescent="0.25">
      <c r="S7587" s="6" t="s">
        <v>302</v>
      </c>
      <c r="T7587" s="6">
        <f t="shared" si="136"/>
        <v>7586</v>
      </c>
      <c r="U7587" s="4" t="s">
        <v>194</v>
      </c>
    </row>
    <row r="7588" spans="19:21" x14ac:dyDescent="0.25">
      <c r="S7588" s="6" t="s">
        <v>302</v>
      </c>
      <c r="T7588" s="6">
        <f t="shared" si="136"/>
        <v>7587</v>
      </c>
      <c r="U7588" s="4" t="s">
        <v>194</v>
      </c>
    </row>
    <row r="7589" spans="19:21" x14ac:dyDescent="0.25">
      <c r="S7589" s="6" t="s">
        <v>302</v>
      </c>
      <c r="T7589" s="6">
        <f t="shared" si="136"/>
        <v>7588</v>
      </c>
      <c r="U7589" s="4" t="s">
        <v>194</v>
      </c>
    </row>
    <row r="7590" spans="19:21" x14ac:dyDescent="0.25">
      <c r="S7590" s="6" t="s">
        <v>302</v>
      </c>
      <c r="T7590" s="6">
        <f t="shared" si="136"/>
        <v>7589</v>
      </c>
      <c r="U7590" s="4" t="s">
        <v>194</v>
      </c>
    </row>
    <row r="7591" spans="19:21" x14ac:dyDescent="0.25">
      <c r="S7591" s="6" t="s">
        <v>302</v>
      </c>
      <c r="T7591" s="6">
        <f t="shared" si="136"/>
        <v>7590</v>
      </c>
      <c r="U7591" s="4" t="s">
        <v>194</v>
      </c>
    </row>
    <row r="7592" spans="19:21" x14ac:dyDescent="0.25">
      <c r="S7592" s="6" t="s">
        <v>302</v>
      </c>
      <c r="T7592" s="6">
        <f t="shared" si="136"/>
        <v>7591</v>
      </c>
      <c r="U7592" s="4" t="s">
        <v>194</v>
      </c>
    </row>
    <row r="7593" spans="19:21" x14ac:dyDescent="0.25">
      <c r="S7593" s="6" t="s">
        <v>302</v>
      </c>
      <c r="T7593" s="6">
        <f t="shared" si="136"/>
        <v>7592</v>
      </c>
      <c r="U7593" s="4" t="s">
        <v>194</v>
      </c>
    </row>
    <row r="7594" spans="19:21" x14ac:dyDescent="0.25">
      <c r="S7594" s="6" t="s">
        <v>302</v>
      </c>
      <c r="T7594" s="6">
        <f t="shared" si="136"/>
        <v>7593</v>
      </c>
      <c r="U7594" s="4" t="s">
        <v>194</v>
      </c>
    </row>
    <row r="7595" spans="19:21" x14ac:dyDescent="0.25">
      <c r="S7595" s="6" t="s">
        <v>302</v>
      </c>
      <c r="T7595" s="6">
        <f t="shared" si="136"/>
        <v>7594</v>
      </c>
      <c r="U7595" s="4" t="s">
        <v>194</v>
      </c>
    </row>
    <row r="7596" spans="19:21" x14ac:dyDescent="0.25">
      <c r="S7596" s="6" t="s">
        <v>302</v>
      </c>
      <c r="T7596" s="6">
        <f t="shared" si="136"/>
        <v>7595</v>
      </c>
      <c r="U7596" s="4" t="s">
        <v>194</v>
      </c>
    </row>
    <row r="7597" spans="19:21" x14ac:dyDescent="0.25">
      <c r="S7597" s="6" t="s">
        <v>302</v>
      </c>
      <c r="T7597" s="6">
        <f t="shared" si="136"/>
        <v>7596</v>
      </c>
      <c r="U7597" s="4" t="s">
        <v>194</v>
      </c>
    </row>
    <row r="7598" spans="19:21" x14ac:dyDescent="0.25">
      <c r="S7598" s="6" t="s">
        <v>302</v>
      </c>
      <c r="T7598" s="6">
        <f t="shared" si="136"/>
        <v>7597</v>
      </c>
      <c r="U7598" s="4" t="s">
        <v>194</v>
      </c>
    </row>
    <row r="7599" spans="19:21" x14ac:dyDescent="0.25">
      <c r="S7599" s="6" t="s">
        <v>302</v>
      </c>
      <c r="T7599" s="6">
        <f t="shared" si="136"/>
        <v>7598</v>
      </c>
      <c r="U7599" s="4" t="s">
        <v>194</v>
      </c>
    </row>
    <row r="7600" spans="19:21" x14ac:dyDescent="0.25">
      <c r="S7600" s="6" t="s">
        <v>302</v>
      </c>
      <c r="T7600" s="6">
        <f t="shared" si="136"/>
        <v>7599</v>
      </c>
      <c r="U7600" s="4" t="s">
        <v>194</v>
      </c>
    </row>
    <row r="7601" spans="19:21" x14ac:dyDescent="0.25">
      <c r="S7601" s="6" t="s">
        <v>302</v>
      </c>
      <c r="T7601" s="6">
        <f t="shared" si="136"/>
        <v>7600</v>
      </c>
      <c r="U7601" s="4" t="s">
        <v>194</v>
      </c>
    </row>
    <row r="7602" spans="19:21" x14ac:dyDescent="0.25">
      <c r="S7602" s="6" t="s">
        <v>302</v>
      </c>
      <c r="T7602" s="6">
        <f t="shared" si="136"/>
        <v>7601</v>
      </c>
      <c r="U7602" s="4" t="s">
        <v>194</v>
      </c>
    </row>
    <row r="7603" spans="19:21" x14ac:dyDescent="0.25">
      <c r="S7603" s="6" t="s">
        <v>302</v>
      </c>
      <c r="T7603" s="6">
        <f t="shared" si="136"/>
        <v>7602</v>
      </c>
      <c r="U7603" s="4" t="s">
        <v>194</v>
      </c>
    </row>
    <row r="7604" spans="19:21" x14ac:dyDescent="0.25">
      <c r="S7604" s="6" t="s">
        <v>302</v>
      </c>
      <c r="T7604" s="6">
        <f t="shared" si="136"/>
        <v>7603</v>
      </c>
      <c r="U7604" s="4" t="s">
        <v>194</v>
      </c>
    </row>
    <row r="7605" spans="19:21" x14ac:dyDescent="0.25">
      <c r="S7605" s="6" t="s">
        <v>302</v>
      </c>
      <c r="T7605" s="6">
        <f t="shared" si="136"/>
        <v>7604</v>
      </c>
      <c r="U7605" s="4" t="s">
        <v>194</v>
      </c>
    </row>
    <row r="7606" spans="19:21" x14ac:dyDescent="0.25">
      <c r="S7606" s="6" t="s">
        <v>302</v>
      </c>
      <c r="T7606" s="6">
        <f t="shared" si="136"/>
        <v>7605</v>
      </c>
      <c r="U7606" s="4" t="s">
        <v>194</v>
      </c>
    </row>
    <row r="7607" spans="19:21" x14ac:dyDescent="0.25">
      <c r="S7607" s="6" t="s">
        <v>302</v>
      </c>
      <c r="T7607" s="6">
        <f t="shared" si="136"/>
        <v>7606</v>
      </c>
      <c r="U7607" s="4" t="s">
        <v>194</v>
      </c>
    </row>
    <row r="7608" spans="19:21" x14ac:dyDescent="0.25">
      <c r="S7608" s="6" t="s">
        <v>302</v>
      </c>
      <c r="T7608" s="6">
        <f t="shared" si="136"/>
        <v>7607</v>
      </c>
      <c r="U7608" s="4" t="s">
        <v>194</v>
      </c>
    </row>
    <row r="7609" spans="19:21" x14ac:dyDescent="0.25">
      <c r="S7609" s="6" t="s">
        <v>302</v>
      </c>
      <c r="T7609" s="6">
        <f t="shared" si="136"/>
        <v>7608</v>
      </c>
      <c r="U7609" s="4" t="s">
        <v>194</v>
      </c>
    </row>
    <row r="7610" spans="19:21" x14ac:dyDescent="0.25">
      <c r="S7610" s="6" t="s">
        <v>302</v>
      </c>
      <c r="T7610" s="6">
        <f t="shared" si="136"/>
        <v>7609</v>
      </c>
      <c r="U7610" s="4" t="s">
        <v>194</v>
      </c>
    </row>
    <row r="7611" spans="19:21" x14ac:dyDescent="0.25">
      <c r="S7611" s="6" t="s">
        <v>302</v>
      </c>
      <c r="T7611" s="6">
        <f t="shared" si="136"/>
        <v>7610</v>
      </c>
      <c r="U7611" s="4" t="s">
        <v>194</v>
      </c>
    </row>
    <row r="7612" spans="19:21" x14ac:dyDescent="0.25">
      <c r="S7612" s="6" t="s">
        <v>302</v>
      </c>
      <c r="T7612" s="6">
        <f t="shared" si="136"/>
        <v>7611</v>
      </c>
      <c r="U7612" s="4" t="s">
        <v>194</v>
      </c>
    </row>
    <row r="7613" spans="19:21" x14ac:dyDescent="0.25">
      <c r="S7613" s="6" t="s">
        <v>302</v>
      </c>
      <c r="T7613" s="6">
        <f t="shared" si="136"/>
        <v>7612</v>
      </c>
      <c r="U7613" s="4" t="s">
        <v>194</v>
      </c>
    </row>
    <row r="7614" spans="19:21" x14ac:dyDescent="0.25">
      <c r="S7614" s="6" t="s">
        <v>302</v>
      </c>
      <c r="T7614" s="6">
        <f t="shared" si="136"/>
        <v>7613</v>
      </c>
      <c r="U7614" s="4" t="s">
        <v>194</v>
      </c>
    </row>
    <row r="7615" spans="19:21" x14ac:dyDescent="0.25">
      <c r="S7615" s="6" t="s">
        <v>302</v>
      </c>
      <c r="T7615" s="6">
        <f t="shared" si="136"/>
        <v>7614</v>
      </c>
      <c r="U7615" s="4" t="s">
        <v>194</v>
      </c>
    </row>
    <row r="7616" spans="19:21" x14ac:dyDescent="0.25">
      <c r="S7616" s="6" t="s">
        <v>302</v>
      </c>
      <c r="T7616" s="6">
        <f t="shared" si="136"/>
        <v>7615</v>
      </c>
      <c r="U7616" s="4" t="s">
        <v>194</v>
      </c>
    </row>
    <row r="7617" spans="19:21" x14ac:dyDescent="0.25">
      <c r="S7617" s="6" t="s">
        <v>302</v>
      </c>
      <c r="T7617" s="6">
        <f t="shared" si="136"/>
        <v>7616</v>
      </c>
      <c r="U7617" s="4" t="s">
        <v>194</v>
      </c>
    </row>
    <row r="7618" spans="19:21" x14ac:dyDescent="0.25">
      <c r="S7618" s="6" t="s">
        <v>302</v>
      </c>
      <c r="T7618" s="6">
        <f t="shared" si="136"/>
        <v>7617</v>
      </c>
      <c r="U7618" s="4" t="s">
        <v>194</v>
      </c>
    </row>
    <row r="7619" spans="19:21" x14ac:dyDescent="0.25">
      <c r="S7619" s="6" t="s">
        <v>302</v>
      </c>
      <c r="T7619" s="6">
        <f t="shared" si="136"/>
        <v>7618</v>
      </c>
      <c r="U7619" s="4" t="s">
        <v>194</v>
      </c>
    </row>
    <row r="7620" spans="19:21" x14ac:dyDescent="0.25">
      <c r="S7620" s="6" t="s">
        <v>302</v>
      </c>
      <c r="T7620" s="6">
        <f t="shared" si="136"/>
        <v>7619</v>
      </c>
      <c r="U7620" s="4" t="s">
        <v>194</v>
      </c>
    </row>
    <row r="7621" spans="19:21" x14ac:dyDescent="0.25">
      <c r="S7621" s="6" t="s">
        <v>302</v>
      </c>
      <c r="T7621" s="6">
        <f t="shared" si="136"/>
        <v>7620</v>
      </c>
      <c r="U7621" s="4" t="s">
        <v>194</v>
      </c>
    </row>
    <row r="7622" spans="19:21" x14ac:dyDescent="0.25">
      <c r="S7622" s="6" t="s">
        <v>302</v>
      </c>
      <c r="T7622" s="6">
        <f t="shared" si="136"/>
        <v>7621</v>
      </c>
      <c r="U7622" s="4" t="s">
        <v>194</v>
      </c>
    </row>
    <row r="7623" spans="19:21" x14ac:dyDescent="0.25">
      <c r="S7623" s="6" t="s">
        <v>302</v>
      </c>
      <c r="T7623" s="6">
        <f t="shared" si="136"/>
        <v>7622</v>
      </c>
      <c r="U7623" s="4" t="s">
        <v>194</v>
      </c>
    </row>
    <row r="7624" spans="19:21" x14ac:dyDescent="0.25">
      <c r="S7624" s="6" t="s">
        <v>302</v>
      </c>
      <c r="T7624" s="6">
        <f t="shared" si="136"/>
        <v>7623</v>
      </c>
      <c r="U7624" s="4" t="s">
        <v>194</v>
      </c>
    </row>
    <row r="7625" spans="19:21" x14ac:dyDescent="0.25">
      <c r="S7625" s="6" t="s">
        <v>302</v>
      </c>
      <c r="T7625" s="6">
        <f t="shared" si="136"/>
        <v>7624</v>
      </c>
      <c r="U7625" s="4" t="s">
        <v>194</v>
      </c>
    </row>
    <row r="7626" spans="19:21" x14ac:dyDescent="0.25">
      <c r="S7626" s="6" t="s">
        <v>302</v>
      </c>
      <c r="T7626" s="6">
        <f t="shared" si="136"/>
        <v>7625</v>
      </c>
      <c r="U7626" s="4" t="s">
        <v>194</v>
      </c>
    </row>
    <row r="7627" spans="19:21" x14ac:dyDescent="0.25">
      <c r="S7627" s="6" t="s">
        <v>302</v>
      </c>
      <c r="T7627" s="6">
        <f t="shared" si="136"/>
        <v>7626</v>
      </c>
      <c r="U7627" s="4" t="s">
        <v>194</v>
      </c>
    </row>
    <row r="7628" spans="19:21" x14ac:dyDescent="0.25">
      <c r="S7628" s="6" t="s">
        <v>302</v>
      </c>
      <c r="T7628" s="6">
        <f t="shared" si="136"/>
        <v>7627</v>
      </c>
      <c r="U7628" s="4" t="s">
        <v>194</v>
      </c>
    </row>
    <row r="7629" spans="19:21" x14ac:dyDescent="0.25">
      <c r="S7629" s="6" t="s">
        <v>302</v>
      </c>
      <c r="T7629" s="6">
        <f t="shared" si="136"/>
        <v>7628</v>
      </c>
      <c r="U7629" s="4" t="s">
        <v>194</v>
      </c>
    </row>
    <row r="7630" spans="19:21" x14ac:dyDescent="0.25">
      <c r="S7630" s="6" t="s">
        <v>302</v>
      </c>
      <c r="T7630" s="6">
        <f t="shared" si="136"/>
        <v>7629</v>
      </c>
      <c r="U7630" s="4" t="s">
        <v>194</v>
      </c>
    </row>
    <row r="7631" spans="19:21" x14ac:dyDescent="0.25">
      <c r="S7631" s="6" t="s">
        <v>302</v>
      </c>
      <c r="T7631" s="6">
        <f t="shared" si="136"/>
        <v>7630</v>
      </c>
      <c r="U7631" s="4" t="s">
        <v>194</v>
      </c>
    </row>
    <row r="7632" spans="19:21" x14ac:dyDescent="0.25">
      <c r="S7632" s="6" t="s">
        <v>302</v>
      </c>
      <c r="T7632" s="6">
        <f t="shared" si="136"/>
        <v>7631</v>
      </c>
      <c r="U7632" s="4" t="s">
        <v>194</v>
      </c>
    </row>
    <row r="7633" spans="19:21" x14ac:dyDescent="0.25">
      <c r="S7633" s="6" t="s">
        <v>302</v>
      </c>
      <c r="T7633" s="6">
        <f t="shared" si="136"/>
        <v>7632</v>
      </c>
      <c r="U7633" s="4" t="s">
        <v>194</v>
      </c>
    </row>
    <row r="7634" spans="19:21" x14ac:dyDescent="0.25">
      <c r="S7634" s="6" t="s">
        <v>302</v>
      </c>
      <c r="T7634" s="6">
        <f t="shared" si="136"/>
        <v>7633</v>
      </c>
      <c r="U7634" s="4" t="s">
        <v>194</v>
      </c>
    </row>
    <row r="7635" spans="19:21" x14ac:dyDescent="0.25">
      <c r="S7635" s="6" t="s">
        <v>302</v>
      </c>
      <c r="T7635" s="6">
        <f t="shared" si="136"/>
        <v>7634</v>
      </c>
      <c r="U7635" s="4" t="s">
        <v>194</v>
      </c>
    </row>
    <row r="7636" spans="19:21" x14ac:dyDescent="0.25">
      <c r="S7636" s="6" t="s">
        <v>302</v>
      </c>
      <c r="T7636" s="6">
        <f t="shared" si="136"/>
        <v>7635</v>
      </c>
      <c r="U7636" s="4" t="s">
        <v>194</v>
      </c>
    </row>
    <row r="7637" spans="19:21" x14ac:dyDescent="0.25">
      <c r="S7637" s="6" t="s">
        <v>302</v>
      </c>
      <c r="T7637" s="6">
        <f t="shared" si="136"/>
        <v>7636</v>
      </c>
      <c r="U7637" s="4" t="s">
        <v>194</v>
      </c>
    </row>
    <row r="7638" spans="19:21" x14ac:dyDescent="0.25">
      <c r="S7638" s="6" t="s">
        <v>302</v>
      </c>
      <c r="T7638" s="6">
        <f t="shared" si="136"/>
        <v>7637</v>
      </c>
      <c r="U7638" s="4" t="s">
        <v>194</v>
      </c>
    </row>
    <row r="7639" spans="19:21" x14ac:dyDescent="0.25">
      <c r="S7639" s="6" t="s">
        <v>302</v>
      </c>
      <c r="T7639" s="6">
        <f t="shared" si="136"/>
        <v>7638</v>
      </c>
      <c r="U7639" s="4" t="s">
        <v>194</v>
      </c>
    </row>
    <row r="7640" spans="19:21" x14ac:dyDescent="0.25">
      <c r="S7640" s="6" t="s">
        <v>302</v>
      </c>
      <c r="T7640" s="6">
        <f t="shared" si="136"/>
        <v>7639</v>
      </c>
      <c r="U7640" s="4" t="s">
        <v>194</v>
      </c>
    </row>
    <row r="7641" spans="19:21" x14ac:dyDescent="0.25">
      <c r="S7641" s="6" t="s">
        <v>302</v>
      </c>
      <c r="T7641" s="6">
        <f t="shared" si="136"/>
        <v>7640</v>
      </c>
      <c r="U7641" s="4" t="s">
        <v>194</v>
      </c>
    </row>
    <row r="7642" spans="19:21" x14ac:dyDescent="0.25">
      <c r="S7642" s="6" t="s">
        <v>302</v>
      </c>
      <c r="T7642" s="6">
        <f t="shared" si="136"/>
        <v>7641</v>
      </c>
      <c r="U7642" s="4" t="s">
        <v>194</v>
      </c>
    </row>
    <row r="7643" spans="19:21" x14ac:dyDescent="0.25">
      <c r="S7643" s="6" t="s">
        <v>302</v>
      </c>
      <c r="T7643" s="6">
        <f t="shared" si="136"/>
        <v>7642</v>
      </c>
      <c r="U7643" s="4" t="s">
        <v>194</v>
      </c>
    </row>
    <row r="7644" spans="19:21" x14ac:dyDescent="0.25">
      <c r="S7644" s="6" t="s">
        <v>302</v>
      </c>
      <c r="T7644" s="6">
        <f t="shared" si="136"/>
        <v>7643</v>
      </c>
      <c r="U7644" s="4" t="s">
        <v>194</v>
      </c>
    </row>
    <row r="7645" spans="19:21" x14ac:dyDescent="0.25">
      <c r="S7645" s="6" t="s">
        <v>302</v>
      </c>
      <c r="T7645" s="6">
        <f t="shared" si="136"/>
        <v>7644</v>
      </c>
      <c r="U7645" s="4" t="s">
        <v>194</v>
      </c>
    </row>
    <row r="7646" spans="19:21" x14ac:dyDescent="0.25">
      <c r="S7646" s="6" t="s">
        <v>302</v>
      </c>
      <c r="T7646" s="6">
        <f t="shared" ref="T7646:T7709" si="137">T7645+1</f>
        <v>7645</v>
      </c>
      <c r="U7646" s="4" t="s">
        <v>194</v>
      </c>
    </row>
    <row r="7647" spans="19:21" x14ac:dyDescent="0.25">
      <c r="S7647" s="6" t="s">
        <v>302</v>
      </c>
      <c r="T7647" s="6">
        <f t="shared" si="137"/>
        <v>7646</v>
      </c>
      <c r="U7647" s="4" t="s">
        <v>194</v>
      </c>
    </row>
    <row r="7648" spans="19:21" x14ac:dyDescent="0.25">
      <c r="S7648" s="6" t="s">
        <v>302</v>
      </c>
      <c r="T7648" s="6">
        <f t="shared" si="137"/>
        <v>7647</v>
      </c>
      <c r="U7648" s="4" t="s">
        <v>194</v>
      </c>
    </row>
    <row r="7649" spans="19:21" x14ac:dyDescent="0.25">
      <c r="S7649" s="6" t="s">
        <v>302</v>
      </c>
      <c r="T7649" s="6">
        <f t="shared" si="137"/>
        <v>7648</v>
      </c>
      <c r="U7649" s="4" t="s">
        <v>194</v>
      </c>
    </row>
    <row r="7650" spans="19:21" x14ac:dyDescent="0.25">
      <c r="S7650" s="6" t="s">
        <v>302</v>
      </c>
      <c r="T7650" s="6">
        <f t="shared" si="137"/>
        <v>7649</v>
      </c>
      <c r="U7650" s="4" t="s">
        <v>194</v>
      </c>
    </row>
    <row r="7651" spans="19:21" x14ac:dyDescent="0.25">
      <c r="S7651" s="6" t="s">
        <v>302</v>
      </c>
      <c r="T7651" s="6">
        <f t="shared" si="137"/>
        <v>7650</v>
      </c>
      <c r="U7651" s="4" t="s">
        <v>194</v>
      </c>
    </row>
    <row r="7652" spans="19:21" x14ac:dyDescent="0.25">
      <c r="S7652" s="6" t="s">
        <v>302</v>
      </c>
      <c r="T7652" s="6">
        <f t="shared" si="137"/>
        <v>7651</v>
      </c>
      <c r="U7652" s="4" t="s">
        <v>194</v>
      </c>
    </row>
    <row r="7653" spans="19:21" x14ac:dyDescent="0.25">
      <c r="S7653" s="6" t="s">
        <v>302</v>
      </c>
      <c r="T7653" s="6">
        <f t="shared" si="137"/>
        <v>7652</v>
      </c>
      <c r="U7653" s="4" t="s">
        <v>194</v>
      </c>
    </row>
    <row r="7654" spans="19:21" x14ac:dyDescent="0.25">
      <c r="S7654" s="6" t="s">
        <v>302</v>
      </c>
      <c r="T7654" s="6">
        <f t="shared" si="137"/>
        <v>7653</v>
      </c>
      <c r="U7654" s="4" t="s">
        <v>194</v>
      </c>
    </row>
    <row r="7655" spans="19:21" x14ac:dyDescent="0.25">
      <c r="S7655" s="6" t="s">
        <v>302</v>
      </c>
      <c r="T7655" s="6">
        <f t="shared" si="137"/>
        <v>7654</v>
      </c>
      <c r="U7655" s="4" t="s">
        <v>194</v>
      </c>
    </row>
    <row r="7656" spans="19:21" x14ac:dyDescent="0.25">
      <c r="S7656" s="6" t="s">
        <v>302</v>
      </c>
      <c r="T7656" s="6">
        <f t="shared" si="137"/>
        <v>7655</v>
      </c>
      <c r="U7656" s="4" t="s">
        <v>194</v>
      </c>
    </row>
    <row r="7657" spans="19:21" x14ac:dyDescent="0.25">
      <c r="S7657" s="6" t="s">
        <v>302</v>
      </c>
      <c r="T7657" s="6">
        <f t="shared" si="137"/>
        <v>7656</v>
      </c>
      <c r="U7657" s="4" t="s">
        <v>194</v>
      </c>
    </row>
    <row r="7658" spans="19:21" x14ac:dyDescent="0.25">
      <c r="S7658" s="6" t="s">
        <v>302</v>
      </c>
      <c r="T7658" s="6">
        <f t="shared" si="137"/>
        <v>7657</v>
      </c>
      <c r="U7658" s="4" t="s">
        <v>194</v>
      </c>
    </row>
    <row r="7659" spans="19:21" x14ac:dyDescent="0.25">
      <c r="S7659" s="6" t="s">
        <v>302</v>
      </c>
      <c r="T7659" s="6">
        <f t="shared" si="137"/>
        <v>7658</v>
      </c>
      <c r="U7659" s="4" t="s">
        <v>194</v>
      </c>
    </row>
    <row r="7660" spans="19:21" x14ac:dyDescent="0.25">
      <c r="S7660" s="6" t="s">
        <v>302</v>
      </c>
      <c r="T7660" s="6">
        <f t="shared" si="137"/>
        <v>7659</v>
      </c>
      <c r="U7660" s="4" t="s">
        <v>194</v>
      </c>
    </row>
    <row r="7661" spans="19:21" x14ac:dyDescent="0.25">
      <c r="S7661" s="6" t="s">
        <v>302</v>
      </c>
      <c r="T7661" s="6">
        <f t="shared" si="137"/>
        <v>7660</v>
      </c>
      <c r="U7661" s="4" t="s">
        <v>194</v>
      </c>
    </row>
    <row r="7662" spans="19:21" x14ac:dyDescent="0.25">
      <c r="S7662" s="6" t="s">
        <v>302</v>
      </c>
      <c r="T7662" s="6">
        <f t="shared" si="137"/>
        <v>7661</v>
      </c>
      <c r="U7662" s="4" t="s">
        <v>194</v>
      </c>
    </row>
    <row r="7663" spans="19:21" x14ac:dyDescent="0.25">
      <c r="S7663" s="6" t="s">
        <v>302</v>
      </c>
      <c r="T7663" s="6">
        <f t="shared" si="137"/>
        <v>7662</v>
      </c>
      <c r="U7663" s="4" t="s">
        <v>194</v>
      </c>
    </row>
    <row r="7664" spans="19:21" x14ac:dyDescent="0.25">
      <c r="S7664" s="6" t="s">
        <v>302</v>
      </c>
      <c r="T7664" s="6">
        <f t="shared" si="137"/>
        <v>7663</v>
      </c>
      <c r="U7664" s="4" t="s">
        <v>194</v>
      </c>
    </row>
    <row r="7665" spans="19:21" x14ac:dyDescent="0.25">
      <c r="S7665" s="6" t="s">
        <v>302</v>
      </c>
      <c r="T7665" s="6">
        <f t="shared" si="137"/>
        <v>7664</v>
      </c>
      <c r="U7665" s="4" t="s">
        <v>194</v>
      </c>
    </row>
    <row r="7666" spans="19:21" x14ac:dyDescent="0.25">
      <c r="S7666" s="6" t="s">
        <v>302</v>
      </c>
      <c r="T7666" s="6">
        <f t="shared" si="137"/>
        <v>7665</v>
      </c>
      <c r="U7666" s="4" t="s">
        <v>194</v>
      </c>
    </row>
    <row r="7667" spans="19:21" x14ac:dyDescent="0.25">
      <c r="S7667" s="6" t="s">
        <v>302</v>
      </c>
      <c r="T7667" s="6">
        <f t="shared" si="137"/>
        <v>7666</v>
      </c>
      <c r="U7667" s="4" t="s">
        <v>194</v>
      </c>
    </row>
    <row r="7668" spans="19:21" x14ac:dyDescent="0.25">
      <c r="S7668" s="6" t="s">
        <v>302</v>
      </c>
      <c r="T7668" s="6">
        <f t="shared" si="137"/>
        <v>7667</v>
      </c>
      <c r="U7668" s="4" t="s">
        <v>194</v>
      </c>
    </row>
    <row r="7669" spans="19:21" x14ac:dyDescent="0.25">
      <c r="S7669" s="6" t="s">
        <v>302</v>
      </c>
      <c r="T7669" s="6">
        <f t="shared" si="137"/>
        <v>7668</v>
      </c>
      <c r="U7669" s="4" t="s">
        <v>194</v>
      </c>
    </row>
    <row r="7670" spans="19:21" x14ac:dyDescent="0.25">
      <c r="S7670" s="6" t="s">
        <v>302</v>
      </c>
      <c r="T7670" s="6">
        <f t="shared" si="137"/>
        <v>7669</v>
      </c>
      <c r="U7670" s="4" t="s">
        <v>194</v>
      </c>
    </row>
    <row r="7671" spans="19:21" x14ac:dyDescent="0.25">
      <c r="S7671" s="6" t="s">
        <v>302</v>
      </c>
      <c r="T7671" s="6">
        <f t="shared" si="137"/>
        <v>7670</v>
      </c>
      <c r="U7671" s="4" t="s">
        <v>194</v>
      </c>
    </row>
    <row r="7672" spans="19:21" x14ac:dyDescent="0.25">
      <c r="S7672" s="6" t="s">
        <v>302</v>
      </c>
      <c r="T7672" s="6">
        <f t="shared" si="137"/>
        <v>7671</v>
      </c>
      <c r="U7672" s="4" t="s">
        <v>194</v>
      </c>
    </row>
    <row r="7673" spans="19:21" x14ac:dyDescent="0.25">
      <c r="S7673" s="6" t="s">
        <v>302</v>
      </c>
      <c r="T7673" s="6">
        <f t="shared" si="137"/>
        <v>7672</v>
      </c>
      <c r="U7673" s="4" t="s">
        <v>194</v>
      </c>
    </row>
    <row r="7674" spans="19:21" x14ac:dyDescent="0.25">
      <c r="S7674" s="6" t="s">
        <v>302</v>
      </c>
      <c r="T7674" s="6">
        <f t="shared" si="137"/>
        <v>7673</v>
      </c>
      <c r="U7674" s="4" t="s">
        <v>194</v>
      </c>
    </row>
    <row r="7675" spans="19:21" x14ac:dyDescent="0.25">
      <c r="S7675" s="6" t="s">
        <v>302</v>
      </c>
      <c r="T7675" s="6">
        <f t="shared" si="137"/>
        <v>7674</v>
      </c>
      <c r="U7675" s="4" t="s">
        <v>194</v>
      </c>
    </row>
    <row r="7676" spans="19:21" x14ac:dyDescent="0.25">
      <c r="S7676" s="6" t="s">
        <v>302</v>
      </c>
      <c r="T7676" s="6">
        <f t="shared" si="137"/>
        <v>7675</v>
      </c>
      <c r="U7676" s="4" t="s">
        <v>194</v>
      </c>
    </row>
    <row r="7677" spans="19:21" x14ac:dyDescent="0.25">
      <c r="S7677" s="6" t="s">
        <v>302</v>
      </c>
      <c r="T7677" s="6">
        <f t="shared" si="137"/>
        <v>7676</v>
      </c>
      <c r="U7677" s="4" t="s">
        <v>194</v>
      </c>
    </row>
    <row r="7678" spans="19:21" x14ac:dyDescent="0.25">
      <c r="S7678" s="6" t="s">
        <v>302</v>
      </c>
      <c r="T7678" s="6">
        <f t="shared" si="137"/>
        <v>7677</v>
      </c>
      <c r="U7678" s="4" t="s">
        <v>194</v>
      </c>
    </row>
    <row r="7679" spans="19:21" x14ac:dyDescent="0.25">
      <c r="S7679" s="6" t="s">
        <v>302</v>
      </c>
      <c r="T7679" s="6">
        <f t="shared" si="137"/>
        <v>7678</v>
      </c>
      <c r="U7679" s="4" t="s">
        <v>194</v>
      </c>
    </row>
    <row r="7680" spans="19:21" x14ac:dyDescent="0.25">
      <c r="S7680" s="6" t="s">
        <v>302</v>
      </c>
      <c r="T7680" s="6">
        <f t="shared" si="137"/>
        <v>7679</v>
      </c>
      <c r="U7680" s="4" t="s">
        <v>194</v>
      </c>
    </row>
    <row r="7681" spans="19:21" x14ac:dyDescent="0.25">
      <c r="S7681" s="6" t="s">
        <v>302</v>
      </c>
      <c r="T7681" s="6">
        <f t="shared" si="137"/>
        <v>7680</v>
      </c>
      <c r="U7681" s="4" t="s">
        <v>194</v>
      </c>
    </row>
    <row r="7682" spans="19:21" x14ac:dyDescent="0.25">
      <c r="S7682" s="6" t="s">
        <v>302</v>
      </c>
      <c r="T7682" s="6">
        <f t="shared" si="137"/>
        <v>7681</v>
      </c>
      <c r="U7682" s="4" t="s">
        <v>194</v>
      </c>
    </row>
    <row r="7683" spans="19:21" x14ac:dyDescent="0.25">
      <c r="S7683" s="6" t="s">
        <v>302</v>
      </c>
      <c r="T7683" s="6">
        <f t="shared" si="137"/>
        <v>7682</v>
      </c>
      <c r="U7683" s="4" t="s">
        <v>194</v>
      </c>
    </row>
    <row r="7684" spans="19:21" x14ac:dyDescent="0.25">
      <c r="S7684" s="6" t="s">
        <v>302</v>
      </c>
      <c r="T7684" s="6">
        <f t="shared" si="137"/>
        <v>7683</v>
      </c>
      <c r="U7684" s="4" t="s">
        <v>194</v>
      </c>
    </row>
    <row r="7685" spans="19:21" x14ac:dyDescent="0.25">
      <c r="S7685" s="6" t="s">
        <v>302</v>
      </c>
      <c r="T7685" s="6">
        <f t="shared" si="137"/>
        <v>7684</v>
      </c>
      <c r="U7685" s="4" t="s">
        <v>194</v>
      </c>
    </row>
    <row r="7686" spans="19:21" x14ac:dyDescent="0.25">
      <c r="S7686" s="6" t="s">
        <v>302</v>
      </c>
      <c r="T7686" s="6">
        <f t="shared" si="137"/>
        <v>7685</v>
      </c>
      <c r="U7686" s="4" t="s">
        <v>194</v>
      </c>
    </row>
    <row r="7687" spans="19:21" x14ac:dyDescent="0.25">
      <c r="S7687" s="6" t="s">
        <v>302</v>
      </c>
      <c r="T7687" s="6">
        <f t="shared" si="137"/>
        <v>7686</v>
      </c>
      <c r="U7687" s="4" t="s">
        <v>194</v>
      </c>
    </row>
    <row r="7688" spans="19:21" x14ac:dyDescent="0.25">
      <c r="S7688" s="6" t="s">
        <v>302</v>
      </c>
      <c r="T7688" s="6">
        <f t="shared" si="137"/>
        <v>7687</v>
      </c>
      <c r="U7688" s="4" t="s">
        <v>194</v>
      </c>
    </row>
    <row r="7689" spans="19:21" x14ac:dyDescent="0.25">
      <c r="S7689" s="6" t="s">
        <v>302</v>
      </c>
      <c r="T7689" s="6">
        <f t="shared" si="137"/>
        <v>7688</v>
      </c>
      <c r="U7689" s="4" t="s">
        <v>194</v>
      </c>
    </row>
    <row r="7690" spans="19:21" x14ac:dyDescent="0.25">
      <c r="S7690" s="6" t="s">
        <v>302</v>
      </c>
      <c r="T7690" s="6">
        <f t="shared" si="137"/>
        <v>7689</v>
      </c>
      <c r="U7690" s="4" t="s">
        <v>194</v>
      </c>
    </row>
    <row r="7691" spans="19:21" x14ac:dyDescent="0.25">
      <c r="S7691" s="6" t="s">
        <v>302</v>
      </c>
      <c r="T7691" s="6">
        <f t="shared" si="137"/>
        <v>7690</v>
      </c>
      <c r="U7691" s="4" t="s">
        <v>194</v>
      </c>
    </row>
    <row r="7692" spans="19:21" x14ac:dyDescent="0.25">
      <c r="S7692" s="6" t="s">
        <v>302</v>
      </c>
      <c r="T7692" s="6">
        <f t="shared" si="137"/>
        <v>7691</v>
      </c>
      <c r="U7692" s="4" t="s">
        <v>194</v>
      </c>
    </row>
    <row r="7693" spans="19:21" x14ac:dyDescent="0.25">
      <c r="S7693" s="6" t="s">
        <v>302</v>
      </c>
      <c r="T7693" s="6">
        <f t="shared" si="137"/>
        <v>7692</v>
      </c>
      <c r="U7693" s="4" t="s">
        <v>194</v>
      </c>
    </row>
    <row r="7694" spans="19:21" x14ac:dyDescent="0.25">
      <c r="S7694" s="6" t="s">
        <v>302</v>
      </c>
      <c r="T7694" s="6">
        <f t="shared" si="137"/>
        <v>7693</v>
      </c>
      <c r="U7694" s="4" t="s">
        <v>194</v>
      </c>
    </row>
    <row r="7695" spans="19:21" x14ac:dyDescent="0.25">
      <c r="S7695" s="6" t="s">
        <v>302</v>
      </c>
      <c r="T7695" s="6">
        <f t="shared" si="137"/>
        <v>7694</v>
      </c>
      <c r="U7695" s="4" t="s">
        <v>194</v>
      </c>
    </row>
    <row r="7696" spans="19:21" x14ac:dyDescent="0.25">
      <c r="S7696" s="6" t="s">
        <v>302</v>
      </c>
      <c r="T7696" s="6">
        <f t="shared" si="137"/>
        <v>7695</v>
      </c>
      <c r="U7696" s="4" t="s">
        <v>194</v>
      </c>
    </row>
    <row r="7697" spans="19:21" x14ac:dyDescent="0.25">
      <c r="S7697" s="6" t="s">
        <v>302</v>
      </c>
      <c r="T7697" s="6">
        <f t="shared" si="137"/>
        <v>7696</v>
      </c>
      <c r="U7697" s="4" t="s">
        <v>194</v>
      </c>
    </row>
    <row r="7698" spans="19:21" x14ac:dyDescent="0.25">
      <c r="S7698" s="6" t="s">
        <v>302</v>
      </c>
      <c r="T7698" s="6">
        <f t="shared" si="137"/>
        <v>7697</v>
      </c>
      <c r="U7698" s="4" t="s">
        <v>194</v>
      </c>
    </row>
    <row r="7699" spans="19:21" x14ac:dyDescent="0.25">
      <c r="S7699" s="6" t="s">
        <v>302</v>
      </c>
      <c r="T7699" s="6">
        <f t="shared" si="137"/>
        <v>7698</v>
      </c>
      <c r="U7699" s="4" t="s">
        <v>194</v>
      </c>
    </row>
    <row r="7700" spans="19:21" x14ac:dyDescent="0.25">
      <c r="S7700" s="6" t="s">
        <v>302</v>
      </c>
      <c r="T7700" s="6">
        <f t="shared" si="137"/>
        <v>7699</v>
      </c>
      <c r="U7700" s="4" t="s">
        <v>194</v>
      </c>
    </row>
    <row r="7701" spans="19:21" x14ac:dyDescent="0.25">
      <c r="S7701" s="6" t="s">
        <v>302</v>
      </c>
      <c r="T7701" s="6">
        <f t="shared" si="137"/>
        <v>7700</v>
      </c>
      <c r="U7701" s="4" t="s">
        <v>194</v>
      </c>
    </row>
    <row r="7702" spans="19:21" x14ac:dyDescent="0.25">
      <c r="S7702" s="6" t="s">
        <v>302</v>
      </c>
      <c r="T7702" s="6">
        <f t="shared" si="137"/>
        <v>7701</v>
      </c>
      <c r="U7702" s="4" t="s">
        <v>194</v>
      </c>
    </row>
    <row r="7703" spans="19:21" x14ac:dyDescent="0.25">
      <c r="S7703" s="6" t="s">
        <v>302</v>
      </c>
      <c r="T7703" s="6">
        <f t="shared" si="137"/>
        <v>7702</v>
      </c>
      <c r="U7703" s="4" t="s">
        <v>194</v>
      </c>
    </row>
    <row r="7704" spans="19:21" x14ac:dyDescent="0.25">
      <c r="S7704" s="6" t="s">
        <v>302</v>
      </c>
      <c r="T7704" s="6">
        <f t="shared" si="137"/>
        <v>7703</v>
      </c>
      <c r="U7704" s="4" t="s">
        <v>194</v>
      </c>
    </row>
    <row r="7705" spans="19:21" x14ac:dyDescent="0.25">
      <c r="S7705" s="6" t="s">
        <v>302</v>
      </c>
      <c r="T7705" s="6">
        <f t="shared" si="137"/>
        <v>7704</v>
      </c>
      <c r="U7705" s="4" t="s">
        <v>194</v>
      </c>
    </row>
    <row r="7706" spans="19:21" x14ac:dyDescent="0.25">
      <c r="S7706" s="6" t="s">
        <v>302</v>
      </c>
      <c r="T7706" s="6">
        <f t="shared" si="137"/>
        <v>7705</v>
      </c>
      <c r="U7706" s="4" t="s">
        <v>194</v>
      </c>
    </row>
    <row r="7707" spans="19:21" x14ac:dyDescent="0.25">
      <c r="S7707" s="6" t="s">
        <v>302</v>
      </c>
      <c r="T7707" s="6">
        <f t="shared" si="137"/>
        <v>7706</v>
      </c>
      <c r="U7707" s="4" t="s">
        <v>194</v>
      </c>
    </row>
    <row r="7708" spans="19:21" x14ac:dyDescent="0.25">
      <c r="S7708" s="6" t="s">
        <v>302</v>
      </c>
      <c r="T7708" s="6">
        <f t="shared" si="137"/>
        <v>7707</v>
      </c>
      <c r="U7708" s="4" t="s">
        <v>194</v>
      </c>
    </row>
    <row r="7709" spans="19:21" x14ac:dyDescent="0.25">
      <c r="S7709" s="6" t="s">
        <v>302</v>
      </c>
      <c r="T7709" s="6">
        <f t="shared" si="137"/>
        <v>7708</v>
      </c>
      <c r="U7709" s="4" t="s">
        <v>194</v>
      </c>
    </row>
    <row r="7710" spans="19:21" x14ac:dyDescent="0.25">
      <c r="S7710" s="6" t="s">
        <v>302</v>
      </c>
      <c r="T7710" s="6">
        <f t="shared" ref="T7710:T7773" si="138">T7709+1</f>
        <v>7709</v>
      </c>
      <c r="U7710" s="4" t="s">
        <v>194</v>
      </c>
    </row>
    <row r="7711" spans="19:21" x14ac:dyDescent="0.25">
      <c r="S7711" s="6" t="s">
        <v>302</v>
      </c>
      <c r="T7711" s="6">
        <f t="shared" si="138"/>
        <v>7710</v>
      </c>
      <c r="U7711" s="4" t="s">
        <v>194</v>
      </c>
    </row>
    <row r="7712" spans="19:21" x14ac:dyDescent="0.25">
      <c r="S7712" s="6" t="s">
        <v>302</v>
      </c>
      <c r="T7712" s="6">
        <f t="shared" si="138"/>
        <v>7711</v>
      </c>
      <c r="U7712" s="4" t="s">
        <v>194</v>
      </c>
    </row>
    <row r="7713" spans="19:21" x14ac:dyDescent="0.25">
      <c r="S7713" s="6" t="s">
        <v>302</v>
      </c>
      <c r="T7713" s="6">
        <f t="shared" si="138"/>
        <v>7712</v>
      </c>
      <c r="U7713" s="4" t="s">
        <v>194</v>
      </c>
    </row>
    <row r="7714" spans="19:21" x14ac:dyDescent="0.25">
      <c r="S7714" s="6" t="s">
        <v>302</v>
      </c>
      <c r="T7714" s="6">
        <f t="shared" si="138"/>
        <v>7713</v>
      </c>
      <c r="U7714" s="4" t="s">
        <v>194</v>
      </c>
    </row>
    <row r="7715" spans="19:21" x14ac:dyDescent="0.25">
      <c r="S7715" s="6" t="s">
        <v>302</v>
      </c>
      <c r="T7715" s="6">
        <f t="shared" si="138"/>
        <v>7714</v>
      </c>
      <c r="U7715" s="4" t="s">
        <v>194</v>
      </c>
    </row>
    <row r="7716" spans="19:21" x14ac:dyDescent="0.25">
      <c r="S7716" s="6" t="s">
        <v>302</v>
      </c>
      <c r="T7716" s="6">
        <f t="shared" si="138"/>
        <v>7715</v>
      </c>
      <c r="U7716" s="4" t="s">
        <v>194</v>
      </c>
    </row>
    <row r="7717" spans="19:21" x14ac:dyDescent="0.25">
      <c r="S7717" s="6" t="s">
        <v>302</v>
      </c>
      <c r="T7717" s="6">
        <f t="shared" si="138"/>
        <v>7716</v>
      </c>
      <c r="U7717" s="4" t="s">
        <v>194</v>
      </c>
    </row>
    <row r="7718" spans="19:21" x14ac:dyDescent="0.25">
      <c r="S7718" s="6" t="s">
        <v>302</v>
      </c>
      <c r="T7718" s="6">
        <f t="shared" si="138"/>
        <v>7717</v>
      </c>
      <c r="U7718" s="4" t="s">
        <v>194</v>
      </c>
    </row>
    <row r="7719" spans="19:21" x14ac:dyDescent="0.25">
      <c r="S7719" s="6" t="s">
        <v>302</v>
      </c>
      <c r="T7719" s="6">
        <f t="shared" si="138"/>
        <v>7718</v>
      </c>
      <c r="U7719" s="4" t="s">
        <v>194</v>
      </c>
    </row>
    <row r="7720" spans="19:21" x14ac:dyDescent="0.25">
      <c r="S7720" s="6" t="s">
        <v>302</v>
      </c>
      <c r="T7720" s="6">
        <f t="shared" si="138"/>
        <v>7719</v>
      </c>
      <c r="U7720" s="4" t="s">
        <v>194</v>
      </c>
    </row>
    <row r="7721" spans="19:21" x14ac:dyDescent="0.25">
      <c r="S7721" s="6" t="s">
        <v>302</v>
      </c>
      <c r="T7721" s="6">
        <f t="shared" si="138"/>
        <v>7720</v>
      </c>
      <c r="U7721" s="4" t="s">
        <v>194</v>
      </c>
    </row>
    <row r="7722" spans="19:21" x14ac:dyDescent="0.25">
      <c r="S7722" s="6" t="s">
        <v>302</v>
      </c>
      <c r="T7722" s="6">
        <f t="shared" si="138"/>
        <v>7721</v>
      </c>
      <c r="U7722" s="4" t="s">
        <v>194</v>
      </c>
    </row>
    <row r="7723" spans="19:21" x14ac:dyDescent="0.25">
      <c r="S7723" s="6" t="s">
        <v>302</v>
      </c>
      <c r="T7723" s="6">
        <f t="shared" si="138"/>
        <v>7722</v>
      </c>
      <c r="U7723" s="4" t="s">
        <v>194</v>
      </c>
    </row>
    <row r="7724" spans="19:21" x14ac:dyDescent="0.25">
      <c r="S7724" s="6" t="s">
        <v>302</v>
      </c>
      <c r="T7724" s="6">
        <f t="shared" si="138"/>
        <v>7723</v>
      </c>
      <c r="U7724" s="4" t="s">
        <v>194</v>
      </c>
    </row>
    <row r="7725" spans="19:21" x14ac:dyDescent="0.25">
      <c r="S7725" s="6" t="s">
        <v>302</v>
      </c>
      <c r="T7725" s="6">
        <f t="shared" si="138"/>
        <v>7724</v>
      </c>
      <c r="U7725" s="4" t="s">
        <v>194</v>
      </c>
    </row>
    <row r="7726" spans="19:21" x14ac:dyDescent="0.25">
      <c r="S7726" s="6" t="s">
        <v>302</v>
      </c>
      <c r="T7726" s="6">
        <f t="shared" si="138"/>
        <v>7725</v>
      </c>
      <c r="U7726" s="4" t="s">
        <v>194</v>
      </c>
    </row>
    <row r="7727" spans="19:21" x14ac:dyDescent="0.25">
      <c r="S7727" s="6" t="s">
        <v>302</v>
      </c>
      <c r="T7727" s="6">
        <f t="shared" si="138"/>
        <v>7726</v>
      </c>
      <c r="U7727" s="4" t="s">
        <v>194</v>
      </c>
    </row>
    <row r="7728" spans="19:21" x14ac:dyDescent="0.25">
      <c r="S7728" s="6" t="s">
        <v>302</v>
      </c>
      <c r="T7728" s="6">
        <f t="shared" si="138"/>
        <v>7727</v>
      </c>
      <c r="U7728" s="4" t="s">
        <v>194</v>
      </c>
    </row>
    <row r="7729" spans="19:21" x14ac:dyDescent="0.25">
      <c r="S7729" s="6" t="s">
        <v>302</v>
      </c>
      <c r="T7729" s="6">
        <f t="shared" si="138"/>
        <v>7728</v>
      </c>
      <c r="U7729" s="4" t="s">
        <v>194</v>
      </c>
    </row>
    <row r="7730" spans="19:21" x14ac:dyDescent="0.25">
      <c r="S7730" s="6" t="s">
        <v>302</v>
      </c>
      <c r="T7730" s="6">
        <f t="shared" si="138"/>
        <v>7729</v>
      </c>
      <c r="U7730" s="4" t="s">
        <v>194</v>
      </c>
    </row>
    <row r="7731" spans="19:21" x14ac:dyDescent="0.25">
      <c r="S7731" s="6" t="s">
        <v>302</v>
      </c>
      <c r="T7731" s="6">
        <f t="shared" si="138"/>
        <v>7730</v>
      </c>
      <c r="U7731" s="4" t="s">
        <v>194</v>
      </c>
    </row>
    <row r="7732" spans="19:21" x14ac:dyDescent="0.25">
      <c r="S7732" s="6" t="s">
        <v>302</v>
      </c>
      <c r="T7732" s="6">
        <f t="shared" si="138"/>
        <v>7731</v>
      </c>
      <c r="U7732" s="4" t="s">
        <v>194</v>
      </c>
    </row>
    <row r="7733" spans="19:21" x14ac:dyDescent="0.25">
      <c r="S7733" s="6" t="s">
        <v>302</v>
      </c>
      <c r="T7733" s="6">
        <f t="shared" si="138"/>
        <v>7732</v>
      </c>
      <c r="U7733" s="4" t="s">
        <v>194</v>
      </c>
    </row>
    <row r="7734" spans="19:21" x14ac:dyDescent="0.25">
      <c r="S7734" s="6" t="s">
        <v>302</v>
      </c>
      <c r="T7734" s="6">
        <f t="shared" si="138"/>
        <v>7733</v>
      </c>
      <c r="U7734" s="4" t="s">
        <v>194</v>
      </c>
    </row>
    <row r="7735" spans="19:21" x14ac:dyDescent="0.25">
      <c r="S7735" s="6" t="s">
        <v>302</v>
      </c>
      <c r="T7735" s="6">
        <f t="shared" si="138"/>
        <v>7734</v>
      </c>
      <c r="U7735" s="4" t="s">
        <v>194</v>
      </c>
    </row>
    <row r="7736" spans="19:21" x14ac:dyDescent="0.25">
      <c r="S7736" s="6" t="s">
        <v>302</v>
      </c>
      <c r="T7736" s="6">
        <f t="shared" si="138"/>
        <v>7735</v>
      </c>
      <c r="U7736" s="4" t="s">
        <v>194</v>
      </c>
    </row>
    <row r="7737" spans="19:21" x14ac:dyDescent="0.25">
      <c r="S7737" s="6" t="s">
        <v>302</v>
      </c>
      <c r="T7737" s="6">
        <f t="shared" si="138"/>
        <v>7736</v>
      </c>
      <c r="U7737" s="4" t="s">
        <v>194</v>
      </c>
    </row>
    <row r="7738" spans="19:21" x14ac:dyDescent="0.25">
      <c r="S7738" s="6" t="s">
        <v>302</v>
      </c>
      <c r="T7738" s="6">
        <f t="shared" si="138"/>
        <v>7737</v>
      </c>
      <c r="U7738" s="4" t="s">
        <v>194</v>
      </c>
    </row>
    <row r="7739" spans="19:21" x14ac:dyDescent="0.25">
      <c r="S7739" s="6" t="s">
        <v>302</v>
      </c>
      <c r="T7739" s="6">
        <f t="shared" si="138"/>
        <v>7738</v>
      </c>
      <c r="U7739" s="4" t="s">
        <v>194</v>
      </c>
    </row>
    <row r="7740" spans="19:21" x14ac:dyDescent="0.25">
      <c r="S7740" s="6" t="s">
        <v>302</v>
      </c>
      <c r="T7740" s="6">
        <f t="shared" si="138"/>
        <v>7739</v>
      </c>
      <c r="U7740" s="4" t="s">
        <v>194</v>
      </c>
    </row>
    <row r="7741" spans="19:21" x14ac:dyDescent="0.25">
      <c r="S7741" s="6" t="s">
        <v>302</v>
      </c>
      <c r="T7741" s="6">
        <f t="shared" si="138"/>
        <v>7740</v>
      </c>
      <c r="U7741" s="4" t="s">
        <v>194</v>
      </c>
    </row>
    <row r="7742" spans="19:21" x14ac:dyDescent="0.25">
      <c r="S7742" s="6" t="s">
        <v>302</v>
      </c>
      <c r="T7742" s="6">
        <f t="shared" si="138"/>
        <v>7741</v>
      </c>
      <c r="U7742" s="4" t="s">
        <v>194</v>
      </c>
    </row>
    <row r="7743" spans="19:21" x14ac:dyDescent="0.25">
      <c r="S7743" s="6" t="s">
        <v>302</v>
      </c>
      <c r="T7743" s="6">
        <f t="shared" si="138"/>
        <v>7742</v>
      </c>
      <c r="U7743" s="4" t="s">
        <v>194</v>
      </c>
    </row>
    <row r="7744" spans="19:21" x14ac:dyDescent="0.25">
      <c r="S7744" s="6" t="s">
        <v>302</v>
      </c>
      <c r="T7744" s="6">
        <f t="shared" si="138"/>
        <v>7743</v>
      </c>
      <c r="U7744" s="4" t="s">
        <v>194</v>
      </c>
    </row>
    <row r="7745" spans="19:21" x14ac:dyDescent="0.25">
      <c r="S7745" s="6" t="s">
        <v>302</v>
      </c>
      <c r="T7745" s="6">
        <f t="shared" si="138"/>
        <v>7744</v>
      </c>
      <c r="U7745" s="4" t="s">
        <v>194</v>
      </c>
    </row>
    <row r="7746" spans="19:21" x14ac:dyDescent="0.25">
      <c r="S7746" s="6" t="s">
        <v>302</v>
      </c>
      <c r="T7746" s="6">
        <f t="shared" si="138"/>
        <v>7745</v>
      </c>
      <c r="U7746" s="4" t="s">
        <v>194</v>
      </c>
    </row>
    <row r="7747" spans="19:21" x14ac:dyDescent="0.25">
      <c r="S7747" s="6" t="s">
        <v>302</v>
      </c>
      <c r="T7747" s="6">
        <f t="shared" si="138"/>
        <v>7746</v>
      </c>
      <c r="U7747" s="4" t="s">
        <v>194</v>
      </c>
    </row>
    <row r="7748" spans="19:21" x14ac:dyDescent="0.25">
      <c r="S7748" s="6" t="s">
        <v>302</v>
      </c>
      <c r="T7748" s="6">
        <f t="shared" si="138"/>
        <v>7747</v>
      </c>
      <c r="U7748" s="4" t="s">
        <v>194</v>
      </c>
    </row>
    <row r="7749" spans="19:21" x14ac:dyDescent="0.25">
      <c r="S7749" s="6" t="s">
        <v>302</v>
      </c>
      <c r="T7749" s="6">
        <f t="shared" si="138"/>
        <v>7748</v>
      </c>
      <c r="U7749" s="4" t="s">
        <v>194</v>
      </c>
    </row>
    <row r="7750" spans="19:21" x14ac:dyDescent="0.25">
      <c r="S7750" s="6" t="s">
        <v>302</v>
      </c>
      <c r="T7750" s="6">
        <f t="shared" si="138"/>
        <v>7749</v>
      </c>
      <c r="U7750" s="4" t="s">
        <v>194</v>
      </c>
    </row>
    <row r="7751" spans="19:21" x14ac:dyDescent="0.25">
      <c r="S7751" s="6" t="s">
        <v>302</v>
      </c>
      <c r="T7751" s="6">
        <f t="shared" si="138"/>
        <v>7750</v>
      </c>
      <c r="U7751" s="4" t="s">
        <v>194</v>
      </c>
    </row>
    <row r="7752" spans="19:21" x14ac:dyDescent="0.25">
      <c r="S7752" s="6" t="s">
        <v>302</v>
      </c>
      <c r="T7752" s="6">
        <f t="shared" si="138"/>
        <v>7751</v>
      </c>
      <c r="U7752" s="4" t="s">
        <v>194</v>
      </c>
    </row>
    <row r="7753" spans="19:21" x14ac:dyDescent="0.25">
      <c r="S7753" s="6" t="s">
        <v>302</v>
      </c>
      <c r="T7753" s="6">
        <f t="shared" si="138"/>
        <v>7752</v>
      </c>
      <c r="U7753" s="4" t="s">
        <v>194</v>
      </c>
    </row>
    <row r="7754" spans="19:21" x14ac:dyDescent="0.25">
      <c r="S7754" s="6" t="s">
        <v>302</v>
      </c>
      <c r="T7754" s="6">
        <f t="shared" si="138"/>
        <v>7753</v>
      </c>
      <c r="U7754" s="4" t="s">
        <v>194</v>
      </c>
    </row>
    <row r="7755" spans="19:21" x14ac:dyDescent="0.25">
      <c r="S7755" s="6" t="s">
        <v>302</v>
      </c>
      <c r="T7755" s="6">
        <f t="shared" si="138"/>
        <v>7754</v>
      </c>
      <c r="U7755" s="4" t="s">
        <v>194</v>
      </c>
    </row>
    <row r="7756" spans="19:21" x14ac:dyDescent="0.25">
      <c r="S7756" s="6" t="s">
        <v>302</v>
      </c>
      <c r="T7756" s="6">
        <f t="shared" si="138"/>
        <v>7755</v>
      </c>
      <c r="U7756" s="4" t="s">
        <v>194</v>
      </c>
    </row>
    <row r="7757" spans="19:21" x14ac:dyDescent="0.25">
      <c r="S7757" s="6" t="s">
        <v>302</v>
      </c>
      <c r="T7757" s="6">
        <f t="shared" si="138"/>
        <v>7756</v>
      </c>
      <c r="U7757" s="4" t="s">
        <v>194</v>
      </c>
    </row>
    <row r="7758" spans="19:21" x14ac:dyDescent="0.25">
      <c r="S7758" s="6" t="s">
        <v>302</v>
      </c>
      <c r="T7758" s="6">
        <f t="shared" si="138"/>
        <v>7757</v>
      </c>
      <c r="U7758" s="4" t="s">
        <v>194</v>
      </c>
    </row>
    <row r="7759" spans="19:21" x14ac:dyDescent="0.25">
      <c r="S7759" s="6" t="s">
        <v>302</v>
      </c>
      <c r="T7759" s="6">
        <f t="shared" si="138"/>
        <v>7758</v>
      </c>
      <c r="U7759" s="4" t="s">
        <v>194</v>
      </c>
    </row>
    <row r="7760" spans="19:21" x14ac:dyDescent="0.25">
      <c r="S7760" s="6" t="s">
        <v>302</v>
      </c>
      <c r="T7760" s="6">
        <f t="shared" si="138"/>
        <v>7759</v>
      </c>
      <c r="U7760" s="4" t="s">
        <v>194</v>
      </c>
    </row>
    <row r="7761" spans="19:21" x14ac:dyDescent="0.25">
      <c r="S7761" s="6" t="s">
        <v>302</v>
      </c>
      <c r="T7761" s="6">
        <f t="shared" si="138"/>
        <v>7760</v>
      </c>
      <c r="U7761" s="4" t="s">
        <v>194</v>
      </c>
    </row>
    <row r="7762" spans="19:21" x14ac:dyDescent="0.25">
      <c r="S7762" s="6" t="s">
        <v>302</v>
      </c>
      <c r="T7762" s="6">
        <f t="shared" si="138"/>
        <v>7761</v>
      </c>
      <c r="U7762" s="4" t="s">
        <v>194</v>
      </c>
    </row>
    <row r="7763" spans="19:21" x14ac:dyDescent="0.25">
      <c r="S7763" s="6" t="s">
        <v>302</v>
      </c>
      <c r="T7763" s="6">
        <f t="shared" si="138"/>
        <v>7762</v>
      </c>
      <c r="U7763" s="4" t="s">
        <v>194</v>
      </c>
    </row>
    <row r="7764" spans="19:21" x14ac:dyDescent="0.25">
      <c r="S7764" s="6" t="s">
        <v>302</v>
      </c>
      <c r="T7764" s="6">
        <f t="shared" si="138"/>
        <v>7763</v>
      </c>
      <c r="U7764" s="4" t="s">
        <v>194</v>
      </c>
    </row>
    <row r="7765" spans="19:21" x14ac:dyDescent="0.25">
      <c r="S7765" s="6" t="s">
        <v>302</v>
      </c>
      <c r="T7765" s="6">
        <f t="shared" si="138"/>
        <v>7764</v>
      </c>
      <c r="U7765" s="4" t="s">
        <v>194</v>
      </c>
    </row>
    <row r="7766" spans="19:21" x14ac:dyDescent="0.25">
      <c r="S7766" s="6" t="s">
        <v>302</v>
      </c>
      <c r="T7766" s="6">
        <f t="shared" si="138"/>
        <v>7765</v>
      </c>
      <c r="U7766" s="4" t="s">
        <v>194</v>
      </c>
    </row>
    <row r="7767" spans="19:21" x14ac:dyDescent="0.25">
      <c r="S7767" s="6" t="s">
        <v>302</v>
      </c>
      <c r="T7767" s="6">
        <f t="shared" si="138"/>
        <v>7766</v>
      </c>
      <c r="U7767" s="4" t="s">
        <v>194</v>
      </c>
    </row>
    <row r="7768" spans="19:21" x14ac:dyDescent="0.25">
      <c r="S7768" s="6" t="s">
        <v>302</v>
      </c>
      <c r="T7768" s="6">
        <f t="shared" si="138"/>
        <v>7767</v>
      </c>
      <c r="U7768" s="4" t="s">
        <v>194</v>
      </c>
    </row>
    <row r="7769" spans="19:21" x14ac:dyDescent="0.25">
      <c r="S7769" s="6" t="s">
        <v>302</v>
      </c>
      <c r="T7769" s="6">
        <f t="shared" si="138"/>
        <v>7768</v>
      </c>
      <c r="U7769" s="4" t="s">
        <v>194</v>
      </c>
    </row>
    <row r="7770" spans="19:21" x14ac:dyDescent="0.25">
      <c r="S7770" s="6" t="s">
        <v>302</v>
      </c>
      <c r="T7770" s="6">
        <f t="shared" si="138"/>
        <v>7769</v>
      </c>
      <c r="U7770" s="4" t="s">
        <v>194</v>
      </c>
    </row>
    <row r="7771" spans="19:21" x14ac:dyDescent="0.25">
      <c r="S7771" s="6" t="s">
        <v>302</v>
      </c>
      <c r="T7771" s="6">
        <f t="shared" si="138"/>
        <v>7770</v>
      </c>
      <c r="U7771" s="4" t="s">
        <v>194</v>
      </c>
    </row>
    <row r="7772" spans="19:21" x14ac:dyDescent="0.25">
      <c r="S7772" s="6" t="s">
        <v>302</v>
      </c>
      <c r="T7772" s="6">
        <f t="shared" si="138"/>
        <v>7771</v>
      </c>
      <c r="U7772" s="4" t="s">
        <v>194</v>
      </c>
    </row>
    <row r="7773" spans="19:21" x14ac:dyDescent="0.25">
      <c r="S7773" s="6" t="s">
        <v>302</v>
      </c>
      <c r="T7773" s="6">
        <f t="shared" si="138"/>
        <v>7772</v>
      </c>
      <c r="U7773" s="4" t="s">
        <v>194</v>
      </c>
    </row>
    <row r="7774" spans="19:21" x14ac:dyDescent="0.25">
      <c r="S7774" s="6" t="s">
        <v>302</v>
      </c>
      <c r="T7774" s="6">
        <f t="shared" ref="T7774:T7837" si="139">T7773+1</f>
        <v>7773</v>
      </c>
      <c r="U7774" s="4" t="s">
        <v>194</v>
      </c>
    </row>
    <row r="7775" spans="19:21" x14ac:dyDescent="0.25">
      <c r="S7775" s="6" t="s">
        <v>302</v>
      </c>
      <c r="T7775" s="6">
        <f t="shared" si="139"/>
        <v>7774</v>
      </c>
      <c r="U7775" s="4" t="s">
        <v>194</v>
      </c>
    </row>
    <row r="7776" spans="19:21" x14ac:dyDescent="0.25">
      <c r="S7776" s="6" t="s">
        <v>302</v>
      </c>
      <c r="T7776" s="6">
        <f t="shared" si="139"/>
        <v>7775</v>
      </c>
      <c r="U7776" s="4" t="s">
        <v>194</v>
      </c>
    </row>
    <row r="7777" spans="19:21" x14ac:dyDescent="0.25">
      <c r="S7777" s="6" t="s">
        <v>302</v>
      </c>
      <c r="T7777" s="6">
        <f t="shared" si="139"/>
        <v>7776</v>
      </c>
      <c r="U7777" s="4" t="s">
        <v>194</v>
      </c>
    </row>
    <row r="7778" spans="19:21" x14ac:dyDescent="0.25">
      <c r="S7778" s="6" t="s">
        <v>302</v>
      </c>
      <c r="T7778" s="6">
        <f t="shared" si="139"/>
        <v>7777</v>
      </c>
      <c r="U7778" s="4" t="s">
        <v>194</v>
      </c>
    </row>
    <row r="7779" spans="19:21" x14ac:dyDescent="0.25">
      <c r="S7779" s="6" t="s">
        <v>302</v>
      </c>
      <c r="T7779" s="6">
        <f t="shared" si="139"/>
        <v>7778</v>
      </c>
      <c r="U7779" s="4" t="s">
        <v>194</v>
      </c>
    </row>
    <row r="7780" spans="19:21" x14ac:dyDescent="0.25">
      <c r="S7780" s="6" t="s">
        <v>302</v>
      </c>
      <c r="T7780" s="6">
        <f t="shared" si="139"/>
        <v>7779</v>
      </c>
      <c r="U7780" s="4" t="s">
        <v>194</v>
      </c>
    </row>
    <row r="7781" spans="19:21" x14ac:dyDescent="0.25">
      <c r="S7781" s="6" t="s">
        <v>302</v>
      </c>
      <c r="T7781" s="6">
        <f t="shared" si="139"/>
        <v>7780</v>
      </c>
      <c r="U7781" s="4" t="s">
        <v>194</v>
      </c>
    </row>
    <row r="7782" spans="19:21" x14ac:dyDescent="0.25">
      <c r="S7782" s="6" t="s">
        <v>302</v>
      </c>
      <c r="T7782" s="6">
        <f t="shared" si="139"/>
        <v>7781</v>
      </c>
      <c r="U7782" s="4" t="s">
        <v>194</v>
      </c>
    </row>
    <row r="7783" spans="19:21" x14ac:dyDescent="0.25">
      <c r="S7783" s="6" t="s">
        <v>302</v>
      </c>
      <c r="T7783" s="6">
        <f t="shared" si="139"/>
        <v>7782</v>
      </c>
      <c r="U7783" s="4" t="s">
        <v>194</v>
      </c>
    </row>
    <row r="7784" spans="19:21" x14ac:dyDescent="0.25">
      <c r="S7784" s="6" t="s">
        <v>302</v>
      </c>
      <c r="T7784" s="6">
        <f t="shared" si="139"/>
        <v>7783</v>
      </c>
      <c r="U7784" s="4" t="s">
        <v>194</v>
      </c>
    </row>
    <row r="7785" spans="19:21" x14ac:dyDescent="0.25">
      <c r="S7785" s="6" t="s">
        <v>302</v>
      </c>
      <c r="T7785" s="6">
        <f t="shared" si="139"/>
        <v>7784</v>
      </c>
      <c r="U7785" s="4" t="s">
        <v>194</v>
      </c>
    </row>
    <row r="7786" spans="19:21" x14ac:dyDescent="0.25">
      <c r="S7786" s="6" t="s">
        <v>302</v>
      </c>
      <c r="T7786" s="6">
        <f t="shared" si="139"/>
        <v>7785</v>
      </c>
      <c r="U7786" s="4" t="s">
        <v>194</v>
      </c>
    </row>
    <row r="7787" spans="19:21" x14ac:dyDescent="0.25">
      <c r="S7787" s="6" t="s">
        <v>302</v>
      </c>
      <c r="T7787" s="6">
        <f t="shared" si="139"/>
        <v>7786</v>
      </c>
      <c r="U7787" s="4" t="s">
        <v>194</v>
      </c>
    </row>
    <row r="7788" spans="19:21" x14ac:dyDescent="0.25">
      <c r="S7788" s="6" t="s">
        <v>302</v>
      </c>
      <c r="T7788" s="6">
        <f t="shared" si="139"/>
        <v>7787</v>
      </c>
      <c r="U7788" s="4" t="s">
        <v>194</v>
      </c>
    </row>
    <row r="7789" spans="19:21" x14ac:dyDescent="0.25">
      <c r="S7789" s="6" t="s">
        <v>302</v>
      </c>
      <c r="T7789" s="6">
        <f t="shared" si="139"/>
        <v>7788</v>
      </c>
      <c r="U7789" s="4" t="s">
        <v>194</v>
      </c>
    </row>
    <row r="7790" spans="19:21" x14ac:dyDescent="0.25">
      <c r="S7790" s="6" t="s">
        <v>302</v>
      </c>
      <c r="T7790" s="6">
        <f t="shared" si="139"/>
        <v>7789</v>
      </c>
      <c r="U7790" s="4" t="s">
        <v>194</v>
      </c>
    </row>
    <row r="7791" spans="19:21" x14ac:dyDescent="0.25">
      <c r="S7791" s="6" t="s">
        <v>302</v>
      </c>
      <c r="T7791" s="6">
        <f t="shared" si="139"/>
        <v>7790</v>
      </c>
      <c r="U7791" s="4" t="s">
        <v>194</v>
      </c>
    </row>
    <row r="7792" spans="19:21" x14ac:dyDescent="0.25">
      <c r="S7792" s="6" t="s">
        <v>302</v>
      </c>
      <c r="T7792" s="6">
        <f t="shared" si="139"/>
        <v>7791</v>
      </c>
      <c r="U7792" s="4" t="s">
        <v>194</v>
      </c>
    </row>
    <row r="7793" spans="19:21" x14ac:dyDescent="0.25">
      <c r="S7793" s="6" t="s">
        <v>302</v>
      </c>
      <c r="T7793" s="6">
        <f t="shared" si="139"/>
        <v>7792</v>
      </c>
      <c r="U7793" s="4" t="s">
        <v>194</v>
      </c>
    </row>
    <row r="7794" spans="19:21" x14ac:dyDescent="0.25">
      <c r="S7794" s="6" t="s">
        <v>302</v>
      </c>
      <c r="T7794" s="6">
        <f t="shared" si="139"/>
        <v>7793</v>
      </c>
      <c r="U7794" s="4" t="s">
        <v>194</v>
      </c>
    </row>
    <row r="7795" spans="19:21" x14ac:dyDescent="0.25">
      <c r="S7795" s="6" t="s">
        <v>302</v>
      </c>
      <c r="T7795" s="6">
        <f t="shared" si="139"/>
        <v>7794</v>
      </c>
      <c r="U7795" s="4" t="s">
        <v>194</v>
      </c>
    </row>
    <row r="7796" spans="19:21" x14ac:dyDescent="0.25">
      <c r="S7796" s="6" t="s">
        <v>302</v>
      </c>
      <c r="T7796" s="6">
        <f t="shared" si="139"/>
        <v>7795</v>
      </c>
      <c r="U7796" s="4" t="s">
        <v>194</v>
      </c>
    </row>
    <row r="7797" spans="19:21" x14ac:dyDescent="0.25">
      <c r="S7797" s="6" t="s">
        <v>302</v>
      </c>
      <c r="T7797" s="6">
        <f t="shared" si="139"/>
        <v>7796</v>
      </c>
      <c r="U7797" s="4" t="s">
        <v>194</v>
      </c>
    </row>
    <row r="7798" spans="19:21" x14ac:dyDescent="0.25">
      <c r="S7798" s="6" t="s">
        <v>302</v>
      </c>
      <c r="T7798" s="6">
        <f t="shared" si="139"/>
        <v>7797</v>
      </c>
      <c r="U7798" s="4" t="s">
        <v>194</v>
      </c>
    </row>
    <row r="7799" spans="19:21" x14ac:dyDescent="0.25">
      <c r="S7799" s="6" t="s">
        <v>302</v>
      </c>
      <c r="T7799" s="6">
        <f t="shared" si="139"/>
        <v>7798</v>
      </c>
      <c r="U7799" s="4" t="s">
        <v>194</v>
      </c>
    </row>
    <row r="7800" spans="19:21" x14ac:dyDescent="0.25">
      <c r="S7800" s="6" t="s">
        <v>302</v>
      </c>
      <c r="T7800" s="6">
        <f t="shared" si="139"/>
        <v>7799</v>
      </c>
      <c r="U7800" s="4" t="s">
        <v>194</v>
      </c>
    </row>
    <row r="7801" spans="19:21" x14ac:dyDescent="0.25">
      <c r="S7801" s="6" t="s">
        <v>302</v>
      </c>
      <c r="T7801" s="6">
        <f t="shared" si="139"/>
        <v>7800</v>
      </c>
      <c r="U7801" s="4" t="s">
        <v>194</v>
      </c>
    </row>
    <row r="7802" spans="19:21" x14ac:dyDescent="0.25">
      <c r="S7802" s="6" t="s">
        <v>302</v>
      </c>
      <c r="T7802" s="6">
        <f t="shared" si="139"/>
        <v>7801</v>
      </c>
      <c r="U7802" s="4" t="s">
        <v>194</v>
      </c>
    </row>
    <row r="7803" spans="19:21" x14ac:dyDescent="0.25">
      <c r="S7803" s="6" t="s">
        <v>302</v>
      </c>
      <c r="T7803" s="6">
        <f t="shared" si="139"/>
        <v>7802</v>
      </c>
      <c r="U7803" s="4" t="s">
        <v>194</v>
      </c>
    </row>
    <row r="7804" spans="19:21" x14ac:dyDescent="0.25">
      <c r="S7804" s="6" t="s">
        <v>302</v>
      </c>
      <c r="T7804" s="6">
        <f t="shared" si="139"/>
        <v>7803</v>
      </c>
      <c r="U7804" s="4" t="s">
        <v>194</v>
      </c>
    </row>
    <row r="7805" spans="19:21" x14ac:dyDescent="0.25">
      <c r="S7805" s="6" t="s">
        <v>302</v>
      </c>
      <c r="T7805" s="6">
        <f t="shared" si="139"/>
        <v>7804</v>
      </c>
      <c r="U7805" s="4" t="s">
        <v>194</v>
      </c>
    </row>
    <row r="7806" spans="19:21" x14ac:dyDescent="0.25">
      <c r="S7806" s="6" t="s">
        <v>302</v>
      </c>
      <c r="T7806" s="6">
        <f t="shared" si="139"/>
        <v>7805</v>
      </c>
      <c r="U7806" s="4" t="s">
        <v>194</v>
      </c>
    </row>
    <row r="7807" spans="19:21" x14ac:dyDescent="0.25">
      <c r="S7807" s="6" t="s">
        <v>302</v>
      </c>
      <c r="T7807" s="6">
        <f t="shared" si="139"/>
        <v>7806</v>
      </c>
      <c r="U7807" s="4" t="s">
        <v>194</v>
      </c>
    </row>
    <row r="7808" spans="19:21" x14ac:dyDescent="0.25">
      <c r="S7808" s="6" t="s">
        <v>302</v>
      </c>
      <c r="T7808" s="6">
        <f t="shared" si="139"/>
        <v>7807</v>
      </c>
      <c r="U7808" s="4" t="s">
        <v>194</v>
      </c>
    </row>
    <row r="7809" spans="19:21" x14ac:dyDescent="0.25">
      <c r="S7809" s="6" t="s">
        <v>302</v>
      </c>
      <c r="T7809" s="6">
        <f t="shared" si="139"/>
        <v>7808</v>
      </c>
      <c r="U7809" s="4" t="s">
        <v>194</v>
      </c>
    </row>
    <row r="7810" spans="19:21" x14ac:dyDescent="0.25">
      <c r="S7810" s="6" t="s">
        <v>302</v>
      </c>
      <c r="T7810" s="6">
        <f t="shared" si="139"/>
        <v>7809</v>
      </c>
      <c r="U7810" s="4" t="s">
        <v>194</v>
      </c>
    </row>
    <row r="7811" spans="19:21" x14ac:dyDescent="0.25">
      <c r="S7811" s="6" t="s">
        <v>302</v>
      </c>
      <c r="T7811" s="6">
        <f t="shared" si="139"/>
        <v>7810</v>
      </c>
      <c r="U7811" s="4" t="s">
        <v>194</v>
      </c>
    </row>
    <row r="7812" spans="19:21" x14ac:dyDescent="0.25">
      <c r="S7812" s="6" t="s">
        <v>302</v>
      </c>
      <c r="T7812" s="6">
        <f t="shared" si="139"/>
        <v>7811</v>
      </c>
      <c r="U7812" s="4" t="s">
        <v>194</v>
      </c>
    </row>
    <row r="7813" spans="19:21" x14ac:dyDescent="0.25">
      <c r="S7813" s="6" t="s">
        <v>302</v>
      </c>
      <c r="T7813" s="6">
        <f t="shared" si="139"/>
        <v>7812</v>
      </c>
      <c r="U7813" s="4" t="s">
        <v>194</v>
      </c>
    </row>
    <row r="7814" spans="19:21" x14ac:dyDescent="0.25">
      <c r="S7814" s="6" t="s">
        <v>302</v>
      </c>
      <c r="T7814" s="6">
        <f t="shared" si="139"/>
        <v>7813</v>
      </c>
      <c r="U7814" s="4" t="s">
        <v>194</v>
      </c>
    </row>
    <row r="7815" spans="19:21" x14ac:dyDescent="0.25">
      <c r="S7815" s="6" t="s">
        <v>302</v>
      </c>
      <c r="T7815" s="6">
        <f t="shared" si="139"/>
        <v>7814</v>
      </c>
      <c r="U7815" s="4" t="s">
        <v>194</v>
      </c>
    </row>
    <row r="7816" spans="19:21" x14ac:dyDescent="0.25">
      <c r="S7816" s="6" t="s">
        <v>302</v>
      </c>
      <c r="T7816" s="6">
        <f t="shared" si="139"/>
        <v>7815</v>
      </c>
      <c r="U7816" s="4" t="s">
        <v>194</v>
      </c>
    </row>
    <row r="7817" spans="19:21" x14ac:dyDescent="0.25">
      <c r="S7817" s="6" t="s">
        <v>302</v>
      </c>
      <c r="T7817" s="6">
        <f t="shared" si="139"/>
        <v>7816</v>
      </c>
      <c r="U7817" s="4" t="s">
        <v>194</v>
      </c>
    </row>
    <row r="7818" spans="19:21" x14ac:dyDescent="0.25">
      <c r="S7818" s="6" t="s">
        <v>302</v>
      </c>
      <c r="T7818" s="6">
        <f t="shared" si="139"/>
        <v>7817</v>
      </c>
      <c r="U7818" s="4" t="s">
        <v>194</v>
      </c>
    </row>
    <row r="7819" spans="19:21" x14ac:dyDescent="0.25">
      <c r="S7819" s="6" t="s">
        <v>302</v>
      </c>
      <c r="T7819" s="6">
        <f t="shared" si="139"/>
        <v>7818</v>
      </c>
      <c r="U7819" s="4" t="s">
        <v>194</v>
      </c>
    </row>
    <row r="7820" spans="19:21" x14ac:dyDescent="0.25">
      <c r="S7820" s="6" t="s">
        <v>302</v>
      </c>
      <c r="T7820" s="6">
        <f t="shared" si="139"/>
        <v>7819</v>
      </c>
      <c r="U7820" s="4" t="s">
        <v>194</v>
      </c>
    </row>
    <row r="7821" spans="19:21" x14ac:dyDescent="0.25">
      <c r="S7821" s="6" t="s">
        <v>302</v>
      </c>
      <c r="T7821" s="6">
        <f t="shared" si="139"/>
        <v>7820</v>
      </c>
      <c r="U7821" s="4" t="s">
        <v>194</v>
      </c>
    </row>
    <row r="7822" spans="19:21" x14ac:dyDescent="0.25">
      <c r="S7822" s="6" t="s">
        <v>302</v>
      </c>
      <c r="T7822" s="6">
        <f t="shared" si="139"/>
        <v>7821</v>
      </c>
      <c r="U7822" s="4" t="s">
        <v>194</v>
      </c>
    </row>
    <row r="7823" spans="19:21" x14ac:dyDescent="0.25">
      <c r="S7823" s="6" t="s">
        <v>302</v>
      </c>
      <c r="T7823" s="6">
        <f t="shared" si="139"/>
        <v>7822</v>
      </c>
      <c r="U7823" s="4" t="s">
        <v>194</v>
      </c>
    </row>
    <row r="7824" spans="19:21" x14ac:dyDescent="0.25">
      <c r="S7824" s="6" t="s">
        <v>302</v>
      </c>
      <c r="T7824" s="6">
        <f t="shared" si="139"/>
        <v>7823</v>
      </c>
      <c r="U7824" s="4" t="s">
        <v>194</v>
      </c>
    </row>
    <row r="7825" spans="19:21" x14ac:dyDescent="0.25">
      <c r="S7825" s="6" t="s">
        <v>302</v>
      </c>
      <c r="T7825" s="6">
        <f t="shared" si="139"/>
        <v>7824</v>
      </c>
      <c r="U7825" s="4" t="s">
        <v>194</v>
      </c>
    </row>
    <row r="7826" spans="19:21" x14ac:dyDescent="0.25">
      <c r="S7826" s="6" t="s">
        <v>302</v>
      </c>
      <c r="T7826" s="6">
        <f t="shared" si="139"/>
        <v>7825</v>
      </c>
      <c r="U7826" s="4" t="s">
        <v>194</v>
      </c>
    </row>
    <row r="7827" spans="19:21" x14ac:dyDescent="0.25">
      <c r="S7827" s="6" t="s">
        <v>302</v>
      </c>
      <c r="T7827" s="6">
        <f t="shared" si="139"/>
        <v>7826</v>
      </c>
      <c r="U7827" s="4" t="s">
        <v>194</v>
      </c>
    </row>
    <row r="7828" spans="19:21" x14ac:dyDescent="0.25">
      <c r="S7828" s="6" t="s">
        <v>302</v>
      </c>
      <c r="T7828" s="6">
        <f t="shared" si="139"/>
        <v>7827</v>
      </c>
      <c r="U7828" s="4" t="s">
        <v>194</v>
      </c>
    </row>
    <row r="7829" spans="19:21" x14ac:dyDescent="0.25">
      <c r="S7829" s="6" t="s">
        <v>302</v>
      </c>
      <c r="T7829" s="6">
        <f t="shared" si="139"/>
        <v>7828</v>
      </c>
      <c r="U7829" s="4" t="s">
        <v>194</v>
      </c>
    </row>
    <row r="7830" spans="19:21" x14ac:dyDescent="0.25">
      <c r="S7830" s="6" t="s">
        <v>302</v>
      </c>
      <c r="T7830" s="6">
        <f t="shared" si="139"/>
        <v>7829</v>
      </c>
      <c r="U7830" s="4" t="s">
        <v>194</v>
      </c>
    </row>
    <row r="7831" spans="19:21" x14ac:dyDescent="0.25">
      <c r="S7831" s="6" t="s">
        <v>302</v>
      </c>
      <c r="T7831" s="6">
        <f t="shared" si="139"/>
        <v>7830</v>
      </c>
      <c r="U7831" s="4" t="s">
        <v>194</v>
      </c>
    </row>
    <row r="7832" spans="19:21" x14ac:dyDescent="0.25">
      <c r="S7832" s="6" t="s">
        <v>302</v>
      </c>
      <c r="T7832" s="6">
        <f t="shared" si="139"/>
        <v>7831</v>
      </c>
      <c r="U7832" s="4" t="s">
        <v>194</v>
      </c>
    </row>
    <row r="7833" spans="19:21" x14ac:dyDescent="0.25">
      <c r="S7833" s="6" t="s">
        <v>302</v>
      </c>
      <c r="T7833" s="6">
        <f t="shared" si="139"/>
        <v>7832</v>
      </c>
      <c r="U7833" s="4" t="s">
        <v>194</v>
      </c>
    </row>
    <row r="7834" spans="19:21" x14ac:dyDescent="0.25">
      <c r="S7834" s="6" t="s">
        <v>302</v>
      </c>
      <c r="T7834" s="6">
        <f t="shared" si="139"/>
        <v>7833</v>
      </c>
      <c r="U7834" s="4" t="s">
        <v>194</v>
      </c>
    </row>
    <row r="7835" spans="19:21" x14ac:dyDescent="0.25">
      <c r="S7835" s="6" t="s">
        <v>302</v>
      </c>
      <c r="T7835" s="6">
        <f t="shared" si="139"/>
        <v>7834</v>
      </c>
      <c r="U7835" s="4" t="s">
        <v>194</v>
      </c>
    </row>
    <row r="7836" spans="19:21" x14ac:dyDescent="0.25">
      <c r="S7836" s="6" t="s">
        <v>302</v>
      </c>
      <c r="T7836" s="6">
        <f t="shared" si="139"/>
        <v>7835</v>
      </c>
      <c r="U7836" s="4" t="s">
        <v>194</v>
      </c>
    </row>
    <row r="7837" spans="19:21" x14ac:dyDescent="0.25">
      <c r="S7837" s="6" t="s">
        <v>302</v>
      </c>
      <c r="T7837" s="6">
        <f t="shared" si="139"/>
        <v>7836</v>
      </c>
      <c r="U7837" s="4" t="s">
        <v>194</v>
      </c>
    </row>
    <row r="7838" spans="19:21" x14ac:dyDescent="0.25">
      <c r="S7838" s="6" t="s">
        <v>302</v>
      </c>
      <c r="T7838" s="6">
        <f t="shared" ref="T7838:T7879" si="140">T7837+1</f>
        <v>7837</v>
      </c>
      <c r="U7838" s="4" t="s">
        <v>194</v>
      </c>
    </row>
    <row r="7839" spans="19:21" x14ac:dyDescent="0.25">
      <c r="S7839" s="6" t="s">
        <v>302</v>
      </c>
      <c r="T7839" s="6">
        <f t="shared" si="140"/>
        <v>7838</v>
      </c>
      <c r="U7839" s="4" t="s">
        <v>194</v>
      </c>
    </row>
    <row r="7840" spans="19:21" x14ac:dyDescent="0.25">
      <c r="S7840" s="6" t="s">
        <v>302</v>
      </c>
      <c r="T7840" s="6">
        <f t="shared" si="140"/>
        <v>7839</v>
      </c>
      <c r="U7840" s="4" t="s">
        <v>194</v>
      </c>
    </row>
    <row r="7841" spans="19:21" x14ac:dyDescent="0.25">
      <c r="S7841" s="6" t="s">
        <v>302</v>
      </c>
      <c r="T7841" s="6">
        <f t="shared" si="140"/>
        <v>7840</v>
      </c>
      <c r="U7841" s="4" t="s">
        <v>194</v>
      </c>
    </row>
    <row r="7842" spans="19:21" x14ac:dyDescent="0.25">
      <c r="S7842" s="6" t="s">
        <v>302</v>
      </c>
      <c r="T7842" s="6">
        <f t="shared" si="140"/>
        <v>7841</v>
      </c>
      <c r="U7842" s="4" t="s">
        <v>194</v>
      </c>
    </row>
    <row r="7843" spans="19:21" x14ac:dyDescent="0.25">
      <c r="S7843" s="6" t="s">
        <v>302</v>
      </c>
      <c r="T7843" s="6">
        <f t="shared" si="140"/>
        <v>7842</v>
      </c>
      <c r="U7843" s="4" t="s">
        <v>194</v>
      </c>
    </row>
    <row r="7844" spans="19:21" x14ac:dyDescent="0.25">
      <c r="S7844" s="6" t="s">
        <v>302</v>
      </c>
      <c r="T7844" s="6">
        <f t="shared" si="140"/>
        <v>7843</v>
      </c>
      <c r="U7844" s="4" t="s">
        <v>194</v>
      </c>
    </row>
    <row r="7845" spans="19:21" x14ac:dyDescent="0.25">
      <c r="S7845" s="6" t="s">
        <v>302</v>
      </c>
      <c r="T7845" s="6">
        <f t="shared" si="140"/>
        <v>7844</v>
      </c>
      <c r="U7845" s="4" t="s">
        <v>194</v>
      </c>
    </row>
    <row r="7846" spans="19:21" x14ac:dyDescent="0.25">
      <c r="S7846" s="6" t="s">
        <v>302</v>
      </c>
      <c r="T7846" s="6">
        <f t="shared" si="140"/>
        <v>7845</v>
      </c>
      <c r="U7846" s="4" t="s">
        <v>194</v>
      </c>
    </row>
    <row r="7847" spans="19:21" x14ac:dyDescent="0.25">
      <c r="S7847" s="6" t="s">
        <v>302</v>
      </c>
      <c r="T7847" s="6">
        <f t="shared" si="140"/>
        <v>7846</v>
      </c>
      <c r="U7847" s="4" t="s">
        <v>194</v>
      </c>
    </row>
    <row r="7848" spans="19:21" x14ac:dyDescent="0.25">
      <c r="S7848" s="6" t="s">
        <v>302</v>
      </c>
      <c r="T7848" s="6">
        <f t="shared" si="140"/>
        <v>7847</v>
      </c>
      <c r="U7848" s="4" t="s">
        <v>194</v>
      </c>
    </row>
    <row r="7849" spans="19:21" x14ac:dyDescent="0.25">
      <c r="S7849" s="6" t="s">
        <v>302</v>
      </c>
      <c r="T7849" s="6">
        <f t="shared" si="140"/>
        <v>7848</v>
      </c>
      <c r="U7849" s="4" t="s">
        <v>194</v>
      </c>
    </row>
    <row r="7850" spans="19:21" x14ac:dyDescent="0.25">
      <c r="S7850" s="6" t="s">
        <v>302</v>
      </c>
      <c r="T7850" s="6">
        <f t="shared" si="140"/>
        <v>7849</v>
      </c>
      <c r="U7850" s="4" t="s">
        <v>194</v>
      </c>
    </row>
    <row r="7851" spans="19:21" x14ac:dyDescent="0.25">
      <c r="S7851" s="6" t="s">
        <v>302</v>
      </c>
      <c r="T7851" s="6">
        <f t="shared" si="140"/>
        <v>7850</v>
      </c>
      <c r="U7851" s="4" t="s">
        <v>194</v>
      </c>
    </row>
    <row r="7852" spans="19:21" x14ac:dyDescent="0.25">
      <c r="S7852" s="6" t="s">
        <v>302</v>
      </c>
      <c r="T7852" s="6">
        <f t="shared" si="140"/>
        <v>7851</v>
      </c>
      <c r="U7852" s="4" t="s">
        <v>194</v>
      </c>
    </row>
    <row r="7853" spans="19:21" x14ac:dyDescent="0.25">
      <c r="S7853" s="6" t="s">
        <v>302</v>
      </c>
      <c r="T7853" s="6">
        <f t="shared" si="140"/>
        <v>7852</v>
      </c>
      <c r="U7853" s="4" t="s">
        <v>194</v>
      </c>
    </row>
    <row r="7854" spans="19:21" x14ac:dyDescent="0.25">
      <c r="S7854" s="6" t="s">
        <v>302</v>
      </c>
      <c r="T7854" s="6">
        <f t="shared" si="140"/>
        <v>7853</v>
      </c>
      <c r="U7854" s="4" t="s">
        <v>194</v>
      </c>
    </row>
    <row r="7855" spans="19:21" x14ac:dyDescent="0.25">
      <c r="S7855" s="6" t="s">
        <v>302</v>
      </c>
      <c r="T7855" s="6">
        <f t="shared" si="140"/>
        <v>7854</v>
      </c>
      <c r="U7855" s="4" t="s">
        <v>194</v>
      </c>
    </row>
    <row r="7856" spans="19:21" x14ac:dyDescent="0.25">
      <c r="S7856" s="6" t="s">
        <v>302</v>
      </c>
      <c r="T7856" s="6">
        <f t="shared" si="140"/>
        <v>7855</v>
      </c>
      <c r="U7856" s="4" t="s">
        <v>194</v>
      </c>
    </row>
    <row r="7857" spans="19:21" x14ac:dyDescent="0.25">
      <c r="S7857" s="6" t="s">
        <v>302</v>
      </c>
      <c r="T7857" s="6">
        <f t="shared" si="140"/>
        <v>7856</v>
      </c>
      <c r="U7857" s="4" t="s">
        <v>194</v>
      </c>
    </row>
    <row r="7858" spans="19:21" x14ac:dyDescent="0.25">
      <c r="S7858" s="6" t="s">
        <v>302</v>
      </c>
      <c r="T7858" s="6">
        <f t="shared" si="140"/>
        <v>7857</v>
      </c>
      <c r="U7858" s="4" t="s">
        <v>194</v>
      </c>
    </row>
    <row r="7859" spans="19:21" x14ac:dyDescent="0.25">
      <c r="S7859" s="6" t="s">
        <v>302</v>
      </c>
      <c r="T7859" s="6">
        <f t="shared" si="140"/>
        <v>7858</v>
      </c>
      <c r="U7859" s="4" t="s">
        <v>194</v>
      </c>
    </row>
    <row r="7860" spans="19:21" x14ac:dyDescent="0.25">
      <c r="S7860" s="6" t="s">
        <v>302</v>
      </c>
      <c r="T7860" s="6">
        <f t="shared" si="140"/>
        <v>7859</v>
      </c>
      <c r="U7860" s="4" t="s">
        <v>194</v>
      </c>
    </row>
    <row r="7861" spans="19:21" x14ac:dyDescent="0.25">
      <c r="S7861" s="6" t="s">
        <v>302</v>
      </c>
      <c r="T7861" s="6">
        <f t="shared" si="140"/>
        <v>7860</v>
      </c>
      <c r="U7861" s="4" t="s">
        <v>194</v>
      </c>
    </row>
    <row r="7862" spans="19:21" x14ac:dyDescent="0.25">
      <c r="S7862" s="6" t="s">
        <v>302</v>
      </c>
      <c r="T7862" s="6">
        <f t="shared" si="140"/>
        <v>7861</v>
      </c>
      <c r="U7862" s="4" t="s">
        <v>194</v>
      </c>
    </row>
    <row r="7863" spans="19:21" x14ac:dyDescent="0.25">
      <c r="S7863" s="6" t="s">
        <v>302</v>
      </c>
      <c r="T7863" s="6">
        <f t="shared" si="140"/>
        <v>7862</v>
      </c>
      <c r="U7863" s="4" t="s">
        <v>194</v>
      </c>
    </row>
    <row r="7864" spans="19:21" x14ac:dyDescent="0.25">
      <c r="S7864" s="6" t="s">
        <v>302</v>
      </c>
      <c r="T7864" s="6">
        <f t="shared" si="140"/>
        <v>7863</v>
      </c>
      <c r="U7864" s="4" t="s">
        <v>194</v>
      </c>
    </row>
    <row r="7865" spans="19:21" x14ac:dyDescent="0.25">
      <c r="S7865" s="6" t="s">
        <v>302</v>
      </c>
      <c r="T7865" s="6">
        <f t="shared" si="140"/>
        <v>7864</v>
      </c>
      <c r="U7865" s="4" t="s">
        <v>194</v>
      </c>
    </row>
    <row r="7866" spans="19:21" x14ac:dyDescent="0.25">
      <c r="S7866" s="6" t="s">
        <v>302</v>
      </c>
      <c r="T7866" s="6">
        <f t="shared" si="140"/>
        <v>7865</v>
      </c>
      <c r="U7866" s="4" t="s">
        <v>194</v>
      </c>
    </row>
    <row r="7867" spans="19:21" x14ac:dyDescent="0.25">
      <c r="S7867" s="6" t="s">
        <v>302</v>
      </c>
      <c r="T7867" s="6">
        <f t="shared" si="140"/>
        <v>7866</v>
      </c>
      <c r="U7867" s="4" t="s">
        <v>194</v>
      </c>
    </row>
    <row r="7868" spans="19:21" x14ac:dyDescent="0.25">
      <c r="S7868" s="6" t="s">
        <v>302</v>
      </c>
      <c r="T7868" s="6">
        <f t="shared" si="140"/>
        <v>7867</v>
      </c>
      <c r="U7868" s="4" t="s">
        <v>194</v>
      </c>
    </row>
    <row r="7869" spans="19:21" x14ac:dyDescent="0.25">
      <c r="S7869" s="6" t="s">
        <v>302</v>
      </c>
      <c r="T7869" s="6">
        <f t="shared" si="140"/>
        <v>7868</v>
      </c>
      <c r="U7869" s="4" t="s">
        <v>194</v>
      </c>
    </row>
    <row r="7870" spans="19:21" x14ac:dyDescent="0.25">
      <c r="S7870" s="6" t="s">
        <v>302</v>
      </c>
      <c r="T7870" s="6">
        <f t="shared" si="140"/>
        <v>7869</v>
      </c>
      <c r="U7870" s="4" t="s">
        <v>194</v>
      </c>
    </row>
    <row r="7871" spans="19:21" x14ac:dyDescent="0.25">
      <c r="S7871" s="6" t="s">
        <v>302</v>
      </c>
      <c r="T7871" s="6">
        <f t="shared" si="140"/>
        <v>7870</v>
      </c>
      <c r="U7871" s="4" t="s">
        <v>194</v>
      </c>
    </row>
    <row r="7872" spans="19:21" x14ac:dyDescent="0.25">
      <c r="S7872" s="6" t="s">
        <v>302</v>
      </c>
      <c r="T7872" s="6">
        <f t="shared" si="140"/>
        <v>7871</v>
      </c>
      <c r="U7872" s="4" t="s">
        <v>194</v>
      </c>
    </row>
    <row r="7873" spans="19:21" x14ac:dyDescent="0.25">
      <c r="S7873" s="6" t="s">
        <v>302</v>
      </c>
      <c r="T7873" s="6">
        <f t="shared" si="140"/>
        <v>7872</v>
      </c>
      <c r="U7873" s="4" t="s">
        <v>194</v>
      </c>
    </row>
    <row r="7874" spans="19:21" x14ac:dyDescent="0.25">
      <c r="S7874" s="6" t="s">
        <v>302</v>
      </c>
      <c r="T7874" s="6">
        <f t="shared" si="140"/>
        <v>7873</v>
      </c>
      <c r="U7874" s="4" t="s">
        <v>194</v>
      </c>
    </row>
    <row r="7875" spans="19:21" x14ac:dyDescent="0.25">
      <c r="S7875" s="6" t="s">
        <v>302</v>
      </c>
      <c r="T7875" s="6">
        <f t="shared" si="140"/>
        <v>7874</v>
      </c>
      <c r="U7875" s="4" t="s">
        <v>194</v>
      </c>
    </row>
    <row r="7876" spans="19:21" x14ac:dyDescent="0.25">
      <c r="S7876" s="6" t="s">
        <v>302</v>
      </c>
      <c r="T7876" s="6">
        <f t="shared" si="140"/>
        <v>7875</v>
      </c>
      <c r="U7876" s="4" t="s">
        <v>194</v>
      </c>
    </row>
    <row r="7877" spans="19:21" x14ac:dyDescent="0.25">
      <c r="S7877" s="6" t="s">
        <v>302</v>
      </c>
      <c r="T7877" s="6">
        <f t="shared" si="140"/>
        <v>7876</v>
      </c>
      <c r="U7877" s="4" t="s">
        <v>194</v>
      </c>
    </row>
    <row r="7878" spans="19:21" x14ac:dyDescent="0.25">
      <c r="S7878" s="6" t="s">
        <v>302</v>
      </c>
      <c r="T7878" s="6">
        <f t="shared" si="140"/>
        <v>7877</v>
      </c>
      <c r="U7878" s="4" t="s">
        <v>194</v>
      </c>
    </row>
    <row r="7879" spans="19:21" x14ac:dyDescent="0.25">
      <c r="S7879" s="6" t="s">
        <v>302</v>
      </c>
      <c r="T7879" s="6">
        <f t="shared" si="140"/>
        <v>7878</v>
      </c>
      <c r="U7879" s="4" t="s">
        <v>194</v>
      </c>
    </row>
  </sheetData>
  <mergeCells count="5">
    <mergeCell ref="A1:C1"/>
    <mergeCell ref="E1:G1"/>
    <mergeCell ref="I1:L1"/>
    <mergeCell ref="N1:Q1"/>
    <mergeCell ref="S1:U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0206C-64F4-40E2-8BB6-896A5A00E63D}">
  <sheetPr codeName="Planilha2"/>
  <dimension ref="A1:J15"/>
  <sheetViews>
    <sheetView zoomScale="130" zoomScaleNormal="130" workbookViewId="0">
      <selection activeCell="F2" sqref="F2"/>
    </sheetView>
  </sheetViews>
  <sheetFormatPr defaultRowHeight="15" x14ac:dyDescent="0.25"/>
  <cols>
    <col min="1" max="1" width="13.5703125" customWidth="1"/>
    <col min="2" max="2" width="13.42578125" customWidth="1"/>
    <col min="3" max="3" width="23.85546875" customWidth="1"/>
    <col min="4" max="4" width="11.28515625" customWidth="1"/>
    <col min="5" max="5" width="25.28515625" customWidth="1"/>
    <col min="6" max="6" width="15.140625" customWidth="1"/>
    <col min="7" max="7" width="16.85546875" customWidth="1"/>
    <col min="8" max="8" width="11.42578125" customWidth="1"/>
    <col min="9" max="9" width="24.85546875" customWidth="1"/>
    <col min="10" max="10" width="15.7109375" customWidth="1"/>
  </cols>
  <sheetData>
    <row r="1" spans="1:10" x14ac:dyDescent="0.25">
      <c r="A1" s="10" t="s">
        <v>13</v>
      </c>
      <c r="B1" t="s">
        <v>460</v>
      </c>
      <c r="D1" s="7" t="s">
        <v>13</v>
      </c>
      <c r="E1" s="8" t="s">
        <v>14</v>
      </c>
      <c r="F1" s="8" t="s">
        <v>32</v>
      </c>
      <c r="G1" s="8" t="s">
        <v>15</v>
      </c>
      <c r="H1" s="9" t="s">
        <v>16</v>
      </c>
      <c r="J1" s="8" t="s">
        <v>32</v>
      </c>
    </row>
    <row r="2" spans="1:10" x14ac:dyDescent="0.25">
      <c r="A2" s="10" t="s">
        <v>306</v>
      </c>
      <c r="B2" t="s">
        <v>431</v>
      </c>
      <c r="C2" t="str">
        <f>VLOOKUP(B2,Vendedores!A:E,3,FALSE)</f>
        <v>Gilmario_Rodrigues</v>
      </c>
      <c r="F2" t="s">
        <v>58</v>
      </c>
      <c r="J2" s="2" t="s">
        <v>51</v>
      </c>
    </row>
    <row r="3" spans="1:10" x14ac:dyDescent="0.25">
      <c r="A3" s="10" t="s">
        <v>199</v>
      </c>
      <c r="B3" t="str">
        <f>VLOOKUP(B2,Vendedores!A:E,2,FALSE)</f>
        <v>Ltr2652r</v>
      </c>
      <c r="J3" s="2" t="s">
        <v>53</v>
      </c>
    </row>
    <row r="4" spans="1:10" x14ac:dyDescent="0.25">
      <c r="A4" s="10" t="s">
        <v>229</v>
      </c>
      <c r="B4" t="s">
        <v>502</v>
      </c>
      <c r="C4" t="str">
        <f>VLOOKUP(B4,Produtos!A:E,2,FALSE)</f>
        <v>Lapis</v>
      </c>
      <c r="D4" s="7" t="s">
        <v>13</v>
      </c>
      <c r="E4" s="8" t="s">
        <v>14</v>
      </c>
      <c r="F4" s="8" t="s">
        <v>32</v>
      </c>
      <c r="G4" s="8" t="s">
        <v>15</v>
      </c>
      <c r="H4" s="9" t="s">
        <v>16</v>
      </c>
      <c r="J4" s="2" t="s">
        <v>54</v>
      </c>
    </row>
    <row r="5" spans="1:10" x14ac:dyDescent="0.25">
      <c r="D5" s="2"/>
      <c r="E5" s="2"/>
      <c r="F5" s="2"/>
      <c r="G5" s="2"/>
      <c r="H5" s="2"/>
      <c r="J5" s="2" t="s">
        <v>55</v>
      </c>
    </row>
    <row r="6" spans="1:10" x14ac:dyDescent="0.25">
      <c r="D6" s="2"/>
      <c r="E6" s="2"/>
      <c r="F6" s="2"/>
      <c r="G6" s="2"/>
      <c r="H6" s="2"/>
      <c r="J6" s="2" t="s">
        <v>56</v>
      </c>
    </row>
    <row r="7" spans="1:10" x14ac:dyDescent="0.25">
      <c r="D7" s="2"/>
      <c r="E7" s="2"/>
      <c r="F7" s="2"/>
      <c r="G7" s="2"/>
      <c r="H7" s="2"/>
      <c r="J7" s="2" t="s">
        <v>57</v>
      </c>
    </row>
    <row r="8" spans="1:10" x14ac:dyDescent="0.25">
      <c r="D8" s="2"/>
      <c r="E8" s="2"/>
      <c r="F8" s="2"/>
      <c r="G8" s="2"/>
      <c r="H8" s="2"/>
      <c r="J8" s="2" t="s">
        <v>58</v>
      </c>
    </row>
    <row r="9" spans="1:10" x14ac:dyDescent="0.25">
      <c r="D9" s="2"/>
      <c r="E9" s="2"/>
      <c r="F9" s="2"/>
      <c r="G9" s="2"/>
      <c r="H9" s="2"/>
      <c r="J9" s="2" t="s">
        <v>59</v>
      </c>
    </row>
    <row r="10" spans="1:10" x14ac:dyDescent="0.25">
      <c r="D10" s="2"/>
      <c r="E10" s="2"/>
      <c r="F10" s="2"/>
      <c r="G10" s="2"/>
      <c r="H10" s="2"/>
      <c r="J10" s="2" t="s">
        <v>60</v>
      </c>
    </row>
    <row r="11" spans="1:10" x14ac:dyDescent="0.25">
      <c r="B11">
        <f>COUNTA(Vendas!E:E)</f>
        <v>5218</v>
      </c>
      <c r="D11" s="2"/>
      <c r="E11" s="2"/>
      <c r="F11" s="2"/>
      <c r="G11" s="2"/>
      <c r="H11" s="2"/>
      <c r="J11" s="2" t="s">
        <v>61</v>
      </c>
    </row>
    <row r="12" spans="1:10" x14ac:dyDescent="0.25">
      <c r="D12" s="2"/>
      <c r="E12" s="2"/>
      <c r="F12" s="2"/>
      <c r="G12" s="2"/>
      <c r="H12" s="2"/>
      <c r="J12" s="2" t="s">
        <v>62</v>
      </c>
    </row>
    <row r="13" spans="1:10" x14ac:dyDescent="0.25">
      <c r="D13" s="2"/>
      <c r="E13" s="2"/>
      <c r="F13" s="2"/>
      <c r="G13" s="2"/>
      <c r="H13" s="2"/>
      <c r="J13" s="2" t="s">
        <v>159</v>
      </c>
    </row>
    <row r="14" spans="1:10" x14ac:dyDescent="0.25">
      <c r="D14" s="2"/>
      <c r="E14" s="2"/>
      <c r="F14" s="2"/>
      <c r="G14" s="2"/>
      <c r="H14" s="2"/>
      <c r="J14" s="2" t="s">
        <v>165</v>
      </c>
    </row>
    <row r="15" spans="1:10" x14ac:dyDescent="0.25">
      <c r="D15" s="2"/>
      <c r="E15" s="2"/>
      <c r="F15" s="2"/>
      <c r="G15" s="2"/>
      <c r="H15" s="2"/>
      <c r="J15" s="2"/>
    </row>
  </sheetData>
  <dataValidations count="1">
    <dataValidation type="list" allowBlank="1" showInputMessage="1" showErrorMessage="1" sqref="F2" xr:uid="{451E4B74-2D98-43BD-977F-E108926F8E14}">
      <formula1>$J$2:$J$14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20F07B-3562-4660-86AA-67BD458D1F86}">
          <x14:formula1>
            <xm:f>Vendedores!$A$2:$A$1048576</xm:f>
          </x14:formula1>
          <xm:sqref>B2</xm:sqref>
        </x14:dataValidation>
        <x14:dataValidation type="list" allowBlank="1" showInputMessage="1" showErrorMessage="1" xr:uid="{5556EA36-AD0A-4E44-AC82-3FFAD3BFD25F}">
          <x14:formula1>
            <xm:f>Produtos!$A$2:$A$1048576</xm:f>
          </x14:formula1>
          <xm:sqref>B4</xm:sqref>
        </x14:dataValidation>
        <x14:dataValidation type="list" allowBlank="1" showInputMessage="1" showErrorMessage="1" xr:uid="{D5F7813E-72A4-43B2-ADF2-5053E199BF09}">
          <x14:formula1>
            <xm:f>Clientes!$A$2:$A$1048576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E82E3-94D5-4030-B4E1-D00395BAC9F0}">
  <sheetPr codeName="Planilha3"/>
  <dimension ref="A1:E43"/>
  <sheetViews>
    <sheetView workbookViewId="0">
      <selection activeCell="J35" sqref="J35"/>
    </sheetView>
  </sheetViews>
  <sheetFormatPr defaultRowHeight="15" x14ac:dyDescent="0.25"/>
  <cols>
    <col min="1" max="1" width="17" style="1" customWidth="1"/>
    <col min="2" max="3" width="26.140625" style="1" customWidth="1"/>
    <col min="4" max="4" width="17.5703125" style="1" customWidth="1"/>
    <col min="5" max="5" width="18" style="1" customWidth="1"/>
  </cols>
  <sheetData>
    <row r="1" spans="1:5" x14ac:dyDescent="0.25">
      <c r="A1" s="3" t="s">
        <v>13</v>
      </c>
      <c r="B1" s="3" t="s">
        <v>14</v>
      </c>
      <c r="C1" s="3" t="s">
        <v>32</v>
      </c>
      <c r="D1" s="3" t="s">
        <v>15</v>
      </c>
      <c r="E1" s="3" t="s">
        <v>16</v>
      </c>
    </row>
    <row r="2" spans="1:5" x14ac:dyDescent="0.25">
      <c r="A2" s="1" t="str">
        <f>CONCATENATE(Códigos!A2,Códigos!B2,Códigos!C2)</f>
        <v>af10</v>
      </c>
      <c r="B2" s="1" t="s">
        <v>22</v>
      </c>
      <c r="C2" s="1" t="s">
        <v>51</v>
      </c>
      <c r="D2" s="1" t="s">
        <v>63</v>
      </c>
      <c r="E2" s="1" t="s">
        <v>69</v>
      </c>
    </row>
    <row r="3" spans="1:5" x14ac:dyDescent="0.25">
      <c r="A3" s="1" t="str">
        <f>CONCATENATE(Códigos!A3,Códigos!B3,Códigos!C3)</f>
        <v>bh11</v>
      </c>
      <c r="B3" s="1" t="s">
        <v>23</v>
      </c>
      <c r="C3" s="1" t="s">
        <v>52</v>
      </c>
      <c r="D3" s="1" t="s">
        <v>63</v>
      </c>
      <c r="E3" s="1" t="s">
        <v>69</v>
      </c>
    </row>
    <row r="4" spans="1:5" x14ac:dyDescent="0.25">
      <c r="A4" s="1" t="str">
        <f>CONCATENATE(Códigos!A4,Códigos!B4,Códigos!C4)</f>
        <v>cj12</v>
      </c>
      <c r="B4" s="1" t="s">
        <v>17</v>
      </c>
      <c r="C4" s="1" t="s">
        <v>53</v>
      </c>
      <c r="D4" s="1" t="s">
        <v>63</v>
      </c>
      <c r="E4" s="1" t="s">
        <v>69</v>
      </c>
    </row>
    <row r="5" spans="1:5" x14ac:dyDescent="0.25">
      <c r="A5" s="1" t="str">
        <f>CONCATENATE(Códigos!A5,Códigos!B5,Códigos!C5)</f>
        <v>dl13</v>
      </c>
      <c r="B5" s="1" t="s">
        <v>18</v>
      </c>
      <c r="C5" s="1" t="s">
        <v>53</v>
      </c>
      <c r="D5" s="1" t="s">
        <v>63</v>
      </c>
      <c r="E5" s="1" t="s">
        <v>69</v>
      </c>
    </row>
    <row r="6" spans="1:5" x14ac:dyDescent="0.25">
      <c r="A6" s="1" t="str">
        <f>CONCATENATE(Códigos!A6,Códigos!B6,Códigos!C6)</f>
        <v>em14</v>
      </c>
      <c r="B6" s="1" t="s">
        <v>19</v>
      </c>
      <c r="C6" s="1" t="s">
        <v>54</v>
      </c>
      <c r="D6" s="1" t="s">
        <v>64</v>
      </c>
      <c r="E6" s="1" t="s">
        <v>70</v>
      </c>
    </row>
    <row r="7" spans="1:5" x14ac:dyDescent="0.25">
      <c r="A7" s="1" t="str">
        <f>CONCATENATE(Códigos!A7,Códigos!B7,Códigos!C7)</f>
        <v>fs15</v>
      </c>
      <c r="B7" s="1" t="s">
        <v>20</v>
      </c>
      <c r="C7" s="1" t="s">
        <v>54</v>
      </c>
      <c r="D7" s="1" t="s">
        <v>64</v>
      </c>
      <c r="E7" s="1" t="s">
        <v>70</v>
      </c>
    </row>
    <row r="8" spans="1:5" x14ac:dyDescent="0.25">
      <c r="A8" s="1" t="str">
        <f>CONCATENATE(Códigos!A8,Códigos!B8,Códigos!C8)</f>
        <v>gr16</v>
      </c>
      <c r="B8" s="1" t="s">
        <v>21</v>
      </c>
      <c r="C8" s="1" t="s">
        <v>55</v>
      </c>
      <c r="D8" s="1" t="s">
        <v>64</v>
      </c>
      <c r="E8" s="1" t="s">
        <v>70</v>
      </c>
    </row>
    <row r="9" spans="1:5" x14ac:dyDescent="0.25">
      <c r="A9" s="1" t="str">
        <f>CONCATENATE(Códigos!A9,Códigos!B9,Códigos!C9)</f>
        <v>af17</v>
      </c>
      <c r="B9" s="1" t="s">
        <v>24</v>
      </c>
      <c r="C9" s="1" t="s">
        <v>56</v>
      </c>
      <c r="D9" s="1" t="s">
        <v>65</v>
      </c>
      <c r="E9" s="1" t="s">
        <v>71</v>
      </c>
    </row>
    <row r="10" spans="1:5" x14ac:dyDescent="0.25">
      <c r="A10" s="1" t="str">
        <f>CONCATENATE(Códigos!A10,Códigos!B10,Códigos!C10)</f>
        <v>bh18</v>
      </c>
      <c r="B10" s="1" t="s">
        <v>25</v>
      </c>
      <c r="C10" s="1" t="s">
        <v>57</v>
      </c>
      <c r="D10" s="1" t="s">
        <v>65</v>
      </c>
      <c r="E10" s="1" t="s">
        <v>71</v>
      </c>
    </row>
    <row r="11" spans="1:5" x14ac:dyDescent="0.25">
      <c r="A11" s="1" t="str">
        <f>CONCATENATE(Códigos!A11,Códigos!B11,Códigos!C11)</f>
        <v>cj19</v>
      </c>
      <c r="B11" s="1" t="s">
        <v>26</v>
      </c>
      <c r="C11" s="1" t="s">
        <v>51</v>
      </c>
      <c r="D11" s="1" t="s">
        <v>65</v>
      </c>
      <c r="E11" s="1" t="s">
        <v>71</v>
      </c>
    </row>
    <row r="12" spans="1:5" x14ac:dyDescent="0.25">
      <c r="A12" s="1" t="str">
        <f>CONCATENATE(Códigos!A12,Códigos!B12,Códigos!C12)</f>
        <v>dl20</v>
      </c>
      <c r="B12" s="1" t="s">
        <v>27</v>
      </c>
      <c r="C12" s="1" t="s">
        <v>58</v>
      </c>
      <c r="D12" s="1" t="s">
        <v>65</v>
      </c>
      <c r="E12" s="1" t="s">
        <v>71</v>
      </c>
    </row>
    <row r="13" spans="1:5" x14ac:dyDescent="0.25">
      <c r="A13" s="1" t="str">
        <f>CONCATENATE(Códigos!A13,Códigos!B13,Códigos!C13)</f>
        <v>em21</v>
      </c>
      <c r="B13" s="1" t="s">
        <v>28</v>
      </c>
      <c r="C13" s="1" t="s">
        <v>53</v>
      </c>
      <c r="D13" s="1" t="s">
        <v>63</v>
      </c>
      <c r="E13" s="1" t="s">
        <v>69</v>
      </c>
    </row>
    <row r="14" spans="1:5" x14ac:dyDescent="0.25">
      <c r="A14" s="1" t="str">
        <f>CONCATENATE(Códigos!A14,Códigos!B14,Códigos!C14)</f>
        <v>fs22</v>
      </c>
      <c r="B14" s="1" t="s">
        <v>29</v>
      </c>
      <c r="C14" s="1" t="s">
        <v>59</v>
      </c>
      <c r="D14" s="1" t="s">
        <v>63</v>
      </c>
      <c r="E14" s="1" t="s">
        <v>69</v>
      </c>
    </row>
    <row r="15" spans="1:5" x14ac:dyDescent="0.25">
      <c r="A15" s="1" t="str">
        <f>CONCATENATE(Códigos!A15,Códigos!B15,Códigos!C15)</f>
        <v>gr23</v>
      </c>
      <c r="B15" s="1" t="s">
        <v>30</v>
      </c>
      <c r="C15" s="1" t="s">
        <v>59</v>
      </c>
      <c r="D15" s="1" t="s">
        <v>63</v>
      </c>
      <c r="E15" s="1" t="s">
        <v>69</v>
      </c>
    </row>
    <row r="16" spans="1:5" x14ac:dyDescent="0.25">
      <c r="A16" s="1" t="str">
        <f>CONCATENATE(Códigos!A16,Códigos!B16,Códigos!C16)</f>
        <v>af24</v>
      </c>
      <c r="B16" s="1" t="s">
        <v>31</v>
      </c>
      <c r="C16" s="1" t="s">
        <v>57</v>
      </c>
      <c r="D16" s="1" t="s">
        <v>63</v>
      </c>
      <c r="E16" s="1" t="s">
        <v>69</v>
      </c>
    </row>
    <row r="17" spans="1:5" x14ac:dyDescent="0.25">
      <c r="A17" s="1" t="str">
        <f>CONCATENATE(Códigos!A17,Códigos!B17,Códigos!C17)</f>
        <v>bh25</v>
      </c>
      <c r="B17" s="1" t="s">
        <v>33</v>
      </c>
      <c r="C17" s="1" t="s">
        <v>53</v>
      </c>
      <c r="D17" s="1" t="s">
        <v>66</v>
      </c>
      <c r="E17" s="1" t="s">
        <v>72</v>
      </c>
    </row>
    <row r="18" spans="1:5" x14ac:dyDescent="0.25">
      <c r="A18" s="1" t="str">
        <f>CONCATENATE(Códigos!A18,Códigos!B18,Códigos!C18)</f>
        <v>cj26</v>
      </c>
      <c r="B18" s="1" t="s">
        <v>34</v>
      </c>
      <c r="C18" s="1" t="s">
        <v>53</v>
      </c>
      <c r="D18" s="1" t="s">
        <v>66</v>
      </c>
      <c r="E18" s="1" t="s">
        <v>72</v>
      </c>
    </row>
    <row r="19" spans="1:5" x14ac:dyDescent="0.25">
      <c r="A19" s="1" t="str">
        <f>CONCATENATE(Códigos!A19,Códigos!B19,Códigos!C19)</f>
        <v>dl27</v>
      </c>
      <c r="B19" s="1" t="s">
        <v>35</v>
      </c>
      <c r="C19" s="1" t="s">
        <v>60</v>
      </c>
      <c r="D19" s="1" t="s">
        <v>66</v>
      </c>
      <c r="E19" s="1" t="s">
        <v>72</v>
      </c>
    </row>
    <row r="20" spans="1:5" x14ac:dyDescent="0.25">
      <c r="A20" s="1" t="str">
        <f>CONCATENATE(Códigos!A20,Códigos!B20,Códigos!C20)</f>
        <v>em28</v>
      </c>
      <c r="B20" s="1" t="s">
        <v>36</v>
      </c>
      <c r="C20" s="1" t="s">
        <v>60</v>
      </c>
      <c r="D20" s="1" t="s">
        <v>66</v>
      </c>
      <c r="E20" s="1" t="s">
        <v>72</v>
      </c>
    </row>
    <row r="21" spans="1:5" x14ac:dyDescent="0.25">
      <c r="A21" s="1" t="str">
        <f>CONCATENATE(Códigos!A21,Códigos!B21,Códigos!C21)</f>
        <v>fs29</v>
      </c>
      <c r="B21" s="1" t="s">
        <v>37</v>
      </c>
      <c r="C21" s="1" t="s">
        <v>60</v>
      </c>
      <c r="D21" s="1" t="s">
        <v>63</v>
      </c>
      <c r="E21" s="1" t="s">
        <v>69</v>
      </c>
    </row>
    <row r="22" spans="1:5" x14ac:dyDescent="0.25">
      <c r="A22" s="1" t="str">
        <f>CONCATENATE(Códigos!A22,Códigos!B22,Códigos!C22)</f>
        <v>gr30</v>
      </c>
      <c r="B22" s="1" t="s">
        <v>38</v>
      </c>
      <c r="C22" s="1" t="s">
        <v>60</v>
      </c>
      <c r="D22" s="1" t="s">
        <v>63</v>
      </c>
      <c r="E22" s="1" t="s">
        <v>69</v>
      </c>
    </row>
    <row r="23" spans="1:5" x14ac:dyDescent="0.25">
      <c r="A23" s="1" t="str">
        <f>CONCATENATE(Códigos!A23,Códigos!B23,Códigos!C23)</f>
        <v>af31</v>
      </c>
      <c r="B23" s="1" t="s">
        <v>39</v>
      </c>
      <c r="C23" s="1" t="s">
        <v>57</v>
      </c>
      <c r="D23" s="1" t="s">
        <v>63</v>
      </c>
      <c r="E23" s="1" t="s">
        <v>69</v>
      </c>
    </row>
    <row r="24" spans="1:5" x14ac:dyDescent="0.25">
      <c r="A24" s="1" t="str">
        <f>CONCATENATE(Códigos!A24,Códigos!B24,Códigos!C24)</f>
        <v>bh32</v>
      </c>
      <c r="B24" s="1" t="s">
        <v>40</v>
      </c>
      <c r="C24" s="1" t="s">
        <v>57</v>
      </c>
      <c r="D24" s="1" t="s">
        <v>63</v>
      </c>
      <c r="E24" s="1" t="s">
        <v>69</v>
      </c>
    </row>
    <row r="25" spans="1:5" x14ac:dyDescent="0.25">
      <c r="A25" s="1" t="str">
        <f>CONCATENATE(Códigos!A25,Códigos!B25,Códigos!C25)</f>
        <v>cj33</v>
      </c>
      <c r="B25" s="1" t="s">
        <v>41</v>
      </c>
      <c r="C25" s="1" t="s">
        <v>57</v>
      </c>
      <c r="D25" s="1" t="s">
        <v>63</v>
      </c>
      <c r="E25" s="1" t="s">
        <v>69</v>
      </c>
    </row>
    <row r="26" spans="1:5" x14ac:dyDescent="0.25">
      <c r="A26" s="1" t="str">
        <f>CONCATENATE(Códigos!A26,Códigos!B26,Códigos!C26)</f>
        <v>dl34</v>
      </c>
      <c r="B26" s="1" t="s">
        <v>42</v>
      </c>
      <c r="C26" s="1" t="s">
        <v>57</v>
      </c>
      <c r="D26" s="1" t="s">
        <v>67</v>
      </c>
      <c r="E26" s="1" t="s">
        <v>73</v>
      </c>
    </row>
    <row r="27" spans="1:5" x14ac:dyDescent="0.25">
      <c r="A27" s="1" t="str">
        <f>CONCATENATE(Códigos!A27,Códigos!B27,Códigos!C27)</f>
        <v>em35</v>
      </c>
      <c r="B27" s="1" t="s">
        <v>43</v>
      </c>
      <c r="C27" s="1" t="s">
        <v>57</v>
      </c>
      <c r="D27" s="1" t="s">
        <v>67</v>
      </c>
      <c r="E27" s="1" t="s">
        <v>73</v>
      </c>
    </row>
    <row r="28" spans="1:5" x14ac:dyDescent="0.25">
      <c r="A28" s="1" t="str">
        <f>CONCATENATE(Códigos!A28,Códigos!B28,Códigos!C28)</f>
        <v>fs36</v>
      </c>
      <c r="B28" s="1" t="s">
        <v>44</v>
      </c>
      <c r="C28" s="1" t="s">
        <v>61</v>
      </c>
      <c r="D28" s="1" t="s">
        <v>67</v>
      </c>
      <c r="E28" s="1" t="s">
        <v>73</v>
      </c>
    </row>
    <row r="29" spans="1:5" x14ac:dyDescent="0.25">
      <c r="A29" s="1" t="str">
        <f>CONCATENATE(Códigos!A29,Códigos!B29,Códigos!C29)</f>
        <v>gr37</v>
      </c>
      <c r="B29" s="1" t="s">
        <v>45</v>
      </c>
      <c r="C29" s="1" t="s">
        <v>61</v>
      </c>
      <c r="D29" s="1" t="s">
        <v>67</v>
      </c>
      <c r="E29" s="1" t="s">
        <v>73</v>
      </c>
    </row>
    <row r="30" spans="1:5" x14ac:dyDescent="0.25">
      <c r="A30" s="1" t="str">
        <f>CONCATENATE(Códigos!A30,Códigos!B30,Códigos!C30)</f>
        <v>af38</v>
      </c>
      <c r="B30" s="1" t="s">
        <v>46</v>
      </c>
      <c r="C30" s="1" t="s">
        <v>61</v>
      </c>
      <c r="D30" s="1" t="s">
        <v>68</v>
      </c>
      <c r="E30" s="1" t="s">
        <v>71</v>
      </c>
    </row>
    <row r="31" spans="1:5" x14ac:dyDescent="0.25">
      <c r="A31" s="1" t="str">
        <f>CONCATENATE(Códigos!A31,Códigos!B31,Códigos!C31)</f>
        <v>bh39</v>
      </c>
      <c r="B31" s="1" t="s">
        <v>47</v>
      </c>
      <c r="C31" s="1" t="s">
        <v>62</v>
      </c>
      <c r="D31" s="1" t="s">
        <v>68</v>
      </c>
      <c r="E31" s="1" t="s">
        <v>71</v>
      </c>
    </row>
    <row r="32" spans="1:5" x14ac:dyDescent="0.25">
      <c r="A32" s="1" t="str">
        <f>CONCATENATE(Códigos!A32,Códigos!B32,Códigos!C32)</f>
        <v>cj40</v>
      </c>
      <c r="B32" s="1" t="s">
        <v>48</v>
      </c>
      <c r="C32" s="1" t="s">
        <v>61</v>
      </c>
      <c r="D32" s="1" t="s">
        <v>68</v>
      </c>
      <c r="E32" s="1" t="s">
        <v>71</v>
      </c>
    </row>
    <row r="33" spans="1:5" x14ac:dyDescent="0.25">
      <c r="A33" s="1" t="str">
        <f>CONCATENATE(Códigos!A33,Códigos!B33,Códigos!C33)</f>
        <v>dl41</v>
      </c>
      <c r="B33" s="1" t="s">
        <v>49</v>
      </c>
      <c r="C33" s="1" t="s">
        <v>57</v>
      </c>
      <c r="D33" s="1" t="s">
        <v>63</v>
      </c>
      <c r="E33" s="1" t="s">
        <v>69</v>
      </c>
    </row>
    <row r="34" spans="1:5" x14ac:dyDescent="0.25">
      <c r="A34" s="1" t="str">
        <f>CONCATENATE(Códigos!A34,Códigos!B34,Códigos!C34)</f>
        <v>em42</v>
      </c>
      <c r="B34" s="1" t="s">
        <v>50</v>
      </c>
      <c r="C34" s="1" t="s">
        <v>59</v>
      </c>
      <c r="D34" s="1" t="s">
        <v>63</v>
      </c>
      <c r="E34" s="1" t="s">
        <v>69</v>
      </c>
    </row>
    <row r="35" spans="1:5" x14ac:dyDescent="0.25">
      <c r="A35" s="1" t="str">
        <f>CONCATENATE(Códigos!A35,Códigos!B35,Códigos!C35)</f>
        <v>af11</v>
      </c>
      <c r="B35" s="1" t="s">
        <v>155</v>
      </c>
      <c r="C35" s="1" t="s">
        <v>60</v>
      </c>
      <c r="D35" s="1" t="s">
        <v>63</v>
      </c>
      <c r="E35" s="1" t="s">
        <v>69</v>
      </c>
    </row>
    <row r="36" spans="1:5" x14ac:dyDescent="0.25">
      <c r="A36" s="1" t="str">
        <f>CONCATENATE(Códigos!A36,Códigos!B36,Códigos!C36)</f>
        <v>bh12</v>
      </c>
      <c r="B36" s="1" t="s">
        <v>156</v>
      </c>
      <c r="C36" s="1" t="s">
        <v>57</v>
      </c>
      <c r="D36" s="1" t="s">
        <v>66</v>
      </c>
      <c r="E36" s="1" t="s">
        <v>72</v>
      </c>
    </row>
    <row r="37" spans="1:5" x14ac:dyDescent="0.25">
      <c r="A37" s="1" t="str">
        <f>CONCATENATE(Códigos!A37,Códigos!B37,Códigos!C37)</f>
        <v>cj13</v>
      </c>
      <c r="B37" s="1" t="s">
        <v>157</v>
      </c>
      <c r="C37" s="1" t="s">
        <v>57</v>
      </c>
      <c r="D37" s="1" t="s">
        <v>63</v>
      </c>
      <c r="E37" s="1" t="s">
        <v>69</v>
      </c>
    </row>
    <row r="38" spans="1:5" x14ac:dyDescent="0.25">
      <c r="A38" s="1" t="str">
        <f>CONCATENATE(Códigos!A38,Códigos!B38,Códigos!C38)</f>
        <v>dl14</v>
      </c>
      <c r="B38" s="1" t="s">
        <v>158</v>
      </c>
      <c r="C38" s="1" t="s">
        <v>159</v>
      </c>
      <c r="D38" s="1" t="s">
        <v>160</v>
      </c>
      <c r="E38" s="1" t="s">
        <v>161</v>
      </c>
    </row>
    <row r="39" spans="1:5" x14ac:dyDescent="0.25">
      <c r="A39" s="1" t="str">
        <f>CONCATENATE(Códigos!A39,Códigos!B39,Códigos!C39)</f>
        <v>em15</v>
      </c>
      <c r="B39" s="1" t="s">
        <v>162</v>
      </c>
      <c r="C39" s="1" t="s">
        <v>159</v>
      </c>
      <c r="D39" s="1" t="s">
        <v>163</v>
      </c>
      <c r="E39" s="1" t="s">
        <v>69</v>
      </c>
    </row>
    <row r="40" spans="1:5" x14ac:dyDescent="0.25">
      <c r="A40" s="1" t="str">
        <f>CONCATENATE(Códigos!A40,Códigos!B40,Códigos!C40)</f>
        <v>fs16</v>
      </c>
      <c r="B40" s="1" t="s">
        <v>164</v>
      </c>
      <c r="C40" s="1" t="s">
        <v>165</v>
      </c>
      <c r="D40" s="1" t="s">
        <v>64</v>
      </c>
      <c r="E40" s="1" t="s">
        <v>70</v>
      </c>
    </row>
    <row r="41" spans="1:5" x14ac:dyDescent="0.25">
      <c r="A41" s="1" t="str">
        <f>CONCATENATE(Códigos!A41,Códigos!B41,Códigos!C41)</f>
        <v>gr17</v>
      </c>
      <c r="B41" s="1" t="s">
        <v>166</v>
      </c>
      <c r="C41" s="1" t="s">
        <v>57</v>
      </c>
      <c r="D41" s="1" t="s">
        <v>63</v>
      </c>
      <c r="E41" s="1" t="s">
        <v>69</v>
      </c>
    </row>
    <row r="42" spans="1:5" x14ac:dyDescent="0.25">
      <c r="A42" s="1" t="str">
        <f>CONCATENATE(Códigos!A42,Códigos!B42,Códigos!C42)</f>
        <v>af18</v>
      </c>
      <c r="B42" s="1" t="s">
        <v>167</v>
      </c>
      <c r="C42" s="1" t="s">
        <v>60</v>
      </c>
      <c r="D42" s="1" t="s">
        <v>168</v>
      </c>
      <c r="E42" s="1" t="s">
        <v>169</v>
      </c>
    </row>
    <row r="43" spans="1:5" x14ac:dyDescent="0.25">
      <c r="A43" s="2" t="str">
        <f>CONCATENATE(Códigos!A43,Códigos!B43,Códigos!C43)</f>
        <v>bh19</v>
      </c>
      <c r="B43" s="2" t="s">
        <v>314</v>
      </c>
      <c r="C43" s="2" t="s">
        <v>62</v>
      </c>
      <c r="D43" s="2" t="s">
        <v>219</v>
      </c>
      <c r="E43" s="2" t="s">
        <v>220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AC09-D5D9-413D-9DFA-71EB3C2399B6}">
  <sheetPr codeName="Planilha4"/>
  <dimension ref="A1:E62"/>
  <sheetViews>
    <sheetView workbookViewId="0">
      <selection activeCell="I47" sqref="I47"/>
    </sheetView>
  </sheetViews>
  <sheetFormatPr defaultRowHeight="15" x14ac:dyDescent="0.25"/>
  <cols>
    <col min="1" max="2" width="21.7109375" customWidth="1"/>
    <col min="3" max="3" width="23.5703125" customWidth="1"/>
    <col min="4" max="4" width="8.42578125" customWidth="1"/>
  </cols>
  <sheetData>
    <row r="1" spans="1:5" x14ac:dyDescent="0.25">
      <c r="A1" t="s">
        <v>90</v>
      </c>
      <c r="B1" t="s">
        <v>199</v>
      </c>
      <c r="C1" t="s">
        <v>309</v>
      </c>
      <c r="D1" t="s">
        <v>91</v>
      </c>
      <c r="E1" t="s">
        <v>92</v>
      </c>
    </row>
    <row r="2" spans="1:5" x14ac:dyDescent="0.25">
      <c r="A2" t="str">
        <f>CONCATENATE(Códigos!E2,Códigos!F2,Códigos!G2)</f>
        <v>vab100</v>
      </c>
      <c r="B2" t="str">
        <f>Tabela5[[#This Row],[ID_Loja]]</f>
        <v>Lab12a</v>
      </c>
      <c r="C2" t="s">
        <v>93</v>
      </c>
      <c r="D2" t="s">
        <v>94</v>
      </c>
      <c r="E2">
        <v>40</v>
      </c>
    </row>
    <row r="3" spans="1:5" x14ac:dyDescent="0.25">
      <c r="A3" t="str">
        <f>CONCATENATE(Códigos!E3,Códigos!F3,Códigos!G3)</f>
        <v>vfd101</v>
      </c>
      <c r="B3" t="str">
        <f>Tabela5[[#This Row],[ID_Loja]]</f>
        <v>Lcb24f</v>
      </c>
      <c r="C3" t="s">
        <v>95</v>
      </c>
      <c r="D3" t="s">
        <v>96</v>
      </c>
      <c r="E3">
        <v>32</v>
      </c>
    </row>
    <row r="4" spans="1:5" x14ac:dyDescent="0.25">
      <c r="A4" t="str">
        <f>CONCATENATE(Códigos!E4,Códigos!F4,Códigos!G4)</f>
        <v>vdh102</v>
      </c>
      <c r="B4" t="str">
        <f>Tabela5[[#This Row],[ID_Loja]]</f>
        <v>Lkj36j</v>
      </c>
      <c r="C4" t="s">
        <v>98</v>
      </c>
      <c r="D4" t="s">
        <v>94</v>
      </c>
      <c r="E4">
        <v>28</v>
      </c>
    </row>
    <row r="5" spans="1:5" x14ac:dyDescent="0.25">
      <c r="A5" t="str">
        <f>CONCATENATE(Códigos!E5,Códigos!F5,Códigos!G5)</f>
        <v>vrt103</v>
      </c>
      <c r="B5" t="str">
        <f>Tabela5[[#This Row],[ID_Loja]]</f>
        <v>Lde48k</v>
      </c>
      <c r="C5" t="s">
        <v>97</v>
      </c>
      <c r="D5" t="s">
        <v>96</v>
      </c>
      <c r="E5">
        <v>42</v>
      </c>
    </row>
    <row r="6" spans="1:5" x14ac:dyDescent="0.25">
      <c r="A6" t="str">
        <f>CONCATENATE(Códigos!E6,Códigos!F6,Códigos!G6)</f>
        <v>vua104</v>
      </c>
      <c r="B6" t="str">
        <f>Tabela5[[#This Row],[ID_Loja]]</f>
        <v>Llio510l</v>
      </c>
      <c r="C6" t="s">
        <v>99</v>
      </c>
      <c r="D6" t="s">
        <v>96</v>
      </c>
      <c r="E6">
        <v>50</v>
      </c>
    </row>
    <row r="7" spans="1:5" x14ac:dyDescent="0.25">
      <c r="A7" t="str">
        <f>CONCATENATE(Códigos!E7,Códigos!F7,Códigos!G7)</f>
        <v>vko105</v>
      </c>
      <c r="B7" t="str">
        <f>Tabela5[[#This Row],[ID_Loja]]</f>
        <v>Ljhy612u</v>
      </c>
      <c r="C7" t="s">
        <v>100</v>
      </c>
      <c r="D7" t="s">
        <v>94</v>
      </c>
      <c r="E7">
        <v>45</v>
      </c>
    </row>
    <row r="8" spans="1:5" x14ac:dyDescent="0.25">
      <c r="A8" t="str">
        <f>CONCATENATE(Códigos!E8,Códigos!F8,Códigos!G8)</f>
        <v>vlp106</v>
      </c>
      <c r="B8" t="str">
        <f>Tabela5[[#This Row],[ID_Loja]]</f>
        <v>Loi714a</v>
      </c>
      <c r="C8" t="s">
        <v>101</v>
      </c>
      <c r="D8" t="s">
        <v>96</v>
      </c>
      <c r="E8">
        <v>36</v>
      </c>
    </row>
    <row r="9" spans="1:5" x14ac:dyDescent="0.25">
      <c r="A9" t="str">
        <f>CONCATENATE(Códigos!E9,Códigos!F9,Códigos!G9)</f>
        <v>vsr107</v>
      </c>
      <c r="B9" t="str">
        <f>Tabela5[[#This Row],[ID_Loja]]</f>
        <v>Lab816f</v>
      </c>
      <c r="C9" t="s">
        <v>102</v>
      </c>
      <c r="D9" t="s">
        <v>96</v>
      </c>
      <c r="E9">
        <v>40</v>
      </c>
    </row>
    <row r="10" spans="1:5" x14ac:dyDescent="0.25">
      <c r="A10" t="str">
        <f>CONCATENATE(Códigos!E10,Códigos!F10,Códigos!G10)</f>
        <v>vvw108</v>
      </c>
      <c r="B10" t="str">
        <f>Tabela5[[#This Row],[ID_Loja]]</f>
        <v>Lcb918j</v>
      </c>
      <c r="C10" t="s">
        <v>103</v>
      </c>
      <c r="D10" t="s">
        <v>94</v>
      </c>
      <c r="E10">
        <v>25</v>
      </c>
    </row>
    <row r="11" spans="1:5" x14ac:dyDescent="0.25">
      <c r="A11" t="str">
        <f>CONCATENATE(Códigos!E11,Códigos!F11,Códigos!G11)</f>
        <v>vzb109</v>
      </c>
      <c r="B11" t="str">
        <f>Tabela5[[#This Row],[ID_Loja]]</f>
        <v>Lkj1020k</v>
      </c>
      <c r="C11" t="s">
        <v>104</v>
      </c>
      <c r="D11" t="s">
        <v>94</v>
      </c>
      <c r="E11">
        <v>29</v>
      </c>
    </row>
    <row r="12" spans="1:5" x14ac:dyDescent="0.25">
      <c r="A12" t="str">
        <f>CONCATENATE(Códigos!E12,Códigos!F12,Códigos!G12)</f>
        <v>vyd110</v>
      </c>
      <c r="B12" t="str">
        <f>Tabela5[[#This Row],[ID_Loja]]</f>
        <v>Lde1122l</v>
      </c>
      <c r="C12" t="s">
        <v>105</v>
      </c>
      <c r="D12" t="s">
        <v>94</v>
      </c>
      <c r="E12">
        <v>33</v>
      </c>
    </row>
    <row r="13" spans="1:5" x14ac:dyDescent="0.25">
      <c r="A13" t="str">
        <f>CONCATENATE(Códigos!E13,Códigos!F13,Códigos!G13)</f>
        <v>vah111</v>
      </c>
      <c r="B13" t="str">
        <f>Tabela5[[#This Row],[ID_Loja]]</f>
        <v>Llio1224o</v>
      </c>
      <c r="C13" t="s">
        <v>106</v>
      </c>
      <c r="D13" t="s">
        <v>94</v>
      </c>
      <c r="E13">
        <v>30</v>
      </c>
    </row>
    <row r="14" spans="1:5" x14ac:dyDescent="0.25">
      <c r="A14" t="str">
        <f>CONCATENATE(Códigos!E14,Códigos!F14,Códigos!G14)</f>
        <v>vft112</v>
      </c>
      <c r="B14" t="str">
        <f>Tabela5[[#This Row],[ID_Loja]]</f>
        <v>Ljhy1326p</v>
      </c>
      <c r="C14" t="s">
        <v>107</v>
      </c>
      <c r="D14" t="s">
        <v>94</v>
      </c>
      <c r="E14">
        <v>26</v>
      </c>
    </row>
    <row r="15" spans="1:5" x14ac:dyDescent="0.25">
      <c r="A15" t="str">
        <f>CONCATENATE(Códigos!E15,Códigos!F15,Códigos!G15)</f>
        <v>vda113</v>
      </c>
      <c r="B15" t="str">
        <f>Tabela5[[#This Row],[ID_Loja]]</f>
        <v>Loi1428t</v>
      </c>
      <c r="C15" t="s">
        <v>108</v>
      </c>
      <c r="D15" t="s">
        <v>94</v>
      </c>
      <c r="E15">
        <v>24</v>
      </c>
    </row>
    <row r="16" spans="1:5" x14ac:dyDescent="0.25">
      <c r="A16" t="str">
        <f>CONCATENATE(Códigos!E16,Códigos!F16,Códigos!G16)</f>
        <v>vro114</v>
      </c>
      <c r="B16" t="str">
        <f>Tabela5[[#This Row],[ID_Loja]]</f>
        <v>Lab1530r</v>
      </c>
      <c r="C16" t="s">
        <v>109</v>
      </c>
      <c r="D16" t="s">
        <v>96</v>
      </c>
      <c r="E16">
        <v>45</v>
      </c>
    </row>
    <row r="17" spans="1:5" x14ac:dyDescent="0.25">
      <c r="A17" t="str">
        <f>CONCATENATE(Códigos!E17,Códigos!F17,Códigos!G17)</f>
        <v>vup115</v>
      </c>
      <c r="B17" t="str">
        <f>Tabela5[[#This Row],[ID_Loja]]</f>
        <v>Lcb1632e</v>
      </c>
      <c r="C17" t="s">
        <v>110</v>
      </c>
      <c r="D17" t="s">
        <v>96</v>
      </c>
      <c r="E17">
        <v>35</v>
      </c>
    </row>
    <row r="18" spans="1:5" x14ac:dyDescent="0.25">
      <c r="A18" t="str">
        <f>CONCATENATE(Códigos!E18,Códigos!F18,Códigos!G18)</f>
        <v>vkr116</v>
      </c>
      <c r="B18" t="str">
        <f>Tabela5[[#This Row],[ID_Loja]]</f>
        <v>Lkj1734qq</v>
      </c>
      <c r="C18" t="s">
        <v>111</v>
      </c>
      <c r="D18" t="s">
        <v>94</v>
      </c>
      <c r="E18">
        <v>27</v>
      </c>
    </row>
    <row r="19" spans="1:5" x14ac:dyDescent="0.25">
      <c r="A19" t="str">
        <f>CONCATENATE(Códigos!E19,Códigos!F19,Códigos!G19)</f>
        <v>vlw117</v>
      </c>
      <c r="B19" t="str">
        <f>Tabela5[[#This Row],[ID_Loja]]</f>
        <v>Lde1836s</v>
      </c>
      <c r="C19" t="s">
        <v>112</v>
      </c>
      <c r="D19" t="s">
        <v>94</v>
      </c>
      <c r="E19">
        <v>31</v>
      </c>
    </row>
    <row r="20" spans="1:5" x14ac:dyDescent="0.25">
      <c r="A20" t="str">
        <f>CONCATENATE(Códigos!E20,Códigos!F20,Códigos!G20)</f>
        <v>vsb118</v>
      </c>
      <c r="B20" t="str">
        <f>Tabela5[[#This Row],[ID_Loja]]</f>
        <v>Lae1938v</v>
      </c>
      <c r="C20" t="s">
        <v>113</v>
      </c>
      <c r="D20" t="s">
        <v>94</v>
      </c>
      <c r="E20">
        <v>29</v>
      </c>
    </row>
    <row r="21" spans="1:5" x14ac:dyDescent="0.25">
      <c r="A21" t="str">
        <f>CONCATENATE(Códigos!E21,Códigos!F21,Códigos!G21)</f>
        <v>vvd119</v>
      </c>
      <c r="B21" t="str">
        <f>Tabela5[[#This Row],[ID_Loja]]</f>
        <v>Lre2040g</v>
      </c>
      <c r="C21" t="s">
        <v>114</v>
      </c>
      <c r="D21" t="s">
        <v>96</v>
      </c>
      <c r="E21">
        <v>30</v>
      </c>
    </row>
    <row r="22" spans="1:5" x14ac:dyDescent="0.25">
      <c r="A22" t="str">
        <f>CONCATENATE(Códigos!E22,Códigos!F22,Códigos!G22)</f>
        <v>vzh120</v>
      </c>
      <c r="B22" t="str">
        <f>Tabela5[[#This Row],[ID_Loja]]</f>
        <v>Lrt2142h</v>
      </c>
      <c r="C22" t="s">
        <v>115</v>
      </c>
      <c r="D22" t="s">
        <v>96</v>
      </c>
      <c r="E22">
        <v>30</v>
      </c>
    </row>
    <row r="23" spans="1:5" x14ac:dyDescent="0.25">
      <c r="A23" t="str">
        <f>CONCATENATE(Códigos!E23,Códigos!F23,Códigos!G23)</f>
        <v>vyt121</v>
      </c>
      <c r="B23" t="str">
        <f>Tabela5[[#This Row],[ID_Loja]]</f>
        <v>Ltr2244j</v>
      </c>
      <c r="C23" t="s">
        <v>116</v>
      </c>
      <c r="D23" t="s">
        <v>94</v>
      </c>
      <c r="E23">
        <v>40</v>
      </c>
    </row>
    <row r="24" spans="1:5" x14ac:dyDescent="0.25">
      <c r="A24" t="str">
        <f>CONCATENATE(Códigos!E24,Códigos!F24,Códigos!G24)</f>
        <v>vaa122</v>
      </c>
      <c r="B24" t="str">
        <f>Tabela5[[#This Row],[ID_Loja]]</f>
        <v>Lae2346y</v>
      </c>
      <c r="C24" t="s">
        <v>117</v>
      </c>
      <c r="D24" t="s">
        <v>94</v>
      </c>
      <c r="E24">
        <v>32</v>
      </c>
    </row>
    <row r="25" spans="1:5" x14ac:dyDescent="0.25">
      <c r="A25" t="str">
        <f>CONCATENATE(Códigos!E25,Códigos!F25,Códigos!G25)</f>
        <v>vfo123</v>
      </c>
      <c r="B25" t="str">
        <f>Tabela5[[#This Row],[ID_Loja]]</f>
        <v>Lre2448e</v>
      </c>
      <c r="C25" t="s">
        <v>118</v>
      </c>
      <c r="D25" t="s">
        <v>96</v>
      </c>
      <c r="E25">
        <v>50</v>
      </c>
    </row>
    <row r="26" spans="1:5" x14ac:dyDescent="0.25">
      <c r="A26" t="str">
        <f>CONCATENATE(Códigos!E26,Códigos!F26,Códigos!G26)</f>
        <v>vdp124</v>
      </c>
      <c r="B26" t="str">
        <f>Tabela5[[#This Row],[ID_Loja]]</f>
        <v>Lrt2550ww</v>
      </c>
      <c r="C26" t="s">
        <v>119</v>
      </c>
      <c r="D26" t="s">
        <v>96</v>
      </c>
      <c r="E26">
        <v>30</v>
      </c>
    </row>
    <row r="27" spans="1:5" x14ac:dyDescent="0.25">
      <c r="A27" t="str">
        <f>CONCATENATE(Códigos!E27,Códigos!F27,Códigos!G27)</f>
        <v>vrr125</v>
      </c>
      <c r="B27" t="str">
        <f>Tabela5[[#This Row],[ID_Loja]]</f>
        <v>Ltr2652r</v>
      </c>
      <c r="C27" t="s">
        <v>120</v>
      </c>
      <c r="D27" t="s">
        <v>96</v>
      </c>
      <c r="E27">
        <v>36</v>
      </c>
    </row>
    <row r="28" spans="1:5" x14ac:dyDescent="0.25">
      <c r="A28" t="str">
        <f>CONCATENATE(Códigos!E28,Códigos!F28,Códigos!G28)</f>
        <v>vuw126</v>
      </c>
      <c r="B28" t="str">
        <f>Tabela5[[#This Row],[ID_Loja]]</f>
        <v>Lae2754t</v>
      </c>
      <c r="C28" t="s">
        <v>121</v>
      </c>
      <c r="D28" t="s">
        <v>94</v>
      </c>
      <c r="E28">
        <v>25</v>
      </c>
    </row>
    <row r="29" spans="1:5" x14ac:dyDescent="0.25">
      <c r="A29" t="str">
        <f>CONCATENATE(Códigos!E29,Códigos!F29,Códigos!G29)</f>
        <v>vkb127</v>
      </c>
      <c r="B29" t="str">
        <f>Tabela5[[#This Row],[ID_Loja]]</f>
        <v>Lre2856y</v>
      </c>
      <c r="C29" t="s">
        <v>122</v>
      </c>
      <c r="D29" t="s">
        <v>96</v>
      </c>
      <c r="E29">
        <v>50</v>
      </c>
    </row>
    <row r="30" spans="1:5" x14ac:dyDescent="0.25">
      <c r="A30" t="str">
        <f>CONCATENATE(Códigos!E30,Códigos!F30,Códigos!G30)</f>
        <v>vld128</v>
      </c>
      <c r="B30" t="str">
        <f>Tabela5[[#This Row],[ID_Loja]]</f>
        <v>Lrt2958u</v>
      </c>
      <c r="C30" t="s">
        <v>123</v>
      </c>
      <c r="D30" t="s">
        <v>96</v>
      </c>
      <c r="E30">
        <v>27</v>
      </c>
    </row>
    <row r="31" spans="1:5" x14ac:dyDescent="0.25">
      <c r="A31" t="str">
        <f>CONCATENATE(Códigos!E31,Códigos!F31,Códigos!G31)</f>
        <v>vsh129</v>
      </c>
      <c r="B31" t="str">
        <f>Tabela5[[#This Row],[ID_Loja]]</f>
        <v>Ltr3060i</v>
      </c>
      <c r="C31" t="s">
        <v>124</v>
      </c>
      <c r="D31" t="s">
        <v>94</v>
      </c>
      <c r="E31">
        <v>34</v>
      </c>
    </row>
    <row r="32" spans="1:5" x14ac:dyDescent="0.25">
      <c r="A32" t="str">
        <f>CONCATENATE(Códigos!E32,Códigos!F32,Códigos!G32)</f>
        <v>vvt130</v>
      </c>
      <c r="B32" t="str">
        <f>Tabela5[[#This Row],[ID_Loja]]</f>
        <v>Lae3162o</v>
      </c>
      <c r="C32" t="s">
        <v>125</v>
      </c>
      <c r="D32" t="s">
        <v>96</v>
      </c>
      <c r="E32">
        <v>30</v>
      </c>
    </row>
    <row r="33" spans="1:5" x14ac:dyDescent="0.25">
      <c r="A33" t="str">
        <f>CONCATENATE(Códigos!E33,Códigos!F33,Códigos!G33)</f>
        <v>vza131</v>
      </c>
      <c r="B33" t="str">
        <f>Tabela5[[#This Row],[ID_Loja]]</f>
        <v>Lre3264f</v>
      </c>
      <c r="C33" t="s">
        <v>126</v>
      </c>
      <c r="D33" t="s">
        <v>94</v>
      </c>
      <c r="E33">
        <v>26</v>
      </c>
    </row>
    <row r="34" spans="1:5" x14ac:dyDescent="0.25">
      <c r="A34" t="str">
        <f>CONCATENATE(Códigos!E34,Códigos!F34,Códigos!G34)</f>
        <v>vyo132</v>
      </c>
      <c r="B34" t="str">
        <f>Tabela5[[#This Row],[ID_Loja]]</f>
        <v>Lrt3366g</v>
      </c>
      <c r="C34" t="s">
        <v>127</v>
      </c>
      <c r="D34" t="s">
        <v>96</v>
      </c>
      <c r="E34">
        <v>40</v>
      </c>
    </row>
    <row r="35" spans="1:5" x14ac:dyDescent="0.25">
      <c r="A35" t="str">
        <f>CONCATENATE(Códigos!E35,Códigos!F35,Códigos!G35)</f>
        <v>vap133</v>
      </c>
      <c r="B35" t="str">
        <f>Tabela5[[#This Row],[ID_Loja]]</f>
        <v>Ltr3468j</v>
      </c>
      <c r="C35" t="s">
        <v>128</v>
      </c>
      <c r="D35" t="s">
        <v>96</v>
      </c>
      <c r="E35">
        <v>30</v>
      </c>
    </row>
    <row r="36" spans="1:5" x14ac:dyDescent="0.25">
      <c r="A36" t="str">
        <f>CONCATENATE(Códigos!E36,Códigos!F36,Códigos!G36)</f>
        <v>vfr134</v>
      </c>
      <c r="B36" t="str">
        <f>Tabela5[[#This Row],[ID_Loja]]</f>
        <v>Lae3570b</v>
      </c>
      <c r="C36" t="s">
        <v>129</v>
      </c>
      <c r="D36" t="s">
        <v>94</v>
      </c>
      <c r="E36">
        <v>28</v>
      </c>
    </row>
    <row r="37" spans="1:5" x14ac:dyDescent="0.25">
      <c r="A37" t="str">
        <f>CONCATENATE(Códigos!E37,Códigos!F37,Códigos!G37)</f>
        <v>vdw135</v>
      </c>
      <c r="B37" t="str">
        <f>Tabela5[[#This Row],[ID_Loja]]</f>
        <v>Lre3672n</v>
      </c>
      <c r="C37" t="s">
        <v>130</v>
      </c>
      <c r="D37" t="s">
        <v>94</v>
      </c>
      <c r="E37">
        <v>29</v>
      </c>
    </row>
    <row r="38" spans="1:5" x14ac:dyDescent="0.25">
      <c r="A38" t="str">
        <f>CONCATENATE(Códigos!E38,Códigos!F38,Códigos!G38)</f>
        <v>vrb136</v>
      </c>
      <c r="B38" t="str">
        <f>Tabela5[[#This Row],[ID_Loja]]</f>
        <v>Lrt3774m</v>
      </c>
      <c r="C38" t="s">
        <v>131</v>
      </c>
      <c r="D38" t="s">
        <v>94</v>
      </c>
      <c r="E38">
        <v>31</v>
      </c>
    </row>
    <row r="39" spans="1:5" x14ac:dyDescent="0.25">
      <c r="A39" t="str">
        <f>CONCATENATE(Códigos!E39,Códigos!F39,Códigos!G39)</f>
        <v>vud137</v>
      </c>
      <c r="B39" t="str">
        <f>Tabela5[[#This Row],[ID_Loja]]</f>
        <v>Luy3876k</v>
      </c>
      <c r="C39" t="s">
        <v>132</v>
      </c>
      <c r="D39" t="s">
        <v>94</v>
      </c>
      <c r="E39">
        <v>29</v>
      </c>
    </row>
    <row r="40" spans="1:5" x14ac:dyDescent="0.25">
      <c r="A40" t="str">
        <f>CONCATENATE(Códigos!E40,Códigos!F40,Códigos!G40)</f>
        <v>vkh138</v>
      </c>
      <c r="B40" t="str">
        <f>Tabela5[[#This Row],[ID_Loja]]</f>
        <v>Loi3978j</v>
      </c>
      <c r="C40" t="s">
        <v>133</v>
      </c>
      <c r="D40" t="s">
        <v>96</v>
      </c>
      <c r="E40">
        <v>25</v>
      </c>
    </row>
    <row r="41" spans="1:5" x14ac:dyDescent="0.25">
      <c r="A41" t="str">
        <f>CONCATENATE(Códigos!E41,Códigos!F41,Códigos!G41)</f>
        <v>vlt139</v>
      </c>
      <c r="B41" t="str">
        <f>Lojas!A2</f>
        <v>Lab12a</v>
      </c>
      <c r="C41" t="s">
        <v>134</v>
      </c>
      <c r="D41" t="s">
        <v>96</v>
      </c>
      <c r="E41">
        <v>47</v>
      </c>
    </row>
    <row r="42" spans="1:5" x14ac:dyDescent="0.25">
      <c r="A42" t="str">
        <f>CONCATENATE(Códigos!E42,Códigos!F42,Códigos!G42)</f>
        <v>vab101</v>
      </c>
      <c r="B42" t="str">
        <f>Lojas!A3</f>
        <v>Lcb24f</v>
      </c>
      <c r="C42" t="s">
        <v>135</v>
      </c>
      <c r="D42" t="s">
        <v>96</v>
      </c>
      <c r="E42">
        <v>40</v>
      </c>
    </row>
    <row r="43" spans="1:5" x14ac:dyDescent="0.25">
      <c r="A43" t="str">
        <f>CONCATENATE(Códigos!E43,Códigos!F43,Códigos!G43)</f>
        <v>vfd102</v>
      </c>
      <c r="B43" t="str">
        <f>Lojas!A4</f>
        <v>Lkj36j</v>
      </c>
      <c r="C43" t="s">
        <v>136</v>
      </c>
      <c r="D43" t="s">
        <v>96</v>
      </c>
      <c r="E43">
        <v>26</v>
      </c>
    </row>
    <row r="44" spans="1:5" x14ac:dyDescent="0.25">
      <c r="A44" t="str">
        <f>CONCATENATE(Códigos!E44,Códigos!F44,Códigos!G44)</f>
        <v>vdh103</v>
      </c>
      <c r="B44" t="str">
        <f>Lojas!A5</f>
        <v>Lde48k</v>
      </c>
      <c r="C44" t="s">
        <v>137</v>
      </c>
      <c r="D44" t="s">
        <v>94</v>
      </c>
      <c r="E44">
        <v>29</v>
      </c>
    </row>
    <row r="45" spans="1:5" x14ac:dyDescent="0.25">
      <c r="A45" t="str">
        <f>CONCATENATE(Códigos!E45,Códigos!F45,Códigos!G45)</f>
        <v>vrt104</v>
      </c>
      <c r="B45" t="str">
        <f>Lojas!A6</f>
        <v>Llio510l</v>
      </c>
      <c r="C45" t="s">
        <v>138</v>
      </c>
      <c r="D45" t="s">
        <v>94</v>
      </c>
      <c r="E45">
        <v>30</v>
      </c>
    </row>
    <row r="46" spans="1:5" x14ac:dyDescent="0.25">
      <c r="A46" t="str">
        <f>CONCATENATE(Códigos!E46,Códigos!F46,Códigos!G46)</f>
        <v>vua105</v>
      </c>
      <c r="B46" t="str">
        <f>Lojas!A7</f>
        <v>Ljhy612u</v>
      </c>
      <c r="C46" t="s">
        <v>139</v>
      </c>
      <c r="D46" t="s">
        <v>94</v>
      </c>
      <c r="E46">
        <v>40</v>
      </c>
    </row>
    <row r="47" spans="1:5" x14ac:dyDescent="0.25">
      <c r="A47" t="str">
        <f>CONCATENATE(Códigos!E47,Códigos!F47,Códigos!G47)</f>
        <v>vko106</v>
      </c>
      <c r="B47" t="str">
        <f>Lojas!A8</f>
        <v>Loi714a</v>
      </c>
      <c r="C47" t="s">
        <v>140</v>
      </c>
      <c r="D47" t="s">
        <v>94</v>
      </c>
      <c r="E47">
        <v>26</v>
      </c>
    </row>
    <row r="48" spans="1:5" x14ac:dyDescent="0.25">
      <c r="A48" t="str">
        <f>CONCATENATE(Códigos!E48,Códigos!F48,Códigos!G48)</f>
        <v>vlp107</v>
      </c>
      <c r="B48" t="str">
        <f>Lojas!A9</f>
        <v>Lab816f</v>
      </c>
      <c r="C48" t="s">
        <v>141</v>
      </c>
      <c r="D48" t="s">
        <v>94</v>
      </c>
      <c r="E48">
        <v>30</v>
      </c>
    </row>
    <row r="49" spans="1:5" x14ac:dyDescent="0.25">
      <c r="A49" t="str">
        <f>CONCATENATE(Códigos!E49,Códigos!F49,Códigos!G49)</f>
        <v>vsr108</v>
      </c>
      <c r="B49" t="str">
        <f>Lojas!A10</f>
        <v>Lcb918j</v>
      </c>
      <c r="C49" t="s">
        <v>142</v>
      </c>
      <c r="D49" t="s">
        <v>94</v>
      </c>
      <c r="E49">
        <v>25</v>
      </c>
    </row>
    <row r="50" spans="1:5" x14ac:dyDescent="0.25">
      <c r="A50" t="str">
        <f>CONCATENATE(Códigos!E50,Códigos!F50,Códigos!G50)</f>
        <v>vvw109</v>
      </c>
      <c r="B50" t="str">
        <f>Lojas!A11</f>
        <v>Lkj1020k</v>
      </c>
      <c r="C50" t="s">
        <v>143</v>
      </c>
      <c r="D50" t="s">
        <v>94</v>
      </c>
      <c r="E50">
        <v>31</v>
      </c>
    </row>
    <row r="51" spans="1:5" x14ac:dyDescent="0.25">
      <c r="A51" t="str">
        <f>CONCATENATE(Códigos!E51,Códigos!F51,Códigos!G51)</f>
        <v>vzb110</v>
      </c>
      <c r="B51" t="str">
        <f>Lojas!A12</f>
        <v>Lde1122l</v>
      </c>
      <c r="C51" t="s">
        <v>144</v>
      </c>
      <c r="D51" t="s">
        <v>94</v>
      </c>
      <c r="E51">
        <v>40</v>
      </c>
    </row>
    <row r="52" spans="1:5" x14ac:dyDescent="0.25">
      <c r="A52" t="str">
        <f>CONCATENATE(Códigos!E52,Códigos!F52,Códigos!G52)</f>
        <v>vyd111</v>
      </c>
      <c r="B52" t="str">
        <f>Lojas!A13</f>
        <v>Llio1224o</v>
      </c>
      <c r="C52" t="s">
        <v>145</v>
      </c>
      <c r="D52" t="s">
        <v>96</v>
      </c>
      <c r="E52">
        <v>32</v>
      </c>
    </row>
    <row r="53" spans="1:5" x14ac:dyDescent="0.25">
      <c r="A53" t="str">
        <f>CONCATENATE(Códigos!E53,Códigos!F53,Códigos!G53)</f>
        <v>vah112</v>
      </c>
      <c r="B53" t="str">
        <f>Lojas!A14</f>
        <v>Ljhy1326p</v>
      </c>
      <c r="C53" t="s">
        <v>146</v>
      </c>
      <c r="D53" t="s">
        <v>96</v>
      </c>
      <c r="E53">
        <v>40</v>
      </c>
    </row>
    <row r="54" spans="1:5" x14ac:dyDescent="0.25">
      <c r="A54" t="str">
        <f>CONCATENATE(Códigos!E54,Códigos!F54,Códigos!G54)</f>
        <v>vft113</v>
      </c>
      <c r="B54" t="str">
        <f>Lojas!A15</f>
        <v>Loi1428t</v>
      </c>
      <c r="C54" t="s">
        <v>147</v>
      </c>
      <c r="D54" t="s">
        <v>96</v>
      </c>
      <c r="E54">
        <v>23</v>
      </c>
    </row>
    <row r="55" spans="1:5" x14ac:dyDescent="0.25">
      <c r="A55" t="str">
        <f>CONCATENATE(Códigos!E55,Códigos!F55,Códigos!G55)</f>
        <v>vda114</v>
      </c>
      <c r="B55" t="str">
        <f>Lojas!A16</f>
        <v>Lab1530r</v>
      </c>
      <c r="C55" t="s">
        <v>148</v>
      </c>
      <c r="D55" t="s">
        <v>94</v>
      </c>
      <c r="E55">
        <v>24</v>
      </c>
    </row>
    <row r="56" spans="1:5" x14ac:dyDescent="0.25">
      <c r="A56" t="str">
        <f>CONCATENATE(Códigos!E56,Códigos!F56,Códigos!G56)</f>
        <v>vro115</v>
      </c>
      <c r="B56" t="str">
        <f>Lojas!A17</f>
        <v>Lcb1632e</v>
      </c>
      <c r="C56" t="s">
        <v>149</v>
      </c>
      <c r="D56" t="s">
        <v>94</v>
      </c>
      <c r="E56">
        <v>25</v>
      </c>
    </row>
    <row r="57" spans="1:5" x14ac:dyDescent="0.25">
      <c r="A57" t="str">
        <f>CONCATENATE(Códigos!E57,Códigos!F57,Códigos!G57)</f>
        <v>vup116</v>
      </c>
      <c r="B57" t="str">
        <f>Lojas!A18</f>
        <v>Lkj1734qq</v>
      </c>
      <c r="C57" t="s">
        <v>150</v>
      </c>
      <c r="D57" t="s">
        <v>94</v>
      </c>
      <c r="E57">
        <v>28</v>
      </c>
    </row>
    <row r="58" spans="1:5" x14ac:dyDescent="0.25">
      <c r="A58" t="str">
        <f>CONCATENATE(Códigos!E58,Códigos!F58,Códigos!G58)</f>
        <v>vkr117</v>
      </c>
      <c r="B58" t="str">
        <f>Lojas!A19</f>
        <v>Lde1836s</v>
      </c>
      <c r="C58" t="s">
        <v>151</v>
      </c>
      <c r="D58" t="s">
        <v>96</v>
      </c>
      <c r="E58">
        <v>26</v>
      </c>
    </row>
    <row r="59" spans="1:5" x14ac:dyDescent="0.25">
      <c r="A59" t="str">
        <f>CONCATENATE(Códigos!E59,Códigos!F59,Códigos!G59)</f>
        <v>vlw118</v>
      </c>
      <c r="B59" t="str">
        <f>Lojas!A20</f>
        <v>Lae1938v</v>
      </c>
      <c r="C59" t="s">
        <v>152</v>
      </c>
      <c r="D59" t="s">
        <v>96</v>
      </c>
      <c r="E59">
        <v>27</v>
      </c>
    </row>
    <row r="60" spans="1:5" x14ac:dyDescent="0.25">
      <c r="A60" t="str">
        <f>CONCATENATE(Códigos!E60,Códigos!F60,Códigos!G60)</f>
        <v>vsb119</v>
      </c>
      <c r="B60" t="str">
        <f>Lojas!A21</f>
        <v>Lre2040g</v>
      </c>
      <c r="C60" t="s">
        <v>153</v>
      </c>
      <c r="D60" t="s">
        <v>94</v>
      </c>
      <c r="E60">
        <v>40</v>
      </c>
    </row>
    <row r="61" spans="1:5" x14ac:dyDescent="0.25">
      <c r="A61" t="str">
        <f>CONCATENATE(Códigos!E61,Códigos!F61,Códigos!G61)</f>
        <v>vvd120</v>
      </c>
      <c r="B61" t="str">
        <f>Lojas!A22</f>
        <v>Lrt2142h</v>
      </c>
      <c r="C61" t="s">
        <v>154</v>
      </c>
      <c r="D61" t="s">
        <v>94</v>
      </c>
      <c r="E61">
        <v>32</v>
      </c>
    </row>
    <row r="62" spans="1:5" x14ac:dyDescent="0.25">
      <c r="A62" t="str">
        <f>CONCATENATE(Códigos!E62,Códigos!F62,Códigos!G62)</f>
        <v>vzh121</v>
      </c>
      <c r="B62" t="str">
        <f>Lojas!A23</f>
        <v>Ltr2244j</v>
      </c>
      <c r="C62" t="s">
        <v>170</v>
      </c>
      <c r="D62" t="s">
        <v>94</v>
      </c>
      <c r="E62">
        <v>35</v>
      </c>
    </row>
  </sheetData>
  <pageMargins left="0.511811024" right="0.511811024" top="0.78740157499999996" bottom="0.78740157499999996" header="0.31496062000000002" footer="0.31496062000000002"/>
  <ignoredErrors>
    <ignoredError sqref="B41:B62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DA89-40A7-4BB7-9B11-32F11AE967F7}">
  <sheetPr codeName="Planilha5"/>
  <dimension ref="A1:C40"/>
  <sheetViews>
    <sheetView workbookViewId="0">
      <selection activeCell="A1047923" sqref="A1047923"/>
    </sheetView>
  </sheetViews>
  <sheetFormatPr defaultRowHeight="15" x14ac:dyDescent="0.25"/>
  <cols>
    <col min="1" max="1" width="23.42578125" customWidth="1"/>
    <col min="2" max="2" width="18.7109375" customWidth="1"/>
    <col min="3" max="3" width="12.7109375" customWidth="1"/>
  </cols>
  <sheetData>
    <row r="1" spans="1:3" x14ac:dyDescent="0.25">
      <c r="A1" s="1" t="s">
        <v>199</v>
      </c>
      <c r="B1" s="1" t="s">
        <v>200</v>
      </c>
      <c r="C1" s="1" t="s">
        <v>16</v>
      </c>
    </row>
    <row r="2" spans="1:3" x14ac:dyDescent="0.25">
      <c r="A2" t="str">
        <f>CONCATENATE(Códigos!I2,Códigos!J2,Códigos!K2,Códigos!L2)</f>
        <v>Lab12a</v>
      </c>
      <c r="B2" t="s">
        <v>63</v>
      </c>
      <c r="C2" t="s">
        <v>69</v>
      </c>
    </row>
    <row r="3" spans="1:3" x14ac:dyDescent="0.25">
      <c r="A3" t="str">
        <f>CONCATENATE(Códigos!I3,Códigos!J3,Códigos!K3,Códigos!L3)</f>
        <v>Lcb24f</v>
      </c>
      <c r="B3" t="s">
        <v>63</v>
      </c>
      <c r="C3" t="s">
        <v>69</v>
      </c>
    </row>
    <row r="4" spans="1:3" x14ac:dyDescent="0.25">
      <c r="A4" t="str">
        <f>CONCATENATE(Códigos!I4,Códigos!J4,Códigos!K4,Códigos!L4)</f>
        <v>Lkj36j</v>
      </c>
      <c r="B4" t="s">
        <v>66</v>
      </c>
      <c r="C4" t="s">
        <v>72</v>
      </c>
    </row>
    <row r="5" spans="1:3" x14ac:dyDescent="0.25">
      <c r="A5" t="str">
        <f>CONCATENATE(Códigos!I5,Códigos!J5,Códigos!K5,Códigos!L5)</f>
        <v>Lde48k</v>
      </c>
      <c r="B5" t="s">
        <v>65</v>
      </c>
      <c r="C5" t="s">
        <v>71</v>
      </c>
    </row>
    <row r="6" spans="1:3" x14ac:dyDescent="0.25">
      <c r="A6" t="str">
        <f>CONCATENATE(Códigos!I6,Códigos!J6,Códigos!K6,Códigos!L6)</f>
        <v>Llio510l</v>
      </c>
      <c r="B6" t="s">
        <v>65</v>
      </c>
      <c r="C6" t="s">
        <v>71</v>
      </c>
    </row>
    <row r="7" spans="1:3" x14ac:dyDescent="0.25">
      <c r="A7" t="str">
        <f>CONCATENATE(Códigos!I7,Códigos!J7,Códigos!K7,Códigos!L7)</f>
        <v>Ljhy612u</v>
      </c>
      <c r="B7" t="s">
        <v>64</v>
      </c>
      <c r="C7" t="s">
        <v>70</v>
      </c>
    </row>
    <row r="8" spans="1:3" x14ac:dyDescent="0.25">
      <c r="A8" t="str">
        <f>CONCATENATE(Códigos!I8,Códigos!J8,Códigos!K8,Códigos!L8)</f>
        <v>Loi714a</v>
      </c>
      <c r="B8" t="s">
        <v>64</v>
      </c>
      <c r="C8" t="s">
        <v>70</v>
      </c>
    </row>
    <row r="9" spans="1:3" x14ac:dyDescent="0.25">
      <c r="A9" t="str">
        <f>CONCATENATE(Códigos!I9,Códigos!J9,Códigos!K9,Códigos!L9)</f>
        <v>Lab816f</v>
      </c>
      <c r="B9" t="s">
        <v>168</v>
      </c>
      <c r="C9" t="s">
        <v>169</v>
      </c>
    </row>
    <row r="10" spans="1:3" x14ac:dyDescent="0.25">
      <c r="A10" t="str">
        <f>CONCATENATE(Códigos!I10,Códigos!J10,Códigos!K10,Códigos!L10)</f>
        <v>Lcb918j</v>
      </c>
      <c r="B10" t="s">
        <v>168</v>
      </c>
      <c r="C10" t="s">
        <v>169</v>
      </c>
    </row>
    <row r="11" spans="1:3" x14ac:dyDescent="0.25">
      <c r="A11" t="str">
        <f>CONCATENATE(Códigos!I11,Códigos!J11,Códigos!K11,Códigos!L11)</f>
        <v>Lkj1020k</v>
      </c>
      <c r="B11" t="s">
        <v>201</v>
      </c>
      <c r="C11" t="s">
        <v>71</v>
      </c>
    </row>
    <row r="12" spans="1:3" x14ac:dyDescent="0.25">
      <c r="A12" t="str">
        <f>CONCATENATE(Códigos!I12,Códigos!J12,Códigos!K12,Códigos!L12)</f>
        <v>Lde1122l</v>
      </c>
      <c r="B12" t="s">
        <v>68</v>
      </c>
      <c r="C12" t="s">
        <v>71</v>
      </c>
    </row>
    <row r="13" spans="1:3" x14ac:dyDescent="0.25">
      <c r="A13" t="str">
        <f>CONCATENATE(Códigos!I13,Códigos!J13,Códigos!K13,Códigos!L13)</f>
        <v>Llio1224o</v>
      </c>
      <c r="B13" t="s">
        <v>67</v>
      </c>
      <c r="C13" t="s">
        <v>73</v>
      </c>
    </row>
    <row r="14" spans="1:3" x14ac:dyDescent="0.25">
      <c r="A14" t="str">
        <f>CONCATENATE(Códigos!I14,Códigos!J14,Códigos!K14,Códigos!L14)</f>
        <v>Ljhy1326p</v>
      </c>
      <c r="B14" t="s">
        <v>202</v>
      </c>
      <c r="C14" t="s">
        <v>203</v>
      </c>
    </row>
    <row r="15" spans="1:3" x14ac:dyDescent="0.25">
      <c r="A15" t="str">
        <f>CONCATENATE(Códigos!I15,Códigos!J15,Códigos!K15,Códigos!L15)</f>
        <v>Loi1428t</v>
      </c>
      <c r="B15" t="s">
        <v>204</v>
      </c>
      <c r="C15" t="s">
        <v>71</v>
      </c>
    </row>
    <row r="16" spans="1:3" x14ac:dyDescent="0.25">
      <c r="A16" t="str">
        <f>CONCATENATE(Códigos!I16,Códigos!J16,Códigos!K16,Códigos!L16)</f>
        <v>Lab1530r</v>
      </c>
      <c r="B16" t="s">
        <v>204</v>
      </c>
      <c r="C16" t="s">
        <v>71</v>
      </c>
    </row>
    <row r="17" spans="1:3" x14ac:dyDescent="0.25">
      <c r="A17" t="str">
        <f>CONCATENATE(Códigos!I17,Códigos!J17,Códigos!K17,Códigos!L17)</f>
        <v>Lcb1632e</v>
      </c>
      <c r="B17" t="s">
        <v>205</v>
      </c>
      <c r="C17" t="s">
        <v>69</v>
      </c>
    </row>
    <row r="18" spans="1:3" x14ac:dyDescent="0.25">
      <c r="A18" t="str">
        <f>CONCATENATE(Códigos!I18,Códigos!J18,Códigos!K18,Códigos!L18)</f>
        <v>Lkj1734qq</v>
      </c>
      <c r="B18" t="s">
        <v>206</v>
      </c>
      <c r="C18" t="s">
        <v>69</v>
      </c>
    </row>
    <row r="19" spans="1:3" x14ac:dyDescent="0.25">
      <c r="A19" t="str">
        <f>CONCATENATE(Códigos!I19,Códigos!J19,Códigos!K19,Códigos!L19)</f>
        <v>Lde1836s</v>
      </c>
      <c r="B19" t="s">
        <v>207</v>
      </c>
      <c r="C19" t="s">
        <v>69</v>
      </c>
    </row>
    <row r="20" spans="1:3" x14ac:dyDescent="0.25">
      <c r="A20" t="str">
        <f>CONCATENATE(Códigos!I20,Códigos!J20,Códigos!K20,Códigos!L20)</f>
        <v>Lae1938v</v>
      </c>
      <c r="B20" t="s">
        <v>208</v>
      </c>
      <c r="C20" t="s">
        <v>69</v>
      </c>
    </row>
    <row r="21" spans="1:3" x14ac:dyDescent="0.25">
      <c r="A21" t="str">
        <f>CONCATENATE(Códigos!I21,Códigos!J21,Códigos!K21,Códigos!L21)</f>
        <v>Lre2040g</v>
      </c>
      <c r="B21" t="s">
        <v>209</v>
      </c>
      <c r="C21" t="s">
        <v>69</v>
      </c>
    </row>
    <row r="22" spans="1:3" x14ac:dyDescent="0.25">
      <c r="A22" t="str">
        <f>CONCATENATE(Códigos!I22,Códigos!J22,Códigos!K22,Códigos!L22)</f>
        <v>Lrt2142h</v>
      </c>
      <c r="B22" t="s">
        <v>205</v>
      </c>
      <c r="C22" t="s">
        <v>69</v>
      </c>
    </row>
    <row r="23" spans="1:3" x14ac:dyDescent="0.25">
      <c r="A23" t="str">
        <f>CONCATENATE(Códigos!I23,Códigos!J23,Códigos!K23,Códigos!L23)</f>
        <v>Ltr2244j</v>
      </c>
      <c r="B23" t="s">
        <v>66</v>
      </c>
      <c r="C23" t="s">
        <v>72</v>
      </c>
    </row>
    <row r="24" spans="1:3" x14ac:dyDescent="0.25">
      <c r="A24" t="str">
        <f>CONCATENATE(Códigos!I24,Códigos!J24,Códigos!K24,Códigos!L24)</f>
        <v>Lae2346y</v>
      </c>
      <c r="B24" t="s">
        <v>210</v>
      </c>
      <c r="C24" t="s">
        <v>72</v>
      </c>
    </row>
    <row r="25" spans="1:3" x14ac:dyDescent="0.25">
      <c r="A25" t="str">
        <f>CONCATENATE(Códigos!I25,Códigos!J25,Códigos!K25,Códigos!L25)</f>
        <v>Lre2448e</v>
      </c>
      <c r="B25" t="s">
        <v>211</v>
      </c>
      <c r="C25" t="s">
        <v>69</v>
      </c>
    </row>
    <row r="26" spans="1:3" x14ac:dyDescent="0.25">
      <c r="A26" t="str">
        <f>CONCATENATE(Códigos!I26,Códigos!J26,Códigos!K26,Códigos!L26)</f>
        <v>Lrt2550ww</v>
      </c>
      <c r="B26" t="s">
        <v>212</v>
      </c>
      <c r="C26" t="s">
        <v>69</v>
      </c>
    </row>
    <row r="27" spans="1:3" x14ac:dyDescent="0.25">
      <c r="A27" t="str">
        <f>CONCATENATE(Códigos!I27,Códigos!J27,Códigos!K27,Códigos!L27)</f>
        <v>Ltr2652r</v>
      </c>
      <c r="B27" t="s">
        <v>213</v>
      </c>
      <c r="C27" t="s">
        <v>71</v>
      </c>
    </row>
    <row r="28" spans="1:3" x14ac:dyDescent="0.25">
      <c r="A28" t="str">
        <f>CONCATENATE(Códigos!I28,Códigos!J28,Códigos!K28,Códigos!L28)</f>
        <v>Lae2754t</v>
      </c>
      <c r="B28" t="s">
        <v>65</v>
      </c>
      <c r="C28" t="s">
        <v>71</v>
      </c>
    </row>
    <row r="29" spans="1:3" x14ac:dyDescent="0.25">
      <c r="A29" t="str">
        <f>CONCATENATE(Códigos!I29,Códigos!J29,Códigos!K29,Códigos!L29)</f>
        <v>Lre2856y</v>
      </c>
      <c r="B29" t="s">
        <v>214</v>
      </c>
      <c r="C29" t="s">
        <v>215</v>
      </c>
    </row>
    <row r="30" spans="1:3" x14ac:dyDescent="0.25">
      <c r="A30" t="str">
        <f>CONCATENATE(Códigos!I30,Códigos!J30,Códigos!K30,Códigos!L30)</f>
        <v>Lrt2958u</v>
      </c>
      <c r="B30" t="s">
        <v>216</v>
      </c>
      <c r="C30" t="s">
        <v>70</v>
      </c>
    </row>
    <row r="31" spans="1:3" x14ac:dyDescent="0.25">
      <c r="A31" t="str">
        <f>CONCATENATE(Códigos!I31,Códigos!J31,Códigos!K31,Códigos!L31)</f>
        <v>Ltr3060i</v>
      </c>
      <c r="B31" t="s">
        <v>217</v>
      </c>
      <c r="C31" t="s">
        <v>218</v>
      </c>
    </row>
    <row r="32" spans="1:3" x14ac:dyDescent="0.25">
      <c r="A32" t="str">
        <f>CONCATENATE(Códigos!I32,Códigos!J32,Códigos!K32,Códigos!L32)</f>
        <v>Lae3162o</v>
      </c>
      <c r="B32" t="s">
        <v>219</v>
      </c>
      <c r="C32" t="s">
        <v>220</v>
      </c>
    </row>
    <row r="33" spans="1:3" x14ac:dyDescent="0.25">
      <c r="A33" t="str">
        <f>CONCATENATE(Códigos!I33,Códigos!J33,Códigos!K33,Códigos!L33)</f>
        <v>Lre3264f</v>
      </c>
      <c r="B33" t="s">
        <v>221</v>
      </c>
      <c r="C33" t="s">
        <v>69</v>
      </c>
    </row>
    <row r="34" spans="1:3" x14ac:dyDescent="0.25">
      <c r="A34" t="str">
        <f>CONCATENATE(Códigos!I34,Códigos!J34,Códigos!K34,Códigos!L34)</f>
        <v>Lrt3366g</v>
      </c>
      <c r="B34" t="s">
        <v>222</v>
      </c>
      <c r="C34" t="s">
        <v>223</v>
      </c>
    </row>
    <row r="35" spans="1:3" x14ac:dyDescent="0.25">
      <c r="A35" t="str">
        <f>CONCATENATE(Códigos!I35,Códigos!J35,Códigos!K35,Códigos!L35)</f>
        <v>Ltr3468j</v>
      </c>
      <c r="B35" t="s">
        <v>224</v>
      </c>
      <c r="C35" t="s">
        <v>69</v>
      </c>
    </row>
    <row r="36" spans="1:3" x14ac:dyDescent="0.25">
      <c r="A36" t="str">
        <f>CONCATENATE(Códigos!I36,Códigos!J36,Códigos!K36,Códigos!L36)</f>
        <v>Lae3570b</v>
      </c>
      <c r="B36" t="s">
        <v>163</v>
      </c>
      <c r="C36" t="s">
        <v>69</v>
      </c>
    </row>
    <row r="37" spans="1:3" x14ac:dyDescent="0.25">
      <c r="A37" t="str">
        <f>CONCATENATE(Códigos!I37,Códigos!J37,Códigos!K37,Códigos!L37)</f>
        <v>Lre3672n</v>
      </c>
      <c r="B37" t="s">
        <v>205</v>
      </c>
      <c r="C37" t="s">
        <v>69</v>
      </c>
    </row>
    <row r="38" spans="1:3" x14ac:dyDescent="0.25">
      <c r="A38" t="str">
        <f>CONCATENATE(Códigos!I38,Códigos!J38,Códigos!K38,Códigos!L38)</f>
        <v>Lrt3774m</v>
      </c>
      <c r="B38" t="s">
        <v>205</v>
      </c>
      <c r="C38" t="s">
        <v>69</v>
      </c>
    </row>
    <row r="39" spans="1:3" x14ac:dyDescent="0.25">
      <c r="A39" t="str">
        <f>CONCATENATE(Códigos!I39,Códigos!J39,Códigos!K39,Códigos!L39)</f>
        <v>Luy3876k</v>
      </c>
      <c r="B39" t="s">
        <v>208</v>
      </c>
      <c r="C39" t="s">
        <v>69</v>
      </c>
    </row>
    <row r="40" spans="1:3" x14ac:dyDescent="0.25">
      <c r="A40" t="str">
        <f>CONCATENATE(Códigos!I40,Códigos!J40,Códigos!K40,Códigos!L40)</f>
        <v>Loi3978j</v>
      </c>
      <c r="B40" t="s">
        <v>225</v>
      </c>
      <c r="C40" t="s">
        <v>169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ED5F-810D-4922-AF42-C3750DEBCBC4}">
  <sheetPr codeName="Planilha6"/>
  <dimension ref="A1:G91"/>
  <sheetViews>
    <sheetView topLeftCell="A63" workbookViewId="0">
      <selection activeCell="B92" sqref="B92"/>
    </sheetView>
  </sheetViews>
  <sheetFormatPr defaultRowHeight="15" x14ac:dyDescent="0.25"/>
  <cols>
    <col min="1" max="1" width="19.28515625" customWidth="1"/>
    <col min="2" max="2" width="19.5703125" customWidth="1"/>
    <col min="3" max="3" width="15.5703125" customWidth="1"/>
    <col min="4" max="4" width="14.85546875" customWidth="1"/>
    <col min="5" max="5" width="16.85546875" customWidth="1"/>
  </cols>
  <sheetData>
    <row r="1" spans="1:5" x14ac:dyDescent="0.25">
      <c r="A1" t="s">
        <v>229</v>
      </c>
      <c r="B1" t="s">
        <v>230</v>
      </c>
      <c r="C1" t="s">
        <v>231</v>
      </c>
      <c r="D1" t="s">
        <v>232</v>
      </c>
      <c r="E1" t="s">
        <v>233</v>
      </c>
    </row>
    <row r="2" spans="1:5" x14ac:dyDescent="0.25">
      <c r="A2" t="str">
        <f>CONCATENATE(Códigos!N2,Códigos!O2,Códigos!P2,Códigos!Q2)</f>
        <v>cz200a</v>
      </c>
      <c r="B2" t="s">
        <v>234</v>
      </c>
      <c r="C2" t="s">
        <v>235</v>
      </c>
      <c r="D2">
        <v>0.5</v>
      </c>
      <c r="E2">
        <v>1</v>
      </c>
    </row>
    <row r="3" spans="1:5" x14ac:dyDescent="0.25">
      <c r="A3" t="str">
        <f>CONCATENATE(Códigos!N3,Códigos!O3,Códigos!P3,Códigos!Q3)</f>
        <v>dx202g</v>
      </c>
      <c r="B3" t="s">
        <v>236</v>
      </c>
      <c r="C3" t="s">
        <v>235</v>
      </c>
      <c r="D3">
        <v>1</v>
      </c>
      <c r="E3">
        <v>2</v>
      </c>
    </row>
    <row r="4" spans="1:5" x14ac:dyDescent="0.25">
      <c r="A4" t="str">
        <f>CONCATENATE(Códigos!N4,Códigos!O4,Códigos!P4,Códigos!Q4)</f>
        <v>gv204h</v>
      </c>
      <c r="B4" t="s">
        <v>237</v>
      </c>
      <c r="C4" t="s">
        <v>238</v>
      </c>
      <c r="D4">
        <v>50</v>
      </c>
      <c r="E4">
        <v>80</v>
      </c>
    </row>
    <row r="5" spans="1:5" x14ac:dyDescent="0.25">
      <c r="A5" t="str">
        <f>CONCATENATE(Códigos!N5,Códigos!O5,Códigos!P5,Códigos!Q5)</f>
        <v>hd206y</v>
      </c>
      <c r="B5" t="s">
        <v>239</v>
      </c>
      <c r="C5" t="s">
        <v>238</v>
      </c>
      <c r="D5">
        <v>20</v>
      </c>
      <c r="E5">
        <v>45</v>
      </c>
    </row>
    <row r="6" spans="1:5" x14ac:dyDescent="0.25">
      <c r="A6" t="str">
        <f>CONCATENATE(Códigos!N6,Códigos!O6,Códigos!P6,Códigos!Q6)</f>
        <v>ts208u</v>
      </c>
      <c r="B6" t="s">
        <v>240</v>
      </c>
      <c r="C6" t="s">
        <v>238</v>
      </c>
      <c r="D6">
        <v>50</v>
      </c>
      <c r="E6">
        <v>90</v>
      </c>
    </row>
    <row r="7" spans="1:5" x14ac:dyDescent="0.25">
      <c r="A7" t="str">
        <f>CONCATENATE(Códigos!N7,Códigos!O7,Códigos!P7,Códigos!Q7)</f>
        <v>ya210q</v>
      </c>
      <c r="B7" t="s">
        <v>241</v>
      </c>
      <c r="C7" t="s">
        <v>242</v>
      </c>
      <c r="D7">
        <v>1000</v>
      </c>
      <c r="E7">
        <v>1300</v>
      </c>
    </row>
    <row r="8" spans="1:5" x14ac:dyDescent="0.25">
      <c r="A8" t="str">
        <f>CONCATENATE(Códigos!N8,Códigos!O8,Códigos!P8,Códigos!Q8)</f>
        <v>uz212a</v>
      </c>
      <c r="B8" t="s">
        <v>243</v>
      </c>
      <c r="C8" t="s">
        <v>242</v>
      </c>
      <c r="D8">
        <v>1200</v>
      </c>
      <c r="E8">
        <v>1800</v>
      </c>
    </row>
    <row r="9" spans="1:5" x14ac:dyDescent="0.25">
      <c r="A9" t="str">
        <f>CONCATENATE(Códigos!N9,Códigos!O9,Códigos!P9,Códigos!Q9)</f>
        <v>cx214g</v>
      </c>
      <c r="B9" t="s">
        <v>244</v>
      </c>
      <c r="C9" t="s">
        <v>245</v>
      </c>
      <c r="D9">
        <v>1250</v>
      </c>
      <c r="E9">
        <v>1900</v>
      </c>
    </row>
    <row r="10" spans="1:5" x14ac:dyDescent="0.25">
      <c r="A10" t="str">
        <f>CONCATENATE(Códigos!N10,Códigos!O10,Códigos!P10,Códigos!Q10)</f>
        <v>dv216h</v>
      </c>
      <c r="B10" t="s">
        <v>246</v>
      </c>
      <c r="C10" t="s">
        <v>242</v>
      </c>
      <c r="D10">
        <v>1400</v>
      </c>
      <c r="E10">
        <v>2100</v>
      </c>
    </row>
    <row r="11" spans="1:5" x14ac:dyDescent="0.25">
      <c r="A11" t="str">
        <f>CONCATENATE(Códigos!N11,Códigos!O11,Códigos!P11,Códigos!Q11)</f>
        <v>gd218y</v>
      </c>
      <c r="B11" t="s">
        <v>247</v>
      </c>
      <c r="C11" t="s">
        <v>53</v>
      </c>
      <c r="D11">
        <v>2000</v>
      </c>
      <c r="E11">
        <v>2600</v>
      </c>
    </row>
    <row r="12" spans="1:5" x14ac:dyDescent="0.25">
      <c r="A12" t="str">
        <f>CONCATENATE(Códigos!N12,Códigos!O12,Códigos!P12,Códigos!Q12)</f>
        <v>hs220j</v>
      </c>
      <c r="B12" t="s">
        <v>248</v>
      </c>
      <c r="C12" t="s">
        <v>53</v>
      </c>
      <c r="D12">
        <v>2200</v>
      </c>
      <c r="E12">
        <v>3000</v>
      </c>
    </row>
    <row r="13" spans="1:5" x14ac:dyDescent="0.25">
      <c r="A13" t="str">
        <f>CONCATENATE(Códigos!N13,Códigos!O13,Códigos!P13,Códigos!Q13)</f>
        <v>ka222y</v>
      </c>
      <c r="B13" t="s">
        <v>249</v>
      </c>
      <c r="C13" t="s">
        <v>53</v>
      </c>
      <c r="D13">
        <v>2500</v>
      </c>
      <c r="E13">
        <v>3300</v>
      </c>
    </row>
    <row r="14" spans="1:5" x14ac:dyDescent="0.25">
      <c r="A14" t="str">
        <f>CONCATENATE(Códigos!N14,Códigos!O14,Códigos!P14,Códigos!Q14)</f>
        <v>lz224t</v>
      </c>
      <c r="B14" t="s">
        <v>250</v>
      </c>
      <c r="C14" t="s">
        <v>235</v>
      </c>
      <c r="D14">
        <v>250</v>
      </c>
      <c r="E14">
        <v>400</v>
      </c>
    </row>
    <row r="15" spans="1:5" x14ac:dyDescent="0.25">
      <c r="A15" t="str">
        <f>CONCATENATE(Códigos!N15,Códigos!O15,Códigos!P15,Códigos!Q15)</f>
        <v>ox226r</v>
      </c>
      <c r="B15" t="s">
        <v>251</v>
      </c>
      <c r="C15" t="s">
        <v>235</v>
      </c>
      <c r="D15">
        <v>600</v>
      </c>
      <c r="E15">
        <v>890</v>
      </c>
    </row>
    <row r="16" spans="1:5" x14ac:dyDescent="0.25">
      <c r="A16" t="str">
        <f>CONCATENATE(Códigos!N16,Códigos!O16,Códigos!P16,Códigos!Q16)</f>
        <v>iv228n</v>
      </c>
      <c r="B16" t="s">
        <v>252</v>
      </c>
      <c r="C16" t="s">
        <v>253</v>
      </c>
      <c r="D16">
        <v>500</v>
      </c>
      <c r="E16">
        <v>900</v>
      </c>
    </row>
    <row r="17" spans="1:5" x14ac:dyDescent="0.25">
      <c r="A17" t="str">
        <f>CONCATENATE(Códigos!N17,Códigos!O17,Códigos!P17,Códigos!Q17)</f>
        <v>ud230m</v>
      </c>
      <c r="B17" t="s">
        <v>254</v>
      </c>
      <c r="C17" t="s">
        <v>235</v>
      </c>
      <c r="D17">
        <v>450</v>
      </c>
      <c r="E17">
        <v>870</v>
      </c>
    </row>
    <row r="18" spans="1:5" x14ac:dyDescent="0.25">
      <c r="A18" t="str">
        <f>CONCATENATE(Códigos!N18,Códigos!O18,Códigos!P18,Códigos!Q18)</f>
        <v>wu232l</v>
      </c>
      <c r="B18" t="s">
        <v>255</v>
      </c>
      <c r="C18" t="s">
        <v>235</v>
      </c>
      <c r="D18">
        <v>800</v>
      </c>
      <c r="E18">
        <v>1600</v>
      </c>
    </row>
    <row r="19" spans="1:5" x14ac:dyDescent="0.25">
      <c r="A19" t="str">
        <f>CONCATENATE(Códigos!N19,Códigos!O19,Códigos!P19,Códigos!Q19)</f>
        <v>qo234h</v>
      </c>
      <c r="B19" t="s">
        <v>256</v>
      </c>
      <c r="C19" t="s">
        <v>235</v>
      </c>
      <c r="D19">
        <v>80</v>
      </c>
      <c r="E19">
        <v>170</v>
      </c>
    </row>
    <row r="20" spans="1:5" x14ac:dyDescent="0.25">
      <c r="A20" t="str">
        <f>CONCATENATE(Códigos!N20,Códigos!O20,Códigos!P20,Códigos!Q20)</f>
        <v>sp236a</v>
      </c>
      <c r="B20" t="s">
        <v>257</v>
      </c>
      <c r="C20" t="s">
        <v>235</v>
      </c>
      <c r="D20">
        <v>100</v>
      </c>
      <c r="E20">
        <v>200</v>
      </c>
    </row>
    <row r="21" spans="1:5" x14ac:dyDescent="0.25">
      <c r="A21" t="str">
        <f>CONCATENATE(Códigos!N21,Códigos!O21,Códigos!P21,Códigos!Q21)</f>
        <v>dw238m</v>
      </c>
      <c r="B21" t="s">
        <v>258</v>
      </c>
      <c r="C21" t="s">
        <v>235</v>
      </c>
      <c r="D21">
        <v>120</v>
      </c>
      <c r="E21">
        <v>230</v>
      </c>
    </row>
    <row r="22" spans="1:5" x14ac:dyDescent="0.25">
      <c r="A22" t="str">
        <f>CONCATENATE(Códigos!N22,Códigos!O22,Códigos!P22,Códigos!Q22)</f>
        <v>cm240l</v>
      </c>
      <c r="B22" t="s">
        <v>259</v>
      </c>
      <c r="C22" t="s">
        <v>235</v>
      </c>
      <c r="D22">
        <v>150</v>
      </c>
      <c r="E22">
        <v>280</v>
      </c>
    </row>
    <row r="23" spans="1:5" x14ac:dyDescent="0.25">
      <c r="A23" t="str">
        <f>CONCATENATE(Códigos!N23,Códigos!O23,Códigos!P23,Códigos!Q23)</f>
        <v>dl242h</v>
      </c>
      <c r="B23" t="s">
        <v>260</v>
      </c>
      <c r="C23" t="s">
        <v>235</v>
      </c>
      <c r="D23">
        <v>50</v>
      </c>
      <c r="E23">
        <v>110</v>
      </c>
    </row>
    <row r="24" spans="1:5" x14ac:dyDescent="0.25">
      <c r="A24" t="str">
        <f>CONCATENATE(Códigos!N24,Códigos!O24,Códigos!P24,Códigos!Q24)</f>
        <v>gh244a</v>
      </c>
      <c r="B24" t="s">
        <v>261</v>
      </c>
      <c r="C24" t="s">
        <v>235</v>
      </c>
      <c r="D24">
        <v>60</v>
      </c>
      <c r="E24">
        <v>120</v>
      </c>
    </row>
    <row r="25" spans="1:5" x14ac:dyDescent="0.25">
      <c r="A25" t="str">
        <f>CONCATENATE(Códigos!N25,Códigos!O25,Códigos!P25,Códigos!Q25)</f>
        <v>hd246m</v>
      </c>
      <c r="B25" t="s">
        <v>262</v>
      </c>
      <c r="C25" t="s">
        <v>235</v>
      </c>
      <c r="D25">
        <v>70</v>
      </c>
      <c r="E25">
        <v>150</v>
      </c>
    </row>
    <row r="26" spans="1:5" x14ac:dyDescent="0.25">
      <c r="A26" t="str">
        <f>CONCATENATE(Códigos!N26,Códigos!O26,Códigos!P26,Códigos!Q26)</f>
        <v>ta248l</v>
      </c>
      <c r="B26" t="s">
        <v>263</v>
      </c>
      <c r="C26" t="s">
        <v>235</v>
      </c>
      <c r="D26">
        <v>75</v>
      </c>
      <c r="E26">
        <v>160</v>
      </c>
    </row>
    <row r="27" spans="1:5" x14ac:dyDescent="0.25">
      <c r="A27" t="str">
        <f>CONCATENATE(Códigos!N27,Códigos!O27,Códigos!P27,Códigos!Q27)</f>
        <v>yv250h</v>
      </c>
      <c r="B27" t="s">
        <v>264</v>
      </c>
      <c r="C27" t="s">
        <v>235</v>
      </c>
      <c r="D27">
        <v>85</v>
      </c>
      <c r="E27">
        <v>170</v>
      </c>
    </row>
    <row r="28" spans="1:5" x14ac:dyDescent="0.25">
      <c r="A28" t="str">
        <f>CONCATENATE(Códigos!N28,Códigos!O28,Códigos!P28,Códigos!Q28)</f>
        <v>ud252a</v>
      </c>
      <c r="B28" t="s">
        <v>265</v>
      </c>
      <c r="C28" t="s">
        <v>235</v>
      </c>
      <c r="D28">
        <v>90</v>
      </c>
      <c r="E28">
        <v>190</v>
      </c>
    </row>
    <row r="29" spans="1:5" x14ac:dyDescent="0.25">
      <c r="A29" t="str">
        <f>CONCATENATE(Códigos!N29,Códigos!O29,Códigos!P29,Códigos!Q29)</f>
        <v>cu254m</v>
      </c>
      <c r="B29" t="s">
        <v>266</v>
      </c>
      <c r="C29" t="s">
        <v>235</v>
      </c>
      <c r="D29">
        <v>110</v>
      </c>
      <c r="E29">
        <v>220</v>
      </c>
    </row>
    <row r="30" spans="1:5" x14ac:dyDescent="0.25">
      <c r="A30" t="str">
        <f>CONCATENATE(Códigos!N30,Códigos!O30,Códigos!P30,Códigos!Q30)</f>
        <v>do256a</v>
      </c>
      <c r="B30" t="s">
        <v>267</v>
      </c>
      <c r="C30" t="s">
        <v>235</v>
      </c>
      <c r="D30">
        <v>130</v>
      </c>
      <c r="E30">
        <v>280</v>
      </c>
    </row>
    <row r="31" spans="1:5" x14ac:dyDescent="0.25">
      <c r="A31" t="str">
        <f>CONCATENATE(Códigos!N31,Códigos!O31,Códigos!P31,Códigos!Q31)</f>
        <v>gp258j</v>
      </c>
      <c r="B31" t="s">
        <v>268</v>
      </c>
      <c r="C31" t="s">
        <v>235</v>
      </c>
      <c r="D31">
        <v>300</v>
      </c>
      <c r="E31">
        <v>550</v>
      </c>
    </row>
    <row r="32" spans="1:5" x14ac:dyDescent="0.25">
      <c r="A32" t="str">
        <f>CONCATENATE(Códigos!N32,Códigos!O32,Códigos!P32,Códigos!Q32)</f>
        <v>hw260u</v>
      </c>
      <c r="B32" t="s">
        <v>269</v>
      </c>
      <c r="C32" t="s">
        <v>235</v>
      </c>
      <c r="D32">
        <v>350</v>
      </c>
      <c r="E32">
        <v>650</v>
      </c>
    </row>
    <row r="33" spans="1:5" x14ac:dyDescent="0.25">
      <c r="A33" t="str">
        <f>CONCATENATE(Códigos!N33,Códigos!O33,Códigos!P33,Códigos!Q33)</f>
        <v>km262r</v>
      </c>
      <c r="B33" t="s">
        <v>270</v>
      </c>
      <c r="C33" t="s">
        <v>235</v>
      </c>
      <c r="D33">
        <v>400</v>
      </c>
      <c r="E33">
        <v>700</v>
      </c>
    </row>
    <row r="34" spans="1:5" x14ac:dyDescent="0.25">
      <c r="A34" t="str">
        <f>CONCATENATE(Códigos!N34,Códigos!O34,Códigos!P34,Códigos!Q34)</f>
        <v>ll264t</v>
      </c>
      <c r="B34" t="s">
        <v>271</v>
      </c>
      <c r="C34" t="s">
        <v>235</v>
      </c>
      <c r="D34">
        <v>600</v>
      </c>
      <c r="E34">
        <v>1000</v>
      </c>
    </row>
    <row r="35" spans="1:5" x14ac:dyDescent="0.25">
      <c r="A35" t="str">
        <f>CONCATENATE(Códigos!N35,Códigos!O35,Códigos!P35,Códigos!Q35)</f>
        <v>oh266m</v>
      </c>
      <c r="B35" t="s">
        <v>272</v>
      </c>
      <c r="C35" t="s">
        <v>235</v>
      </c>
      <c r="D35">
        <v>700</v>
      </c>
      <c r="E35">
        <v>1100</v>
      </c>
    </row>
    <row r="36" spans="1:5" x14ac:dyDescent="0.25">
      <c r="A36" t="str">
        <f>CONCATENATE(Códigos!N36,Códigos!O36,Códigos!P36,Códigos!Q36)</f>
        <v>id268t</v>
      </c>
      <c r="B36" t="s">
        <v>273</v>
      </c>
      <c r="C36" t="s">
        <v>235</v>
      </c>
      <c r="D36">
        <v>900</v>
      </c>
      <c r="E36">
        <v>1600</v>
      </c>
    </row>
    <row r="37" spans="1:5" x14ac:dyDescent="0.25">
      <c r="A37" t="str">
        <f>CONCATENATE(Códigos!N37,Códigos!O37,Códigos!P37,Códigos!Q37)</f>
        <v>ua270r</v>
      </c>
      <c r="B37" t="s">
        <v>274</v>
      </c>
      <c r="C37" t="s">
        <v>275</v>
      </c>
      <c r="D37">
        <v>10</v>
      </c>
      <c r="E37">
        <v>20</v>
      </c>
    </row>
    <row r="38" spans="1:5" x14ac:dyDescent="0.25">
      <c r="A38" t="str">
        <f>CONCATENATE(Códigos!N38,Códigos!O38,Códigos!P38,Códigos!Q38)</f>
        <v>wl272n</v>
      </c>
      <c r="B38" t="s">
        <v>276</v>
      </c>
      <c r="C38" t="s">
        <v>275</v>
      </c>
      <c r="D38">
        <v>15</v>
      </c>
      <c r="E38">
        <v>30</v>
      </c>
    </row>
    <row r="39" spans="1:5" x14ac:dyDescent="0.25">
      <c r="A39" t="str">
        <f>CONCATENATE(Códigos!N39,Códigos!O39,Códigos!P39,Códigos!Q39)</f>
        <v>qo274m</v>
      </c>
      <c r="B39" t="s">
        <v>277</v>
      </c>
      <c r="C39" t="s">
        <v>275</v>
      </c>
      <c r="D39">
        <v>20</v>
      </c>
      <c r="E39">
        <v>35</v>
      </c>
    </row>
    <row r="40" spans="1:5" x14ac:dyDescent="0.25">
      <c r="A40" t="str">
        <f>CONCATENATE(Códigos!N40,Códigos!O40,Códigos!P40,Códigos!Q40)</f>
        <v>sp276l</v>
      </c>
      <c r="B40" t="s">
        <v>278</v>
      </c>
      <c r="C40" t="s">
        <v>275</v>
      </c>
      <c r="D40">
        <v>30</v>
      </c>
      <c r="E40">
        <v>60</v>
      </c>
    </row>
    <row r="41" spans="1:5" x14ac:dyDescent="0.25">
      <c r="A41" t="str">
        <f>CONCATENATE(Códigos!N41,Códigos!O41,Códigos!P41,Códigos!Q41)</f>
        <v>dw278h</v>
      </c>
      <c r="B41" t="s">
        <v>279</v>
      </c>
      <c r="C41" t="s">
        <v>275</v>
      </c>
      <c r="D41">
        <v>20</v>
      </c>
      <c r="E41">
        <v>40</v>
      </c>
    </row>
    <row r="42" spans="1:5" x14ac:dyDescent="0.25">
      <c r="A42" t="str">
        <f>CONCATENATE(Códigos!N42,Códigos!O42,Códigos!P42,Códigos!Q42)</f>
        <v>aq280a</v>
      </c>
      <c r="B42" t="s">
        <v>280</v>
      </c>
      <c r="C42" t="s">
        <v>275</v>
      </c>
      <c r="D42">
        <v>30</v>
      </c>
      <c r="E42">
        <v>65</v>
      </c>
    </row>
    <row r="43" spans="1:5" x14ac:dyDescent="0.25">
      <c r="A43" t="str">
        <f>CONCATENATE(Códigos!N43,Códigos!O43,Códigos!P43,Códigos!Q43)</f>
        <v>de282m</v>
      </c>
      <c r="B43" t="s">
        <v>281</v>
      </c>
      <c r="C43" t="s">
        <v>275</v>
      </c>
      <c r="D43">
        <v>25</v>
      </c>
      <c r="E43">
        <v>50</v>
      </c>
    </row>
    <row r="44" spans="1:5" x14ac:dyDescent="0.25">
      <c r="A44" t="str">
        <f>CONCATENATE(Códigos!N44,Códigos!O44,Códigos!P44,Códigos!Q44)</f>
        <v>fr284l</v>
      </c>
      <c r="B44" t="s">
        <v>282</v>
      </c>
      <c r="C44" t="s">
        <v>275</v>
      </c>
      <c r="D44">
        <v>50</v>
      </c>
      <c r="E44">
        <v>110</v>
      </c>
    </row>
    <row r="45" spans="1:5" x14ac:dyDescent="0.25">
      <c r="A45" t="str">
        <f>CONCATENATE(Códigos!N45,Códigos!O45,Códigos!P45,Códigos!Q45)</f>
        <v>ht286h</v>
      </c>
      <c r="B45" t="s">
        <v>283</v>
      </c>
      <c r="C45" t="s">
        <v>275</v>
      </c>
      <c r="D45">
        <v>80</v>
      </c>
      <c r="E45">
        <v>170</v>
      </c>
    </row>
    <row r="46" spans="1:5" x14ac:dyDescent="0.25">
      <c r="A46" t="str">
        <f>CONCATENATE(Códigos!N46,Códigos!O46,Códigos!P46,Códigos!Q46)</f>
        <v>ch288a</v>
      </c>
      <c r="B46" t="s">
        <v>284</v>
      </c>
      <c r="C46" t="s">
        <v>275</v>
      </c>
      <c r="D46">
        <v>60</v>
      </c>
      <c r="E46">
        <v>100</v>
      </c>
    </row>
    <row r="47" spans="1:5" x14ac:dyDescent="0.25">
      <c r="A47" t="str">
        <f>CONCATENATE(Códigos!N47,Códigos!O47,Códigos!P47,Códigos!Q47)</f>
        <v>dk290m</v>
      </c>
      <c r="B47" t="s">
        <v>285</v>
      </c>
      <c r="C47" t="s">
        <v>275</v>
      </c>
      <c r="D47">
        <v>50</v>
      </c>
      <c r="E47">
        <v>110</v>
      </c>
    </row>
    <row r="48" spans="1:5" x14ac:dyDescent="0.25">
      <c r="A48" t="str">
        <f>CONCATENATE(Códigos!N48,Códigos!O48,Códigos!P48,Códigos!Q48)</f>
        <v>wl292l</v>
      </c>
      <c r="B48" t="s">
        <v>286</v>
      </c>
      <c r="C48" t="s">
        <v>275</v>
      </c>
      <c r="D48">
        <v>120</v>
      </c>
      <c r="E48">
        <v>250</v>
      </c>
    </row>
    <row r="49" spans="1:5" x14ac:dyDescent="0.25">
      <c r="A49" t="str">
        <f>CONCATENATE(Códigos!N49,Códigos!O49,Códigos!P49,Códigos!Q49)</f>
        <v>yc294k</v>
      </c>
      <c r="B49" t="s">
        <v>287</v>
      </c>
      <c r="C49" t="s">
        <v>275</v>
      </c>
      <c r="D49">
        <v>180</v>
      </c>
      <c r="E49">
        <v>400</v>
      </c>
    </row>
    <row r="50" spans="1:5" x14ac:dyDescent="0.25">
      <c r="A50" t="str">
        <f>CONCATENATE(Códigos!N50,Códigos!O50,Códigos!P50,Códigos!Q50)</f>
        <v>pa296y</v>
      </c>
      <c r="B50" t="s">
        <v>288</v>
      </c>
      <c r="C50" t="s">
        <v>289</v>
      </c>
      <c r="D50">
        <v>3</v>
      </c>
      <c r="E50">
        <v>6</v>
      </c>
    </row>
    <row r="51" spans="1:5" x14ac:dyDescent="0.25">
      <c r="A51" t="str">
        <f>CONCATENATE(Códigos!N51,Códigos!O51,Códigos!P51,Códigos!Q51)</f>
        <v>zs298t</v>
      </c>
      <c r="B51" t="s">
        <v>290</v>
      </c>
      <c r="C51" t="s">
        <v>289</v>
      </c>
      <c r="D51">
        <v>5</v>
      </c>
      <c r="E51">
        <v>10</v>
      </c>
    </row>
    <row r="52" spans="1:5" x14ac:dyDescent="0.25">
      <c r="A52" t="str">
        <f>CONCATENATE(Códigos!N52,Códigos!O52,Códigos!P52,Códigos!Q52)</f>
        <v>zr300p</v>
      </c>
      <c r="B52" t="s">
        <v>291</v>
      </c>
      <c r="C52" t="s">
        <v>289</v>
      </c>
      <c r="D52">
        <v>12</v>
      </c>
      <c r="E52">
        <v>28</v>
      </c>
    </row>
    <row r="53" spans="1:5" x14ac:dyDescent="0.25">
      <c r="A53" t="str">
        <f>CONCATENATE(Códigos!N53,Códigos!O53,Códigos!P53,Códigos!Q53)</f>
        <v>pt302l</v>
      </c>
      <c r="B53" t="s">
        <v>292</v>
      </c>
      <c r="C53" t="s">
        <v>289</v>
      </c>
      <c r="D53">
        <v>3</v>
      </c>
      <c r="E53">
        <v>6.5</v>
      </c>
    </row>
    <row r="54" spans="1:5" x14ac:dyDescent="0.25">
      <c r="A54" t="str">
        <f>CONCATENATE(Códigos!N54,Códigos!O54,Códigos!P54,Códigos!Q54)</f>
        <v>zh304m</v>
      </c>
      <c r="B54" t="s">
        <v>293</v>
      </c>
      <c r="C54" t="s">
        <v>289</v>
      </c>
      <c r="D54">
        <v>5</v>
      </c>
      <c r="E54">
        <v>12</v>
      </c>
    </row>
    <row r="55" spans="1:5" x14ac:dyDescent="0.25">
      <c r="A55" t="str">
        <f>CONCATENATE(Códigos!N55,Códigos!O55,Códigos!P55,Códigos!Q55)</f>
        <v>zk306v</v>
      </c>
      <c r="B55" t="s">
        <v>294</v>
      </c>
      <c r="C55" t="s">
        <v>289</v>
      </c>
      <c r="D55">
        <v>3.5</v>
      </c>
      <c r="E55">
        <v>7</v>
      </c>
    </row>
    <row r="56" spans="1:5" x14ac:dyDescent="0.25">
      <c r="A56" t="str">
        <f>CONCATENATE(Códigos!N56,Códigos!O56,Códigos!P56,Códigos!Q56)</f>
        <v>pl308c</v>
      </c>
      <c r="B56" t="s">
        <v>295</v>
      </c>
      <c r="C56" t="s">
        <v>289</v>
      </c>
      <c r="D56">
        <v>3</v>
      </c>
      <c r="E56">
        <v>6</v>
      </c>
    </row>
    <row r="57" spans="1:5" x14ac:dyDescent="0.25">
      <c r="A57" t="str">
        <f>CONCATENATE(Códigos!N57,Códigos!O57,Códigos!P57,Códigos!Q57)</f>
        <v>dc310v</v>
      </c>
      <c r="B57" t="s">
        <v>296</v>
      </c>
      <c r="C57" t="s">
        <v>289</v>
      </c>
      <c r="D57">
        <v>4</v>
      </c>
      <c r="E57">
        <v>9</v>
      </c>
    </row>
    <row r="58" spans="1:5" x14ac:dyDescent="0.25">
      <c r="A58" t="str">
        <f>CONCATENATE(Códigos!N58,Códigos!O58,Códigos!P58,Códigos!Q58)</f>
        <v>fa312v</v>
      </c>
      <c r="B58" t="s">
        <v>297</v>
      </c>
      <c r="C58" t="s">
        <v>289</v>
      </c>
      <c r="D58">
        <v>8</v>
      </c>
      <c r="E58">
        <v>16</v>
      </c>
    </row>
    <row r="59" spans="1:5" x14ac:dyDescent="0.25">
      <c r="A59" t="str">
        <f>CONCATENATE(Códigos!N59,Códigos!O59,Códigos!P59,Códigos!Q59)</f>
        <v>hs314k</v>
      </c>
      <c r="B59" t="s">
        <v>298</v>
      </c>
      <c r="C59" t="s">
        <v>289</v>
      </c>
      <c r="D59">
        <v>3</v>
      </c>
      <c r="E59">
        <v>6</v>
      </c>
    </row>
    <row r="60" spans="1:5" x14ac:dyDescent="0.25">
      <c r="A60" t="str">
        <f>CONCATENATE(Códigos!N60,Códigos!O60,Códigos!P60,Códigos!Q60)</f>
        <v>cj316y</v>
      </c>
      <c r="B60" t="s">
        <v>299</v>
      </c>
      <c r="C60" t="s">
        <v>289</v>
      </c>
      <c r="D60">
        <v>5</v>
      </c>
      <c r="E60">
        <v>12</v>
      </c>
    </row>
    <row r="61" spans="1:5" x14ac:dyDescent="0.25">
      <c r="A61" t="str">
        <f>CONCATENATE(Códigos!N61,Códigos!O61,Códigos!P61,Códigos!Q61)</f>
        <v>dy318t</v>
      </c>
      <c r="B61" t="s">
        <v>300</v>
      </c>
      <c r="C61" t="s">
        <v>289</v>
      </c>
      <c r="D61">
        <v>1</v>
      </c>
      <c r="E61">
        <v>3</v>
      </c>
    </row>
    <row r="62" spans="1:5" x14ac:dyDescent="0.25">
      <c r="A62" t="str">
        <f>CONCATENATE(Códigos!N62,Códigos!O62,Códigos!P62,Códigos!Q62)</f>
        <v>we320p</v>
      </c>
      <c r="B62" t="s">
        <v>301</v>
      </c>
      <c r="C62" t="s">
        <v>289</v>
      </c>
      <c r="D62">
        <v>2.5</v>
      </c>
      <c r="E62">
        <v>6</v>
      </c>
    </row>
    <row r="63" spans="1:5" x14ac:dyDescent="0.25">
      <c r="A63" t="str">
        <f>CONCATENATE(Códigos!N63,Códigos!O63,Códigos!P63,Códigos!Q63)</f>
        <v>cz322a</v>
      </c>
      <c r="B63" t="s">
        <v>310</v>
      </c>
      <c r="C63" t="s">
        <v>60</v>
      </c>
      <c r="D63">
        <v>350</v>
      </c>
      <c r="E63">
        <v>700</v>
      </c>
    </row>
    <row r="64" spans="1:5" x14ac:dyDescent="0.25">
      <c r="A64" t="str">
        <f>CONCATENATE(Códigos!N64,Códigos!O64,Códigos!P64,Códigos!Q64)</f>
        <v>dx324g</v>
      </c>
      <c r="B64" t="s">
        <v>311</v>
      </c>
      <c r="C64" t="s">
        <v>60</v>
      </c>
      <c r="D64">
        <v>300</v>
      </c>
      <c r="E64">
        <v>800</v>
      </c>
    </row>
    <row r="65" spans="1:5" x14ac:dyDescent="0.25">
      <c r="A65" t="str">
        <f>CONCATENATE(Códigos!N65,Códigos!O65,Códigos!P65,Códigos!Q65)</f>
        <v>gv326h</v>
      </c>
      <c r="B65" t="s">
        <v>312</v>
      </c>
      <c r="C65" t="s">
        <v>60</v>
      </c>
      <c r="D65">
        <v>800</v>
      </c>
      <c r="E65">
        <v>1300</v>
      </c>
    </row>
    <row r="66" spans="1:5" x14ac:dyDescent="0.25">
      <c r="A66" t="str">
        <f>CONCATENATE(Códigos!N66,Códigos!O66,Códigos!P66,Códigos!Q66)</f>
        <v>hd328y</v>
      </c>
      <c r="B66" t="s">
        <v>310</v>
      </c>
      <c r="C66" t="s">
        <v>60</v>
      </c>
      <c r="D66">
        <v>600</v>
      </c>
      <c r="E66">
        <v>1000</v>
      </c>
    </row>
    <row r="67" spans="1:5" x14ac:dyDescent="0.25">
      <c r="A67" t="str">
        <f>CONCATENATE(Códigos!N67,Códigos!O67,Códigos!P67,Códigos!Q67)</f>
        <v>ts330u</v>
      </c>
      <c r="B67" t="s">
        <v>313</v>
      </c>
      <c r="C67" t="s">
        <v>60</v>
      </c>
      <c r="D67">
        <v>1000</v>
      </c>
      <c r="E67">
        <v>1800</v>
      </c>
    </row>
    <row r="68" spans="1:5" x14ac:dyDescent="0.25">
      <c r="A68" t="str">
        <f>CONCATENATE(Códigos!N68,Códigos!O68,Códigos!P68,Códigos!Q68)</f>
        <v>ya332q</v>
      </c>
      <c r="B68" t="s">
        <v>417</v>
      </c>
      <c r="C68" t="s">
        <v>53</v>
      </c>
      <c r="D68">
        <v>350</v>
      </c>
      <c r="E68">
        <v>700</v>
      </c>
    </row>
    <row r="69" spans="1:5" x14ac:dyDescent="0.25">
      <c r="A69" t="str">
        <f>CONCATENATE(Códigos!N69,Códigos!O69,Códigos!P69,Códigos!Q69)</f>
        <v>uz334a</v>
      </c>
      <c r="B69" t="s">
        <v>418</v>
      </c>
      <c r="C69" t="s">
        <v>53</v>
      </c>
      <c r="D69">
        <v>400</v>
      </c>
      <c r="E69">
        <v>900</v>
      </c>
    </row>
    <row r="70" spans="1:5" x14ac:dyDescent="0.25">
      <c r="A70" t="str">
        <f>CONCATENATE(Códigos!N70,Códigos!O70,Códigos!P70,Códigos!Q70)</f>
        <v>cx336g</v>
      </c>
      <c r="B70" t="s">
        <v>419</v>
      </c>
      <c r="C70" t="s">
        <v>53</v>
      </c>
      <c r="D70">
        <v>350</v>
      </c>
      <c r="E70">
        <v>800</v>
      </c>
    </row>
    <row r="71" spans="1:5" x14ac:dyDescent="0.25">
      <c r="A71" t="str">
        <f>CONCATENATE(Códigos!N71,Códigos!O71,Códigos!P71,Códigos!Q71)</f>
        <v>dv338h</v>
      </c>
      <c r="B71" t="s">
        <v>420</v>
      </c>
      <c r="C71" t="s">
        <v>53</v>
      </c>
      <c r="D71">
        <v>200</v>
      </c>
      <c r="E71">
        <v>500</v>
      </c>
    </row>
    <row r="72" spans="1:5" x14ac:dyDescent="0.25">
      <c r="A72" t="str">
        <f>CONCATENATE(Códigos!N72,Códigos!O72,Códigos!P72,Códigos!Q72)</f>
        <v>gd340y</v>
      </c>
      <c r="B72" t="s">
        <v>421</v>
      </c>
      <c r="C72" t="s">
        <v>53</v>
      </c>
      <c r="D72">
        <v>150</v>
      </c>
      <c r="E72">
        <v>400</v>
      </c>
    </row>
    <row r="73" spans="1:5" x14ac:dyDescent="0.25">
      <c r="A73" t="str">
        <f>CONCATENATE(Códigos!N73,Códigos!O73,Códigos!P73,Códigos!Q73)</f>
        <v>hs342j</v>
      </c>
      <c r="B73" t="s">
        <v>422</v>
      </c>
      <c r="C73" t="s">
        <v>53</v>
      </c>
      <c r="D73">
        <v>60</v>
      </c>
      <c r="E73">
        <v>120</v>
      </c>
    </row>
    <row r="74" spans="1:5" x14ac:dyDescent="0.25">
      <c r="A74" t="str">
        <f>CONCATENATE(Códigos!N74,Códigos!O74,Códigos!P74,Códigos!Q74)</f>
        <v>ka344y</v>
      </c>
      <c r="B74" t="s">
        <v>423</v>
      </c>
      <c r="C74" t="s">
        <v>53</v>
      </c>
      <c r="D74">
        <v>30</v>
      </c>
      <c r="E74">
        <v>70</v>
      </c>
    </row>
    <row r="75" spans="1:5" x14ac:dyDescent="0.25">
      <c r="A75" t="str">
        <f>CONCATENATE(Códigos!N75,Códigos!O75,Códigos!P75,Códigos!Q75)</f>
        <v>lz346t</v>
      </c>
      <c r="B75" t="s">
        <v>424</v>
      </c>
      <c r="C75" t="s">
        <v>53</v>
      </c>
      <c r="D75">
        <v>300</v>
      </c>
      <c r="E75">
        <v>700</v>
      </c>
    </row>
    <row r="76" spans="1:5" x14ac:dyDescent="0.25">
      <c r="A76" t="str">
        <f>CONCATENATE(Códigos!N76,Códigos!O76,Códigos!P76,Códigos!Q76)</f>
        <v>cz348a</v>
      </c>
      <c r="B76" t="s">
        <v>425</v>
      </c>
      <c r="C76" t="s">
        <v>53</v>
      </c>
      <c r="D76">
        <v>400</v>
      </c>
      <c r="E76">
        <v>1200</v>
      </c>
    </row>
    <row r="77" spans="1:5" x14ac:dyDescent="0.25">
      <c r="A77" t="str">
        <f>CONCATENATE(Códigos!N77,Códigos!O77,Códigos!P77,Códigos!Q77)</f>
        <v>dx350g</v>
      </c>
      <c r="B77" t="s">
        <v>426</v>
      </c>
      <c r="C77" t="s">
        <v>53</v>
      </c>
      <c r="D77">
        <v>900</v>
      </c>
      <c r="E77">
        <v>2000</v>
      </c>
    </row>
    <row r="78" spans="1:5" x14ac:dyDescent="0.25">
      <c r="A78" t="str">
        <f>CONCATENATE(Códigos!N78,Códigos!O78,Códigos!P78,Códigos!Q78)</f>
        <v>gv352h</v>
      </c>
      <c r="B78" t="s">
        <v>427</v>
      </c>
      <c r="C78" t="s">
        <v>53</v>
      </c>
      <c r="D78">
        <v>1000</v>
      </c>
      <c r="E78">
        <v>1800</v>
      </c>
    </row>
    <row r="79" spans="1:5" x14ac:dyDescent="0.25">
      <c r="A79" t="str">
        <f>CONCATENATE(Códigos!N79,Códigos!O79,Códigos!P79,Códigos!Q79)</f>
        <v>hd354y</v>
      </c>
      <c r="B79" t="s">
        <v>428</v>
      </c>
      <c r="C79" t="s">
        <v>53</v>
      </c>
      <c r="D79">
        <v>1700</v>
      </c>
      <c r="E79">
        <v>3500</v>
      </c>
    </row>
    <row r="80" spans="1:5" x14ac:dyDescent="0.25">
      <c r="A80" t="str">
        <f>CONCATENATE(Códigos!N80,Códigos!O80,Códigos!P80,Códigos!Q80)</f>
        <v>ts356u</v>
      </c>
      <c r="B80" t="s">
        <v>429</v>
      </c>
      <c r="C80" t="s">
        <v>53</v>
      </c>
      <c r="D80">
        <v>400</v>
      </c>
      <c r="E80">
        <v>850</v>
      </c>
    </row>
    <row r="81" spans="1:7" x14ac:dyDescent="0.25">
      <c r="A81" t="str">
        <f>CONCATENATE(Códigos!N81,Códigos!O81,Códigos!P81,Códigos!Q81)</f>
        <v>ya358q</v>
      </c>
      <c r="B81" t="s">
        <v>430</v>
      </c>
      <c r="C81" t="s">
        <v>53</v>
      </c>
      <c r="D81">
        <v>300</v>
      </c>
      <c r="E81">
        <v>680</v>
      </c>
    </row>
    <row r="82" spans="1:7" x14ac:dyDescent="0.25">
      <c r="A82" t="str">
        <f>CONCATENATE(Códigos!N82,Códigos!O82,Códigos!P82,Códigos!Q82)</f>
        <v>uz360a</v>
      </c>
      <c r="B82" t="s">
        <v>462</v>
      </c>
      <c r="C82" t="s">
        <v>60</v>
      </c>
      <c r="D82">
        <v>1200</v>
      </c>
      <c r="E82">
        <v>3000</v>
      </c>
      <c r="G82" s="15"/>
    </row>
    <row r="83" spans="1:7" x14ac:dyDescent="0.25">
      <c r="A83" t="str">
        <f>CONCATENATE(Códigos!N83,Códigos!O83,Códigos!P83,Códigos!Q83)</f>
        <v>aq362m</v>
      </c>
      <c r="B83" t="s">
        <v>463</v>
      </c>
      <c r="C83" t="s">
        <v>60</v>
      </c>
      <c r="D83">
        <v>1000</v>
      </c>
      <c r="E83">
        <v>3000</v>
      </c>
    </row>
    <row r="84" spans="1:7" x14ac:dyDescent="0.25">
      <c r="A84" t="str">
        <f>CONCATENATE(Códigos!N84,Códigos!O84,Códigos!P84,Códigos!Q84)</f>
        <v>de364l</v>
      </c>
      <c r="B84" t="s">
        <v>464</v>
      </c>
      <c r="C84" t="s">
        <v>60</v>
      </c>
      <c r="D84">
        <v>1200</v>
      </c>
      <c r="E84">
        <v>3200</v>
      </c>
    </row>
    <row r="85" spans="1:7" x14ac:dyDescent="0.25">
      <c r="A85" t="str">
        <f>CONCATENATE(Códigos!N85,Códigos!O85,Códigos!P85,Códigos!Q85)</f>
        <v>fr366k</v>
      </c>
      <c r="B85" t="s">
        <v>465</v>
      </c>
      <c r="C85" t="s">
        <v>60</v>
      </c>
      <c r="D85">
        <v>800</v>
      </c>
      <c r="E85">
        <v>1800</v>
      </c>
    </row>
    <row r="86" spans="1:7" x14ac:dyDescent="0.25">
      <c r="A86" t="str">
        <f>CONCATENATE(Códigos!N86,Códigos!O86,Códigos!P86,Códigos!Q86)</f>
        <v>ht368y</v>
      </c>
      <c r="B86" t="s">
        <v>466</v>
      </c>
      <c r="C86" t="s">
        <v>60</v>
      </c>
      <c r="D86">
        <v>1500</v>
      </c>
      <c r="E86">
        <v>4000</v>
      </c>
    </row>
    <row r="87" spans="1:7" x14ac:dyDescent="0.25">
      <c r="A87" t="str">
        <f>CONCATENATE(Códigos!N87,Códigos!O87,Códigos!P87,Códigos!Q87)</f>
        <v>ch370t</v>
      </c>
      <c r="B87" t="s">
        <v>483</v>
      </c>
      <c r="C87" t="s">
        <v>60</v>
      </c>
      <c r="D87">
        <v>2000</v>
      </c>
      <c r="E87">
        <v>4000</v>
      </c>
    </row>
    <row r="88" spans="1:7" x14ac:dyDescent="0.25">
      <c r="A88" t="str">
        <f>CONCATENATE(Códigos!N88,Códigos!O88,Códigos!P88,Códigos!Q88)</f>
        <v>dk372p</v>
      </c>
      <c r="B88" t="s">
        <v>484</v>
      </c>
      <c r="C88" t="s">
        <v>60</v>
      </c>
      <c r="D88">
        <v>2500</v>
      </c>
      <c r="E88">
        <v>6000</v>
      </c>
    </row>
    <row r="89" spans="1:7" x14ac:dyDescent="0.25">
      <c r="A89" t="str">
        <f>CONCATENATE(Códigos!N89,Códigos!O89,Códigos!P89,Códigos!Q89)</f>
        <v>wl374l</v>
      </c>
      <c r="B89" t="s">
        <v>487</v>
      </c>
      <c r="C89" t="s">
        <v>59</v>
      </c>
      <c r="D89">
        <v>200</v>
      </c>
      <c r="E89">
        <v>350</v>
      </c>
    </row>
    <row r="90" spans="1:7" x14ac:dyDescent="0.25">
      <c r="A90" t="str">
        <f>CONCATENATE(Códigos!N90,Códigos!O90,Códigos!P90,Códigos!Q90)</f>
        <v>yc376m</v>
      </c>
      <c r="B90" t="s">
        <v>488</v>
      </c>
      <c r="C90" t="s">
        <v>59</v>
      </c>
      <c r="D90">
        <v>350</v>
      </c>
      <c r="E90">
        <v>700</v>
      </c>
    </row>
    <row r="91" spans="1:7" x14ac:dyDescent="0.25">
      <c r="A91" t="str">
        <f>CONCATENATE(Códigos!N91,Códigos!O91,Códigos!P91,Códigos!Q91)</f>
        <v>pa378v</v>
      </c>
      <c r="B91" t="s">
        <v>489</v>
      </c>
      <c r="C91" t="s">
        <v>59</v>
      </c>
      <c r="D91">
        <v>500</v>
      </c>
      <c r="E91">
        <v>1100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B173-27CE-4272-B331-BEDAD45264A3}">
  <sheetPr codeName="Planilha7"/>
  <dimension ref="A1:I5228"/>
  <sheetViews>
    <sheetView tabSelected="1" workbookViewId="0">
      <selection activeCell="L11" sqref="L11"/>
    </sheetView>
  </sheetViews>
  <sheetFormatPr defaultRowHeight="15" x14ac:dyDescent="0.25"/>
  <cols>
    <col min="1" max="1" width="18.85546875" customWidth="1"/>
    <col min="2" max="4" width="18.28515625" customWidth="1"/>
    <col min="5" max="5" width="20.42578125" customWidth="1"/>
    <col min="6" max="8" width="16.42578125" customWidth="1"/>
    <col min="9" max="9" width="14.85546875" customWidth="1"/>
  </cols>
  <sheetData>
    <row r="1" spans="1:9" x14ac:dyDescent="0.25">
      <c r="A1" s="2" t="s">
        <v>304</v>
      </c>
      <c r="B1" s="2" t="s">
        <v>305</v>
      </c>
      <c r="C1" s="2" t="s">
        <v>306</v>
      </c>
      <c r="D1" s="2" t="s">
        <v>199</v>
      </c>
      <c r="E1" s="2" t="s">
        <v>229</v>
      </c>
      <c r="F1" s="2" t="s">
        <v>307</v>
      </c>
      <c r="G1" s="2" t="s">
        <v>233</v>
      </c>
      <c r="H1" s="2" t="s">
        <v>232</v>
      </c>
      <c r="I1" s="2" t="s">
        <v>308</v>
      </c>
    </row>
    <row r="2" spans="1:9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</row>
    <row r="3" spans="1:9" x14ac:dyDescent="0.25">
      <c r="A3" s="2" t="str">
        <f>CONCATENATE(Códigos!S2,Códigos!T2,Códigos!U2)</f>
        <v>svv1v</v>
      </c>
      <c r="B3" t="s">
        <v>460</v>
      </c>
      <c r="C3" t="s">
        <v>431</v>
      </c>
      <c r="D3" s="2" t="s">
        <v>432</v>
      </c>
      <c r="E3" t="s">
        <v>502</v>
      </c>
      <c r="F3" s="11">
        <v>43120</v>
      </c>
      <c r="G3" s="2">
        <f>VLOOKUP(E3,Produtos!$A:$E,5,FALSE)</f>
        <v>1</v>
      </c>
      <c r="H3" s="2">
        <f>VLOOKUP(E3,Produtos!$A:$E,4,FALSE)</f>
        <v>0.5</v>
      </c>
      <c r="I3" s="2">
        <v>10</v>
      </c>
    </row>
    <row r="4" spans="1:9" x14ac:dyDescent="0.25">
      <c r="A4" s="2" t="str">
        <f>CONCATENATE(Códigos!S3,Códigos!T3,Códigos!U3)</f>
        <v>svv2v</v>
      </c>
      <c r="B4" t="s">
        <v>460</v>
      </c>
      <c r="C4" t="s">
        <v>431</v>
      </c>
      <c r="D4" s="2" t="s">
        <v>432</v>
      </c>
      <c r="E4" t="s">
        <v>502</v>
      </c>
      <c r="F4" s="11">
        <v>43121</v>
      </c>
      <c r="G4" s="2">
        <f>VLOOKUP(E4,Produtos!$A:$E,5,FALSE)</f>
        <v>1</v>
      </c>
      <c r="H4" s="2">
        <f>VLOOKUP(E4,Produtos!$A:$E,4,FALSE)</f>
        <v>0.5</v>
      </c>
      <c r="I4" s="2">
        <v>10</v>
      </c>
    </row>
    <row r="5" spans="1:9" x14ac:dyDescent="0.25">
      <c r="A5" s="2" t="str">
        <f>CONCATENATE(Códigos!S4,Códigos!T4,Códigos!U4)</f>
        <v>svv3v</v>
      </c>
      <c r="B5" t="s">
        <v>460</v>
      </c>
      <c r="C5" t="s">
        <v>431</v>
      </c>
      <c r="D5" s="2" t="s">
        <v>432</v>
      </c>
      <c r="E5" t="s">
        <v>502</v>
      </c>
      <c r="F5" s="11">
        <v>43122</v>
      </c>
      <c r="G5" s="2">
        <f>VLOOKUP(E5,Produtos!$A:$E,5,FALSE)</f>
        <v>1</v>
      </c>
      <c r="H5" s="2">
        <f>VLOOKUP(E5,Produtos!$A:$E,4,FALSE)</f>
        <v>0.5</v>
      </c>
      <c r="I5" s="2">
        <v>10</v>
      </c>
    </row>
    <row r="6" spans="1:9" x14ac:dyDescent="0.25">
      <c r="A6" s="2" t="str">
        <f>CONCATENATE(Códigos!S5,Códigos!T5,Códigos!U5)</f>
        <v>svv4v</v>
      </c>
      <c r="B6" t="s">
        <v>460</v>
      </c>
      <c r="C6" t="s">
        <v>431</v>
      </c>
      <c r="D6" s="2" t="s">
        <v>432</v>
      </c>
      <c r="E6" t="s">
        <v>502</v>
      </c>
      <c r="F6" s="11">
        <v>43123</v>
      </c>
      <c r="G6" s="2">
        <f>VLOOKUP(E6,Produtos!$A:$E,5,FALSE)</f>
        <v>1</v>
      </c>
      <c r="H6" s="2">
        <f>VLOOKUP(E6,Produtos!$A:$E,4,FALSE)</f>
        <v>0.5</v>
      </c>
      <c r="I6" s="2">
        <v>10</v>
      </c>
    </row>
    <row r="7" spans="1:9" x14ac:dyDescent="0.25">
      <c r="A7" s="2" t="str">
        <f>CONCATENATE(Códigos!S6,Códigos!T6,Códigos!U6)</f>
        <v>svv5v</v>
      </c>
      <c r="B7" t="s">
        <v>460</v>
      </c>
      <c r="C7" t="s">
        <v>431</v>
      </c>
      <c r="D7" s="2" t="s">
        <v>432</v>
      </c>
      <c r="E7" t="s">
        <v>502</v>
      </c>
      <c r="F7" s="11">
        <v>43124</v>
      </c>
      <c r="G7" s="2">
        <f>VLOOKUP(E7,Produtos!$A:$E,5,FALSE)</f>
        <v>1</v>
      </c>
      <c r="H7" s="2">
        <f>VLOOKUP(E7,Produtos!$A:$E,4,FALSE)</f>
        <v>0.5</v>
      </c>
      <c r="I7" s="2">
        <v>10</v>
      </c>
    </row>
    <row r="8" spans="1:9" x14ac:dyDescent="0.25">
      <c r="A8" s="2" t="str">
        <f>CONCATENATE(Códigos!S7,Códigos!T7,Códigos!U7)</f>
        <v>svv6v</v>
      </c>
      <c r="B8" t="s">
        <v>460</v>
      </c>
      <c r="C8" t="s">
        <v>431</v>
      </c>
      <c r="D8" s="2" t="s">
        <v>432</v>
      </c>
      <c r="E8" t="s">
        <v>502</v>
      </c>
      <c r="F8" s="11">
        <v>43125</v>
      </c>
      <c r="G8" s="2">
        <f>VLOOKUP(E8,Produtos!$A:$E,5,FALSE)</f>
        <v>1</v>
      </c>
      <c r="H8" s="2">
        <f>VLOOKUP(E8,Produtos!$A:$E,4,FALSE)</f>
        <v>0.5</v>
      </c>
      <c r="I8" s="2">
        <v>10</v>
      </c>
    </row>
    <row r="9" spans="1:9" x14ac:dyDescent="0.25">
      <c r="A9" s="2" t="str">
        <f>CONCATENATE(Códigos!S8,Códigos!T8,Códigos!U8)</f>
        <v>svv7v</v>
      </c>
      <c r="B9" t="s">
        <v>460</v>
      </c>
      <c r="C9" t="s">
        <v>431</v>
      </c>
      <c r="D9" s="2" t="s">
        <v>432</v>
      </c>
      <c r="E9" t="s">
        <v>502</v>
      </c>
      <c r="F9" s="11">
        <v>43126</v>
      </c>
      <c r="G9" s="2">
        <f>VLOOKUP(E9,Produtos!$A:$E,5,FALSE)</f>
        <v>1</v>
      </c>
      <c r="H9" s="2">
        <f>VLOOKUP(E9,Produtos!$A:$E,4,FALSE)</f>
        <v>0.5</v>
      </c>
      <c r="I9" s="2">
        <v>10</v>
      </c>
    </row>
    <row r="10" spans="1:9" x14ac:dyDescent="0.25">
      <c r="A10" s="2" t="str">
        <f>CONCATENATE(Códigos!S9,Códigos!T9,Códigos!U9)</f>
        <v>svv8v</v>
      </c>
      <c r="B10" t="s">
        <v>460</v>
      </c>
      <c r="C10" t="s">
        <v>431</v>
      </c>
      <c r="D10" s="2" t="s">
        <v>432</v>
      </c>
      <c r="E10" t="s">
        <v>502</v>
      </c>
      <c r="F10" s="11">
        <v>43127</v>
      </c>
      <c r="G10" s="2">
        <f>VLOOKUP(E10,Produtos!$A:$E,5,FALSE)</f>
        <v>1</v>
      </c>
      <c r="H10" s="2">
        <f>VLOOKUP(E10,Produtos!$A:$E,4,FALSE)</f>
        <v>0.5</v>
      </c>
      <c r="I10" s="2">
        <v>10</v>
      </c>
    </row>
    <row r="11" spans="1:9" x14ac:dyDescent="0.25">
      <c r="A11" s="2" t="str">
        <f>CONCATENATE(Códigos!S10,Códigos!T10,Códigos!U10)</f>
        <v>svv9v</v>
      </c>
      <c r="B11" t="s">
        <v>460</v>
      </c>
      <c r="C11" t="s">
        <v>431</v>
      </c>
      <c r="D11" s="2" t="s">
        <v>432</v>
      </c>
      <c r="E11" t="s">
        <v>502</v>
      </c>
      <c r="F11" s="11">
        <v>43128</v>
      </c>
      <c r="G11" s="2">
        <f>VLOOKUP(E11,Produtos!$A:$E,5,FALSE)</f>
        <v>1</v>
      </c>
      <c r="H11" s="2">
        <f>VLOOKUP(E11,Produtos!$A:$E,4,FALSE)</f>
        <v>0.5</v>
      </c>
      <c r="I11" s="2">
        <v>10</v>
      </c>
    </row>
    <row r="12" spans="1:9" x14ac:dyDescent="0.25">
      <c r="A12" s="2" t="str">
        <f>CONCATENATE(Códigos!S11,Códigos!T11,Códigos!U11)</f>
        <v>svv10v</v>
      </c>
      <c r="B12" t="s">
        <v>460</v>
      </c>
      <c r="C12" t="s">
        <v>431</v>
      </c>
      <c r="D12" s="2" t="s">
        <v>432</v>
      </c>
      <c r="E12" t="s">
        <v>502</v>
      </c>
      <c r="F12" s="11">
        <v>43129</v>
      </c>
      <c r="G12" s="2">
        <f>VLOOKUP(E12,Produtos!$A:$E,5,FALSE)</f>
        <v>1</v>
      </c>
      <c r="H12" s="2">
        <f>VLOOKUP(E12,Produtos!$A:$E,4,FALSE)</f>
        <v>0.5</v>
      </c>
      <c r="I12" s="2">
        <v>10</v>
      </c>
    </row>
    <row r="13" spans="1:9" x14ac:dyDescent="0.25">
      <c r="A13" s="2" t="str">
        <f>CONCATENATE(Códigos!S12,Códigos!T12,Códigos!U12)</f>
        <v>svv11v</v>
      </c>
      <c r="B13" t="s">
        <v>460</v>
      </c>
      <c r="C13" t="s">
        <v>431</v>
      </c>
      <c r="D13" s="2" t="s">
        <v>432</v>
      </c>
      <c r="E13" t="s">
        <v>502</v>
      </c>
      <c r="F13" s="11">
        <v>43130</v>
      </c>
      <c r="G13" s="2">
        <f>VLOOKUP(E13,Produtos!$A:$E,5,FALSE)</f>
        <v>1</v>
      </c>
      <c r="H13" s="2">
        <f>VLOOKUP(E13,Produtos!$A:$E,4,FALSE)</f>
        <v>0.5</v>
      </c>
      <c r="I13" s="2">
        <v>10</v>
      </c>
    </row>
    <row r="14" spans="1:9" x14ac:dyDescent="0.25">
      <c r="A14" s="2" t="str">
        <f>CONCATENATE(Códigos!S13,Códigos!T13,Códigos!U13)</f>
        <v>svv12v</v>
      </c>
      <c r="B14" t="s">
        <v>460</v>
      </c>
      <c r="C14" t="s">
        <v>431</v>
      </c>
      <c r="D14" s="2" t="s">
        <v>432</v>
      </c>
      <c r="E14" t="s">
        <v>502</v>
      </c>
      <c r="F14" s="11">
        <v>43131</v>
      </c>
      <c r="G14" s="2">
        <f>VLOOKUP(E14,Produtos!$A:$E,5,FALSE)</f>
        <v>1</v>
      </c>
      <c r="H14" s="2">
        <f>VLOOKUP(E14,Produtos!$A:$E,4,FALSE)</f>
        <v>0.5</v>
      </c>
      <c r="I14" s="2">
        <v>10</v>
      </c>
    </row>
    <row r="15" spans="1:9" x14ac:dyDescent="0.25">
      <c r="A15" s="2" t="str">
        <f>CONCATENATE(Códigos!S14,Códigos!T14,Códigos!U14)</f>
        <v>svv13v</v>
      </c>
      <c r="B15" t="s">
        <v>460</v>
      </c>
      <c r="C15" t="s">
        <v>431</v>
      </c>
      <c r="D15" s="2" t="s">
        <v>432</v>
      </c>
      <c r="E15" t="s">
        <v>502</v>
      </c>
      <c r="F15" s="11">
        <v>43132</v>
      </c>
      <c r="G15" s="2">
        <f>VLOOKUP(E15,Produtos!$A:$E,5,FALSE)</f>
        <v>1</v>
      </c>
      <c r="H15" s="2">
        <f>VLOOKUP(E15,Produtos!$A:$E,4,FALSE)</f>
        <v>0.5</v>
      </c>
      <c r="I15" s="2">
        <v>10</v>
      </c>
    </row>
    <row r="16" spans="1:9" x14ac:dyDescent="0.25">
      <c r="A16" s="2" t="str">
        <f>CONCATENATE(Códigos!S15,Códigos!T15,Códigos!U15)</f>
        <v>svv14v</v>
      </c>
      <c r="B16" t="s">
        <v>460</v>
      </c>
      <c r="C16" t="s">
        <v>431</v>
      </c>
      <c r="D16" s="2" t="s">
        <v>432</v>
      </c>
      <c r="E16" t="s">
        <v>502</v>
      </c>
      <c r="F16" s="11">
        <v>43133</v>
      </c>
      <c r="G16" s="2">
        <f>VLOOKUP(E16,Produtos!$A:$E,5,FALSE)</f>
        <v>1</v>
      </c>
      <c r="H16" s="2">
        <f>VLOOKUP(E16,Produtos!$A:$E,4,FALSE)</f>
        <v>0.5</v>
      </c>
      <c r="I16" s="2">
        <v>10</v>
      </c>
    </row>
    <row r="17" spans="1:9" x14ac:dyDescent="0.25">
      <c r="A17" s="2" t="str">
        <f>CONCATENATE(Códigos!S16,Códigos!T16,Códigos!U16)</f>
        <v>svv15v</v>
      </c>
      <c r="B17" t="s">
        <v>460</v>
      </c>
      <c r="C17" t="s">
        <v>431</v>
      </c>
      <c r="D17" s="2" t="s">
        <v>432</v>
      </c>
      <c r="E17" t="s">
        <v>502</v>
      </c>
      <c r="F17" s="11">
        <v>43134</v>
      </c>
      <c r="G17" s="2">
        <f>VLOOKUP(E17,Produtos!$A:$E,5,FALSE)</f>
        <v>1</v>
      </c>
      <c r="H17" s="2">
        <f>VLOOKUP(E17,Produtos!$A:$E,4,FALSE)</f>
        <v>0.5</v>
      </c>
      <c r="I17" s="2">
        <v>10</v>
      </c>
    </row>
    <row r="18" spans="1:9" x14ac:dyDescent="0.25">
      <c r="A18" s="2" t="str">
        <f>CONCATENATE(Códigos!S17,Códigos!T17,Códigos!U17)</f>
        <v>svv16v</v>
      </c>
      <c r="B18" t="s">
        <v>460</v>
      </c>
      <c r="C18" t="s">
        <v>431</v>
      </c>
      <c r="D18" s="2" t="s">
        <v>432</v>
      </c>
      <c r="E18" t="s">
        <v>502</v>
      </c>
      <c r="F18" s="11">
        <v>43135</v>
      </c>
      <c r="G18" s="2">
        <f>VLOOKUP(E18,Produtos!$A:$E,5,FALSE)</f>
        <v>1</v>
      </c>
      <c r="H18" s="2">
        <f>VLOOKUP(E18,Produtos!$A:$E,4,FALSE)</f>
        <v>0.5</v>
      </c>
      <c r="I18" s="2">
        <v>10</v>
      </c>
    </row>
    <row r="19" spans="1:9" x14ac:dyDescent="0.25">
      <c r="A19" s="2" t="str">
        <f>CONCATENATE(Códigos!S18,Códigos!T18,Códigos!U18)</f>
        <v>svv17v</v>
      </c>
      <c r="B19" t="s">
        <v>460</v>
      </c>
      <c r="C19" t="s">
        <v>431</v>
      </c>
      <c r="D19" s="2" t="s">
        <v>432</v>
      </c>
      <c r="E19" t="s">
        <v>502</v>
      </c>
      <c r="F19" s="11">
        <v>43136</v>
      </c>
      <c r="G19" s="2">
        <f>VLOOKUP(E19,Produtos!$A:$E,5,FALSE)</f>
        <v>1</v>
      </c>
      <c r="H19" s="2">
        <f>VLOOKUP(E19,Produtos!$A:$E,4,FALSE)</f>
        <v>0.5</v>
      </c>
      <c r="I19" s="2">
        <v>10</v>
      </c>
    </row>
    <row r="20" spans="1:9" x14ac:dyDescent="0.25">
      <c r="A20" s="2" t="str">
        <f>CONCATENATE(Códigos!S19,Códigos!T19,Códigos!U19)</f>
        <v>svv18v</v>
      </c>
      <c r="B20" t="s">
        <v>460</v>
      </c>
      <c r="C20" t="s">
        <v>431</v>
      </c>
      <c r="D20" s="2" t="s">
        <v>432</v>
      </c>
      <c r="E20" t="s">
        <v>502</v>
      </c>
      <c r="F20" s="11">
        <v>43137</v>
      </c>
      <c r="G20" s="2">
        <f>VLOOKUP(E20,Produtos!$A:$E,5,FALSE)</f>
        <v>1</v>
      </c>
      <c r="H20" s="2">
        <f>VLOOKUP(E20,Produtos!$A:$E,4,FALSE)</f>
        <v>0.5</v>
      </c>
      <c r="I20" s="2">
        <v>10</v>
      </c>
    </row>
    <row r="21" spans="1:9" x14ac:dyDescent="0.25">
      <c r="A21" s="2" t="str">
        <f>CONCATENATE(Códigos!S20,Códigos!T20,Códigos!U20)</f>
        <v>svv19v</v>
      </c>
      <c r="B21" t="s">
        <v>460</v>
      </c>
      <c r="C21" t="s">
        <v>431</v>
      </c>
      <c r="D21" s="2" t="s">
        <v>432</v>
      </c>
      <c r="E21" t="s">
        <v>502</v>
      </c>
      <c r="F21" s="11">
        <v>43138</v>
      </c>
      <c r="G21" s="2">
        <f>VLOOKUP(E21,Produtos!$A:$E,5,FALSE)</f>
        <v>1</v>
      </c>
      <c r="H21" s="2">
        <f>VLOOKUP(E21,Produtos!$A:$E,4,FALSE)</f>
        <v>0.5</v>
      </c>
      <c r="I21" s="2">
        <v>10</v>
      </c>
    </row>
    <row r="22" spans="1:9" x14ac:dyDescent="0.25">
      <c r="A22" s="2" t="str">
        <f>CONCATENATE(Códigos!S21,Códigos!T21,Códigos!U21)</f>
        <v>svv20v</v>
      </c>
      <c r="B22" t="s">
        <v>460</v>
      </c>
      <c r="C22" t="s">
        <v>442</v>
      </c>
      <c r="D22" s="2" t="s">
        <v>389</v>
      </c>
      <c r="E22" t="s">
        <v>502</v>
      </c>
      <c r="F22" s="11">
        <v>43139</v>
      </c>
      <c r="G22" s="2">
        <f>VLOOKUP(E22,Produtos!$A:$E,5,FALSE)</f>
        <v>1</v>
      </c>
      <c r="H22" s="2">
        <f>VLOOKUP(E22,Produtos!$A:$E,4,FALSE)</f>
        <v>0.5</v>
      </c>
      <c r="I22" s="2">
        <v>10</v>
      </c>
    </row>
    <row r="23" spans="1:9" x14ac:dyDescent="0.25">
      <c r="A23" s="2" t="str">
        <f>CONCATENATE(Códigos!S22,Códigos!T22,Códigos!U22)</f>
        <v>svv21v</v>
      </c>
      <c r="B23" t="s">
        <v>460</v>
      </c>
      <c r="C23" t="s">
        <v>442</v>
      </c>
      <c r="D23" s="2" t="s">
        <v>389</v>
      </c>
      <c r="E23" t="s">
        <v>502</v>
      </c>
      <c r="F23" s="11">
        <v>43140</v>
      </c>
      <c r="G23" s="2">
        <f>VLOOKUP(E23,Produtos!$A:$E,5,FALSE)</f>
        <v>1</v>
      </c>
      <c r="H23" s="2">
        <f>VLOOKUP(E23,Produtos!$A:$E,4,FALSE)</f>
        <v>0.5</v>
      </c>
      <c r="I23" s="2">
        <v>10</v>
      </c>
    </row>
    <row r="24" spans="1:9" x14ac:dyDescent="0.25">
      <c r="A24" s="2" t="str">
        <f>CONCATENATE(Códigos!S23,Códigos!T23,Códigos!U23)</f>
        <v>svv22v</v>
      </c>
      <c r="B24" t="s">
        <v>460</v>
      </c>
      <c r="C24" t="s">
        <v>442</v>
      </c>
      <c r="D24" s="2" t="s">
        <v>389</v>
      </c>
      <c r="E24" t="s">
        <v>502</v>
      </c>
      <c r="F24" s="11">
        <v>43141</v>
      </c>
      <c r="G24" s="2">
        <f>VLOOKUP(E24,Produtos!$A:$E,5,FALSE)</f>
        <v>1</v>
      </c>
      <c r="H24" s="2">
        <f>VLOOKUP(E24,Produtos!$A:$E,4,FALSE)</f>
        <v>0.5</v>
      </c>
      <c r="I24" s="2">
        <v>10</v>
      </c>
    </row>
    <row r="25" spans="1:9" x14ac:dyDescent="0.25">
      <c r="A25" s="2" t="str">
        <f>CONCATENATE(Códigos!S24,Códigos!T24,Códigos!U24)</f>
        <v>svv23v</v>
      </c>
      <c r="B25" t="s">
        <v>460</v>
      </c>
      <c r="C25" t="s">
        <v>442</v>
      </c>
      <c r="D25" s="2" t="s">
        <v>389</v>
      </c>
      <c r="E25" t="s">
        <v>502</v>
      </c>
      <c r="F25" s="11">
        <v>43142</v>
      </c>
      <c r="G25" s="2">
        <f>VLOOKUP(E25,Produtos!$A:$E,5,FALSE)</f>
        <v>1</v>
      </c>
      <c r="H25" s="2">
        <f>VLOOKUP(E25,Produtos!$A:$E,4,FALSE)</f>
        <v>0.5</v>
      </c>
      <c r="I25" s="2">
        <v>10</v>
      </c>
    </row>
    <row r="26" spans="1:9" x14ac:dyDescent="0.25">
      <c r="A26" s="2" t="str">
        <f>CONCATENATE(Códigos!S25,Códigos!T25,Códigos!U25)</f>
        <v>svv24v</v>
      </c>
      <c r="B26" t="s">
        <v>460</v>
      </c>
      <c r="C26" t="s">
        <v>442</v>
      </c>
      <c r="D26" s="2" t="s">
        <v>389</v>
      </c>
      <c r="E26" t="s">
        <v>502</v>
      </c>
      <c r="F26" s="11">
        <v>43143</v>
      </c>
      <c r="G26" s="2">
        <f>VLOOKUP(E26,Produtos!$A:$E,5,FALSE)</f>
        <v>1</v>
      </c>
      <c r="H26" s="2">
        <f>VLOOKUP(E26,Produtos!$A:$E,4,FALSE)</f>
        <v>0.5</v>
      </c>
      <c r="I26" s="2">
        <v>10</v>
      </c>
    </row>
    <row r="27" spans="1:9" x14ac:dyDescent="0.25">
      <c r="A27" s="2" t="str">
        <f>CONCATENATE(Códigos!S26,Códigos!T26,Códigos!U26)</f>
        <v>svv25v</v>
      </c>
      <c r="B27" t="s">
        <v>460</v>
      </c>
      <c r="C27" t="s">
        <v>442</v>
      </c>
      <c r="D27" s="2" t="s">
        <v>389</v>
      </c>
      <c r="E27" t="s">
        <v>502</v>
      </c>
      <c r="F27" s="11">
        <v>43144</v>
      </c>
      <c r="G27" s="2">
        <f>VLOOKUP(E27,Produtos!$A:$E,5,FALSE)</f>
        <v>1</v>
      </c>
      <c r="H27" s="2">
        <f>VLOOKUP(E27,Produtos!$A:$E,4,FALSE)</f>
        <v>0.5</v>
      </c>
      <c r="I27" s="2">
        <v>10</v>
      </c>
    </row>
    <row r="28" spans="1:9" x14ac:dyDescent="0.25">
      <c r="A28" s="2" t="str">
        <f>CONCATENATE(Códigos!S27,Códigos!T27,Códigos!U27)</f>
        <v>svv26v</v>
      </c>
      <c r="B28" t="s">
        <v>460</v>
      </c>
      <c r="C28" t="s">
        <v>442</v>
      </c>
      <c r="D28" s="2" t="s">
        <v>389</v>
      </c>
      <c r="E28" t="s">
        <v>502</v>
      </c>
      <c r="F28" s="11">
        <v>43145</v>
      </c>
      <c r="G28" s="2">
        <f>VLOOKUP(E28,Produtos!$A:$E,5,FALSE)</f>
        <v>1</v>
      </c>
      <c r="H28" s="2">
        <f>VLOOKUP(E28,Produtos!$A:$E,4,FALSE)</f>
        <v>0.5</v>
      </c>
      <c r="I28" s="2">
        <v>10</v>
      </c>
    </row>
    <row r="29" spans="1:9" x14ac:dyDescent="0.25">
      <c r="A29" s="2" t="str">
        <f>CONCATENATE(Códigos!S28,Códigos!T28,Códigos!U28)</f>
        <v>svv27v</v>
      </c>
      <c r="B29" t="s">
        <v>460</v>
      </c>
      <c r="C29" t="s">
        <v>442</v>
      </c>
      <c r="D29" s="2" t="s">
        <v>389</v>
      </c>
      <c r="E29" t="s">
        <v>502</v>
      </c>
      <c r="F29" s="11">
        <v>43146</v>
      </c>
      <c r="G29" s="2">
        <f>VLOOKUP(E29,Produtos!$A:$E,5,FALSE)</f>
        <v>1</v>
      </c>
      <c r="H29" s="2">
        <f>VLOOKUP(E29,Produtos!$A:$E,4,FALSE)</f>
        <v>0.5</v>
      </c>
      <c r="I29" s="2">
        <v>10</v>
      </c>
    </row>
    <row r="30" spans="1:9" x14ac:dyDescent="0.25">
      <c r="A30" s="2" t="str">
        <f>CONCATENATE(Códigos!S29,Códigos!T29,Códigos!U29)</f>
        <v>svv28v</v>
      </c>
      <c r="B30" t="s">
        <v>460</v>
      </c>
      <c r="C30" t="s">
        <v>442</v>
      </c>
      <c r="D30" s="2" t="s">
        <v>389</v>
      </c>
      <c r="E30" t="s">
        <v>502</v>
      </c>
      <c r="F30" s="11">
        <v>43147</v>
      </c>
      <c r="G30" s="2">
        <f>VLOOKUP(E30,Produtos!$A:$E,5,FALSE)</f>
        <v>1</v>
      </c>
      <c r="H30" s="2">
        <f>VLOOKUP(E30,Produtos!$A:$E,4,FALSE)</f>
        <v>0.5</v>
      </c>
      <c r="I30" s="2">
        <v>10</v>
      </c>
    </row>
    <row r="31" spans="1:9" x14ac:dyDescent="0.25">
      <c r="A31" s="2" t="str">
        <f>CONCATENATE(Códigos!S30,Códigos!T30,Códigos!U30)</f>
        <v>svv29v</v>
      </c>
      <c r="B31" t="s">
        <v>460</v>
      </c>
      <c r="C31" t="s">
        <v>442</v>
      </c>
      <c r="D31" s="2" t="s">
        <v>389</v>
      </c>
      <c r="E31" t="s">
        <v>502</v>
      </c>
      <c r="F31" s="11">
        <v>43148</v>
      </c>
      <c r="G31" s="2">
        <f>VLOOKUP(E31,Produtos!$A:$E,5,FALSE)</f>
        <v>1</v>
      </c>
      <c r="H31" s="2">
        <f>VLOOKUP(E31,Produtos!$A:$E,4,FALSE)</f>
        <v>0.5</v>
      </c>
      <c r="I31" s="2">
        <v>10</v>
      </c>
    </row>
    <row r="32" spans="1:9" x14ac:dyDescent="0.25">
      <c r="A32" s="2" t="str">
        <f>CONCATENATE(Códigos!S31,Códigos!T31,Códigos!U31)</f>
        <v>svv30v</v>
      </c>
      <c r="B32" t="s">
        <v>460</v>
      </c>
      <c r="C32" t="s">
        <v>442</v>
      </c>
      <c r="D32" s="2" t="s">
        <v>389</v>
      </c>
      <c r="E32" t="s">
        <v>502</v>
      </c>
      <c r="F32" s="11">
        <v>43149</v>
      </c>
      <c r="G32" s="2">
        <f>VLOOKUP(E32,Produtos!$A:$E,5,FALSE)</f>
        <v>1</v>
      </c>
      <c r="H32" s="2">
        <f>VLOOKUP(E32,Produtos!$A:$E,4,FALSE)</f>
        <v>0.5</v>
      </c>
      <c r="I32" s="2">
        <v>10</v>
      </c>
    </row>
    <row r="33" spans="1:9" x14ac:dyDescent="0.25">
      <c r="A33" s="2" t="str">
        <f>CONCATENATE(Códigos!S32,Códigos!T32,Códigos!U32)</f>
        <v>svv31v</v>
      </c>
      <c r="B33" t="s">
        <v>460</v>
      </c>
      <c r="C33" t="s">
        <v>442</v>
      </c>
      <c r="D33" s="2" t="s">
        <v>389</v>
      </c>
      <c r="E33" t="s">
        <v>502</v>
      </c>
      <c r="F33" s="11">
        <v>43150</v>
      </c>
      <c r="G33" s="2">
        <f>VLOOKUP(E33,Produtos!$A:$E,5,FALSE)</f>
        <v>1</v>
      </c>
      <c r="H33" s="2">
        <f>VLOOKUP(E33,Produtos!$A:$E,4,FALSE)</f>
        <v>0.5</v>
      </c>
      <c r="I33" s="2">
        <v>10</v>
      </c>
    </row>
    <row r="34" spans="1:9" x14ac:dyDescent="0.25">
      <c r="A34" s="2" t="str">
        <f>CONCATENATE(Códigos!S33,Códigos!T33,Códigos!U33)</f>
        <v>svv32v</v>
      </c>
      <c r="B34" t="s">
        <v>460</v>
      </c>
      <c r="C34" t="s">
        <v>442</v>
      </c>
      <c r="D34" s="2" t="s">
        <v>389</v>
      </c>
      <c r="E34" t="s">
        <v>502</v>
      </c>
      <c r="F34" s="11">
        <v>43151</v>
      </c>
      <c r="G34" s="2">
        <f>VLOOKUP(E34,Produtos!$A:$E,5,FALSE)</f>
        <v>1</v>
      </c>
      <c r="H34" s="2">
        <f>VLOOKUP(E34,Produtos!$A:$E,4,FALSE)</f>
        <v>0.5</v>
      </c>
      <c r="I34" s="2">
        <v>10</v>
      </c>
    </row>
    <row r="35" spans="1:9" x14ac:dyDescent="0.25">
      <c r="A35" s="2" t="str">
        <f>CONCATENATE(Códigos!S34,Códigos!T34,Códigos!U34)</f>
        <v>svv33v</v>
      </c>
      <c r="B35" t="s">
        <v>460</v>
      </c>
      <c r="C35" t="s">
        <v>442</v>
      </c>
      <c r="D35" s="2" t="s">
        <v>389</v>
      </c>
      <c r="E35" t="s">
        <v>502</v>
      </c>
      <c r="F35" s="11">
        <v>43152</v>
      </c>
      <c r="G35" s="2">
        <f>VLOOKUP(E35,Produtos!$A:$E,5,FALSE)</f>
        <v>1</v>
      </c>
      <c r="H35" s="2">
        <f>VLOOKUP(E35,Produtos!$A:$E,4,FALSE)</f>
        <v>0.5</v>
      </c>
      <c r="I35" s="2">
        <v>10</v>
      </c>
    </row>
    <row r="36" spans="1:9" x14ac:dyDescent="0.25">
      <c r="A36" s="2" t="str">
        <f>CONCATENATE(Códigos!S35,Códigos!T35,Códigos!U35)</f>
        <v>svv34v</v>
      </c>
      <c r="B36" t="s">
        <v>460</v>
      </c>
      <c r="C36" t="s">
        <v>442</v>
      </c>
      <c r="D36" s="2" t="s">
        <v>389</v>
      </c>
      <c r="E36" t="s">
        <v>502</v>
      </c>
      <c r="F36" s="11">
        <v>43153</v>
      </c>
      <c r="G36" s="2">
        <f>VLOOKUP(E36,Produtos!$A:$E,5,FALSE)</f>
        <v>1</v>
      </c>
      <c r="H36" s="2">
        <f>VLOOKUP(E36,Produtos!$A:$E,4,FALSE)</f>
        <v>0.5</v>
      </c>
      <c r="I36" s="2">
        <v>10</v>
      </c>
    </row>
    <row r="37" spans="1:9" x14ac:dyDescent="0.25">
      <c r="A37" s="2" t="str">
        <f>CONCATENATE(Códigos!S36,Códigos!T36,Códigos!U36)</f>
        <v>svv35v</v>
      </c>
      <c r="B37" t="s">
        <v>460</v>
      </c>
      <c r="C37" t="s">
        <v>442</v>
      </c>
      <c r="D37" s="2" t="s">
        <v>389</v>
      </c>
      <c r="E37" t="s">
        <v>502</v>
      </c>
      <c r="F37" s="11">
        <v>43154</v>
      </c>
      <c r="G37" s="2">
        <f>VLOOKUP(E37,Produtos!$A:$E,5,FALSE)</f>
        <v>1</v>
      </c>
      <c r="H37" s="2">
        <f>VLOOKUP(E37,Produtos!$A:$E,4,FALSE)</f>
        <v>0.5</v>
      </c>
      <c r="I37" s="2">
        <v>10</v>
      </c>
    </row>
    <row r="38" spans="1:9" x14ac:dyDescent="0.25">
      <c r="A38" s="2" t="str">
        <f>CONCATENATE(Códigos!S37,Códigos!T37,Códigos!U37)</f>
        <v>svv36v</v>
      </c>
      <c r="B38" t="s">
        <v>460</v>
      </c>
      <c r="C38" t="s">
        <v>442</v>
      </c>
      <c r="D38" s="2" t="s">
        <v>389</v>
      </c>
      <c r="E38" t="s">
        <v>502</v>
      </c>
      <c r="F38" s="11">
        <v>43155</v>
      </c>
      <c r="G38" s="2">
        <f>VLOOKUP(E38,Produtos!$A:$E,5,FALSE)</f>
        <v>1</v>
      </c>
      <c r="H38" s="2">
        <f>VLOOKUP(E38,Produtos!$A:$E,4,FALSE)</f>
        <v>0.5</v>
      </c>
      <c r="I38" s="2">
        <v>10</v>
      </c>
    </row>
    <row r="39" spans="1:9" x14ac:dyDescent="0.25">
      <c r="A39" s="2" t="str">
        <f>CONCATENATE(Códigos!S38,Códigos!T38,Códigos!U38)</f>
        <v>svv37v</v>
      </c>
      <c r="B39" t="s">
        <v>460</v>
      </c>
      <c r="C39" t="s">
        <v>442</v>
      </c>
      <c r="D39" s="2" t="s">
        <v>389</v>
      </c>
      <c r="E39" t="s">
        <v>502</v>
      </c>
      <c r="F39" s="11">
        <v>43156</v>
      </c>
      <c r="G39" s="2">
        <f>VLOOKUP(E39,Produtos!$A:$E,5,FALSE)</f>
        <v>1</v>
      </c>
      <c r="H39" s="2">
        <f>VLOOKUP(E39,Produtos!$A:$E,4,FALSE)</f>
        <v>0.5</v>
      </c>
      <c r="I39" s="2">
        <v>10</v>
      </c>
    </row>
    <row r="40" spans="1:9" x14ac:dyDescent="0.25">
      <c r="A40" s="2" t="str">
        <f>CONCATENATE(Códigos!S39,Códigos!T39,Códigos!U39)</f>
        <v>svv38v</v>
      </c>
      <c r="B40" t="s">
        <v>460</v>
      </c>
      <c r="C40" t="s">
        <v>329</v>
      </c>
      <c r="D40" s="2" t="s">
        <v>331</v>
      </c>
      <c r="E40" t="s">
        <v>502</v>
      </c>
      <c r="F40" s="11">
        <v>43157</v>
      </c>
      <c r="G40" s="2">
        <f>VLOOKUP(E40,Produtos!$A:$E,5,FALSE)</f>
        <v>1</v>
      </c>
      <c r="H40" s="2">
        <f>VLOOKUP(E40,Produtos!$A:$E,4,FALSE)</f>
        <v>0.5</v>
      </c>
      <c r="I40" s="2">
        <v>10</v>
      </c>
    </row>
    <row r="41" spans="1:9" x14ac:dyDescent="0.25">
      <c r="A41" s="2" t="str">
        <f>CONCATENATE(Códigos!S40,Códigos!T40,Códigos!U40)</f>
        <v>svv39v</v>
      </c>
      <c r="B41" t="s">
        <v>460</v>
      </c>
      <c r="C41" t="s">
        <v>329</v>
      </c>
      <c r="D41" s="2" t="s">
        <v>331</v>
      </c>
      <c r="E41" t="s">
        <v>502</v>
      </c>
      <c r="F41" s="11">
        <v>43158</v>
      </c>
      <c r="G41" s="2">
        <f>VLOOKUP(E41,Produtos!$A:$E,5,FALSE)</f>
        <v>1</v>
      </c>
      <c r="H41" s="2">
        <f>VLOOKUP(E41,Produtos!$A:$E,4,FALSE)</f>
        <v>0.5</v>
      </c>
      <c r="I41" s="2">
        <v>10</v>
      </c>
    </row>
    <row r="42" spans="1:9" x14ac:dyDescent="0.25">
      <c r="A42" s="2" t="str">
        <f>CONCATENATE(Códigos!S41,Códigos!T41,Códigos!U41)</f>
        <v>svv40v</v>
      </c>
      <c r="B42" t="s">
        <v>460</v>
      </c>
      <c r="C42" t="s">
        <v>329</v>
      </c>
      <c r="D42" s="2" t="s">
        <v>331</v>
      </c>
      <c r="E42" t="s">
        <v>502</v>
      </c>
      <c r="F42" s="11">
        <v>43159</v>
      </c>
      <c r="G42" s="2">
        <f>VLOOKUP(E42,Produtos!$A:$E,5,FALSE)</f>
        <v>1</v>
      </c>
      <c r="H42" s="2">
        <f>VLOOKUP(E42,Produtos!$A:$E,4,FALSE)</f>
        <v>0.5</v>
      </c>
      <c r="I42" s="2">
        <v>10</v>
      </c>
    </row>
    <row r="43" spans="1:9" x14ac:dyDescent="0.25">
      <c r="A43" s="2" t="str">
        <f>CONCATENATE(Códigos!S42,Códigos!T42,Códigos!U42)</f>
        <v>svv41v</v>
      </c>
      <c r="B43" t="s">
        <v>460</v>
      </c>
      <c r="C43" t="s">
        <v>329</v>
      </c>
      <c r="D43" s="2" t="s">
        <v>331</v>
      </c>
      <c r="E43" t="s">
        <v>502</v>
      </c>
      <c r="F43" s="11">
        <v>43160</v>
      </c>
      <c r="G43" s="2">
        <f>VLOOKUP(E43,Produtos!$A:$E,5,FALSE)</f>
        <v>1</v>
      </c>
      <c r="H43" s="2">
        <f>VLOOKUP(E43,Produtos!$A:$E,4,FALSE)</f>
        <v>0.5</v>
      </c>
      <c r="I43" s="2">
        <v>10</v>
      </c>
    </row>
    <row r="44" spans="1:9" x14ac:dyDescent="0.25">
      <c r="A44" s="2" t="str">
        <f>CONCATENATE(Códigos!S43,Códigos!T43,Códigos!U43)</f>
        <v>svv42v</v>
      </c>
      <c r="B44" t="s">
        <v>460</v>
      </c>
      <c r="C44" t="s">
        <v>329</v>
      </c>
      <c r="D44" s="2" t="s">
        <v>331</v>
      </c>
      <c r="E44" t="s">
        <v>502</v>
      </c>
      <c r="F44" s="11">
        <v>43161</v>
      </c>
      <c r="G44" s="2">
        <f>VLOOKUP(E44,Produtos!$A:$E,5,FALSE)</f>
        <v>1</v>
      </c>
      <c r="H44" s="2">
        <f>VLOOKUP(E44,Produtos!$A:$E,4,FALSE)</f>
        <v>0.5</v>
      </c>
      <c r="I44" s="2">
        <v>10</v>
      </c>
    </row>
    <row r="45" spans="1:9" x14ac:dyDescent="0.25">
      <c r="A45" s="2" t="str">
        <f>CONCATENATE(Códigos!S44,Códigos!T44,Códigos!U44)</f>
        <v>svv43v</v>
      </c>
      <c r="B45" t="s">
        <v>460</v>
      </c>
      <c r="C45" t="s">
        <v>329</v>
      </c>
      <c r="D45" s="2" t="s">
        <v>331</v>
      </c>
      <c r="E45" t="s">
        <v>502</v>
      </c>
      <c r="F45" s="11">
        <v>43162</v>
      </c>
      <c r="G45" s="2">
        <f>VLOOKUP(E45,Produtos!$A:$E,5,FALSE)</f>
        <v>1</v>
      </c>
      <c r="H45" s="2">
        <f>VLOOKUP(E45,Produtos!$A:$E,4,FALSE)</f>
        <v>0.5</v>
      </c>
      <c r="I45" s="2">
        <v>10</v>
      </c>
    </row>
    <row r="46" spans="1:9" x14ac:dyDescent="0.25">
      <c r="A46" s="2" t="str">
        <f>CONCATENATE(Códigos!S45,Códigos!T45,Códigos!U45)</f>
        <v>svv44v</v>
      </c>
      <c r="B46" t="s">
        <v>460</v>
      </c>
      <c r="C46" t="s">
        <v>329</v>
      </c>
      <c r="D46" s="2" t="s">
        <v>331</v>
      </c>
      <c r="E46" t="s">
        <v>502</v>
      </c>
      <c r="F46" s="11">
        <v>43163</v>
      </c>
      <c r="G46" s="2">
        <f>VLOOKUP(E46,Produtos!$A:$E,5,FALSE)</f>
        <v>1</v>
      </c>
      <c r="H46" s="2">
        <f>VLOOKUP(E46,Produtos!$A:$E,4,FALSE)</f>
        <v>0.5</v>
      </c>
      <c r="I46" s="2">
        <v>10</v>
      </c>
    </row>
    <row r="47" spans="1:9" x14ac:dyDescent="0.25">
      <c r="A47" s="2" t="str">
        <f>CONCATENATE(Códigos!S46,Códigos!T46,Códigos!U46)</f>
        <v>svv45v</v>
      </c>
      <c r="B47" t="s">
        <v>460</v>
      </c>
      <c r="C47" t="s">
        <v>329</v>
      </c>
      <c r="D47" s="2" t="s">
        <v>331</v>
      </c>
      <c r="E47" t="s">
        <v>502</v>
      </c>
      <c r="F47" s="11">
        <v>43164</v>
      </c>
      <c r="G47" s="2">
        <f>VLOOKUP(E47,Produtos!$A:$E,5,FALSE)</f>
        <v>1</v>
      </c>
      <c r="H47" s="2">
        <f>VLOOKUP(E47,Produtos!$A:$E,4,FALSE)</f>
        <v>0.5</v>
      </c>
      <c r="I47" s="2">
        <v>10</v>
      </c>
    </row>
    <row r="48" spans="1:9" x14ac:dyDescent="0.25">
      <c r="A48" s="2" t="str">
        <f>CONCATENATE(Códigos!S47,Códigos!T47,Códigos!U47)</f>
        <v>svv46v</v>
      </c>
      <c r="B48" t="s">
        <v>460</v>
      </c>
      <c r="C48" t="s">
        <v>329</v>
      </c>
      <c r="D48" s="2" t="s">
        <v>331</v>
      </c>
      <c r="E48" t="s">
        <v>502</v>
      </c>
      <c r="F48" s="11">
        <v>43165</v>
      </c>
      <c r="G48" s="2">
        <f>VLOOKUP(E48,Produtos!$A:$E,5,FALSE)</f>
        <v>1</v>
      </c>
      <c r="H48" s="2">
        <f>VLOOKUP(E48,Produtos!$A:$E,4,FALSE)</f>
        <v>0.5</v>
      </c>
      <c r="I48" s="2">
        <v>10</v>
      </c>
    </row>
    <row r="49" spans="1:9" x14ac:dyDescent="0.25">
      <c r="A49" s="2" t="str">
        <f>CONCATENATE(Códigos!S48,Códigos!T48,Códigos!U48)</f>
        <v>svv47v</v>
      </c>
      <c r="B49" t="s">
        <v>460</v>
      </c>
      <c r="C49" t="s">
        <v>329</v>
      </c>
      <c r="D49" s="2" t="s">
        <v>331</v>
      </c>
      <c r="E49" t="s">
        <v>348</v>
      </c>
      <c r="F49" s="11">
        <v>43166</v>
      </c>
      <c r="G49" s="2">
        <f>VLOOKUP(E49,Produtos!$A:$E,5,FALSE)</f>
        <v>2</v>
      </c>
      <c r="H49" s="2">
        <f>VLOOKUP(E49,Produtos!$A:$E,4,FALSE)</f>
        <v>1</v>
      </c>
      <c r="I49" s="2">
        <v>10</v>
      </c>
    </row>
    <row r="50" spans="1:9" x14ac:dyDescent="0.25">
      <c r="A50" s="2" t="str">
        <f>CONCATENATE(Códigos!S49,Códigos!T49,Códigos!U49)</f>
        <v>svv48v</v>
      </c>
      <c r="B50" t="s">
        <v>460</v>
      </c>
      <c r="C50" t="s">
        <v>329</v>
      </c>
      <c r="D50" s="2" t="s">
        <v>331</v>
      </c>
      <c r="E50" t="s">
        <v>348</v>
      </c>
      <c r="F50" s="11">
        <v>43167</v>
      </c>
      <c r="G50" s="2">
        <f>VLOOKUP(E50,Produtos!$A:$E,5,FALSE)</f>
        <v>2</v>
      </c>
      <c r="H50" s="2">
        <f>VLOOKUP(E50,Produtos!$A:$E,4,FALSE)</f>
        <v>1</v>
      </c>
      <c r="I50" s="2">
        <v>10</v>
      </c>
    </row>
    <row r="51" spans="1:9" x14ac:dyDescent="0.25">
      <c r="A51" s="2" t="str">
        <f>CONCATENATE(Códigos!S50,Códigos!T50,Códigos!U50)</f>
        <v>svv49v</v>
      </c>
      <c r="B51" t="s">
        <v>460</v>
      </c>
      <c r="C51" t="s">
        <v>329</v>
      </c>
      <c r="D51" s="2" t="s">
        <v>331</v>
      </c>
      <c r="E51" t="s">
        <v>348</v>
      </c>
      <c r="F51" s="11">
        <v>43168</v>
      </c>
      <c r="G51" s="2">
        <f>VLOOKUP(E51,Produtos!$A:$E,5,FALSE)</f>
        <v>2</v>
      </c>
      <c r="H51" s="2">
        <f>VLOOKUP(E51,Produtos!$A:$E,4,FALSE)</f>
        <v>1</v>
      </c>
      <c r="I51" s="2">
        <v>10</v>
      </c>
    </row>
    <row r="52" spans="1:9" x14ac:dyDescent="0.25">
      <c r="A52" s="2" t="str">
        <f>CONCATENATE(Códigos!S51,Códigos!T51,Códigos!U51)</f>
        <v>svv50v</v>
      </c>
      <c r="B52" t="s">
        <v>460</v>
      </c>
      <c r="C52" t="s">
        <v>329</v>
      </c>
      <c r="D52" s="2" t="s">
        <v>331</v>
      </c>
      <c r="E52" t="s">
        <v>348</v>
      </c>
      <c r="F52" s="11">
        <v>43169</v>
      </c>
      <c r="G52" s="2">
        <f>VLOOKUP(E52,Produtos!$A:$E,5,FALSE)</f>
        <v>2</v>
      </c>
      <c r="H52" s="2">
        <f>VLOOKUP(E52,Produtos!$A:$E,4,FALSE)</f>
        <v>1</v>
      </c>
      <c r="I52" s="2">
        <v>10</v>
      </c>
    </row>
    <row r="53" spans="1:9" x14ac:dyDescent="0.25">
      <c r="A53" s="2" t="str">
        <f>CONCATENATE(Códigos!S52,Códigos!T52,Códigos!U52)</f>
        <v>svv51v</v>
      </c>
      <c r="B53" t="s">
        <v>460</v>
      </c>
      <c r="C53" t="s">
        <v>329</v>
      </c>
      <c r="D53" s="2" t="s">
        <v>331</v>
      </c>
      <c r="E53" t="s">
        <v>348</v>
      </c>
      <c r="F53" s="11">
        <v>43170</v>
      </c>
      <c r="G53" s="2">
        <f>VLOOKUP(E53,Produtos!$A:$E,5,FALSE)</f>
        <v>2</v>
      </c>
      <c r="H53" s="2">
        <f>VLOOKUP(E53,Produtos!$A:$E,4,FALSE)</f>
        <v>1</v>
      </c>
      <c r="I53" s="2">
        <v>10</v>
      </c>
    </row>
    <row r="54" spans="1:9" x14ac:dyDescent="0.25">
      <c r="A54" s="2" t="str">
        <f>CONCATENATE(Códigos!S53,Códigos!T53,Códigos!U53)</f>
        <v>svv52v</v>
      </c>
      <c r="B54" t="s">
        <v>460</v>
      </c>
      <c r="C54" t="s">
        <v>329</v>
      </c>
      <c r="D54" s="2" t="s">
        <v>331</v>
      </c>
      <c r="E54" t="s">
        <v>348</v>
      </c>
      <c r="F54" s="11">
        <v>43171</v>
      </c>
      <c r="G54" s="2">
        <f>VLOOKUP(E54,Produtos!$A:$E,5,FALSE)</f>
        <v>2</v>
      </c>
      <c r="H54" s="2">
        <f>VLOOKUP(E54,Produtos!$A:$E,4,FALSE)</f>
        <v>1</v>
      </c>
      <c r="I54" s="2">
        <v>10</v>
      </c>
    </row>
    <row r="55" spans="1:9" x14ac:dyDescent="0.25">
      <c r="A55" s="2" t="str">
        <f>CONCATENATE(Códigos!S54,Códigos!T54,Códigos!U54)</f>
        <v>svv53v</v>
      </c>
      <c r="B55" t="s">
        <v>460</v>
      </c>
      <c r="C55" t="s">
        <v>329</v>
      </c>
      <c r="D55" s="2" t="s">
        <v>331</v>
      </c>
      <c r="E55" t="s">
        <v>348</v>
      </c>
      <c r="F55" s="11">
        <v>43172</v>
      </c>
      <c r="G55" s="2">
        <f>VLOOKUP(E55,Produtos!$A:$E,5,FALSE)</f>
        <v>2</v>
      </c>
      <c r="H55" s="2">
        <f>VLOOKUP(E55,Produtos!$A:$E,4,FALSE)</f>
        <v>1</v>
      </c>
      <c r="I55" s="2">
        <v>10</v>
      </c>
    </row>
    <row r="56" spans="1:9" x14ac:dyDescent="0.25">
      <c r="A56" s="2" t="str">
        <f>CONCATENATE(Códigos!S55,Códigos!T55,Códigos!U55)</f>
        <v>svv54v</v>
      </c>
      <c r="B56" t="s">
        <v>460</v>
      </c>
      <c r="C56" t="s">
        <v>329</v>
      </c>
      <c r="D56" s="2" t="s">
        <v>331</v>
      </c>
      <c r="E56" t="s">
        <v>348</v>
      </c>
      <c r="F56" s="11">
        <v>43173</v>
      </c>
      <c r="G56" s="2">
        <f>VLOOKUP(E56,Produtos!$A:$E,5,FALSE)</f>
        <v>2</v>
      </c>
      <c r="H56" s="2">
        <f>VLOOKUP(E56,Produtos!$A:$E,4,FALSE)</f>
        <v>1</v>
      </c>
      <c r="I56" s="2">
        <v>10</v>
      </c>
    </row>
    <row r="57" spans="1:9" x14ac:dyDescent="0.25">
      <c r="A57" s="2" t="str">
        <f>CONCATENATE(Códigos!S56,Códigos!T56,Códigos!U56)</f>
        <v>svv55v</v>
      </c>
      <c r="B57" t="s">
        <v>460</v>
      </c>
      <c r="C57" t="s">
        <v>329</v>
      </c>
      <c r="D57" s="2" t="s">
        <v>331</v>
      </c>
      <c r="E57" t="s">
        <v>348</v>
      </c>
      <c r="F57" s="11">
        <v>43174</v>
      </c>
      <c r="G57" s="2">
        <f>VLOOKUP(E57,Produtos!$A:$E,5,FALSE)</f>
        <v>2</v>
      </c>
      <c r="H57" s="2">
        <f>VLOOKUP(E57,Produtos!$A:$E,4,FALSE)</f>
        <v>1</v>
      </c>
      <c r="I57" s="2">
        <v>10</v>
      </c>
    </row>
    <row r="58" spans="1:9" x14ac:dyDescent="0.25">
      <c r="A58" s="2" t="str">
        <f>CONCATENATE(Códigos!S57,Códigos!T57,Códigos!U57)</f>
        <v>svv56v</v>
      </c>
      <c r="B58" t="s">
        <v>460</v>
      </c>
      <c r="C58" t="s">
        <v>329</v>
      </c>
      <c r="D58" s="2" t="s">
        <v>331</v>
      </c>
      <c r="E58" t="s">
        <v>348</v>
      </c>
      <c r="F58" s="11">
        <v>43175</v>
      </c>
      <c r="G58" s="2">
        <f>VLOOKUP(E58,Produtos!$A:$E,5,FALSE)</f>
        <v>2</v>
      </c>
      <c r="H58" s="2">
        <f>VLOOKUP(E58,Produtos!$A:$E,4,FALSE)</f>
        <v>1</v>
      </c>
      <c r="I58" s="2">
        <v>10</v>
      </c>
    </row>
    <row r="59" spans="1:9" x14ac:dyDescent="0.25">
      <c r="A59" s="2" t="str">
        <f>CONCATENATE(Códigos!S58,Códigos!T58,Códigos!U58)</f>
        <v>svv57v</v>
      </c>
      <c r="B59" t="s">
        <v>460</v>
      </c>
      <c r="C59" t="s">
        <v>329</v>
      </c>
      <c r="D59" s="2" t="s">
        <v>331</v>
      </c>
      <c r="E59" t="s">
        <v>348</v>
      </c>
      <c r="F59" s="11">
        <v>43176</v>
      </c>
      <c r="G59" s="2">
        <f>VLOOKUP(E59,Produtos!$A:$E,5,FALSE)</f>
        <v>2</v>
      </c>
      <c r="H59" s="2">
        <f>VLOOKUP(E59,Produtos!$A:$E,4,FALSE)</f>
        <v>1</v>
      </c>
      <c r="I59" s="2">
        <v>10</v>
      </c>
    </row>
    <row r="60" spans="1:9" x14ac:dyDescent="0.25">
      <c r="A60" s="2" t="str">
        <f>CONCATENATE(Códigos!S59,Códigos!T59,Códigos!U59)</f>
        <v>svv58v</v>
      </c>
      <c r="B60" t="s">
        <v>460</v>
      </c>
      <c r="C60" t="s">
        <v>329</v>
      </c>
      <c r="D60" s="2" t="s">
        <v>331</v>
      </c>
      <c r="E60" t="s">
        <v>348</v>
      </c>
      <c r="F60" s="11">
        <v>43177</v>
      </c>
      <c r="G60" s="2">
        <f>VLOOKUP(E60,Produtos!$A:$E,5,FALSE)</f>
        <v>2</v>
      </c>
      <c r="H60" s="2">
        <f>VLOOKUP(E60,Produtos!$A:$E,4,FALSE)</f>
        <v>1</v>
      </c>
      <c r="I60" s="2">
        <v>10</v>
      </c>
    </row>
    <row r="61" spans="1:9" x14ac:dyDescent="0.25">
      <c r="A61" s="2" t="str">
        <f>CONCATENATE(Códigos!S60,Códigos!T60,Códigos!U60)</f>
        <v>svv59v</v>
      </c>
      <c r="B61" t="s">
        <v>460</v>
      </c>
      <c r="C61" t="s">
        <v>329</v>
      </c>
      <c r="D61" s="2" t="s">
        <v>331</v>
      </c>
      <c r="E61" t="s">
        <v>348</v>
      </c>
      <c r="F61" s="11">
        <v>43178</v>
      </c>
      <c r="G61" s="2">
        <f>VLOOKUP(E61,Produtos!$A:$E,5,FALSE)</f>
        <v>2</v>
      </c>
      <c r="H61" s="2">
        <f>VLOOKUP(E61,Produtos!$A:$E,4,FALSE)</f>
        <v>1</v>
      </c>
      <c r="I61" s="2">
        <v>10</v>
      </c>
    </row>
    <row r="62" spans="1:9" x14ac:dyDescent="0.25">
      <c r="A62" s="2" t="str">
        <f>CONCATENATE(Códigos!S61,Códigos!T61,Códigos!U61)</f>
        <v>svv60v</v>
      </c>
      <c r="B62" t="s">
        <v>460</v>
      </c>
      <c r="C62" t="s">
        <v>329</v>
      </c>
      <c r="D62" s="2" t="s">
        <v>331</v>
      </c>
      <c r="E62" t="s">
        <v>348</v>
      </c>
      <c r="F62" s="11">
        <v>43179</v>
      </c>
      <c r="G62" s="2">
        <f>VLOOKUP(E62,Produtos!$A:$E,5,FALSE)</f>
        <v>2</v>
      </c>
      <c r="H62" s="2">
        <f>VLOOKUP(E62,Produtos!$A:$E,4,FALSE)</f>
        <v>1</v>
      </c>
      <c r="I62" s="2">
        <v>10</v>
      </c>
    </row>
    <row r="63" spans="1:9" x14ac:dyDescent="0.25">
      <c r="A63" s="2" t="str">
        <f>CONCATENATE(Códigos!S62,Códigos!T62,Códigos!U62)</f>
        <v>svv61v</v>
      </c>
      <c r="B63" t="s">
        <v>460</v>
      </c>
      <c r="C63" t="s">
        <v>329</v>
      </c>
      <c r="D63" s="2" t="s">
        <v>331</v>
      </c>
      <c r="E63" t="s">
        <v>348</v>
      </c>
      <c r="F63" s="11">
        <v>43180</v>
      </c>
      <c r="G63" s="2">
        <f>VLOOKUP(E63,Produtos!$A:$E,5,FALSE)</f>
        <v>2</v>
      </c>
      <c r="H63" s="2">
        <f>VLOOKUP(E63,Produtos!$A:$E,4,FALSE)</f>
        <v>1</v>
      </c>
      <c r="I63" s="2">
        <v>10</v>
      </c>
    </row>
    <row r="64" spans="1:9" x14ac:dyDescent="0.25">
      <c r="A64" s="2" t="str">
        <f>CONCATENATE(Códigos!S63,Códigos!T63,Códigos!U63)</f>
        <v>svv62v</v>
      </c>
      <c r="B64" t="s">
        <v>460</v>
      </c>
      <c r="C64" t="s">
        <v>329</v>
      </c>
      <c r="D64" s="2" t="s">
        <v>331</v>
      </c>
      <c r="E64" t="s">
        <v>348</v>
      </c>
      <c r="F64" s="11">
        <v>43181</v>
      </c>
      <c r="G64" s="2">
        <f>VLOOKUP(E64,Produtos!$A:$E,5,FALSE)</f>
        <v>2</v>
      </c>
      <c r="H64" s="2">
        <f>VLOOKUP(E64,Produtos!$A:$E,4,FALSE)</f>
        <v>1</v>
      </c>
      <c r="I64" s="2">
        <v>10</v>
      </c>
    </row>
    <row r="65" spans="1:9" x14ac:dyDescent="0.25">
      <c r="A65" s="2" t="str">
        <f>CONCATENATE(Códigos!S64,Códigos!T64,Códigos!U64)</f>
        <v>svv63v</v>
      </c>
      <c r="B65" t="s">
        <v>460</v>
      </c>
      <c r="C65" t="s">
        <v>329</v>
      </c>
      <c r="D65" s="2" t="s">
        <v>331</v>
      </c>
      <c r="E65" t="s">
        <v>348</v>
      </c>
      <c r="F65" s="11">
        <v>43182</v>
      </c>
      <c r="G65" s="2">
        <f>VLOOKUP(E65,Produtos!$A:$E,5,FALSE)</f>
        <v>2</v>
      </c>
      <c r="H65" s="2">
        <f>VLOOKUP(E65,Produtos!$A:$E,4,FALSE)</f>
        <v>1</v>
      </c>
      <c r="I65" s="2">
        <v>10</v>
      </c>
    </row>
    <row r="66" spans="1:9" x14ac:dyDescent="0.25">
      <c r="A66" s="2" t="str">
        <f>CONCATENATE(Códigos!S65,Códigos!T65,Códigos!U65)</f>
        <v>svv64v</v>
      </c>
      <c r="B66" t="s">
        <v>460</v>
      </c>
      <c r="C66" t="s">
        <v>329</v>
      </c>
      <c r="D66" s="2" t="s">
        <v>331</v>
      </c>
      <c r="E66" t="s">
        <v>348</v>
      </c>
      <c r="F66" s="11">
        <v>43183</v>
      </c>
      <c r="G66" s="2">
        <f>VLOOKUP(E66,Produtos!$A:$E,5,FALSE)</f>
        <v>2</v>
      </c>
      <c r="H66" s="2">
        <f>VLOOKUP(E66,Produtos!$A:$E,4,FALSE)</f>
        <v>1</v>
      </c>
      <c r="I66" s="2">
        <v>10</v>
      </c>
    </row>
    <row r="67" spans="1:9" x14ac:dyDescent="0.25">
      <c r="A67" s="2" t="str">
        <f>CONCATENATE(Códigos!S66,Códigos!T66,Códigos!U66)</f>
        <v>svv65v</v>
      </c>
      <c r="B67" t="s">
        <v>460</v>
      </c>
      <c r="C67" t="s">
        <v>329</v>
      </c>
      <c r="D67" s="2" t="s">
        <v>331</v>
      </c>
      <c r="E67" t="s">
        <v>348</v>
      </c>
      <c r="F67" s="11">
        <v>43184</v>
      </c>
      <c r="G67" s="2">
        <f>VLOOKUP(E67,Produtos!$A:$E,5,FALSE)</f>
        <v>2</v>
      </c>
      <c r="H67" s="2">
        <f>VLOOKUP(E67,Produtos!$A:$E,4,FALSE)</f>
        <v>1</v>
      </c>
      <c r="I67" s="2">
        <v>10</v>
      </c>
    </row>
    <row r="68" spans="1:9" x14ac:dyDescent="0.25">
      <c r="A68" s="2" t="str">
        <f>CONCATENATE(Códigos!S67,Códigos!T67,Códigos!U67)</f>
        <v>svv66v</v>
      </c>
      <c r="B68" t="s">
        <v>460</v>
      </c>
      <c r="C68" t="s">
        <v>329</v>
      </c>
      <c r="D68" s="2" t="s">
        <v>331</v>
      </c>
      <c r="E68" t="s">
        <v>348</v>
      </c>
      <c r="F68" s="11">
        <v>43185</v>
      </c>
      <c r="G68" s="2">
        <f>VLOOKUP(E68,Produtos!$A:$E,5,FALSE)</f>
        <v>2</v>
      </c>
      <c r="H68" s="2">
        <f>VLOOKUP(E68,Produtos!$A:$E,4,FALSE)</f>
        <v>1</v>
      </c>
      <c r="I68" s="2">
        <v>10</v>
      </c>
    </row>
    <row r="69" spans="1:9" x14ac:dyDescent="0.25">
      <c r="A69" s="2" t="str">
        <f>CONCATENATE(Códigos!S68,Códigos!T68,Códigos!U68)</f>
        <v>svv67v</v>
      </c>
      <c r="B69" t="s">
        <v>460</v>
      </c>
      <c r="C69" t="s">
        <v>329</v>
      </c>
      <c r="D69" s="2" t="s">
        <v>331</v>
      </c>
      <c r="E69" t="s">
        <v>348</v>
      </c>
      <c r="F69" s="11">
        <v>43186</v>
      </c>
      <c r="G69" s="2">
        <f>VLOOKUP(E69,Produtos!$A:$E,5,FALSE)</f>
        <v>2</v>
      </c>
      <c r="H69" s="2">
        <f>VLOOKUP(E69,Produtos!$A:$E,4,FALSE)</f>
        <v>1</v>
      </c>
      <c r="I69" s="2">
        <v>10</v>
      </c>
    </row>
    <row r="70" spans="1:9" x14ac:dyDescent="0.25">
      <c r="A70" s="2" t="str">
        <f>CONCATENATE(Códigos!S69,Códigos!T69,Códigos!U69)</f>
        <v>svv68v</v>
      </c>
      <c r="B70" t="s">
        <v>460</v>
      </c>
      <c r="C70" t="s">
        <v>329</v>
      </c>
      <c r="D70" s="2" t="s">
        <v>331</v>
      </c>
      <c r="E70" t="s">
        <v>348</v>
      </c>
      <c r="F70" s="11">
        <v>43187</v>
      </c>
      <c r="G70" s="2">
        <f>VLOOKUP(E70,Produtos!$A:$E,5,FALSE)</f>
        <v>2</v>
      </c>
      <c r="H70" s="2">
        <f>VLOOKUP(E70,Produtos!$A:$E,4,FALSE)</f>
        <v>1</v>
      </c>
      <c r="I70" s="2">
        <v>10</v>
      </c>
    </row>
    <row r="71" spans="1:9" x14ac:dyDescent="0.25">
      <c r="A71" s="2" t="str">
        <f>CONCATENATE(Códigos!S70,Códigos!T70,Códigos!U70)</f>
        <v>svv69v</v>
      </c>
      <c r="B71" t="s">
        <v>460</v>
      </c>
      <c r="C71" t="s">
        <v>329</v>
      </c>
      <c r="D71" s="2" t="s">
        <v>331</v>
      </c>
      <c r="E71" t="s">
        <v>348</v>
      </c>
      <c r="F71" s="11">
        <v>43188</v>
      </c>
      <c r="G71" s="2">
        <f>VLOOKUP(E71,Produtos!$A:$E,5,FALSE)</f>
        <v>2</v>
      </c>
      <c r="H71" s="2">
        <f>VLOOKUP(E71,Produtos!$A:$E,4,FALSE)</f>
        <v>1</v>
      </c>
      <c r="I71" s="2">
        <v>10</v>
      </c>
    </row>
    <row r="72" spans="1:9" x14ac:dyDescent="0.25">
      <c r="A72" s="2" t="str">
        <f>CONCATENATE(Códigos!S71,Códigos!T71,Códigos!U71)</f>
        <v>svv70v</v>
      </c>
      <c r="B72" t="s">
        <v>460</v>
      </c>
      <c r="C72" t="s">
        <v>329</v>
      </c>
      <c r="D72" s="2" t="s">
        <v>331</v>
      </c>
      <c r="E72" t="s">
        <v>348</v>
      </c>
      <c r="F72" s="11">
        <v>43189</v>
      </c>
      <c r="G72" s="2">
        <f>VLOOKUP(E72,Produtos!$A:$E,5,FALSE)</f>
        <v>2</v>
      </c>
      <c r="H72" s="2">
        <f>VLOOKUP(E72,Produtos!$A:$E,4,FALSE)</f>
        <v>1</v>
      </c>
      <c r="I72" s="2">
        <v>10</v>
      </c>
    </row>
    <row r="73" spans="1:9" x14ac:dyDescent="0.25">
      <c r="A73" s="2" t="str">
        <f>CONCATENATE(Códigos!S72,Códigos!T72,Códigos!U72)</f>
        <v>svv71v</v>
      </c>
      <c r="B73" t="s">
        <v>460</v>
      </c>
      <c r="C73" t="s">
        <v>329</v>
      </c>
      <c r="D73" s="2" t="s">
        <v>331</v>
      </c>
      <c r="E73" t="s">
        <v>348</v>
      </c>
      <c r="F73" s="11">
        <v>43190</v>
      </c>
      <c r="G73" s="2">
        <f>VLOOKUP(E73,Produtos!$A:$E,5,FALSE)</f>
        <v>2</v>
      </c>
      <c r="H73" s="2">
        <f>VLOOKUP(E73,Produtos!$A:$E,4,FALSE)</f>
        <v>1</v>
      </c>
      <c r="I73" s="2">
        <v>10</v>
      </c>
    </row>
    <row r="74" spans="1:9" x14ac:dyDescent="0.25">
      <c r="A74" s="2" t="str">
        <f>CONCATENATE(Códigos!S73,Códigos!T73,Códigos!U73)</f>
        <v>svv72v</v>
      </c>
      <c r="B74" t="s">
        <v>460</v>
      </c>
      <c r="C74" t="s">
        <v>329</v>
      </c>
      <c r="D74" s="2" t="s">
        <v>331</v>
      </c>
      <c r="E74" t="s">
        <v>348</v>
      </c>
      <c r="F74" s="11">
        <v>43191</v>
      </c>
      <c r="G74" s="2">
        <f>VLOOKUP(E74,Produtos!$A:$E,5,FALSE)</f>
        <v>2</v>
      </c>
      <c r="H74" s="2">
        <f>VLOOKUP(E74,Produtos!$A:$E,4,FALSE)</f>
        <v>1</v>
      </c>
      <c r="I74" s="2">
        <v>10</v>
      </c>
    </row>
    <row r="75" spans="1:9" x14ac:dyDescent="0.25">
      <c r="A75" s="2" t="str">
        <f>CONCATENATE(Códigos!S74,Códigos!T74,Códigos!U74)</f>
        <v>svv73v</v>
      </c>
      <c r="B75" t="s">
        <v>460</v>
      </c>
      <c r="C75" t="s">
        <v>329</v>
      </c>
      <c r="D75" s="2" t="s">
        <v>331</v>
      </c>
      <c r="E75" t="s">
        <v>348</v>
      </c>
      <c r="F75" s="11">
        <v>43192</v>
      </c>
      <c r="G75" s="2">
        <f>VLOOKUP(E75,Produtos!$A:$E,5,FALSE)</f>
        <v>2</v>
      </c>
      <c r="H75" s="2">
        <f>VLOOKUP(E75,Produtos!$A:$E,4,FALSE)</f>
        <v>1</v>
      </c>
      <c r="I75" s="2">
        <v>10</v>
      </c>
    </row>
    <row r="76" spans="1:9" x14ac:dyDescent="0.25">
      <c r="A76" s="2" t="str">
        <f>CONCATENATE(Códigos!S75,Códigos!T75,Códigos!U75)</f>
        <v>svv74v</v>
      </c>
      <c r="B76" t="s">
        <v>460</v>
      </c>
      <c r="C76" t="s">
        <v>329</v>
      </c>
      <c r="D76" s="2" t="s">
        <v>331</v>
      </c>
      <c r="E76" t="s">
        <v>348</v>
      </c>
      <c r="F76" s="11">
        <v>43193</v>
      </c>
      <c r="G76" s="2">
        <f>VLOOKUP(E76,Produtos!$A:$E,5,FALSE)</f>
        <v>2</v>
      </c>
      <c r="H76" s="2">
        <f>VLOOKUP(E76,Produtos!$A:$E,4,FALSE)</f>
        <v>1</v>
      </c>
      <c r="I76" s="2">
        <v>10</v>
      </c>
    </row>
    <row r="77" spans="1:9" x14ac:dyDescent="0.25">
      <c r="A77" s="2" t="str">
        <f>CONCATENATE(Códigos!S76,Códigos!T76,Códigos!U76)</f>
        <v>svv75v</v>
      </c>
      <c r="B77" t="s">
        <v>460</v>
      </c>
      <c r="C77" t="s">
        <v>329</v>
      </c>
      <c r="D77" s="2" t="s">
        <v>331</v>
      </c>
      <c r="E77" t="s">
        <v>348</v>
      </c>
      <c r="F77" s="11">
        <v>43194</v>
      </c>
      <c r="G77" s="2">
        <f>VLOOKUP(E77,Produtos!$A:$E,5,FALSE)</f>
        <v>2</v>
      </c>
      <c r="H77" s="2">
        <f>VLOOKUP(E77,Produtos!$A:$E,4,FALSE)</f>
        <v>1</v>
      </c>
      <c r="I77" s="2">
        <v>10</v>
      </c>
    </row>
    <row r="78" spans="1:9" x14ac:dyDescent="0.25">
      <c r="A78" s="2" t="str">
        <f>CONCATENATE(Códigos!S77,Códigos!T77,Códigos!U77)</f>
        <v>svv76v</v>
      </c>
      <c r="B78" t="s">
        <v>460</v>
      </c>
      <c r="C78" t="s">
        <v>329</v>
      </c>
      <c r="D78" s="2" t="s">
        <v>331</v>
      </c>
      <c r="E78" t="s">
        <v>348</v>
      </c>
      <c r="F78" s="11">
        <v>43195</v>
      </c>
      <c r="G78" s="2">
        <f>VLOOKUP(E78,Produtos!$A:$E,5,FALSE)</f>
        <v>2</v>
      </c>
      <c r="H78" s="2">
        <f>VLOOKUP(E78,Produtos!$A:$E,4,FALSE)</f>
        <v>1</v>
      </c>
      <c r="I78" s="2">
        <v>10</v>
      </c>
    </row>
    <row r="79" spans="1:9" x14ac:dyDescent="0.25">
      <c r="A79" s="2" t="str">
        <f>CONCATENATE(Códigos!S78,Códigos!T78,Códigos!U78)</f>
        <v>svv77v</v>
      </c>
      <c r="B79" t="s">
        <v>460</v>
      </c>
      <c r="C79" t="s">
        <v>329</v>
      </c>
      <c r="D79" s="2" t="s">
        <v>331</v>
      </c>
      <c r="E79" t="s">
        <v>348</v>
      </c>
      <c r="F79" s="11">
        <v>43196</v>
      </c>
      <c r="G79" s="2">
        <f>VLOOKUP(E79,Produtos!$A:$E,5,FALSE)</f>
        <v>2</v>
      </c>
      <c r="H79" s="2">
        <f>VLOOKUP(E79,Produtos!$A:$E,4,FALSE)</f>
        <v>1</v>
      </c>
      <c r="I79" s="2">
        <v>10</v>
      </c>
    </row>
    <row r="80" spans="1:9" x14ac:dyDescent="0.25">
      <c r="A80" s="2" t="str">
        <f>CONCATENATE(Códigos!S79,Códigos!T79,Códigos!U79)</f>
        <v>svv78v</v>
      </c>
      <c r="B80" t="s">
        <v>460</v>
      </c>
      <c r="C80" t="s">
        <v>329</v>
      </c>
      <c r="D80" s="2" t="s">
        <v>331</v>
      </c>
      <c r="E80" t="s">
        <v>348</v>
      </c>
      <c r="F80" s="11">
        <v>43197</v>
      </c>
      <c r="G80" s="2">
        <f>VLOOKUP(E80,Produtos!$A:$E,5,FALSE)</f>
        <v>2</v>
      </c>
      <c r="H80" s="2">
        <f>VLOOKUP(E80,Produtos!$A:$E,4,FALSE)</f>
        <v>1</v>
      </c>
      <c r="I80" s="2">
        <v>10</v>
      </c>
    </row>
    <row r="81" spans="1:9" x14ac:dyDescent="0.25">
      <c r="A81" s="2" t="str">
        <f>CONCATENATE(Códigos!S80,Códigos!T80,Códigos!U80)</f>
        <v>svv79v</v>
      </c>
      <c r="B81" t="s">
        <v>460</v>
      </c>
      <c r="C81" t="s">
        <v>329</v>
      </c>
      <c r="D81" s="2" t="s">
        <v>331</v>
      </c>
      <c r="E81" t="s">
        <v>348</v>
      </c>
      <c r="F81" s="11">
        <v>43198</v>
      </c>
      <c r="G81" s="2">
        <f>VLOOKUP(E81,Produtos!$A:$E,5,FALSE)</f>
        <v>2</v>
      </c>
      <c r="H81" s="2">
        <f>VLOOKUP(E81,Produtos!$A:$E,4,FALSE)</f>
        <v>1</v>
      </c>
      <c r="I81" s="2">
        <v>10</v>
      </c>
    </row>
    <row r="82" spans="1:9" x14ac:dyDescent="0.25">
      <c r="A82" s="2" t="str">
        <f>CONCATENATE(Códigos!S81,Códigos!T81,Códigos!U81)</f>
        <v>svv80v</v>
      </c>
      <c r="B82" t="s">
        <v>460</v>
      </c>
      <c r="C82" t="s">
        <v>329</v>
      </c>
      <c r="D82" s="2" t="s">
        <v>331</v>
      </c>
      <c r="E82" t="s">
        <v>348</v>
      </c>
      <c r="F82" s="11">
        <v>43199</v>
      </c>
      <c r="G82" s="2">
        <f>VLOOKUP(E82,Produtos!$A:$E,5,FALSE)</f>
        <v>2</v>
      </c>
      <c r="H82" s="2">
        <f>VLOOKUP(E82,Produtos!$A:$E,4,FALSE)</f>
        <v>1</v>
      </c>
      <c r="I82" s="2">
        <v>10</v>
      </c>
    </row>
    <row r="83" spans="1:9" x14ac:dyDescent="0.25">
      <c r="A83" s="2" t="str">
        <f>CONCATENATE(Códigos!S82,Códigos!T82,Códigos!U82)</f>
        <v>svv81v</v>
      </c>
      <c r="B83" t="s">
        <v>460</v>
      </c>
      <c r="C83" t="s">
        <v>329</v>
      </c>
      <c r="D83" s="2" t="s">
        <v>331</v>
      </c>
      <c r="E83" t="s">
        <v>348</v>
      </c>
      <c r="F83" s="11">
        <v>43200</v>
      </c>
      <c r="G83" s="2">
        <f>VLOOKUP(E83,Produtos!$A:$E,5,FALSE)</f>
        <v>2</v>
      </c>
      <c r="H83" s="2">
        <f>VLOOKUP(E83,Produtos!$A:$E,4,FALSE)</f>
        <v>1</v>
      </c>
      <c r="I83" s="2">
        <v>10</v>
      </c>
    </row>
    <row r="84" spans="1:9" x14ac:dyDescent="0.25">
      <c r="A84" s="2" t="str">
        <f>CONCATENATE(Códigos!S83,Códigos!T83,Códigos!U83)</f>
        <v>svv82v</v>
      </c>
      <c r="B84" t="s">
        <v>460</v>
      </c>
      <c r="C84" t="s">
        <v>329</v>
      </c>
      <c r="D84" s="2" t="s">
        <v>331</v>
      </c>
      <c r="E84" t="s">
        <v>348</v>
      </c>
      <c r="F84" s="11">
        <v>43201</v>
      </c>
      <c r="G84" s="2">
        <f>VLOOKUP(E84,Produtos!$A:$E,5,FALSE)</f>
        <v>2</v>
      </c>
      <c r="H84" s="2">
        <f>VLOOKUP(E84,Produtos!$A:$E,4,FALSE)</f>
        <v>1</v>
      </c>
      <c r="I84" s="2">
        <v>10</v>
      </c>
    </row>
    <row r="85" spans="1:9" x14ac:dyDescent="0.25">
      <c r="A85" s="2" t="str">
        <f>CONCATENATE(Códigos!S84,Códigos!T84,Códigos!U84)</f>
        <v>svv83v</v>
      </c>
      <c r="B85" t="s">
        <v>346</v>
      </c>
      <c r="C85" t="s">
        <v>329</v>
      </c>
      <c r="D85" s="2" t="s">
        <v>331</v>
      </c>
      <c r="E85" t="s">
        <v>348</v>
      </c>
      <c r="F85" s="11">
        <v>43202</v>
      </c>
      <c r="G85" s="2">
        <f>VLOOKUP(E85,Produtos!$A:$E,5,FALSE)</f>
        <v>2</v>
      </c>
      <c r="H85" s="2">
        <f>VLOOKUP(E85,Produtos!$A:$E,4,FALSE)</f>
        <v>1</v>
      </c>
      <c r="I85" s="2">
        <v>10</v>
      </c>
    </row>
    <row r="86" spans="1:9" x14ac:dyDescent="0.25">
      <c r="A86" s="2" t="str">
        <f>CONCATENATE(Códigos!S85,Códigos!T85,Códigos!U85)</f>
        <v>svv84v</v>
      </c>
      <c r="B86" t="s">
        <v>346</v>
      </c>
      <c r="C86" t="s">
        <v>329</v>
      </c>
      <c r="D86" s="2" t="s">
        <v>331</v>
      </c>
      <c r="E86" t="s">
        <v>348</v>
      </c>
      <c r="F86" s="11">
        <v>43203</v>
      </c>
      <c r="G86" s="2">
        <f>VLOOKUP(E86,Produtos!$A:$E,5,FALSE)</f>
        <v>2</v>
      </c>
      <c r="H86" s="2">
        <f>VLOOKUP(E86,Produtos!$A:$E,4,FALSE)</f>
        <v>1</v>
      </c>
      <c r="I86" s="2">
        <v>10</v>
      </c>
    </row>
    <row r="87" spans="1:9" x14ac:dyDescent="0.25">
      <c r="A87" s="2" t="str">
        <f>CONCATENATE(Códigos!S86,Códigos!T86,Códigos!U86)</f>
        <v>svv85v</v>
      </c>
      <c r="B87" t="s">
        <v>346</v>
      </c>
      <c r="C87" t="s">
        <v>329</v>
      </c>
      <c r="D87" s="2" t="s">
        <v>331</v>
      </c>
      <c r="E87" t="s">
        <v>348</v>
      </c>
      <c r="F87" s="11">
        <v>43204</v>
      </c>
      <c r="G87" s="2">
        <f>VLOOKUP(E87,Produtos!$A:$E,5,FALSE)</f>
        <v>2</v>
      </c>
      <c r="H87" s="2">
        <f>VLOOKUP(E87,Produtos!$A:$E,4,FALSE)</f>
        <v>1</v>
      </c>
      <c r="I87" s="2">
        <v>10</v>
      </c>
    </row>
    <row r="88" spans="1:9" x14ac:dyDescent="0.25">
      <c r="A88" s="2" t="str">
        <f>CONCATENATE(Códigos!S87,Códigos!T87,Códigos!U87)</f>
        <v>svv86v</v>
      </c>
      <c r="B88" t="s">
        <v>346</v>
      </c>
      <c r="C88" t="s">
        <v>329</v>
      </c>
      <c r="D88" s="2" t="s">
        <v>331</v>
      </c>
      <c r="E88" t="s">
        <v>348</v>
      </c>
      <c r="F88" s="11">
        <v>43205</v>
      </c>
      <c r="G88" s="2">
        <f>VLOOKUP(E88,Produtos!$A:$E,5,FALSE)</f>
        <v>2</v>
      </c>
      <c r="H88" s="2">
        <f>VLOOKUP(E88,Produtos!$A:$E,4,FALSE)</f>
        <v>1</v>
      </c>
      <c r="I88" s="2">
        <v>10</v>
      </c>
    </row>
    <row r="89" spans="1:9" x14ac:dyDescent="0.25">
      <c r="A89" s="2" t="str">
        <f>CONCATENATE(Códigos!S88,Códigos!T88,Códigos!U88)</f>
        <v>svv87v</v>
      </c>
      <c r="B89" t="s">
        <v>346</v>
      </c>
      <c r="C89" t="s">
        <v>329</v>
      </c>
      <c r="D89" s="2" t="s">
        <v>331</v>
      </c>
      <c r="E89" t="s">
        <v>348</v>
      </c>
      <c r="F89" s="11">
        <v>43206</v>
      </c>
      <c r="G89" s="2">
        <f>VLOOKUP(E89,Produtos!$A:$E,5,FALSE)</f>
        <v>2</v>
      </c>
      <c r="H89" s="2">
        <f>VLOOKUP(E89,Produtos!$A:$E,4,FALSE)</f>
        <v>1</v>
      </c>
      <c r="I89" s="2">
        <v>10</v>
      </c>
    </row>
    <row r="90" spans="1:9" x14ac:dyDescent="0.25">
      <c r="A90" s="2" t="str">
        <f>CONCATENATE(Códigos!S89,Códigos!T89,Códigos!U89)</f>
        <v>svv88v</v>
      </c>
      <c r="B90" t="s">
        <v>346</v>
      </c>
      <c r="C90" t="s">
        <v>329</v>
      </c>
      <c r="D90" s="2" t="s">
        <v>331</v>
      </c>
      <c r="E90" t="s">
        <v>348</v>
      </c>
      <c r="F90" s="11">
        <v>43207</v>
      </c>
      <c r="G90" s="2">
        <f>VLOOKUP(E90,Produtos!$A:$E,5,FALSE)</f>
        <v>2</v>
      </c>
      <c r="H90" s="2">
        <f>VLOOKUP(E90,Produtos!$A:$E,4,FALSE)</f>
        <v>1</v>
      </c>
      <c r="I90" s="2">
        <v>10</v>
      </c>
    </row>
    <row r="91" spans="1:9" x14ac:dyDescent="0.25">
      <c r="A91" s="2" t="str">
        <f>CONCATENATE(Códigos!S90,Códigos!T90,Códigos!U90)</f>
        <v>svv89v</v>
      </c>
      <c r="B91" t="s">
        <v>346</v>
      </c>
      <c r="C91" t="s">
        <v>329</v>
      </c>
      <c r="D91" s="2" t="s">
        <v>331</v>
      </c>
      <c r="E91" t="s">
        <v>348</v>
      </c>
      <c r="F91" s="11">
        <v>43208</v>
      </c>
      <c r="G91" s="2">
        <f>VLOOKUP(E91,Produtos!$A:$E,5,FALSE)</f>
        <v>2</v>
      </c>
      <c r="H91" s="2">
        <f>VLOOKUP(E91,Produtos!$A:$E,4,FALSE)</f>
        <v>1</v>
      </c>
      <c r="I91" s="2">
        <v>10</v>
      </c>
    </row>
    <row r="92" spans="1:9" x14ac:dyDescent="0.25">
      <c r="A92" s="2" t="str">
        <f>CONCATENATE(Códigos!S91,Códigos!T91,Códigos!U91)</f>
        <v>svv90v</v>
      </c>
      <c r="B92" t="s">
        <v>346</v>
      </c>
      <c r="C92" t="s">
        <v>329</v>
      </c>
      <c r="D92" s="2" t="s">
        <v>331</v>
      </c>
      <c r="E92" t="s">
        <v>348</v>
      </c>
      <c r="F92" s="11">
        <v>43209</v>
      </c>
      <c r="G92" s="2">
        <f>VLOOKUP(E92,Produtos!$A:$E,5,FALSE)</f>
        <v>2</v>
      </c>
      <c r="H92" s="2">
        <f>VLOOKUP(E92,Produtos!$A:$E,4,FALSE)</f>
        <v>1</v>
      </c>
      <c r="I92" s="2">
        <v>10</v>
      </c>
    </row>
    <row r="93" spans="1:9" x14ac:dyDescent="0.25">
      <c r="A93" s="2" t="str">
        <f>CONCATENATE(Códigos!S92,Códigos!T92,Códigos!U92)</f>
        <v>svv91v</v>
      </c>
      <c r="B93" t="s">
        <v>346</v>
      </c>
      <c r="C93" t="s">
        <v>329</v>
      </c>
      <c r="D93" s="2" t="s">
        <v>331</v>
      </c>
      <c r="E93" t="s">
        <v>348</v>
      </c>
      <c r="F93" s="11">
        <v>43210</v>
      </c>
      <c r="G93" s="2">
        <f>VLOOKUP(E93,Produtos!$A:$E,5,FALSE)</f>
        <v>2</v>
      </c>
      <c r="H93" s="2">
        <f>VLOOKUP(E93,Produtos!$A:$E,4,FALSE)</f>
        <v>1</v>
      </c>
      <c r="I93" s="2">
        <v>10</v>
      </c>
    </row>
    <row r="94" spans="1:9" x14ac:dyDescent="0.25">
      <c r="A94" s="2" t="str">
        <f>CONCATENATE(Códigos!S93,Códigos!T93,Códigos!U93)</f>
        <v>svv92v</v>
      </c>
      <c r="B94" t="s">
        <v>346</v>
      </c>
      <c r="C94" t="s">
        <v>329</v>
      </c>
      <c r="D94" s="2" t="s">
        <v>331</v>
      </c>
      <c r="E94" t="s">
        <v>348</v>
      </c>
      <c r="F94" s="11">
        <v>43211</v>
      </c>
      <c r="G94" s="2">
        <f>VLOOKUP(E94,Produtos!$A:$E,5,FALSE)</f>
        <v>2</v>
      </c>
      <c r="H94" s="2">
        <f>VLOOKUP(E94,Produtos!$A:$E,4,FALSE)</f>
        <v>1</v>
      </c>
      <c r="I94" s="2">
        <v>10</v>
      </c>
    </row>
    <row r="95" spans="1:9" x14ac:dyDescent="0.25">
      <c r="A95" s="2" t="str">
        <f>CONCATENATE(Códigos!S94,Códigos!T94,Códigos!U94)</f>
        <v>svv93v</v>
      </c>
      <c r="B95" t="s">
        <v>346</v>
      </c>
      <c r="C95" t="s">
        <v>329</v>
      </c>
      <c r="D95" s="2" t="s">
        <v>331</v>
      </c>
      <c r="E95" t="s">
        <v>348</v>
      </c>
      <c r="F95" s="11">
        <v>43212</v>
      </c>
      <c r="G95" s="2">
        <f>VLOOKUP(E95,Produtos!$A:$E,5,FALSE)</f>
        <v>2</v>
      </c>
      <c r="H95" s="2">
        <f>VLOOKUP(E95,Produtos!$A:$E,4,FALSE)</f>
        <v>1</v>
      </c>
      <c r="I95" s="2">
        <v>10</v>
      </c>
    </row>
    <row r="96" spans="1:9" x14ac:dyDescent="0.25">
      <c r="A96" s="2" t="str">
        <f>CONCATENATE(Códigos!S95,Códigos!T95,Códigos!U95)</f>
        <v>svv94v</v>
      </c>
      <c r="B96" t="s">
        <v>346</v>
      </c>
      <c r="C96" t="s">
        <v>329</v>
      </c>
      <c r="D96" s="2" t="s">
        <v>331</v>
      </c>
      <c r="E96" t="s">
        <v>348</v>
      </c>
      <c r="F96" s="11">
        <v>43213</v>
      </c>
      <c r="G96" s="2">
        <f>VLOOKUP(E96,Produtos!$A:$E,5,FALSE)</f>
        <v>2</v>
      </c>
      <c r="H96" s="2">
        <f>VLOOKUP(E96,Produtos!$A:$E,4,FALSE)</f>
        <v>1</v>
      </c>
      <c r="I96" s="2">
        <v>10</v>
      </c>
    </row>
    <row r="97" spans="1:9" x14ac:dyDescent="0.25">
      <c r="A97" s="2" t="str">
        <f>CONCATENATE(Códigos!S96,Códigos!T96,Códigos!U96)</f>
        <v>svv95v</v>
      </c>
      <c r="B97" t="s">
        <v>346</v>
      </c>
      <c r="C97" t="s">
        <v>329</v>
      </c>
      <c r="D97" s="2" t="s">
        <v>331</v>
      </c>
      <c r="E97" t="s">
        <v>348</v>
      </c>
      <c r="F97" s="11">
        <v>43214</v>
      </c>
      <c r="G97" s="2">
        <f>VLOOKUP(E97,Produtos!$A:$E,5,FALSE)</f>
        <v>2</v>
      </c>
      <c r="H97" s="2">
        <f>VLOOKUP(E97,Produtos!$A:$E,4,FALSE)</f>
        <v>1</v>
      </c>
      <c r="I97" s="2">
        <v>10</v>
      </c>
    </row>
    <row r="98" spans="1:9" x14ac:dyDescent="0.25">
      <c r="A98" s="2" t="str">
        <f>CONCATENATE(Códigos!S97,Códigos!T97,Códigos!U97)</f>
        <v>svv96v</v>
      </c>
      <c r="B98" t="s">
        <v>346</v>
      </c>
      <c r="C98" t="s">
        <v>329</v>
      </c>
      <c r="D98" s="2" t="s">
        <v>331</v>
      </c>
      <c r="E98" t="s">
        <v>348</v>
      </c>
      <c r="F98" s="11">
        <v>43215</v>
      </c>
      <c r="G98" s="2">
        <f>VLOOKUP(E98,Produtos!$A:$E,5,FALSE)</f>
        <v>2</v>
      </c>
      <c r="H98" s="2">
        <f>VLOOKUP(E98,Produtos!$A:$E,4,FALSE)</f>
        <v>1</v>
      </c>
      <c r="I98" s="2">
        <v>10</v>
      </c>
    </row>
    <row r="99" spans="1:9" x14ac:dyDescent="0.25">
      <c r="A99" s="2" t="str">
        <f>CONCATENATE(Códigos!S98,Códigos!T98,Códigos!U98)</f>
        <v>svv97v</v>
      </c>
      <c r="B99" t="s">
        <v>346</v>
      </c>
      <c r="C99" t="s">
        <v>329</v>
      </c>
      <c r="D99" s="2" t="s">
        <v>331</v>
      </c>
      <c r="E99" t="s">
        <v>348</v>
      </c>
      <c r="F99" s="11">
        <v>43216</v>
      </c>
      <c r="G99" s="2">
        <f>VLOOKUP(E99,Produtos!$A:$E,5,FALSE)</f>
        <v>2</v>
      </c>
      <c r="H99" s="2">
        <f>VLOOKUP(E99,Produtos!$A:$E,4,FALSE)</f>
        <v>1</v>
      </c>
      <c r="I99" s="2">
        <v>10</v>
      </c>
    </row>
    <row r="100" spans="1:9" x14ac:dyDescent="0.25">
      <c r="A100" s="2" t="str">
        <f>CONCATENATE(Códigos!S99,Códigos!T99,Códigos!U99)</f>
        <v>svv98v</v>
      </c>
      <c r="B100" t="s">
        <v>346</v>
      </c>
      <c r="C100" t="s">
        <v>329</v>
      </c>
      <c r="D100" s="2" t="s">
        <v>331</v>
      </c>
      <c r="E100" t="s">
        <v>348</v>
      </c>
      <c r="F100" s="11">
        <v>43217</v>
      </c>
      <c r="G100" s="2">
        <f>VLOOKUP(E100,Produtos!$A:$E,5,FALSE)</f>
        <v>2</v>
      </c>
      <c r="H100" s="2">
        <f>VLOOKUP(E100,Produtos!$A:$E,4,FALSE)</f>
        <v>1</v>
      </c>
      <c r="I100" s="2">
        <v>10</v>
      </c>
    </row>
    <row r="101" spans="1:9" x14ac:dyDescent="0.25">
      <c r="A101" s="2" t="str">
        <f>CONCATENATE(Códigos!S100,Códigos!T100,Códigos!U100)</f>
        <v>svv99v</v>
      </c>
      <c r="B101" t="s">
        <v>346</v>
      </c>
      <c r="C101" t="s">
        <v>329</v>
      </c>
      <c r="D101" s="2" t="s">
        <v>331</v>
      </c>
      <c r="E101" t="s">
        <v>348</v>
      </c>
      <c r="F101" s="11">
        <v>43218</v>
      </c>
      <c r="G101" s="2">
        <f>VLOOKUP(E101,Produtos!$A:$E,5,FALSE)</f>
        <v>2</v>
      </c>
      <c r="H101" s="2">
        <f>VLOOKUP(E101,Produtos!$A:$E,4,FALSE)</f>
        <v>1</v>
      </c>
      <c r="I101" s="2">
        <v>10</v>
      </c>
    </row>
    <row r="102" spans="1:9" x14ac:dyDescent="0.25">
      <c r="A102" s="2" t="str">
        <f>CONCATENATE(Códigos!S101,Códigos!T101,Códigos!U101)</f>
        <v>svv100v</v>
      </c>
      <c r="B102" t="s">
        <v>346</v>
      </c>
      <c r="C102" t="s">
        <v>329</v>
      </c>
      <c r="D102" s="2" t="s">
        <v>331</v>
      </c>
      <c r="E102" t="s">
        <v>348</v>
      </c>
      <c r="F102" s="11">
        <v>43219</v>
      </c>
      <c r="G102" s="2">
        <f>VLOOKUP(E102,Produtos!$A:$E,5,FALSE)</f>
        <v>2</v>
      </c>
      <c r="H102" s="2">
        <f>VLOOKUP(E102,Produtos!$A:$E,4,FALSE)</f>
        <v>1</v>
      </c>
      <c r="I102" s="2">
        <v>10</v>
      </c>
    </row>
    <row r="103" spans="1:9" x14ac:dyDescent="0.25">
      <c r="A103" s="2" t="str">
        <f>CONCATENATE(Códigos!S102,Códigos!T102,Códigos!U102)</f>
        <v>svv101v</v>
      </c>
      <c r="B103" t="s">
        <v>346</v>
      </c>
      <c r="C103" t="s">
        <v>329</v>
      </c>
      <c r="D103" s="2" t="s">
        <v>331</v>
      </c>
      <c r="E103" t="s">
        <v>348</v>
      </c>
      <c r="F103" s="11">
        <v>43220</v>
      </c>
      <c r="G103" s="2">
        <f>VLOOKUP(E103,Produtos!$A:$E,5,FALSE)</f>
        <v>2</v>
      </c>
      <c r="H103" s="2">
        <f>VLOOKUP(E103,Produtos!$A:$E,4,FALSE)</f>
        <v>1</v>
      </c>
      <c r="I103" s="2">
        <v>10</v>
      </c>
    </row>
    <row r="104" spans="1:9" x14ac:dyDescent="0.25">
      <c r="A104" s="2" t="str">
        <f>CONCATENATE(Códigos!S103,Códigos!T103,Códigos!U103)</f>
        <v>svv102v</v>
      </c>
      <c r="B104" t="s">
        <v>346</v>
      </c>
      <c r="C104" t="s">
        <v>329</v>
      </c>
      <c r="D104" s="2" t="s">
        <v>331</v>
      </c>
      <c r="E104" t="s">
        <v>348</v>
      </c>
      <c r="F104" s="11">
        <v>43221</v>
      </c>
      <c r="G104" s="2">
        <f>VLOOKUP(E104,Produtos!$A:$E,5,FALSE)</f>
        <v>2</v>
      </c>
      <c r="H104" s="2">
        <f>VLOOKUP(E104,Produtos!$A:$E,4,FALSE)</f>
        <v>1</v>
      </c>
      <c r="I104" s="2">
        <v>10</v>
      </c>
    </row>
    <row r="105" spans="1:9" x14ac:dyDescent="0.25">
      <c r="A105" s="2" t="str">
        <f>CONCATENATE(Códigos!S104,Códigos!T104,Códigos!U104)</f>
        <v>svv103v</v>
      </c>
      <c r="B105" t="s">
        <v>346</v>
      </c>
      <c r="C105" t="s">
        <v>329</v>
      </c>
      <c r="D105" s="2" t="s">
        <v>331</v>
      </c>
      <c r="E105" t="s">
        <v>348</v>
      </c>
      <c r="F105" s="11">
        <v>43222</v>
      </c>
      <c r="G105" s="2">
        <f>VLOOKUP(E105,Produtos!$A:$E,5,FALSE)</f>
        <v>2</v>
      </c>
      <c r="H105" s="2">
        <f>VLOOKUP(E105,Produtos!$A:$E,4,FALSE)</f>
        <v>1</v>
      </c>
      <c r="I105" s="2">
        <v>10</v>
      </c>
    </row>
    <row r="106" spans="1:9" x14ac:dyDescent="0.25">
      <c r="A106" s="2" t="str">
        <f>CONCATENATE(Códigos!S105,Códigos!T105,Códigos!U105)</f>
        <v>svv104v</v>
      </c>
      <c r="B106" t="s">
        <v>346</v>
      </c>
      <c r="C106" t="s">
        <v>480</v>
      </c>
      <c r="D106" s="2" t="s">
        <v>482</v>
      </c>
      <c r="E106" t="s">
        <v>348</v>
      </c>
      <c r="F106" s="11">
        <v>43223</v>
      </c>
      <c r="G106" s="2">
        <f>VLOOKUP(E106,Produtos!$A:$E,5,FALSE)</f>
        <v>2</v>
      </c>
      <c r="H106" s="2">
        <f>VLOOKUP(E106,Produtos!$A:$E,4,FALSE)</f>
        <v>1</v>
      </c>
      <c r="I106" s="2">
        <v>10</v>
      </c>
    </row>
    <row r="107" spans="1:9" x14ac:dyDescent="0.25">
      <c r="A107" s="2" t="str">
        <f>CONCATENATE(Códigos!S106,Códigos!T106,Códigos!U106)</f>
        <v>svv105v</v>
      </c>
      <c r="B107" t="s">
        <v>346</v>
      </c>
      <c r="C107" t="s">
        <v>480</v>
      </c>
      <c r="D107" s="2" t="s">
        <v>482</v>
      </c>
      <c r="E107" t="s">
        <v>348</v>
      </c>
      <c r="F107" s="11">
        <v>43224</v>
      </c>
      <c r="G107" s="2">
        <f>VLOOKUP(E107,Produtos!$A:$E,5,FALSE)</f>
        <v>2</v>
      </c>
      <c r="H107" s="2">
        <f>VLOOKUP(E107,Produtos!$A:$E,4,FALSE)</f>
        <v>1</v>
      </c>
      <c r="I107" s="2">
        <v>10</v>
      </c>
    </row>
    <row r="108" spans="1:9" x14ac:dyDescent="0.25">
      <c r="A108" s="2" t="str">
        <f>CONCATENATE(Códigos!S107,Códigos!T107,Códigos!U107)</f>
        <v>svv106v</v>
      </c>
      <c r="B108" t="s">
        <v>346</v>
      </c>
      <c r="C108" t="s">
        <v>480</v>
      </c>
      <c r="D108" s="2" t="s">
        <v>482</v>
      </c>
      <c r="E108" t="s">
        <v>348</v>
      </c>
      <c r="F108" s="11">
        <v>43225</v>
      </c>
      <c r="G108" s="2">
        <f>VLOOKUP(E108,Produtos!$A:$E,5,FALSE)</f>
        <v>2</v>
      </c>
      <c r="H108" s="2">
        <f>VLOOKUP(E108,Produtos!$A:$E,4,FALSE)</f>
        <v>1</v>
      </c>
      <c r="I108" s="2">
        <v>10</v>
      </c>
    </row>
    <row r="109" spans="1:9" x14ac:dyDescent="0.25">
      <c r="A109" s="2" t="str">
        <f>CONCATENATE(Códigos!S108,Códigos!T108,Códigos!U108)</f>
        <v>svv107v</v>
      </c>
      <c r="B109" t="s">
        <v>346</v>
      </c>
      <c r="C109" t="s">
        <v>480</v>
      </c>
      <c r="D109" s="2" t="s">
        <v>482</v>
      </c>
      <c r="E109" t="s">
        <v>348</v>
      </c>
      <c r="F109" s="11">
        <v>43226</v>
      </c>
      <c r="G109" s="2">
        <f>VLOOKUP(E109,Produtos!$A:$E,5,FALSE)</f>
        <v>2</v>
      </c>
      <c r="H109" s="2">
        <f>VLOOKUP(E109,Produtos!$A:$E,4,FALSE)</f>
        <v>1</v>
      </c>
      <c r="I109" s="2">
        <v>10</v>
      </c>
    </row>
    <row r="110" spans="1:9" x14ac:dyDescent="0.25">
      <c r="A110" s="2" t="str">
        <f>CONCATENATE(Códigos!S109,Códigos!T109,Códigos!U109)</f>
        <v>svv108v</v>
      </c>
      <c r="B110" t="s">
        <v>346</v>
      </c>
      <c r="C110" t="s">
        <v>480</v>
      </c>
      <c r="D110" s="2" t="s">
        <v>482</v>
      </c>
      <c r="E110" t="s">
        <v>348</v>
      </c>
      <c r="F110" s="11">
        <v>43227</v>
      </c>
      <c r="G110" s="2">
        <f>VLOOKUP(E110,Produtos!$A:$E,5,FALSE)</f>
        <v>2</v>
      </c>
      <c r="H110" s="2">
        <f>VLOOKUP(E110,Produtos!$A:$E,4,FALSE)</f>
        <v>1</v>
      </c>
      <c r="I110" s="2">
        <v>10</v>
      </c>
    </row>
    <row r="111" spans="1:9" x14ac:dyDescent="0.25">
      <c r="A111" s="2" t="str">
        <f>CONCATENATE(Códigos!S110,Códigos!T110,Códigos!U110)</f>
        <v>svv109v</v>
      </c>
      <c r="B111" t="s">
        <v>346</v>
      </c>
      <c r="C111" t="s">
        <v>480</v>
      </c>
      <c r="D111" s="2" t="s">
        <v>482</v>
      </c>
      <c r="E111" t="s">
        <v>348</v>
      </c>
      <c r="F111" s="11">
        <v>43228</v>
      </c>
      <c r="G111" s="2">
        <f>VLOOKUP(E111,Produtos!$A:$E,5,FALSE)</f>
        <v>2</v>
      </c>
      <c r="H111" s="2">
        <f>VLOOKUP(E111,Produtos!$A:$E,4,FALSE)</f>
        <v>1</v>
      </c>
      <c r="I111" s="2">
        <v>10</v>
      </c>
    </row>
    <row r="112" spans="1:9" x14ac:dyDescent="0.25">
      <c r="A112" s="2" t="str">
        <f>CONCATENATE(Códigos!S111,Códigos!T111,Códigos!U111)</f>
        <v>svv110v</v>
      </c>
      <c r="B112" t="s">
        <v>346</v>
      </c>
      <c r="C112" t="s">
        <v>480</v>
      </c>
      <c r="D112" s="2" t="s">
        <v>482</v>
      </c>
      <c r="E112" t="s">
        <v>348</v>
      </c>
      <c r="F112" s="11">
        <v>43229</v>
      </c>
      <c r="G112" s="2">
        <f>VLOOKUP(E112,Produtos!$A:$E,5,FALSE)</f>
        <v>2</v>
      </c>
      <c r="H112" s="2">
        <f>VLOOKUP(E112,Produtos!$A:$E,4,FALSE)</f>
        <v>1</v>
      </c>
      <c r="I112" s="2">
        <v>10</v>
      </c>
    </row>
    <row r="113" spans="1:9" x14ac:dyDescent="0.25">
      <c r="A113" s="2" t="str">
        <f>CONCATENATE(Códigos!S112,Códigos!T112,Códigos!U112)</f>
        <v>svv111v</v>
      </c>
      <c r="B113" t="s">
        <v>346</v>
      </c>
      <c r="C113" t="s">
        <v>480</v>
      </c>
      <c r="D113" s="2" t="s">
        <v>482</v>
      </c>
      <c r="E113" t="s">
        <v>348</v>
      </c>
      <c r="F113" s="11">
        <v>43230</v>
      </c>
      <c r="G113" s="2">
        <f>VLOOKUP(E113,Produtos!$A:$E,5,FALSE)</f>
        <v>2</v>
      </c>
      <c r="H113" s="2">
        <f>VLOOKUP(E113,Produtos!$A:$E,4,FALSE)</f>
        <v>1</v>
      </c>
      <c r="I113" s="2">
        <v>10</v>
      </c>
    </row>
    <row r="114" spans="1:9" x14ac:dyDescent="0.25">
      <c r="A114" s="2" t="str">
        <f>CONCATENATE(Códigos!S113,Códigos!T113,Códigos!U113)</f>
        <v>svv112v</v>
      </c>
      <c r="B114" t="s">
        <v>346</v>
      </c>
      <c r="C114" t="s">
        <v>480</v>
      </c>
      <c r="D114" s="2" t="s">
        <v>482</v>
      </c>
      <c r="E114" t="s">
        <v>502</v>
      </c>
      <c r="F114" s="11">
        <v>43231</v>
      </c>
      <c r="G114" s="2">
        <f>VLOOKUP(E114,Produtos!$A:$E,5,FALSE)</f>
        <v>1</v>
      </c>
      <c r="H114" s="2">
        <f>VLOOKUP(E114,Produtos!$A:$E,4,FALSE)</f>
        <v>0.5</v>
      </c>
      <c r="I114" s="2">
        <v>10</v>
      </c>
    </row>
    <row r="115" spans="1:9" x14ac:dyDescent="0.25">
      <c r="A115" s="2" t="str">
        <f>CONCATENATE(Códigos!S114,Códigos!T114,Códigos!U114)</f>
        <v>svv113v</v>
      </c>
      <c r="B115" t="s">
        <v>346</v>
      </c>
      <c r="C115" t="s">
        <v>480</v>
      </c>
      <c r="D115" s="2" t="s">
        <v>482</v>
      </c>
      <c r="E115" t="s">
        <v>502</v>
      </c>
      <c r="F115" s="11">
        <v>43232</v>
      </c>
      <c r="G115" s="2">
        <f>VLOOKUP(E115,Produtos!$A:$E,5,FALSE)</f>
        <v>1</v>
      </c>
      <c r="H115" s="2">
        <f>VLOOKUP(E115,Produtos!$A:$E,4,FALSE)</f>
        <v>0.5</v>
      </c>
      <c r="I115" s="2">
        <v>10</v>
      </c>
    </row>
    <row r="116" spans="1:9" x14ac:dyDescent="0.25">
      <c r="A116" s="2" t="str">
        <f>CONCATENATE(Códigos!S115,Códigos!T115,Códigos!U115)</f>
        <v>svv114v</v>
      </c>
      <c r="B116" t="s">
        <v>346</v>
      </c>
      <c r="C116" t="s">
        <v>480</v>
      </c>
      <c r="D116" s="2" t="s">
        <v>482</v>
      </c>
      <c r="E116" t="s">
        <v>502</v>
      </c>
      <c r="F116" s="11">
        <v>43233</v>
      </c>
      <c r="G116" s="2">
        <f>VLOOKUP(E116,Produtos!$A:$E,5,FALSE)</f>
        <v>1</v>
      </c>
      <c r="H116" s="2">
        <f>VLOOKUP(E116,Produtos!$A:$E,4,FALSE)</f>
        <v>0.5</v>
      </c>
      <c r="I116" s="2">
        <v>10</v>
      </c>
    </row>
    <row r="117" spans="1:9" x14ac:dyDescent="0.25">
      <c r="A117" s="2" t="str">
        <f>CONCATENATE(Códigos!S116,Códigos!T116,Códigos!U116)</f>
        <v>svv115v</v>
      </c>
      <c r="B117" t="s">
        <v>346</v>
      </c>
      <c r="C117" t="s">
        <v>480</v>
      </c>
      <c r="D117" s="2" t="s">
        <v>482</v>
      </c>
      <c r="E117" t="s">
        <v>502</v>
      </c>
      <c r="F117" s="11">
        <v>43234</v>
      </c>
      <c r="G117" s="2">
        <f>VLOOKUP(E117,Produtos!$A:$E,5,FALSE)</f>
        <v>1</v>
      </c>
      <c r="H117" s="2">
        <f>VLOOKUP(E117,Produtos!$A:$E,4,FALSE)</f>
        <v>0.5</v>
      </c>
      <c r="I117" s="2">
        <v>10</v>
      </c>
    </row>
    <row r="118" spans="1:9" x14ac:dyDescent="0.25">
      <c r="A118" s="2" t="str">
        <f>CONCATENATE(Códigos!S117,Códigos!T117,Códigos!U117)</f>
        <v>svv116v</v>
      </c>
      <c r="B118" t="s">
        <v>346</v>
      </c>
      <c r="C118" t="s">
        <v>480</v>
      </c>
      <c r="D118" s="2" t="s">
        <v>482</v>
      </c>
      <c r="E118" t="s">
        <v>502</v>
      </c>
      <c r="F118" s="11">
        <v>43235</v>
      </c>
      <c r="G118" s="2">
        <f>VLOOKUP(E118,Produtos!$A:$E,5,FALSE)</f>
        <v>1</v>
      </c>
      <c r="H118" s="2">
        <f>VLOOKUP(E118,Produtos!$A:$E,4,FALSE)</f>
        <v>0.5</v>
      </c>
      <c r="I118" s="2">
        <v>10</v>
      </c>
    </row>
    <row r="119" spans="1:9" x14ac:dyDescent="0.25">
      <c r="A119" s="2" t="str">
        <f>CONCATENATE(Códigos!S118,Códigos!T118,Códigos!U118)</f>
        <v>svv117v</v>
      </c>
      <c r="B119" t="s">
        <v>346</v>
      </c>
      <c r="C119" t="s">
        <v>480</v>
      </c>
      <c r="D119" s="2" t="s">
        <v>482</v>
      </c>
      <c r="E119" t="s">
        <v>502</v>
      </c>
      <c r="F119" s="11">
        <v>43236</v>
      </c>
      <c r="G119" s="2">
        <f>VLOOKUP(E119,Produtos!$A:$E,5,FALSE)</f>
        <v>1</v>
      </c>
      <c r="H119" s="2">
        <f>VLOOKUP(E119,Produtos!$A:$E,4,FALSE)</f>
        <v>0.5</v>
      </c>
      <c r="I119" s="2">
        <v>10</v>
      </c>
    </row>
    <row r="120" spans="1:9" x14ac:dyDescent="0.25">
      <c r="A120" s="2" t="str">
        <f>CONCATENATE(Códigos!S119,Códigos!T119,Códigos!U119)</f>
        <v>svv118v</v>
      </c>
      <c r="B120" t="s">
        <v>346</v>
      </c>
      <c r="C120" t="s">
        <v>480</v>
      </c>
      <c r="D120" s="2" t="s">
        <v>482</v>
      </c>
      <c r="E120" t="s">
        <v>502</v>
      </c>
      <c r="F120" s="11">
        <v>43237</v>
      </c>
      <c r="G120" s="2">
        <f>VLOOKUP(E120,Produtos!$A:$E,5,FALSE)</f>
        <v>1</v>
      </c>
      <c r="H120" s="2">
        <f>VLOOKUP(E120,Produtos!$A:$E,4,FALSE)</f>
        <v>0.5</v>
      </c>
      <c r="I120" s="2">
        <v>10</v>
      </c>
    </row>
    <row r="121" spans="1:9" x14ac:dyDescent="0.25">
      <c r="A121" s="2" t="str">
        <f>CONCATENATE(Códigos!S120,Códigos!T120,Códigos!U120)</f>
        <v>svv119v</v>
      </c>
      <c r="B121" t="s">
        <v>346</v>
      </c>
      <c r="C121" t="s">
        <v>480</v>
      </c>
      <c r="D121" s="2" t="s">
        <v>482</v>
      </c>
      <c r="E121" t="s">
        <v>502</v>
      </c>
      <c r="F121" s="11">
        <v>43238</v>
      </c>
      <c r="G121" s="2">
        <f>VLOOKUP(E121,Produtos!$A:$E,5,FALSE)</f>
        <v>1</v>
      </c>
      <c r="H121" s="2">
        <f>VLOOKUP(E121,Produtos!$A:$E,4,FALSE)</f>
        <v>0.5</v>
      </c>
      <c r="I121" s="2">
        <v>10</v>
      </c>
    </row>
    <row r="122" spans="1:9" x14ac:dyDescent="0.25">
      <c r="A122" s="2" t="str">
        <f>CONCATENATE(Códigos!S121,Códigos!T121,Códigos!U121)</f>
        <v>svv120v</v>
      </c>
      <c r="B122" t="s">
        <v>346</v>
      </c>
      <c r="C122" t="s">
        <v>480</v>
      </c>
      <c r="D122" s="2" t="s">
        <v>482</v>
      </c>
      <c r="E122" t="s">
        <v>502</v>
      </c>
      <c r="F122" s="11">
        <v>43239</v>
      </c>
      <c r="G122" s="2">
        <f>VLOOKUP(E122,Produtos!$A:$E,5,FALSE)</f>
        <v>1</v>
      </c>
      <c r="H122" s="2">
        <f>VLOOKUP(E122,Produtos!$A:$E,4,FALSE)</f>
        <v>0.5</v>
      </c>
      <c r="I122" s="2">
        <v>10</v>
      </c>
    </row>
    <row r="123" spans="1:9" x14ac:dyDescent="0.25">
      <c r="A123" s="2" t="str">
        <f>CONCATENATE(Códigos!S122,Códigos!T122,Códigos!U122)</f>
        <v>svv121v</v>
      </c>
      <c r="B123" t="s">
        <v>346</v>
      </c>
      <c r="C123" t="s">
        <v>480</v>
      </c>
      <c r="D123" s="2" t="s">
        <v>482</v>
      </c>
      <c r="E123" t="s">
        <v>502</v>
      </c>
      <c r="F123" s="11">
        <v>43240</v>
      </c>
      <c r="G123" s="2">
        <f>VLOOKUP(E123,Produtos!$A:$E,5,FALSE)</f>
        <v>1</v>
      </c>
      <c r="H123" s="2">
        <f>VLOOKUP(E123,Produtos!$A:$E,4,FALSE)</f>
        <v>0.5</v>
      </c>
      <c r="I123" s="2">
        <v>10</v>
      </c>
    </row>
    <row r="124" spans="1:9" x14ac:dyDescent="0.25">
      <c r="A124" s="2" t="str">
        <f>CONCATENATE(Códigos!S123,Códigos!T123,Códigos!U123)</f>
        <v>svv122v</v>
      </c>
      <c r="B124" t="s">
        <v>346</v>
      </c>
      <c r="C124" t="s">
        <v>480</v>
      </c>
      <c r="D124" s="2" t="s">
        <v>482</v>
      </c>
      <c r="E124" t="s">
        <v>502</v>
      </c>
      <c r="F124" s="11">
        <v>43241</v>
      </c>
      <c r="G124" s="2">
        <f>VLOOKUP(E124,Produtos!$A:$E,5,FALSE)</f>
        <v>1</v>
      </c>
      <c r="H124" s="2">
        <f>VLOOKUP(E124,Produtos!$A:$E,4,FALSE)</f>
        <v>0.5</v>
      </c>
      <c r="I124" s="2">
        <v>10</v>
      </c>
    </row>
    <row r="125" spans="1:9" x14ac:dyDescent="0.25">
      <c r="A125" s="2" t="str">
        <f>CONCATENATE(Códigos!S124,Códigos!T124,Códigos!U124)</f>
        <v>svv123v</v>
      </c>
      <c r="B125" t="s">
        <v>346</v>
      </c>
      <c r="C125" t="s">
        <v>480</v>
      </c>
      <c r="D125" s="2" t="s">
        <v>482</v>
      </c>
      <c r="E125" t="s">
        <v>502</v>
      </c>
      <c r="F125" s="11">
        <v>43242</v>
      </c>
      <c r="G125" s="2">
        <f>VLOOKUP(E125,Produtos!$A:$E,5,FALSE)</f>
        <v>1</v>
      </c>
      <c r="H125" s="2">
        <f>VLOOKUP(E125,Produtos!$A:$E,4,FALSE)</f>
        <v>0.5</v>
      </c>
      <c r="I125" s="2">
        <v>10</v>
      </c>
    </row>
    <row r="126" spans="1:9" x14ac:dyDescent="0.25">
      <c r="A126" s="2" t="str">
        <f>CONCATENATE(Códigos!S125,Códigos!T125,Códigos!U125)</f>
        <v>svv124v</v>
      </c>
      <c r="B126" t="s">
        <v>346</v>
      </c>
      <c r="C126" t="s">
        <v>480</v>
      </c>
      <c r="D126" s="2" t="s">
        <v>482</v>
      </c>
      <c r="E126" t="s">
        <v>502</v>
      </c>
      <c r="F126" s="11">
        <v>43243</v>
      </c>
      <c r="G126" s="2">
        <f>VLOOKUP(E126,Produtos!$A:$E,5,FALSE)</f>
        <v>1</v>
      </c>
      <c r="H126" s="2">
        <f>VLOOKUP(E126,Produtos!$A:$E,4,FALSE)</f>
        <v>0.5</v>
      </c>
      <c r="I126" s="2">
        <v>10</v>
      </c>
    </row>
    <row r="127" spans="1:9" x14ac:dyDescent="0.25">
      <c r="A127" s="2" t="str">
        <f>CONCATENATE(Códigos!S126,Códigos!T126,Códigos!U126)</f>
        <v>svv125v</v>
      </c>
      <c r="B127" t="s">
        <v>346</v>
      </c>
      <c r="C127" t="s">
        <v>480</v>
      </c>
      <c r="D127" s="2" t="s">
        <v>482</v>
      </c>
      <c r="E127" t="s">
        <v>502</v>
      </c>
      <c r="F127" s="11">
        <v>43244</v>
      </c>
      <c r="G127" s="2">
        <f>VLOOKUP(E127,Produtos!$A:$E,5,FALSE)</f>
        <v>1</v>
      </c>
      <c r="H127" s="2">
        <f>VLOOKUP(E127,Produtos!$A:$E,4,FALSE)</f>
        <v>0.5</v>
      </c>
      <c r="I127" s="2">
        <v>10</v>
      </c>
    </row>
    <row r="128" spans="1:9" x14ac:dyDescent="0.25">
      <c r="A128" s="2" t="str">
        <f>CONCATENATE(Códigos!S127,Códigos!T127,Códigos!U127)</f>
        <v>svv126v</v>
      </c>
      <c r="B128" t="s">
        <v>346</v>
      </c>
      <c r="C128" t="s">
        <v>480</v>
      </c>
      <c r="D128" s="2" t="s">
        <v>482</v>
      </c>
      <c r="E128" t="s">
        <v>502</v>
      </c>
      <c r="F128" s="11">
        <v>43245</v>
      </c>
      <c r="G128" s="2">
        <f>VLOOKUP(E128,Produtos!$A:$E,5,FALSE)</f>
        <v>1</v>
      </c>
      <c r="H128" s="2">
        <f>VLOOKUP(E128,Produtos!$A:$E,4,FALSE)</f>
        <v>0.5</v>
      </c>
      <c r="I128" s="2">
        <v>10</v>
      </c>
    </row>
    <row r="129" spans="1:9" x14ac:dyDescent="0.25">
      <c r="A129" s="2" t="str">
        <f>CONCATENATE(Códigos!S128,Códigos!T128,Códigos!U128)</f>
        <v>svv127v</v>
      </c>
      <c r="B129" t="s">
        <v>346</v>
      </c>
      <c r="C129" t="s">
        <v>480</v>
      </c>
      <c r="D129" s="2" t="s">
        <v>482</v>
      </c>
      <c r="E129" t="s">
        <v>502</v>
      </c>
      <c r="F129" s="11">
        <v>43246</v>
      </c>
      <c r="G129" s="2">
        <f>VLOOKUP(E129,Produtos!$A:$E,5,FALSE)</f>
        <v>1</v>
      </c>
      <c r="H129" s="2">
        <f>VLOOKUP(E129,Produtos!$A:$E,4,FALSE)</f>
        <v>0.5</v>
      </c>
      <c r="I129" s="2">
        <v>10</v>
      </c>
    </row>
    <row r="130" spans="1:9" x14ac:dyDescent="0.25">
      <c r="A130" s="2" t="str">
        <f>CONCATENATE(Códigos!S129,Códigos!T129,Códigos!U129)</f>
        <v>svv128v</v>
      </c>
      <c r="B130" t="s">
        <v>346</v>
      </c>
      <c r="C130" t="s">
        <v>480</v>
      </c>
      <c r="D130" s="2" t="s">
        <v>482</v>
      </c>
      <c r="E130" t="s">
        <v>502</v>
      </c>
      <c r="F130" s="11">
        <v>43247</v>
      </c>
      <c r="G130" s="2">
        <f>VLOOKUP(E130,Produtos!$A:$E,5,FALSE)</f>
        <v>1</v>
      </c>
      <c r="H130" s="2">
        <f>VLOOKUP(E130,Produtos!$A:$E,4,FALSE)</f>
        <v>0.5</v>
      </c>
      <c r="I130" s="2">
        <v>10</v>
      </c>
    </row>
    <row r="131" spans="1:9" x14ac:dyDescent="0.25">
      <c r="A131" s="2" t="str">
        <f>CONCATENATE(Códigos!S130,Códigos!T130,Códigos!U130)</f>
        <v>svv129v</v>
      </c>
      <c r="B131" t="s">
        <v>346</v>
      </c>
      <c r="C131" t="s">
        <v>480</v>
      </c>
      <c r="D131" s="2" t="s">
        <v>482</v>
      </c>
      <c r="E131" t="s">
        <v>502</v>
      </c>
      <c r="F131" s="11">
        <v>43248</v>
      </c>
      <c r="G131" s="2">
        <f>VLOOKUP(E131,Produtos!$A:$E,5,FALSE)</f>
        <v>1</v>
      </c>
      <c r="H131" s="2">
        <f>VLOOKUP(E131,Produtos!$A:$E,4,FALSE)</f>
        <v>0.5</v>
      </c>
      <c r="I131" s="2">
        <v>10</v>
      </c>
    </row>
    <row r="132" spans="1:9" x14ac:dyDescent="0.25">
      <c r="A132" s="2" t="str">
        <f>CONCATENATE(Códigos!S131,Códigos!T131,Códigos!U131)</f>
        <v>svv130v</v>
      </c>
      <c r="B132" t="s">
        <v>346</v>
      </c>
      <c r="C132" t="s">
        <v>480</v>
      </c>
      <c r="D132" s="2" t="s">
        <v>482</v>
      </c>
      <c r="E132" t="s">
        <v>502</v>
      </c>
      <c r="F132" s="11">
        <v>43249</v>
      </c>
      <c r="G132" s="2">
        <f>VLOOKUP(E132,Produtos!$A:$E,5,FALSE)</f>
        <v>1</v>
      </c>
      <c r="H132" s="2">
        <f>VLOOKUP(E132,Produtos!$A:$E,4,FALSE)</f>
        <v>0.5</v>
      </c>
      <c r="I132" s="2">
        <v>10</v>
      </c>
    </row>
    <row r="133" spans="1:9" x14ac:dyDescent="0.25">
      <c r="A133" s="2" t="str">
        <f>CONCATENATE(Códigos!S132,Códigos!T132,Códigos!U132)</f>
        <v>svv131v</v>
      </c>
      <c r="B133" t="s">
        <v>346</v>
      </c>
      <c r="C133" t="s">
        <v>480</v>
      </c>
      <c r="D133" s="2" t="s">
        <v>482</v>
      </c>
      <c r="E133" t="s">
        <v>502</v>
      </c>
      <c r="F133" s="11">
        <v>43250</v>
      </c>
      <c r="G133" s="2">
        <f>VLOOKUP(E133,Produtos!$A:$E,5,FALSE)</f>
        <v>1</v>
      </c>
      <c r="H133" s="2">
        <f>VLOOKUP(E133,Produtos!$A:$E,4,FALSE)</f>
        <v>0.5</v>
      </c>
      <c r="I133" s="2">
        <v>10</v>
      </c>
    </row>
    <row r="134" spans="1:9" x14ac:dyDescent="0.25">
      <c r="A134" s="2" t="str">
        <f>CONCATENATE(Códigos!S133,Códigos!T133,Códigos!U133)</f>
        <v>svv132v</v>
      </c>
      <c r="B134" t="s">
        <v>346</v>
      </c>
      <c r="C134" t="s">
        <v>480</v>
      </c>
      <c r="D134" s="2" t="s">
        <v>482</v>
      </c>
      <c r="E134" t="s">
        <v>502</v>
      </c>
      <c r="F134" s="11">
        <v>43251</v>
      </c>
      <c r="G134" s="2">
        <f>VLOOKUP(E134,Produtos!$A:$E,5,FALSE)</f>
        <v>1</v>
      </c>
      <c r="H134" s="2">
        <f>VLOOKUP(E134,Produtos!$A:$E,4,FALSE)</f>
        <v>0.5</v>
      </c>
      <c r="I134" s="2">
        <v>10</v>
      </c>
    </row>
    <row r="135" spans="1:9" x14ac:dyDescent="0.25">
      <c r="A135" s="2" t="str">
        <f>CONCATENATE(Códigos!S134,Códigos!T134,Códigos!U134)</f>
        <v>svv133v</v>
      </c>
      <c r="B135" t="s">
        <v>346</v>
      </c>
      <c r="C135" t="s">
        <v>480</v>
      </c>
      <c r="D135" s="2" t="s">
        <v>482</v>
      </c>
      <c r="E135" t="s">
        <v>502</v>
      </c>
      <c r="F135" s="11">
        <v>43252</v>
      </c>
      <c r="G135" s="2">
        <f>VLOOKUP(E135,Produtos!$A:$E,5,FALSE)</f>
        <v>1</v>
      </c>
      <c r="H135" s="2">
        <f>VLOOKUP(E135,Produtos!$A:$E,4,FALSE)</f>
        <v>0.5</v>
      </c>
      <c r="I135" s="2">
        <v>10</v>
      </c>
    </row>
    <row r="136" spans="1:9" x14ac:dyDescent="0.25">
      <c r="A136" s="2" t="str">
        <f>CONCATENATE(Códigos!S135,Códigos!T135,Códigos!U135)</f>
        <v>svv134v</v>
      </c>
      <c r="B136" t="s">
        <v>346</v>
      </c>
      <c r="C136" t="s">
        <v>480</v>
      </c>
      <c r="D136" s="2" t="s">
        <v>482</v>
      </c>
      <c r="E136" t="s">
        <v>502</v>
      </c>
      <c r="F136" s="11">
        <v>43253</v>
      </c>
      <c r="G136" s="2">
        <f>VLOOKUP(E136,Produtos!$A:$E,5,FALSE)</f>
        <v>1</v>
      </c>
      <c r="H136" s="2">
        <f>VLOOKUP(E136,Produtos!$A:$E,4,FALSE)</f>
        <v>0.5</v>
      </c>
      <c r="I136" s="2">
        <v>10</v>
      </c>
    </row>
    <row r="137" spans="1:9" x14ac:dyDescent="0.25">
      <c r="A137" s="2" t="str">
        <f>CONCATENATE(Códigos!S136,Códigos!T136,Códigos!U136)</f>
        <v>svv135v</v>
      </c>
      <c r="B137" t="s">
        <v>346</v>
      </c>
      <c r="C137" t="s">
        <v>480</v>
      </c>
      <c r="D137" s="2" t="s">
        <v>482</v>
      </c>
      <c r="E137" t="s">
        <v>502</v>
      </c>
      <c r="F137" s="11">
        <v>43254</v>
      </c>
      <c r="G137" s="2">
        <f>VLOOKUP(E137,Produtos!$A:$E,5,FALSE)</f>
        <v>1</v>
      </c>
      <c r="H137" s="2">
        <f>VLOOKUP(E137,Produtos!$A:$E,4,FALSE)</f>
        <v>0.5</v>
      </c>
      <c r="I137" s="2">
        <v>10</v>
      </c>
    </row>
    <row r="138" spans="1:9" x14ac:dyDescent="0.25">
      <c r="A138" s="2" t="str">
        <f>CONCATENATE(Códigos!S137,Códigos!T137,Códigos!U137)</f>
        <v>svv136v</v>
      </c>
      <c r="B138" t="s">
        <v>346</v>
      </c>
      <c r="C138" t="s">
        <v>480</v>
      </c>
      <c r="D138" s="2" t="s">
        <v>482</v>
      </c>
      <c r="E138" t="s">
        <v>502</v>
      </c>
      <c r="F138" s="11">
        <v>43255</v>
      </c>
      <c r="G138" s="2">
        <f>VLOOKUP(E138,Produtos!$A:$E,5,FALSE)</f>
        <v>1</v>
      </c>
      <c r="H138" s="2">
        <f>VLOOKUP(E138,Produtos!$A:$E,4,FALSE)</f>
        <v>0.5</v>
      </c>
      <c r="I138" s="2">
        <v>10</v>
      </c>
    </row>
    <row r="139" spans="1:9" x14ac:dyDescent="0.25">
      <c r="A139" s="2" t="str">
        <f>CONCATENATE(Códigos!S138,Códigos!T138,Códigos!U138)</f>
        <v>svv137v</v>
      </c>
      <c r="B139" t="s">
        <v>345</v>
      </c>
      <c r="C139" t="s">
        <v>480</v>
      </c>
      <c r="D139" s="2" t="s">
        <v>482</v>
      </c>
      <c r="E139" t="s">
        <v>502</v>
      </c>
      <c r="F139" s="11">
        <v>43256</v>
      </c>
      <c r="G139" s="2">
        <f>VLOOKUP(E139,Produtos!$A:$E,5,FALSE)</f>
        <v>1</v>
      </c>
      <c r="H139" s="2">
        <f>VLOOKUP(E139,Produtos!$A:$E,4,FALSE)</f>
        <v>0.5</v>
      </c>
      <c r="I139" s="2">
        <v>10</v>
      </c>
    </row>
    <row r="140" spans="1:9" x14ac:dyDescent="0.25">
      <c r="A140" s="2" t="str">
        <f>CONCATENATE(Códigos!S139,Códigos!T139,Códigos!U139)</f>
        <v>svv138v</v>
      </c>
      <c r="B140" t="s">
        <v>345</v>
      </c>
      <c r="C140" t="s">
        <v>480</v>
      </c>
      <c r="D140" s="2" t="s">
        <v>482</v>
      </c>
      <c r="E140" t="s">
        <v>502</v>
      </c>
      <c r="F140" s="11">
        <v>43257</v>
      </c>
      <c r="G140" s="2">
        <f>VLOOKUP(E140,Produtos!$A:$E,5,FALSE)</f>
        <v>1</v>
      </c>
      <c r="H140" s="2">
        <f>VLOOKUP(E140,Produtos!$A:$E,4,FALSE)</f>
        <v>0.5</v>
      </c>
      <c r="I140" s="2">
        <v>10</v>
      </c>
    </row>
    <row r="141" spans="1:9" x14ac:dyDescent="0.25">
      <c r="A141" s="2" t="str">
        <f>CONCATENATE(Códigos!S140,Códigos!T140,Códigos!U140)</f>
        <v>svv139v</v>
      </c>
      <c r="B141" t="s">
        <v>345</v>
      </c>
      <c r="C141" t="s">
        <v>480</v>
      </c>
      <c r="D141" s="2" t="s">
        <v>482</v>
      </c>
      <c r="E141" t="s">
        <v>502</v>
      </c>
      <c r="F141" s="11">
        <v>43258</v>
      </c>
      <c r="G141" s="2">
        <f>VLOOKUP(E141,Produtos!$A:$E,5,FALSE)</f>
        <v>1</v>
      </c>
      <c r="H141" s="2">
        <f>VLOOKUP(E141,Produtos!$A:$E,4,FALSE)</f>
        <v>0.5</v>
      </c>
      <c r="I141" s="2">
        <v>10</v>
      </c>
    </row>
    <row r="142" spans="1:9" x14ac:dyDescent="0.25">
      <c r="A142" s="2" t="str">
        <f>CONCATENATE(Códigos!S141,Códigos!T141,Códigos!U141)</f>
        <v>svv140v</v>
      </c>
      <c r="B142" t="s">
        <v>345</v>
      </c>
      <c r="C142" t="s">
        <v>480</v>
      </c>
      <c r="D142" s="2" t="s">
        <v>482</v>
      </c>
      <c r="E142" t="s">
        <v>502</v>
      </c>
      <c r="F142" s="11">
        <v>43259</v>
      </c>
      <c r="G142" s="2">
        <f>VLOOKUP(E142,Produtos!$A:$E,5,FALSE)</f>
        <v>1</v>
      </c>
      <c r="H142" s="2">
        <f>VLOOKUP(E142,Produtos!$A:$E,4,FALSE)</f>
        <v>0.5</v>
      </c>
      <c r="I142" s="2">
        <v>10</v>
      </c>
    </row>
    <row r="143" spans="1:9" x14ac:dyDescent="0.25">
      <c r="A143" s="2" t="str">
        <f>CONCATENATE(Códigos!S142,Códigos!T142,Códigos!U142)</f>
        <v>svv141v</v>
      </c>
      <c r="B143" t="s">
        <v>345</v>
      </c>
      <c r="C143" t="s">
        <v>480</v>
      </c>
      <c r="D143" s="2" t="s">
        <v>482</v>
      </c>
      <c r="E143" t="s">
        <v>502</v>
      </c>
      <c r="F143" s="11">
        <v>43260</v>
      </c>
      <c r="G143" s="2">
        <f>VLOOKUP(E143,Produtos!$A:$E,5,FALSE)</f>
        <v>1</v>
      </c>
      <c r="H143" s="2">
        <f>VLOOKUP(E143,Produtos!$A:$E,4,FALSE)</f>
        <v>0.5</v>
      </c>
      <c r="I143" s="2">
        <v>10</v>
      </c>
    </row>
    <row r="144" spans="1:9" x14ac:dyDescent="0.25">
      <c r="A144" s="2" t="str">
        <f>CONCATENATE(Códigos!S143,Códigos!T143,Códigos!U143)</f>
        <v>svv142v</v>
      </c>
      <c r="B144" t="s">
        <v>345</v>
      </c>
      <c r="C144" t="s">
        <v>480</v>
      </c>
      <c r="D144" s="2" t="s">
        <v>482</v>
      </c>
      <c r="E144" t="s">
        <v>502</v>
      </c>
      <c r="F144" s="11">
        <v>43261</v>
      </c>
      <c r="G144" s="2">
        <f>VLOOKUP(E144,Produtos!$A:$E,5,FALSE)</f>
        <v>1</v>
      </c>
      <c r="H144" s="2">
        <f>VLOOKUP(E144,Produtos!$A:$E,4,FALSE)</f>
        <v>0.5</v>
      </c>
      <c r="I144" s="2">
        <v>10</v>
      </c>
    </row>
    <row r="145" spans="1:9" x14ac:dyDescent="0.25">
      <c r="A145" s="2" t="str">
        <f>CONCATENATE(Códigos!S144,Códigos!T144,Códigos!U144)</f>
        <v>svv143v</v>
      </c>
      <c r="B145" t="s">
        <v>345</v>
      </c>
      <c r="C145" t="s">
        <v>480</v>
      </c>
      <c r="D145" s="2" t="s">
        <v>482</v>
      </c>
      <c r="E145" t="s">
        <v>502</v>
      </c>
      <c r="F145" s="11">
        <v>43262</v>
      </c>
      <c r="G145" s="2">
        <f>VLOOKUP(E145,Produtos!$A:$E,5,FALSE)</f>
        <v>1</v>
      </c>
      <c r="H145" s="2">
        <f>VLOOKUP(E145,Produtos!$A:$E,4,FALSE)</f>
        <v>0.5</v>
      </c>
      <c r="I145" s="2">
        <v>10</v>
      </c>
    </row>
    <row r="146" spans="1:9" x14ac:dyDescent="0.25">
      <c r="A146" s="2" t="str">
        <f>CONCATENATE(Códigos!S145,Códigos!T145,Códigos!U145)</f>
        <v>svv144v</v>
      </c>
      <c r="B146" t="s">
        <v>345</v>
      </c>
      <c r="C146" t="s">
        <v>480</v>
      </c>
      <c r="D146" s="2" t="s">
        <v>482</v>
      </c>
      <c r="E146" t="s">
        <v>502</v>
      </c>
      <c r="F146" s="11">
        <v>43263</v>
      </c>
      <c r="G146" s="2">
        <f>VLOOKUP(E146,Produtos!$A:$E,5,FALSE)</f>
        <v>1</v>
      </c>
      <c r="H146" s="2">
        <f>VLOOKUP(E146,Produtos!$A:$E,4,FALSE)</f>
        <v>0.5</v>
      </c>
      <c r="I146" s="2">
        <v>10</v>
      </c>
    </row>
    <row r="147" spans="1:9" x14ac:dyDescent="0.25">
      <c r="A147" s="2" t="str">
        <f>CONCATENATE(Códigos!S146,Códigos!T146,Códigos!U146)</f>
        <v>svv145v</v>
      </c>
      <c r="B147" t="s">
        <v>345</v>
      </c>
      <c r="C147" t="s">
        <v>480</v>
      </c>
      <c r="D147" s="2" t="s">
        <v>482</v>
      </c>
      <c r="E147" t="s">
        <v>502</v>
      </c>
      <c r="F147" s="11">
        <v>43264</v>
      </c>
      <c r="G147" s="2">
        <f>VLOOKUP(E147,Produtos!$A:$E,5,FALSE)</f>
        <v>1</v>
      </c>
      <c r="H147" s="2">
        <f>VLOOKUP(E147,Produtos!$A:$E,4,FALSE)</f>
        <v>0.5</v>
      </c>
      <c r="I147" s="2">
        <v>10</v>
      </c>
    </row>
    <row r="148" spans="1:9" x14ac:dyDescent="0.25">
      <c r="A148" s="2" t="str">
        <f>CONCATENATE(Códigos!S147,Códigos!T147,Códigos!U147)</f>
        <v>svv146v</v>
      </c>
      <c r="B148" t="s">
        <v>345</v>
      </c>
      <c r="C148" t="s">
        <v>480</v>
      </c>
      <c r="D148" s="2" t="s">
        <v>482</v>
      </c>
      <c r="E148" t="s">
        <v>502</v>
      </c>
      <c r="F148" s="11">
        <v>43265</v>
      </c>
      <c r="G148" s="2">
        <f>VLOOKUP(E148,Produtos!$A:$E,5,FALSE)</f>
        <v>1</v>
      </c>
      <c r="H148" s="2">
        <f>VLOOKUP(E148,Produtos!$A:$E,4,FALSE)</f>
        <v>0.5</v>
      </c>
      <c r="I148" s="2">
        <v>10</v>
      </c>
    </row>
    <row r="149" spans="1:9" x14ac:dyDescent="0.25">
      <c r="A149" s="2" t="str">
        <f>CONCATENATE(Códigos!S148,Códigos!T148,Códigos!U148)</f>
        <v>svv147v</v>
      </c>
      <c r="B149" t="s">
        <v>345</v>
      </c>
      <c r="C149" t="s">
        <v>480</v>
      </c>
      <c r="D149" s="2" t="s">
        <v>482</v>
      </c>
      <c r="E149" t="s">
        <v>502</v>
      </c>
      <c r="F149" s="11">
        <v>43266</v>
      </c>
      <c r="G149" s="2">
        <f>VLOOKUP(E149,Produtos!$A:$E,5,FALSE)</f>
        <v>1</v>
      </c>
      <c r="H149" s="2">
        <f>VLOOKUP(E149,Produtos!$A:$E,4,FALSE)</f>
        <v>0.5</v>
      </c>
      <c r="I149" s="2">
        <v>10</v>
      </c>
    </row>
    <row r="150" spans="1:9" x14ac:dyDescent="0.25">
      <c r="A150" s="2" t="str">
        <f>CONCATENATE(Códigos!S149,Códigos!T149,Códigos!U149)</f>
        <v>svv148v</v>
      </c>
      <c r="B150" t="s">
        <v>345</v>
      </c>
      <c r="C150" t="s">
        <v>480</v>
      </c>
      <c r="D150" s="2" t="s">
        <v>482</v>
      </c>
      <c r="E150" t="s">
        <v>502</v>
      </c>
      <c r="F150" s="11">
        <v>43267</v>
      </c>
      <c r="G150" s="2">
        <f>VLOOKUP(E150,Produtos!$A:$E,5,FALSE)</f>
        <v>1</v>
      </c>
      <c r="H150" s="2">
        <f>VLOOKUP(E150,Produtos!$A:$E,4,FALSE)</f>
        <v>0.5</v>
      </c>
      <c r="I150" s="2">
        <v>10</v>
      </c>
    </row>
    <row r="151" spans="1:9" x14ac:dyDescent="0.25">
      <c r="A151" s="2" t="str">
        <f>CONCATENATE(Códigos!S150,Códigos!T150,Códigos!U150)</f>
        <v>svv149v</v>
      </c>
      <c r="B151" t="s">
        <v>345</v>
      </c>
      <c r="C151" t="s">
        <v>480</v>
      </c>
      <c r="D151" s="2" t="s">
        <v>482</v>
      </c>
      <c r="E151" t="s">
        <v>502</v>
      </c>
      <c r="F151" s="11">
        <v>43268</v>
      </c>
      <c r="G151" s="2">
        <f>VLOOKUP(E151,Produtos!$A:$E,5,FALSE)</f>
        <v>1</v>
      </c>
      <c r="H151" s="2">
        <f>VLOOKUP(E151,Produtos!$A:$E,4,FALSE)</f>
        <v>0.5</v>
      </c>
      <c r="I151" s="2">
        <v>10</v>
      </c>
    </row>
    <row r="152" spans="1:9" x14ac:dyDescent="0.25">
      <c r="A152" s="2" t="str">
        <f>CONCATENATE(Códigos!S151,Códigos!T151,Códigos!U151)</f>
        <v>svv150v</v>
      </c>
      <c r="B152" t="s">
        <v>345</v>
      </c>
      <c r="C152" t="s">
        <v>480</v>
      </c>
      <c r="D152" s="2" t="s">
        <v>482</v>
      </c>
      <c r="E152" t="s">
        <v>502</v>
      </c>
      <c r="F152" s="11">
        <v>43269</v>
      </c>
      <c r="G152" s="2">
        <f>VLOOKUP(E152,Produtos!$A:$E,5,FALSE)</f>
        <v>1</v>
      </c>
      <c r="H152" s="2">
        <f>VLOOKUP(E152,Produtos!$A:$E,4,FALSE)</f>
        <v>0.5</v>
      </c>
      <c r="I152" s="2">
        <v>3</v>
      </c>
    </row>
    <row r="153" spans="1:9" x14ac:dyDescent="0.25">
      <c r="A153" s="2" t="str">
        <f>CONCATENATE(Códigos!S152,Códigos!T152,Códigos!U152)</f>
        <v>svv151v</v>
      </c>
      <c r="B153" t="s">
        <v>345</v>
      </c>
      <c r="C153" t="s">
        <v>480</v>
      </c>
      <c r="D153" s="2" t="s">
        <v>482</v>
      </c>
      <c r="E153" t="s">
        <v>502</v>
      </c>
      <c r="F153" s="11">
        <v>43270</v>
      </c>
      <c r="G153" s="2">
        <f>VLOOKUP(E153,Produtos!$A:$E,5,FALSE)</f>
        <v>1</v>
      </c>
      <c r="H153" s="2">
        <f>VLOOKUP(E153,Produtos!$A:$E,4,FALSE)</f>
        <v>0.5</v>
      </c>
      <c r="I153" s="2">
        <v>3</v>
      </c>
    </row>
    <row r="154" spans="1:9" x14ac:dyDescent="0.25">
      <c r="A154" s="2" t="str">
        <f>CONCATENATE(Códigos!S153,Códigos!T153,Códigos!U153)</f>
        <v>svv152v</v>
      </c>
      <c r="B154" t="s">
        <v>345</v>
      </c>
      <c r="C154" t="s">
        <v>480</v>
      </c>
      <c r="D154" s="2" t="s">
        <v>482</v>
      </c>
      <c r="E154" t="s">
        <v>502</v>
      </c>
      <c r="F154" s="11">
        <v>43271</v>
      </c>
      <c r="G154" s="2">
        <f>VLOOKUP(E154,Produtos!$A:$E,5,FALSE)</f>
        <v>1</v>
      </c>
      <c r="H154" s="2">
        <f>VLOOKUP(E154,Produtos!$A:$E,4,FALSE)</f>
        <v>0.5</v>
      </c>
      <c r="I154" s="2">
        <v>3</v>
      </c>
    </row>
    <row r="155" spans="1:9" x14ac:dyDescent="0.25">
      <c r="A155" s="2" t="str">
        <f>CONCATENATE(Códigos!S154,Códigos!T154,Códigos!U154)</f>
        <v>svv153v</v>
      </c>
      <c r="B155" t="s">
        <v>345</v>
      </c>
      <c r="C155" t="s">
        <v>480</v>
      </c>
      <c r="D155" s="2" t="s">
        <v>482</v>
      </c>
      <c r="E155" t="s">
        <v>502</v>
      </c>
      <c r="F155" s="11">
        <v>43272</v>
      </c>
      <c r="G155" s="2">
        <f>VLOOKUP(E155,Produtos!$A:$E,5,FALSE)</f>
        <v>1</v>
      </c>
      <c r="H155" s="2">
        <f>VLOOKUP(E155,Produtos!$A:$E,4,FALSE)</f>
        <v>0.5</v>
      </c>
      <c r="I155" s="2">
        <v>3</v>
      </c>
    </row>
    <row r="156" spans="1:9" x14ac:dyDescent="0.25">
      <c r="A156" s="2" t="str">
        <f>CONCATENATE(Códigos!S155,Códigos!T155,Códigos!U155)</f>
        <v>svv154v</v>
      </c>
      <c r="B156" t="s">
        <v>345</v>
      </c>
      <c r="C156" t="s">
        <v>480</v>
      </c>
      <c r="D156" s="2" t="s">
        <v>482</v>
      </c>
      <c r="E156" t="s">
        <v>502</v>
      </c>
      <c r="F156" s="11">
        <v>43273</v>
      </c>
      <c r="G156" s="2">
        <f>VLOOKUP(E156,Produtos!$A:$E,5,FALSE)</f>
        <v>1</v>
      </c>
      <c r="H156" s="2">
        <f>VLOOKUP(E156,Produtos!$A:$E,4,FALSE)</f>
        <v>0.5</v>
      </c>
      <c r="I156" s="2">
        <v>3</v>
      </c>
    </row>
    <row r="157" spans="1:9" x14ac:dyDescent="0.25">
      <c r="A157" s="2" t="str">
        <f>CONCATENATE(Códigos!S156,Códigos!T156,Códigos!U156)</f>
        <v>svv155v</v>
      </c>
      <c r="B157" t="s">
        <v>345</v>
      </c>
      <c r="C157" t="s">
        <v>480</v>
      </c>
      <c r="D157" s="2" t="s">
        <v>482</v>
      </c>
      <c r="E157" t="s">
        <v>502</v>
      </c>
      <c r="F157" s="11">
        <v>43274</v>
      </c>
      <c r="G157" s="2">
        <f>VLOOKUP(E157,Produtos!$A:$E,5,FALSE)</f>
        <v>1</v>
      </c>
      <c r="H157" s="2">
        <f>VLOOKUP(E157,Produtos!$A:$E,4,FALSE)</f>
        <v>0.5</v>
      </c>
      <c r="I157" s="2">
        <v>3</v>
      </c>
    </row>
    <row r="158" spans="1:9" x14ac:dyDescent="0.25">
      <c r="A158" s="2" t="str">
        <f>CONCATENATE(Códigos!S157,Códigos!T157,Códigos!U157)</f>
        <v>svv156v</v>
      </c>
      <c r="B158" t="s">
        <v>345</v>
      </c>
      <c r="C158" t="s">
        <v>480</v>
      </c>
      <c r="D158" s="2" t="s">
        <v>482</v>
      </c>
      <c r="E158" t="s">
        <v>502</v>
      </c>
      <c r="F158" s="11">
        <v>43275</v>
      </c>
      <c r="G158" s="2">
        <f>VLOOKUP(E158,Produtos!$A:$E,5,FALSE)</f>
        <v>1</v>
      </c>
      <c r="H158" s="2">
        <f>VLOOKUP(E158,Produtos!$A:$E,4,FALSE)</f>
        <v>0.5</v>
      </c>
      <c r="I158" s="2">
        <v>3</v>
      </c>
    </row>
    <row r="159" spans="1:9" x14ac:dyDescent="0.25">
      <c r="A159" s="2" t="str">
        <f>CONCATENATE(Códigos!S158,Códigos!T158,Códigos!U158)</f>
        <v>svv157v</v>
      </c>
      <c r="B159" t="s">
        <v>345</v>
      </c>
      <c r="C159" t="s">
        <v>438</v>
      </c>
      <c r="D159" s="2" t="s">
        <v>359</v>
      </c>
      <c r="E159" t="s">
        <v>502</v>
      </c>
      <c r="F159" s="11">
        <v>43276</v>
      </c>
      <c r="G159" s="2">
        <f>VLOOKUP(E159,Produtos!$A:$E,5,FALSE)</f>
        <v>1</v>
      </c>
      <c r="H159" s="2">
        <f>VLOOKUP(E159,Produtos!$A:$E,4,FALSE)</f>
        <v>0.5</v>
      </c>
      <c r="I159" s="2">
        <v>3</v>
      </c>
    </row>
    <row r="160" spans="1:9" x14ac:dyDescent="0.25">
      <c r="A160" s="2" t="str">
        <f>CONCATENATE(Códigos!S159,Códigos!T159,Códigos!U159)</f>
        <v>svv158v</v>
      </c>
      <c r="B160" t="s">
        <v>345</v>
      </c>
      <c r="C160" t="s">
        <v>438</v>
      </c>
      <c r="D160" s="2" t="s">
        <v>359</v>
      </c>
      <c r="E160" t="s">
        <v>502</v>
      </c>
      <c r="F160" s="11">
        <v>43277</v>
      </c>
      <c r="G160" s="2">
        <f>VLOOKUP(E160,Produtos!$A:$E,5,FALSE)</f>
        <v>1</v>
      </c>
      <c r="H160" s="2">
        <f>VLOOKUP(E160,Produtos!$A:$E,4,FALSE)</f>
        <v>0.5</v>
      </c>
      <c r="I160" s="2">
        <v>3</v>
      </c>
    </row>
    <row r="161" spans="1:9" x14ac:dyDescent="0.25">
      <c r="A161" s="2" t="str">
        <f>CONCATENATE(Códigos!S160,Códigos!T160,Códigos!U160)</f>
        <v>svv159v</v>
      </c>
      <c r="B161" t="s">
        <v>345</v>
      </c>
      <c r="C161" t="s">
        <v>438</v>
      </c>
      <c r="D161" s="2" t="s">
        <v>359</v>
      </c>
      <c r="E161" t="s">
        <v>502</v>
      </c>
      <c r="F161" s="11">
        <v>43278</v>
      </c>
      <c r="G161" s="2">
        <f>VLOOKUP(E161,Produtos!$A:$E,5,FALSE)</f>
        <v>1</v>
      </c>
      <c r="H161" s="2">
        <f>VLOOKUP(E161,Produtos!$A:$E,4,FALSE)</f>
        <v>0.5</v>
      </c>
      <c r="I161" s="2">
        <v>3</v>
      </c>
    </row>
    <row r="162" spans="1:9" x14ac:dyDescent="0.25">
      <c r="A162" s="2" t="str">
        <f>CONCATENATE(Códigos!S161,Códigos!T161,Códigos!U161)</f>
        <v>svv160v</v>
      </c>
      <c r="B162" t="s">
        <v>345</v>
      </c>
      <c r="C162" t="s">
        <v>438</v>
      </c>
      <c r="D162" s="2" t="s">
        <v>359</v>
      </c>
      <c r="E162" t="s">
        <v>502</v>
      </c>
      <c r="F162" s="11">
        <v>43279</v>
      </c>
      <c r="G162" s="2">
        <f>VLOOKUP(E162,Produtos!$A:$E,5,FALSE)</f>
        <v>1</v>
      </c>
      <c r="H162" s="2">
        <f>VLOOKUP(E162,Produtos!$A:$E,4,FALSE)</f>
        <v>0.5</v>
      </c>
      <c r="I162" s="2">
        <v>3</v>
      </c>
    </row>
    <row r="163" spans="1:9" x14ac:dyDescent="0.25">
      <c r="A163" s="2" t="str">
        <f>CONCATENATE(Códigos!S162,Códigos!T162,Códigos!U162)</f>
        <v>svv161v</v>
      </c>
      <c r="B163" t="s">
        <v>345</v>
      </c>
      <c r="C163" t="s">
        <v>438</v>
      </c>
      <c r="D163" s="2" t="s">
        <v>359</v>
      </c>
      <c r="E163" t="s">
        <v>502</v>
      </c>
      <c r="F163" s="11">
        <v>43280</v>
      </c>
      <c r="G163" s="2">
        <f>VLOOKUP(E163,Produtos!$A:$E,5,FALSE)</f>
        <v>1</v>
      </c>
      <c r="H163" s="2">
        <f>VLOOKUP(E163,Produtos!$A:$E,4,FALSE)</f>
        <v>0.5</v>
      </c>
      <c r="I163" s="2">
        <v>3</v>
      </c>
    </row>
    <row r="164" spans="1:9" x14ac:dyDescent="0.25">
      <c r="A164" s="2" t="str">
        <f>CONCATENATE(Códigos!S163,Códigos!T163,Códigos!U163)</f>
        <v>svv162v</v>
      </c>
      <c r="B164" t="s">
        <v>345</v>
      </c>
      <c r="C164" t="s">
        <v>438</v>
      </c>
      <c r="D164" s="2" t="s">
        <v>359</v>
      </c>
      <c r="E164" t="s">
        <v>502</v>
      </c>
      <c r="F164" s="11">
        <v>43281</v>
      </c>
      <c r="G164" s="2">
        <f>VLOOKUP(E164,Produtos!$A:$E,5,FALSE)</f>
        <v>1</v>
      </c>
      <c r="H164" s="2">
        <f>VLOOKUP(E164,Produtos!$A:$E,4,FALSE)</f>
        <v>0.5</v>
      </c>
      <c r="I164" s="2">
        <v>3</v>
      </c>
    </row>
    <row r="165" spans="1:9" x14ac:dyDescent="0.25">
      <c r="A165" s="2" t="str">
        <f>CONCATENATE(Códigos!S164,Códigos!T164,Códigos!U164)</f>
        <v>svv163v</v>
      </c>
      <c r="B165" t="s">
        <v>345</v>
      </c>
      <c r="C165" t="s">
        <v>438</v>
      </c>
      <c r="D165" s="2" t="s">
        <v>359</v>
      </c>
      <c r="E165" t="s">
        <v>502</v>
      </c>
      <c r="F165" s="11">
        <v>43282</v>
      </c>
      <c r="G165" s="2">
        <f>VLOOKUP(E165,Produtos!$A:$E,5,FALSE)</f>
        <v>1</v>
      </c>
      <c r="H165" s="2">
        <f>VLOOKUP(E165,Produtos!$A:$E,4,FALSE)</f>
        <v>0.5</v>
      </c>
      <c r="I165" s="2">
        <v>3</v>
      </c>
    </row>
    <row r="166" spans="1:9" x14ac:dyDescent="0.25">
      <c r="A166" s="2" t="str">
        <f>CONCATENATE(Códigos!S165,Códigos!T165,Códigos!U165)</f>
        <v>svv164v</v>
      </c>
      <c r="B166" t="s">
        <v>345</v>
      </c>
      <c r="C166" t="s">
        <v>438</v>
      </c>
      <c r="D166" s="2" t="s">
        <v>359</v>
      </c>
      <c r="E166" t="s">
        <v>502</v>
      </c>
      <c r="F166" s="11">
        <v>43283</v>
      </c>
      <c r="G166" s="2">
        <f>VLOOKUP(E166,Produtos!$A:$E,5,FALSE)</f>
        <v>1</v>
      </c>
      <c r="H166" s="2">
        <f>VLOOKUP(E166,Produtos!$A:$E,4,FALSE)</f>
        <v>0.5</v>
      </c>
      <c r="I166" s="2">
        <v>3</v>
      </c>
    </row>
    <row r="167" spans="1:9" x14ac:dyDescent="0.25">
      <c r="A167" s="2" t="str">
        <f>CONCATENATE(Códigos!S166,Códigos!T166,Códigos!U166)</f>
        <v>svv165v</v>
      </c>
      <c r="B167" t="s">
        <v>345</v>
      </c>
      <c r="C167" t="s">
        <v>438</v>
      </c>
      <c r="D167" s="2" t="s">
        <v>359</v>
      </c>
      <c r="E167" t="s">
        <v>502</v>
      </c>
      <c r="F167" s="11">
        <v>43284</v>
      </c>
      <c r="G167" s="2">
        <f>VLOOKUP(E167,Produtos!$A:$E,5,FALSE)</f>
        <v>1</v>
      </c>
      <c r="H167" s="2">
        <f>VLOOKUP(E167,Produtos!$A:$E,4,FALSE)</f>
        <v>0.5</v>
      </c>
      <c r="I167" s="2">
        <v>3</v>
      </c>
    </row>
    <row r="168" spans="1:9" x14ac:dyDescent="0.25">
      <c r="A168" s="2" t="str">
        <f>CONCATENATE(Códigos!S167,Códigos!T167,Códigos!U167)</f>
        <v>svv166v</v>
      </c>
      <c r="B168" t="s">
        <v>345</v>
      </c>
      <c r="C168" t="s">
        <v>438</v>
      </c>
      <c r="D168" s="2" t="s">
        <v>359</v>
      </c>
      <c r="E168" t="s">
        <v>502</v>
      </c>
      <c r="F168" s="11">
        <v>43285</v>
      </c>
      <c r="G168" s="2">
        <f>VLOOKUP(E168,Produtos!$A:$E,5,FALSE)</f>
        <v>1</v>
      </c>
      <c r="H168" s="2">
        <f>VLOOKUP(E168,Produtos!$A:$E,4,FALSE)</f>
        <v>0.5</v>
      </c>
      <c r="I168" s="2">
        <v>3</v>
      </c>
    </row>
    <row r="169" spans="1:9" x14ac:dyDescent="0.25">
      <c r="A169" s="2" t="str">
        <f>CONCATENATE(Códigos!S168,Códigos!T168,Códigos!U168)</f>
        <v>svv167v</v>
      </c>
      <c r="B169" t="s">
        <v>345</v>
      </c>
      <c r="C169" t="s">
        <v>438</v>
      </c>
      <c r="D169" s="2" t="s">
        <v>359</v>
      </c>
      <c r="E169" t="s">
        <v>502</v>
      </c>
      <c r="F169" s="11">
        <v>43286</v>
      </c>
      <c r="G169" s="2">
        <f>VLOOKUP(E169,Produtos!$A:$E,5,FALSE)</f>
        <v>1</v>
      </c>
      <c r="H169" s="2">
        <f>VLOOKUP(E169,Produtos!$A:$E,4,FALSE)</f>
        <v>0.5</v>
      </c>
      <c r="I169" s="2">
        <v>3</v>
      </c>
    </row>
    <row r="170" spans="1:9" x14ac:dyDescent="0.25">
      <c r="A170" s="2" t="str">
        <f>CONCATENATE(Códigos!S169,Códigos!T169,Códigos!U169)</f>
        <v>svv168v</v>
      </c>
      <c r="B170" t="s">
        <v>345</v>
      </c>
      <c r="C170" t="s">
        <v>438</v>
      </c>
      <c r="D170" s="2" t="s">
        <v>359</v>
      </c>
      <c r="E170" t="s">
        <v>502</v>
      </c>
      <c r="F170" s="11">
        <v>43287</v>
      </c>
      <c r="G170" s="2">
        <f>VLOOKUP(E170,Produtos!$A:$E,5,FALSE)</f>
        <v>1</v>
      </c>
      <c r="H170" s="2">
        <f>VLOOKUP(E170,Produtos!$A:$E,4,FALSE)</f>
        <v>0.5</v>
      </c>
      <c r="I170" s="2">
        <v>3</v>
      </c>
    </row>
    <row r="171" spans="1:9" x14ac:dyDescent="0.25">
      <c r="A171" s="2" t="str">
        <f>CONCATENATE(Códigos!S170,Códigos!T170,Códigos!U170)</f>
        <v>svv169v</v>
      </c>
      <c r="B171" t="s">
        <v>345</v>
      </c>
      <c r="C171" t="s">
        <v>438</v>
      </c>
      <c r="D171" s="2" t="s">
        <v>359</v>
      </c>
      <c r="E171" t="s">
        <v>502</v>
      </c>
      <c r="F171" s="11">
        <v>43288</v>
      </c>
      <c r="G171" s="2">
        <f>VLOOKUP(E171,Produtos!$A:$E,5,FALSE)</f>
        <v>1</v>
      </c>
      <c r="H171" s="2">
        <f>VLOOKUP(E171,Produtos!$A:$E,4,FALSE)</f>
        <v>0.5</v>
      </c>
      <c r="I171" s="2">
        <v>3</v>
      </c>
    </row>
    <row r="172" spans="1:9" x14ac:dyDescent="0.25">
      <c r="A172" s="2" t="str">
        <f>CONCATENATE(Códigos!S171,Códigos!T171,Códigos!U171)</f>
        <v>svv170v</v>
      </c>
      <c r="B172" t="s">
        <v>345</v>
      </c>
      <c r="C172" t="s">
        <v>438</v>
      </c>
      <c r="D172" s="2" t="s">
        <v>359</v>
      </c>
      <c r="E172" t="s">
        <v>502</v>
      </c>
      <c r="F172" s="11">
        <v>43289</v>
      </c>
      <c r="G172" s="2">
        <f>VLOOKUP(E172,Produtos!$A:$E,5,FALSE)</f>
        <v>1</v>
      </c>
      <c r="H172" s="2">
        <f>VLOOKUP(E172,Produtos!$A:$E,4,FALSE)</f>
        <v>0.5</v>
      </c>
      <c r="I172" s="2">
        <v>3</v>
      </c>
    </row>
    <row r="173" spans="1:9" x14ac:dyDescent="0.25">
      <c r="A173" s="2" t="str">
        <f>CONCATENATE(Códigos!S172,Códigos!T172,Códigos!U172)</f>
        <v>svv171v</v>
      </c>
      <c r="B173" t="s">
        <v>345</v>
      </c>
      <c r="C173" t="s">
        <v>438</v>
      </c>
      <c r="D173" s="2" t="s">
        <v>359</v>
      </c>
      <c r="E173" t="s">
        <v>502</v>
      </c>
      <c r="F173" s="11">
        <v>43290</v>
      </c>
      <c r="G173" s="2">
        <f>VLOOKUP(E173,Produtos!$A:$E,5,FALSE)</f>
        <v>1</v>
      </c>
      <c r="H173" s="2">
        <f>VLOOKUP(E173,Produtos!$A:$E,4,FALSE)</f>
        <v>0.5</v>
      </c>
      <c r="I173" s="2">
        <v>3</v>
      </c>
    </row>
    <row r="174" spans="1:9" x14ac:dyDescent="0.25">
      <c r="A174" s="2" t="str">
        <f>CONCATENATE(Códigos!S173,Códigos!T173,Códigos!U173)</f>
        <v>svv172v</v>
      </c>
      <c r="B174" t="s">
        <v>345</v>
      </c>
      <c r="C174" t="s">
        <v>438</v>
      </c>
      <c r="D174" s="2" t="s">
        <v>359</v>
      </c>
      <c r="E174" t="s">
        <v>502</v>
      </c>
      <c r="F174" s="11">
        <v>43291</v>
      </c>
      <c r="G174" s="2">
        <f>VLOOKUP(E174,Produtos!$A:$E,5,FALSE)</f>
        <v>1</v>
      </c>
      <c r="H174" s="2">
        <f>VLOOKUP(E174,Produtos!$A:$E,4,FALSE)</f>
        <v>0.5</v>
      </c>
      <c r="I174" s="2">
        <v>3</v>
      </c>
    </row>
    <row r="175" spans="1:9" x14ac:dyDescent="0.25">
      <c r="A175" s="2" t="str">
        <f>CONCATENATE(Códigos!S174,Códigos!T174,Códigos!U174)</f>
        <v>svv173v</v>
      </c>
      <c r="B175" t="s">
        <v>345</v>
      </c>
      <c r="C175" t="s">
        <v>438</v>
      </c>
      <c r="D175" s="2" t="s">
        <v>359</v>
      </c>
      <c r="E175" t="s">
        <v>502</v>
      </c>
      <c r="F175" s="11">
        <v>43292</v>
      </c>
      <c r="G175" s="2">
        <f>VLOOKUP(E175,Produtos!$A:$E,5,FALSE)</f>
        <v>1</v>
      </c>
      <c r="H175" s="2">
        <f>VLOOKUP(E175,Produtos!$A:$E,4,FALSE)</f>
        <v>0.5</v>
      </c>
      <c r="I175" s="2">
        <v>3</v>
      </c>
    </row>
    <row r="176" spans="1:9" x14ac:dyDescent="0.25">
      <c r="A176" s="2" t="str">
        <f>CONCATENATE(Códigos!S175,Códigos!T175,Códigos!U175)</f>
        <v>svv174v</v>
      </c>
      <c r="B176" t="s">
        <v>345</v>
      </c>
      <c r="C176" t="s">
        <v>438</v>
      </c>
      <c r="D176" s="2" t="s">
        <v>359</v>
      </c>
      <c r="E176" t="s">
        <v>502</v>
      </c>
      <c r="F176" s="11">
        <v>43293</v>
      </c>
      <c r="G176" s="2">
        <f>VLOOKUP(E176,Produtos!$A:$E,5,FALSE)</f>
        <v>1</v>
      </c>
      <c r="H176" s="2">
        <f>VLOOKUP(E176,Produtos!$A:$E,4,FALSE)</f>
        <v>0.5</v>
      </c>
      <c r="I176" s="2">
        <v>3</v>
      </c>
    </row>
    <row r="177" spans="1:9" x14ac:dyDescent="0.25">
      <c r="A177" s="2" t="str">
        <f>CONCATENATE(Códigos!S176,Códigos!T176,Códigos!U176)</f>
        <v>svv175v</v>
      </c>
      <c r="B177" t="s">
        <v>345</v>
      </c>
      <c r="C177" t="s">
        <v>438</v>
      </c>
      <c r="D177" s="2" t="s">
        <v>359</v>
      </c>
      <c r="E177" t="s">
        <v>502</v>
      </c>
      <c r="F177" s="11">
        <v>43294</v>
      </c>
      <c r="G177" s="2">
        <f>VLOOKUP(E177,Produtos!$A:$E,5,FALSE)</f>
        <v>1</v>
      </c>
      <c r="H177" s="2">
        <f>VLOOKUP(E177,Produtos!$A:$E,4,FALSE)</f>
        <v>0.5</v>
      </c>
      <c r="I177" s="2">
        <v>3</v>
      </c>
    </row>
    <row r="178" spans="1:9" x14ac:dyDescent="0.25">
      <c r="A178" s="2" t="str">
        <f>CONCATENATE(Códigos!S177,Códigos!T177,Códigos!U177)</f>
        <v>svv176v</v>
      </c>
      <c r="B178" t="s">
        <v>345</v>
      </c>
      <c r="C178" t="s">
        <v>438</v>
      </c>
      <c r="D178" s="2" t="s">
        <v>359</v>
      </c>
      <c r="E178" t="s">
        <v>502</v>
      </c>
      <c r="F178" s="11">
        <v>43295</v>
      </c>
      <c r="G178" s="2">
        <f>VLOOKUP(E178,Produtos!$A:$E,5,FALSE)</f>
        <v>1</v>
      </c>
      <c r="H178" s="2">
        <f>VLOOKUP(E178,Produtos!$A:$E,4,FALSE)</f>
        <v>0.5</v>
      </c>
      <c r="I178" s="2">
        <v>3</v>
      </c>
    </row>
    <row r="179" spans="1:9" x14ac:dyDescent="0.25">
      <c r="A179" s="2" t="str">
        <f>CONCATENATE(Códigos!S178,Códigos!T178,Códigos!U178)</f>
        <v>svv177v</v>
      </c>
      <c r="B179" t="s">
        <v>345</v>
      </c>
      <c r="C179" t="s">
        <v>438</v>
      </c>
      <c r="D179" s="2" t="s">
        <v>359</v>
      </c>
      <c r="E179" t="s">
        <v>502</v>
      </c>
      <c r="F179" s="11">
        <v>43296</v>
      </c>
      <c r="G179" s="2">
        <f>VLOOKUP(E179,Produtos!$A:$E,5,FALSE)</f>
        <v>1</v>
      </c>
      <c r="H179" s="2">
        <f>VLOOKUP(E179,Produtos!$A:$E,4,FALSE)</f>
        <v>0.5</v>
      </c>
      <c r="I179" s="2">
        <v>3</v>
      </c>
    </row>
    <row r="180" spans="1:9" x14ac:dyDescent="0.25">
      <c r="A180" s="2" t="str">
        <f>CONCATENATE(Códigos!S179,Códigos!T179,Códigos!U179)</f>
        <v>svv178v</v>
      </c>
      <c r="B180" t="s">
        <v>345</v>
      </c>
      <c r="C180" t="s">
        <v>438</v>
      </c>
      <c r="D180" s="2" t="s">
        <v>359</v>
      </c>
      <c r="E180" t="s">
        <v>502</v>
      </c>
      <c r="F180" s="11">
        <v>43297</v>
      </c>
      <c r="G180" s="2">
        <f>VLOOKUP(E180,Produtos!$A:$E,5,FALSE)</f>
        <v>1</v>
      </c>
      <c r="H180" s="2">
        <f>VLOOKUP(E180,Produtos!$A:$E,4,FALSE)</f>
        <v>0.5</v>
      </c>
      <c r="I180" s="2">
        <v>3</v>
      </c>
    </row>
    <row r="181" spans="1:9" x14ac:dyDescent="0.25">
      <c r="A181" s="2" t="str">
        <f>CONCATENATE(Códigos!S180,Códigos!T180,Códigos!U180)</f>
        <v>svv179v</v>
      </c>
      <c r="B181" t="s">
        <v>345</v>
      </c>
      <c r="C181" t="s">
        <v>438</v>
      </c>
      <c r="D181" s="2" t="s">
        <v>359</v>
      </c>
      <c r="E181" t="s">
        <v>334</v>
      </c>
      <c r="F181" s="11">
        <v>43298</v>
      </c>
      <c r="G181" s="2">
        <f>VLOOKUP(E181,Produtos!$A:$E,5,FALSE)</f>
        <v>1900</v>
      </c>
      <c r="H181" s="2">
        <f>VLOOKUP(E181,Produtos!$A:$E,4,FALSE)</f>
        <v>1250</v>
      </c>
      <c r="I181" s="2">
        <v>3</v>
      </c>
    </row>
    <row r="182" spans="1:9" x14ac:dyDescent="0.25">
      <c r="A182" s="2" t="str">
        <f>CONCATENATE(Códigos!S181,Códigos!T181,Códigos!U181)</f>
        <v>svv180v</v>
      </c>
      <c r="B182" t="s">
        <v>345</v>
      </c>
      <c r="C182" t="s">
        <v>438</v>
      </c>
      <c r="D182" s="2" t="s">
        <v>359</v>
      </c>
      <c r="E182" t="s">
        <v>334</v>
      </c>
      <c r="F182" s="11">
        <v>43299</v>
      </c>
      <c r="G182" s="2">
        <f>VLOOKUP(E182,Produtos!$A:$E,5,FALSE)</f>
        <v>1900</v>
      </c>
      <c r="H182" s="2">
        <f>VLOOKUP(E182,Produtos!$A:$E,4,FALSE)</f>
        <v>1250</v>
      </c>
      <c r="I182" s="2">
        <v>3</v>
      </c>
    </row>
    <row r="183" spans="1:9" x14ac:dyDescent="0.25">
      <c r="A183" s="2" t="str">
        <f>CONCATENATE(Códigos!S182,Códigos!T182,Códigos!U182)</f>
        <v>svv181v</v>
      </c>
      <c r="B183" t="s">
        <v>345</v>
      </c>
      <c r="C183" t="s">
        <v>438</v>
      </c>
      <c r="D183" s="2" t="s">
        <v>359</v>
      </c>
      <c r="E183" t="s">
        <v>334</v>
      </c>
      <c r="F183" s="11">
        <v>43300</v>
      </c>
      <c r="G183" s="2">
        <f>VLOOKUP(E183,Produtos!$A:$E,5,FALSE)</f>
        <v>1900</v>
      </c>
      <c r="H183" s="2">
        <f>VLOOKUP(E183,Produtos!$A:$E,4,FALSE)</f>
        <v>1250</v>
      </c>
      <c r="I183" s="2">
        <v>3</v>
      </c>
    </row>
    <row r="184" spans="1:9" x14ac:dyDescent="0.25">
      <c r="A184" s="2" t="str">
        <f>CONCATENATE(Códigos!S183,Códigos!T183,Códigos!U183)</f>
        <v>svv182v</v>
      </c>
      <c r="B184" t="s">
        <v>345</v>
      </c>
      <c r="C184" t="s">
        <v>438</v>
      </c>
      <c r="D184" s="2" t="s">
        <v>359</v>
      </c>
      <c r="E184" t="s">
        <v>334</v>
      </c>
      <c r="F184" s="11">
        <v>43301</v>
      </c>
      <c r="G184" s="2">
        <f>VLOOKUP(E184,Produtos!$A:$E,5,FALSE)</f>
        <v>1900</v>
      </c>
      <c r="H184" s="2">
        <f>VLOOKUP(E184,Produtos!$A:$E,4,FALSE)</f>
        <v>1250</v>
      </c>
      <c r="I184" s="2">
        <v>3</v>
      </c>
    </row>
    <row r="185" spans="1:9" x14ac:dyDescent="0.25">
      <c r="A185" s="2" t="str">
        <f>CONCATENATE(Códigos!S184,Códigos!T184,Códigos!U184)</f>
        <v>svv183v</v>
      </c>
      <c r="B185" t="s">
        <v>345</v>
      </c>
      <c r="C185" t="s">
        <v>438</v>
      </c>
      <c r="D185" s="2" t="s">
        <v>359</v>
      </c>
      <c r="E185" t="s">
        <v>334</v>
      </c>
      <c r="F185" s="11">
        <v>43302</v>
      </c>
      <c r="G185" s="2">
        <f>VLOOKUP(E185,Produtos!$A:$E,5,FALSE)</f>
        <v>1900</v>
      </c>
      <c r="H185" s="2">
        <f>VLOOKUP(E185,Produtos!$A:$E,4,FALSE)</f>
        <v>1250</v>
      </c>
      <c r="I185" s="2">
        <v>3</v>
      </c>
    </row>
    <row r="186" spans="1:9" x14ac:dyDescent="0.25">
      <c r="A186" s="2" t="str">
        <f>CONCATENATE(Códigos!S185,Códigos!T185,Códigos!U185)</f>
        <v>svv184v</v>
      </c>
      <c r="B186" t="s">
        <v>345</v>
      </c>
      <c r="C186" t="s">
        <v>438</v>
      </c>
      <c r="D186" s="2" t="s">
        <v>359</v>
      </c>
      <c r="E186" t="s">
        <v>334</v>
      </c>
      <c r="F186" s="11">
        <v>43303</v>
      </c>
      <c r="G186" s="2">
        <f>VLOOKUP(E186,Produtos!$A:$E,5,FALSE)</f>
        <v>1900</v>
      </c>
      <c r="H186" s="2">
        <f>VLOOKUP(E186,Produtos!$A:$E,4,FALSE)</f>
        <v>1250</v>
      </c>
      <c r="I186" s="2">
        <v>3</v>
      </c>
    </row>
    <row r="187" spans="1:9" x14ac:dyDescent="0.25">
      <c r="A187" s="2" t="str">
        <f>CONCATENATE(Códigos!S186,Códigos!T186,Códigos!U186)</f>
        <v>svv185v</v>
      </c>
      <c r="B187" t="s">
        <v>345</v>
      </c>
      <c r="C187" t="s">
        <v>438</v>
      </c>
      <c r="D187" s="2" t="s">
        <v>359</v>
      </c>
      <c r="E187" t="s">
        <v>334</v>
      </c>
      <c r="F187" s="11">
        <v>43304</v>
      </c>
      <c r="G187" s="2">
        <f>VLOOKUP(E187,Produtos!$A:$E,5,FALSE)</f>
        <v>1900</v>
      </c>
      <c r="H187" s="2">
        <f>VLOOKUP(E187,Produtos!$A:$E,4,FALSE)</f>
        <v>1250</v>
      </c>
      <c r="I187" s="2">
        <v>3</v>
      </c>
    </row>
    <row r="188" spans="1:9" x14ac:dyDescent="0.25">
      <c r="A188" s="2" t="str">
        <f>CONCATENATE(Códigos!S187,Códigos!T187,Códigos!U187)</f>
        <v>svv186v</v>
      </c>
      <c r="B188" t="s">
        <v>345</v>
      </c>
      <c r="C188" t="s">
        <v>438</v>
      </c>
      <c r="D188" s="2" t="s">
        <v>359</v>
      </c>
      <c r="E188" t="s">
        <v>334</v>
      </c>
      <c r="F188" s="11">
        <v>43305</v>
      </c>
      <c r="G188" s="2">
        <f>VLOOKUP(E188,Produtos!$A:$E,5,FALSE)</f>
        <v>1900</v>
      </c>
      <c r="H188" s="2">
        <f>VLOOKUP(E188,Produtos!$A:$E,4,FALSE)</f>
        <v>1250</v>
      </c>
      <c r="I188" s="2">
        <v>3</v>
      </c>
    </row>
    <row r="189" spans="1:9" x14ac:dyDescent="0.25">
      <c r="A189" s="2" t="str">
        <f>CONCATENATE(Códigos!S188,Códigos!T188,Códigos!U188)</f>
        <v>svv187v</v>
      </c>
      <c r="B189" t="s">
        <v>345</v>
      </c>
      <c r="C189" t="s">
        <v>438</v>
      </c>
      <c r="D189" s="2" t="s">
        <v>359</v>
      </c>
      <c r="E189" t="s">
        <v>334</v>
      </c>
      <c r="F189" s="11">
        <v>43306</v>
      </c>
      <c r="G189" s="2">
        <f>VLOOKUP(E189,Produtos!$A:$E,5,FALSE)</f>
        <v>1900</v>
      </c>
      <c r="H189" s="2">
        <f>VLOOKUP(E189,Produtos!$A:$E,4,FALSE)</f>
        <v>1250</v>
      </c>
      <c r="I189" s="2">
        <v>3</v>
      </c>
    </row>
    <row r="190" spans="1:9" x14ac:dyDescent="0.25">
      <c r="A190" s="2" t="str">
        <f>CONCATENATE(Códigos!S189,Códigos!T189,Códigos!U189)</f>
        <v>svv188v</v>
      </c>
      <c r="B190" t="s">
        <v>344</v>
      </c>
      <c r="C190" t="s">
        <v>438</v>
      </c>
      <c r="D190" s="2" t="s">
        <v>359</v>
      </c>
      <c r="E190" t="s">
        <v>334</v>
      </c>
      <c r="F190" s="11">
        <v>43307</v>
      </c>
      <c r="G190" s="2">
        <f>VLOOKUP(E190,Produtos!$A:$E,5,FALSE)</f>
        <v>1900</v>
      </c>
      <c r="H190" s="2">
        <f>VLOOKUP(E190,Produtos!$A:$E,4,FALSE)</f>
        <v>1250</v>
      </c>
      <c r="I190" s="2">
        <v>3</v>
      </c>
    </row>
    <row r="191" spans="1:9" x14ac:dyDescent="0.25">
      <c r="A191" s="2" t="str">
        <f>CONCATENATE(Códigos!S190,Códigos!T190,Códigos!U190)</f>
        <v>svv189v</v>
      </c>
      <c r="B191" t="s">
        <v>344</v>
      </c>
      <c r="C191" t="s">
        <v>438</v>
      </c>
      <c r="D191" s="2" t="s">
        <v>359</v>
      </c>
      <c r="E191" t="s">
        <v>334</v>
      </c>
      <c r="F191" s="11">
        <v>43308</v>
      </c>
      <c r="G191" s="2">
        <f>VLOOKUP(E191,Produtos!$A:$E,5,FALSE)</f>
        <v>1900</v>
      </c>
      <c r="H191" s="2">
        <f>VLOOKUP(E191,Produtos!$A:$E,4,FALSE)</f>
        <v>1250</v>
      </c>
      <c r="I191" s="2">
        <v>3</v>
      </c>
    </row>
    <row r="192" spans="1:9" x14ac:dyDescent="0.25">
      <c r="A192" s="2" t="str">
        <f>CONCATENATE(Códigos!S191,Códigos!T191,Códigos!U191)</f>
        <v>svv190v</v>
      </c>
      <c r="B192" t="s">
        <v>344</v>
      </c>
      <c r="C192" t="s">
        <v>438</v>
      </c>
      <c r="D192" s="2" t="s">
        <v>359</v>
      </c>
      <c r="E192" t="s">
        <v>334</v>
      </c>
      <c r="F192" s="11">
        <v>43309</v>
      </c>
      <c r="G192" s="2">
        <f>VLOOKUP(E192,Produtos!$A:$E,5,FALSE)</f>
        <v>1900</v>
      </c>
      <c r="H192" s="2">
        <f>VLOOKUP(E192,Produtos!$A:$E,4,FALSE)</f>
        <v>1250</v>
      </c>
      <c r="I192" s="2">
        <v>3</v>
      </c>
    </row>
    <row r="193" spans="1:9" x14ac:dyDescent="0.25">
      <c r="A193" s="2" t="str">
        <f>CONCATENATE(Códigos!S192,Códigos!T192,Códigos!U192)</f>
        <v>svv191v</v>
      </c>
      <c r="B193" t="s">
        <v>344</v>
      </c>
      <c r="C193" t="s">
        <v>438</v>
      </c>
      <c r="D193" s="2" t="s">
        <v>359</v>
      </c>
      <c r="E193" t="s">
        <v>334</v>
      </c>
      <c r="F193" s="11">
        <v>43310</v>
      </c>
      <c r="G193" s="2">
        <f>VLOOKUP(E193,Produtos!$A:$E,5,FALSE)</f>
        <v>1900</v>
      </c>
      <c r="H193" s="2">
        <f>VLOOKUP(E193,Produtos!$A:$E,4,FALSE)</f>
        <v>1250</v>
      </c>
      <c r="I193" s="2">
        <v>3</v>
      </c>
    </row>
    <row r="194" spans="1:9" x14ac:dyDescent="0.25">
      <c r="A194" s="2" t="str">
        <f>CONCATENATE(Códigos!S193,Códigos!T193,Códigos!U193)</f>
        <v>svv192v</v>
      </c>
      <c r="B194" t="s">
        <v>344</v>
      </c>
      <c r="C194" t="s">
        <v>438</v>
      </c>
      <c r="D194" s="2" t="s">
        <v>359</v>
      </c>
      <c r="E194" t="s">
        <v>334</v>
      </c>
      <c r="F194" s="11">
        <v>43311</v>
      </c>
      <c r="G194" s="2">
        <f>VLOOKUP(E194,Produtos!$A:$E,5,FALSE)</f>
        <v>1900</v>
      </c>
      <c r="H194" s="2">
        <f>VLOOKUP(E194,Produtos!$A:$E,4,FALSE)</f>
        <v>1250</v>
      </c>
      <c r="I194" s="2">
        <v>3</v>
      </c>
    </row>
    <row r="195" spans="1:9" x14ac:dyDescent="0.25">
      <c r="A195" s="2" t="str">
        <f>CONCATENATE(Códigos!S194,Códigos!T194,Códigos!U194)</f>
        <v>svv193v</v>
      </c>
      <c r="B195" t="s">
        <v>344</v>
      </c>
      <c r="C195" t="s">
        <v>438</v>
      </c>
      <c r="D195" s="2" t="s">
        <v>359</v>
      </c>
      <c r="E195" t="s">
        <v>334</v>
      </c>
      <c r="F195" s="11">
        <v>43312</v>
      </c>
      <c r="G195" s="2">
        <f>VLOOKUP(E195,Produtos!$A:$E,5,FALSE)</f>
        <v>1900</v>
      </c>
      <c r="H195" s="2">
        <f>VLOOKUP(E195,Produtos!$A:$E,4,FALSE)</f>
        <v>1250</v>
      </c>
      <c r="I195" s="2">
        <v>3</v>
      </c>
    </row>
    <row r="196" spans="1:9" x14ac:dyDescent="0.25">
      <c r="A196" s="2" t="str">
        <f>CONCATENATE(Códigos!S195,Códigos!T195,Códigos!U195)</f>
        <v>svv194v</v>
      </c>
      <c r="B196" t="s">
        <v>344</v>
      </c>
      <c r="C196" t="s">
        <v>438</v>
      </c>
      <c r="D196" s="2" t="s">
        <v>359</v>
      </c>
      <c r="E196" t="s">
        <v>334</v>
      </c>
      <c r="F196" s="11">
        <v>43313</v>
      </c>
      <c r="G196" s="2">
        <f>VLOOKUP(E196,Produtos!$A:$E,5,FALSE)</f>
        <v>1900</v>
      </c>
      <c r="H196" s="2">
        <f>VLOOKUP(E196,Produtos!$A:$E,4,FALSE)</f>
        <v>1250</v>
      </c>
      <c r="I196" s="2">
        <v>3</v>
      </c>
    </row>
    <row r="197" spans="1:9" x14ac:dyDescent="0.25">
      <c r="A197" s="2" t="str">
        <f>CONCATENATE(Códigos!S196,Códigos!T196,Códigos!U196)</f>
        <v>svv195v</v>
      </c>
      <c r="B197" t="s">
        <v>344</v>
      </c>
      <c r="C197" t="s">
        <v>438</v>
      </c>
      <c r="D197" s="2" t="s">
        <v>359</v>
      </c>
      <c r="E197" t="s">
        <v>334</v>
      </c>
      <c r="F197" s="11">
        <v>43314</v>
      </c>
      <c r="G197" s="2">
        <f>VLOOKUP(E197,Produtos!$A:$E,5,FALSE)</f>
        <v>1900</v>
      </c>
      <c r="H197" s="2">
        <f>VLOOKUP(E197,Produtos!$A:$E,4,FALSE)</f>
        <v>1250</v>
      </c>
      <c r="I197" s="2">
        <v>3</v>
      </c>
    </row>
    <row r="198" spans="1:9" x14ac:dyDescent="0.25">
      <c r="A198" s="2" t="str">
        <f>CONCATENATE(Códigos!S197,Códigos!T197,Códigos!U197)</f>
        <v>svv196v</v>
      </c>
      <c r="B198" t="s">
        <v>344</v>
      </c>
      <c r="C198" t="s">
        <v>438</v>
      </c>
      <c r="D198" s="2" t="s">
        <v>359</v>
      </c>
      <c r="E198" t="s">
        <v>334</v>
      </c>
      <c r="F198" s="11">
        <v>43315</v>
      </c>
      <c r="G198" s="2">
        <f>VLOOKUP(E198,Produtos!$A:$E,5,FALSE)</f>
        <v>1900</v>
      </c>
      <c r="H198" s="2">
        <f>VLOOKUP(E198,Produtos!$A:$E,4,FALSE)</f>
        <v>1250</v>
      </c>
      <c r="I198" s="2">
        <v>3</v>
      </c>
    </row>
    <row r="199" spans="1:9" x14ac:dyDescent="0.25">
      <c r="A199" s="2" t="str">
        <f>CONCATENATE(Códigos!S198,Códigos!T198,Códigos!U198)</f>
        <v>svv197v</v>
      </c>
      <c r="B199" t="s">
        <v>344</v>
      </c>
      <c r="C199" t="s">
        <v>438</v>
      </c>
      <c r="D199" s="2" t="s">
        <v>359</v>
      </c>
      <c r="E199" t="s">
        <v>334</v>
      </c>
      <c r="F199" s="11">
        <v>43316</v>
      </c>
      <c r="G199" s="2">
        <f>VLOOKUP(E199,Produtos!$A:$E,5,FALSE)</f>
        <v>1900</v>
      </c>
      <c r="H199" s="2">
        <f>VLOOKUP(E199,Produtos!$A:$E,4,FALSE)</f>
        <v>1250</v>
      </c>
      <c r="I199" s="2">
        <v>3</v>
      </c>
    </row>
    <row r="200" spans="1:9" x14ac:dyDescent="0.25">
      <c r="A200" s="2" t="str">
        <f>CONCATENATE(Códigos!S199,Códigos!T199,Códigos!U199)</f>
        <v>svv198v</v>
      </c>
      <c r="B200" t="s">
        <v>344</v>
      </c>
      <c r="C200" t="s">
        <v>438</v>
      </c>
      <c r="D200" s="2" t="s">
        <v>359</v>
      </c>
      <c r="E200" t="s">
        <v>334</v>
      </c>
      <c r="F200" s="11">
        <v>43317</v>
      </c>
      <c r="G200" s="2">
        <f>VLOOKUP(E200,Produtos!$A:$E,5,FALSE)</f>
        <v>1900</v>
      </c>
      <c r="H200" s="2">
        <f>VLOOKUP(E200,Produtos!$A:$E,4,FALSE)</f>
        <v>1250</v>
      </c>
      <c r="I200" s="2">
        <v>3</v>
      </c>
    </row>
    <row r="201" spans="1:9" x14ac:dyDescent="0.25">
      <c r="A201" s="2" t="str">
        <f>CONCATENATE(Códigos!S200,Códigos!T200,Códigos!U200)</f>
        <v>svv199v</v>
      </c>
      <c r="B201" t="s">
        <v>344</v>
      </c>
      <c r="C201" t="s">
        <v>438</v>
      </c>
      <c r="D201" s="2" t="s">
        <v>359</v>
      </c>
      <c r="E201" t="s">
        <v>334</v>
      </c>
      <c r="F201" s="11">
        <v>43318</v>
      </c>
      <c r="G201" s="2">
        <f>VLOOKUP(E201,Produtos!$A:$E,5,FALSE)</f>
        <v>1900</v>
      </c>
      <c r="H201" s="2">
        <f>VLOOKUP(E201,Produtos!$A:$E,4,FALSE)</f>
        <v>1250</v>
      </c>
      <c r="I201" s="2">
        <v>3</v>
      </c>
    </row>
    <row r="202" spans="1:9" x14ac:dyDescent="0.25">
      <c r="A202" s="2" t="str">
        <f>CONCATENATE(Códigos!S201,Códigos!T201,Códigos!U201)</f>
        <v>svv200v</v>
      </c>
      <c r="B202" t="s">
        <v>344</v>
      </c>
      <c r="C202" t="s">
        <v>438</v>
      </c>
      <c r="D202" s="2" t="s">
        <v>359</v>
      </c>
      <c r="E202" t="s">
        <v>334</v>
      </c>
      <c r="F202" s="11">
        <v>43319</v>
      </c>
      <c r="G202" s="2">
        <f>VLOOKUP(E202,Produtos!$A:$E,5,FALSE)</f>
        <v>1900</v>
      </c>
      <c r="H202" s="2">
        <f>VLOOKUP(E202,Produtos!$A:$E,4,FALSE)</f>
        <v>1250</v>
      </c>
      <c r="I202" s="2">
        <v>3</v>
      </c>
    </row>
    <row r="203" spans="1:9" x14ac:dyDescent="0.25">
      <c r="A203" s="2" t="str">
        <f>CONCATENATE(Códigos!S202,Códigos!T202,Códigos!U202)</f>
        <v>svv201v</v>
      </c>
      <c r="B203" t="s">
        <v>344</v>
      </c>
      <c r="C203" t="s">
        <v>438</v>
      </c>
      <c r="D203" s="2" t="s">
        <v>359</v>
      </c>
      <c r="E203" t="s">
        <v>334</v>
      </c>
      <c r="F203" s="11">
        <v>43320</v>
      </c>
      <c r="G203" s="2">
        <f>VLOOKUP(E203,Produtos!$A:$E,5,FALSE)</f>
        <v>1900</v>
      </c>
      <c r="H203" s="2">
        <f>VLOOKUP(E203,Produtos!$A:$E,4,FALSE)</f>
        <v>1250</v>
      </c>
      <c r="I203" s="2">
        <v>3</v>
      </c>
    </row>
    <row r="204" spans="1:9" x14ac:dyDescent="0.25">
      <c r="A204" s="2" t="str">
        <f>CONCATENATE(Códigos!S203,Códigos!T203,Códigos!U203)</f>
        <v>svv202v</v>
      </c>
      <c r="B204" t="s">
        <v>344</v>
      </c>
      <c r="C204" t="s">
        <v>438</v>
      </c>
      <c r="D204" s="2" t="s">
        <v>359</v>
      </c>
      <c r="E204" t="s">
        <v>334</v>
      </c>
      <c r="F204" s="11">
        <v>43321</v>
      </c>
      <c r="G204" s="2">
        <f>VLOOKUP(E204,Produtos!$A:$E,5,FALSE)</f>
        <v>1900</v>
      </c>
      <c r="H204" s="2">
        <f>VLOOKUP(E204,Produtos!$A:$E,4,FALSE)</f>
        <v>1250</v>
      </c>
      <c r="I204" s="2">
        <v>3</v>
      </c>
    </row>
    <row r="205" spans="1:9" x14ac:dyDescent="0.25">
      <c r="A205" s="2" t="str">
        <f>CONCATENATE(Códigos!S204,Códigos!T204,Códigos!U204)</f>
        <v>svv203v</v>
      </c>
      <c r="B205" t="s">
        <v>344</v>
      </c>
      <c r="C205" t="s">
        <v>438</v>
      </c>
      <c r="D205" s="2" t="s">
        <v>359</v>
      </c>
      <c r="E205" t="s">
        <v>334</v>
      </c>
      <c r="F205" s="11">
        <v>43322</v>
      </c>
      <c r="G205" s="2">
        <f>VLOOKUP(E205,Produtos!$A:$E,5,FALSE)</f>
        <v>1900</v>
      </c>
      <c r="H205" s="2">
        <f>VLOOKUP(E205,Produtos!$A:$E,4,FALSE)</f>
        <v>1250</v>
      </c>
      <c r="I205" s="2">
        <v>3</v>
      </c>
    </row>
    <row r="206" spans="1:9" x14ac:dyDescent="0.25">
      <c r="A206" s="2" t="str">
        <f>CONCATENATE(Códigos!S205,Códigos!T205,Códigos!U205)</f>
        <v>svv204v</v>
      </c>
      <c r="B206" t="s">
        <v>344</v>
      </c>
      <c r="C206" t="s">
        <v>438</v>
      </c>
      <c r="D206" s="2" t="s">
        <v>359</v>
      </c>
      <c r="E206" t="s">
        <v>334</v>
      </c>
      <c r="F206" s="11">
        <v>43323</v>
      </c>
      <c r="G206" s="2">
        <f>VLOOKUP(E206,Produtos!$A:$E,5,FALSE)</f>
        <v>1900</v>
      </c>
      <c r="H206" s="2">
        <f>VLOOKUP(E206,Produtos!$A:$E,4,FALSE)</f>
        <v>1250</v>
      </c>
      <c r="I206" s="2">
        <v>3</v>
      </c>
    </row>
    <row r="207" spans="1:9" x14ac:dyDescent="0.25">
      <c r="A207" s="2" t="str">
        <f>CONCATENATE(Códigos!S206,Códigos!T206,Códigos!U206)</f>
        <v>svv205v</v>
      </c>
      <c r="B207" t="s">
        <v>344</v>
      </c>
      <c r="C207" t="s">
        <v>438</v>
      </c>
      <c r="D207" s="2" t="s">
        <v>359</v>
      </c>
      <c r="E207" t="s">
        <v>334</v>
      </c>
      <c r="F207" s="11">
        <v>43324</v>
      </c>
      <c r="G207" s="2">
        <f>VLOOKUP(E207,Produtos!$A:$E,5,FALSE)</f>
        <v>1900</v>
      </c>
      <c r="H207" s="2">
        <f>VLOOKUP(E207,Produtos!$A:$E,4,FALSE)</f>
        <v>1250</v>
      </c>
      <c r="I207" s="2">
        <v>3</v>
      </c>
    </row>
    <row r="208" spans="1:9" x14ac:dyDescent="0.25">
      <c r="A208" s="2" t="str">
        <f>CONCATENATE(Códigos!S207,Códigos!T207,Códigos!U207)</f>
        <v>svv206v</v>
      </c>
      <c r="B208" t="s">
        <v>344</v>
      </c>
      <c r="C208" t="s">
        <v>438</v>
      </c>
      <c r="D208" s="2" t="s">
        <v>359</v>
      </c>
      <c r="E208" t="s">
        <v>334</v>
      </c>
      <c r="F208" s="11">
        <v>43325</v>
      </c>
      <c r="G208" s="2">
        <f>VLOOKUP(E208,Produtos!$A:$E,5,FALSE)</f>
        <v>1900</v>
      </c>
      <c r="H208" s="2">
        <f>VLOOKUP(E208,Produtos!$A:$E,4,FALSE)</f>
        <v>1250</v>
      </c>
      <c r="I208" s="2">
        <v>3</v>
      </c>
    </row>
    <row r="209" spans="1:9" x14ac:dyDescent="0.25">
      <c r="A209" s="2" t="str">
        <f>CONCATENATE(Códigos!S208,Códigos!T208,Códigos!U208)</f>
        <v>svv207v</v>
      </c>
      <c r="B209" t="s">
        <v>344</v>
      </c>
      <c r="C209" t="s">
        <v>438</v>
      </c>
      <c r="D209" s="2" t="s">
        <v>359</v>
      </c>
      <c r="E209" t="s">
        <v>334</v>
      </c>
      <c r="F209" s="11">
        <v>43326</v>
      </c>
      <c r="G209" s="2">
        <f>VLOOKUP(E209,Produtos!$A:$E,5,FALSE)</f>
        <v>1900</v>
      </c>
      <c r="H209" s="2">
        <f>VLOOKUP(E209,Produtos!$A:$E,4,FALSE)</f>
        <v>1250</v>
      </c>
      <c r="I209" s="2">
        <v>3</v>
      </c>
    </row>
    <row r="210" spans="1:9" x14ac:dyDescent="0.25">
      <c r="A210" s="2" t="str">
        <f>CONCATENATE(Códigos!S209,Códigos!T209,Códigos!U209)</f>
        <v>svv208v</v>
      </c>
      <c r="B210" t="s">
        <v>344</v>
      </c>
      <c r="C210" t="s">
        <v>438</v>
      </c>
      <c r="D210" s="2" t="s">
        <v>359</v>
      </c>
      <c r="E210" t="s">
        <v>334</v>
      </c>
      <c r="F210" s="11">
        <v>43327</v>
      </c>
      <c r="G210" s="2">
        <f>VLOOKUP(E210,Produtos!$A:$E,5,FALSE)</f>
        <v>1900</v>
      </c>
      <c r="H210" s="2">
        <f>VLOOKUP(E210,Produtos!$A:$E,4,FALSE)</f>
        <v>1250</v>
      </c>
      <c r="I210" s="2">
        <v>3</v>
      </c>
    </row>
    <row r="211" spans="1:9" x14ac:dyDescent="0.25">
      <c r="A211" s="2" t="str">
        <f>CONCATENATE(Códigos!S210,Códigos!T210,Códigos!U210)</f>
        <v>svv209v</v>
      </c>
      <c r="B211" t="s">
        <v>344</v>
      </c>
      <c r="C211" t="s">
        <v>438</v>
      </c>
      <c r="D211" s="2" t="s">
        <v>359</v>
      </c>
      <c r="E211" t="s">
        <v>334</v>
      </c>
      <c r="F211" s="11">
        <v>43328</v>
      </c>
      <c r="G211" s="2">
        <f>VLOOKUP(E211,Produtos!$A:$E,5,FALSE)</f>
        <v>1900</v>
      </c>
      <c r="H211" s="2">
        <f>VLOOKUP(E211,Produtos!$A:$E,4,FALSE)</f>
        <v>1250</v>
      </c>
      <c r="I211" s="2">
        <v>3</v>
      </c>
    </row>
    <row r="212" spans="1:9" x14ac:dyDescent="0.25">
      <c r="A212" s="2" t="str">
        <f>CONCATENATE(Códigos!S211,Códigos!T211,Códigos!U211)</f>
        <v>svv210v</v>
      </c>
      <c r="B212" t="s">
        <v>344</v>
      </c>
      <c r="C212" t="s">
        <v>438</v>
      </c>
      <c r="D212" s="2" t="s">
        <v>359</v>
      </c>
      <c r="E212" t="s">
        <v>334</v>
      </c>
      <c r="F212" s="11">
        <v>43329</v>
      </c>
      <c r="G212" s="2">
        <f>VLOOKUP(E212,Produtos!$A:$E,5,FALSE)</f>
        <v>1900</v>
      </c>
      <c r="H212" s="2">
        <f>VLOOKUP(E212,Produtos!$A:$E,4,FALSE)</f>
        <v>1250</v>
      </c>
      <c r="I212" s="2">
        <v>3</v>
      </c>
    </row>
    <row r="213" spans="1:9" x14ac:dyDescent="0.25">
      <c r="A213" s="2" t="str">
        <f>CONCATENATE(Códigos!S212,Códigos!T212,Códigos!U212)</f>
        <v>svv211v</v>
      </c>
      <c r="B213" t="s">
        <v>344</v>
      </c>
      <c r="C213" t="s">
        <v>438</v>
      </c>
      <c r="D213" s="2" t="s">
        <v>359</v>
      </c>
      <c r="E213" t="s">
        <v>334</v>
      </c>
      <c r="F213" s="11">
        <v>43330</v>
      </c>
      <c r="G213" s="2">
        <f>VLOOKUP(E213,Produtos!$A:$E,5,FALSE)</f>
        <v>1900</v>
      </c>
      <c r="H213" s="2">
        <f>VLOOKUP(E213,Produtos!$A:$E,4,FALSE)</f>
        <v>1250</v>
      </c>
      <c r="I213" s="2">
        <v>3</v>
      </c>
    </row>
    <row r="214" spans="1:9" x14ac:dyDescent="0.25">
      <c r="A214" s="2" t="str">
        <f>CONCATENATE(Códigos!S213,Códigos!T213,Códigos!U213)</f>
        <v>svv212v</v>
      </c>
      <c r="B214" t="s">
        <v>344</v>
      </c>
      <c r="C214" t="s">
        <v>438</v>
      </c>
      <c r="D214" s="2" t="s">
        <v>359</v>
      </c>
      <c r="E214" t="s">
        <v>334</v>
      </c>
      <c r="F214" s="11">
        <v>43331</v>
      </c>
      <c r="G214" s="2">
        <f>VLOOKUP(E214,Produtos!$A:$E,5,FALSE)</f>
        <v>1900</v>
      </c>
      <c r="H214" s="2">
        <f>VLOOKUP(E214,Produtos!$A:$E,4,FALSE)</f>
        <v>1250</v>
      </c>
      <c r="I214" s="2">
        <v>3</v>
      </c>
    </row>
    <row r="215" spans="1:9" x14ac:dyDescent="0.25">
      <c r="A215" s="2" t="str">
        <f>CONCATENATE(Códigos!S214,Códigos!T214,Códigos!U214)</f>
        <v>svv213v</v>
      </c>
      <c r="B215" t="s">
        <v>344</v>
      </c>
      <c r="C215" t="s">
        <v>438</v>
      </c>
      <c r="D215" s="2" t="s">
        <v>359</v>
      </c>
      <c r="E215" t="s">
        <v>334</v>
      </c>
      <c r="F215" s="11">
        <v>43332</v>
      </c>
      <c r="G215" s="2">
        <f>VLOOKUP(E215,Produtos!$A:$E,5,FALSE)</f>
        <v>1900</v>
      </c>
      <c r="H215" s="2">
        <f>VLOOKUP(E215,Produtos!$A:$E,4,FALSE)</f>
        <v>1250</v>
      </c>
      <c r="I215" s="2">
        <v>3</v>
      </c>
    </row>
    <row r="216" spans="1:9" x14ac:dyDescent="0.25">
      <c r="A216" s="2" t="str">
        <f>CONCATENATE(Códigos!S215,Códigos!T215,Códigos!U215)</f>
        <v>svv214v</v>
      </c>
      <c r="B216" t="s">
        <v>344</v>
      </c>
      <c r="C216" t="s">
        <v>438</v>
      </c>
      <c r="D216" s="2" t="s">
        <v>359</v>
      </c>
      <c r="E216" t="s">
        <v>334</v>
      </c>
      <c r="F216" s="11">
        <v>43333</v>
      </c>
      <c r="G216" s="2">
        <f>VLOOKUP(E216,Produtos!$A:$E,5,FALSE)</f>
        <v>1900</v>
      </c>
      <c r="H216" s="2">
        <f>VLOOKUP(E216,Produtos!$A:$E,4,FALSE)</f>
        <v>1250</v>
      </c>
      <c r="I216" s="2">
        <v>3</v>
      </c>
    </row>
    <row r="217" spans="1:9" x14ac:dyDescent="0.25">
      <c r="A217" s="2" t="str">
        <f>CONCATENATE(Códigos!S216,Códigos!T216,Códigos!U216)</f>
        <v>svv215v</v>
      </c>
      <c r="B217" t="s">
        <v>344</v>
      </c>
      <c r="C217" t="s">
        <v>438</v>
      </c>
      <c r="D217" s="2" t="s">
        <v>359</v>
      </c>
      <c r="E217" t="s">
        <v>334</v>
      </c>
      <c r="F217" s="11">
        <v>43334</v>
      </c>
      <c r="G217" s="2">
        <f>VLOOKUP(E217,Produtos!$A:$E,5,FALSE)</f>
        <v>1900</v>
      </c>
      <c r="H217" s="2">
        <f>VLOOKUP(E217,Produtos!$A:$E,4,FALSE)</f>
        <v>1250</v>
      </c>
      <c r="I217" s="2">
        <v>3</v>
      </c>
    </row>
    <row r="218" spans="1:9" x14ac:dyDescent="0.25">
      <c r="A218" s="2" t="str">
        <f>CONCATENATE(Códigos!S217,Códigos!T217,Códigos!U217)</f>
        <v>svv216v</v>
      </c>
      <c r="B218" t="s">
        <v>344</v>
      </c>
      <c r="C218" t="s">
        <v>438</v>
      </c>
      <c r="D218" s="2" t="s">
        <v>359</v>
      </c>
      <c r="E218" t="s">
        <v>348</v>
      </c>
      <c r="F218" s="11">
        <v>43335</v>
      </c>
      <c r="G218" s="2">
        <f>VLOOKUP(E218,Produtos!$A:$E,5,FALSE)</f>
        <v>2</v>
      </c>
      <c r="H218" s="2">
        <f>VLOOKUP(E218,Produtos!$A:$E,4,FALSE)</f>
        <v>1</v>
      </c>
      <c r="I218" s="2">
        <v>3</v>
      </c>
    </row>
    <row r="219" spans="1:9" x14ac:dyDescent="0.25">
      <c r="A219" s="2" t="str">
        <f>CONCATENATE(Códigos!S218,Códigos!T218,Códigos!U218)</f>
        <v>svv217v</v>
      </c>
      <c r="B219" t="s">
        <v>344</v>
      </c>
      <c r="C219" t="s">
        <v>447</v>
      </c>
      <c r="D219" s="2" t="s">
        <v>448</v>
      </c>
      <c r="E219" t="s">
        <v>348</v>
      </c>
      <c r="F219" s="11">
        <v>43336</v>
      </c>
      <c r="G219" s="2">
        <f>VLOOKUP(E219,Produtos!$A:$E,5,FALSE)</f>
        <v>2</v>
      </c>
      <c r="H219" s="2">
        <f>VLOOKUP(E219,Produtos!$A:$E,4,FALSE)</f>
        <v>1</v>
      </c>
      <c r="I219" s="2">
        <v>3</v>
      </c>
    </row>
    <row r="220" spans="1:9" x14ac:dyDescent="0.25">
      <c r="A220" s="2" t="str">
        <f>CONCATENATE(Códigos!S219,Códigos!T219,Códigos!U219)</f>
        <v>svv218v</v>
      </c>
      <c r="B220" t="s">
        <v>344</v>
      </c>
      <c r="C220" t="s">
        <v>447</v>
      </c>
      <c r="D220" s="2" t="s">
        <v>448</v>
      </c>
      <c r="E220" t="s">
        <v>348</v>
      </c>
      <c r="F220" s="11">
        <v>43337</v>
      </c>
      <c r="G220" s="2">
        <f>VLOOKUP(E220,Produtos!$A:$E,5,FALSE)</f>
        <v>2</v>
      </c>
      <c r="H220" s="2">
        <f>VLOOKUP(E220,Produtos!$A:$E,4,FALSE)</f>
        <v>1</v>
      </c>
      <c r="I220" s="2">
        <v>3</v>
      </c>
    </row>
    <row r="221" spans="1:9" x14ac:dyDescent="0.25">
      <c r="A221" s="2" t="str">
        <f>CONCATENATE(Códigos!S220,Códigos!T220,Códigos!U220)</f>
        <v>svv219v</v>
      </c>
      <c r="B221" t="s">
        <v>344</v>
      </c>
      <c r="C221" t="s">
        <v>447</v>
      </c>
      <c r="D221" s="2" t="s">
        <v>448</v>
      </c>
      <c r="E221" t="s">
        <v>348</v>
      </c>
      <c r="F221" s="11">
        <v>43179</v>
      </c>
      <c r="G221" s="2">
        <f>VLOOKUP(E221,Produtos!$A:$E,5,FALSE)</f>
        <v>2</v>
      </c>
      <c r="H221" s="2">
        <f>VLOOKUP(E221,Produtos!$A:$E,4,FALSE)</f>
        <v>1</v>
      </c>
      <c r="I221" s="2">
        <v>3</v>
      </c>
    </row>
    <row r="222" spans="1:9" x14ac:dyDescent="0.25">
      <c r="A222" s="2" t="str">
        <f>CONCATENATE(Códigos!S221,Códigos!T221,Códigos!U221)</f>
        <v>svv220v</v>
      </c>
      <c r="B222" t="s">
        <v>344</v>
      </c>
      <c r="C222" t="s">
        <v>447</v>
      </c>
      <c r="D222" s="2" t="s">
        <v>448</v>
      </c>
      <c r="E222" t="s">
        <v>348</v>
      </c>
      <c r="F222" s="11">
        <v>43180</v>
      </c>
      <c r="G222" s="2">
        <f>VLOOKUP(E222,Produtos!$A:$E,5,FALSE)</f>
        <v>2</v>
      </c>
      <c r="H222" s="2">
        <f>VLOOKUP(E222,Produtos!$A:$E,4,FALSE)</f>
        <v>1</v>
      </c>
      <c r="I222" s="2">
        <v>3</v>
      </c>
    </row>
    <row r="223" spans="1:9" x14ac:dyDescent="0.25">
      <c r="A223" s="2" t="str">
        <f>CONCATENATE(Códigos!S222,Códigos!T222,Códigos!U222)</f>
        <v>svv221v</v>
      </c>
      <c r="B223" t="s">
        <v>344</v>
      </c>
      <c r="C223" t="s">
        <v>447</v>
      </c>
      <c r="D223" s="2" t="s">
        <v>448</v>
      </c>
      <c r="E223" t="s">
        <v>348</v>
      </c>
      <c r="F223" s="11">
        <v>43181</v>
      </c>
      <c r="G223" s="2">
        <f>VLOOKUP(E223,Produtos!$A:$E,5,FALSE)</f>
        <v>2</v>
      </c>
      <c r="H223" s="2">
        <f>VLOOKUP(E223,Produtos!$A:$E,4,FALSE)</f>
        <v>1</v>
      </c>
      <c r="I223" s="2">
        <v>3</v>
      </c>
    </row>
    <row r="224" spans="1:9" x14ac:dyDescent="0.25">
      <c r="A224" s="2" t="str">
        <f>CONCATENATE(Códigos!S223,Códigos!T223,Códigos!U223)</f>
        <v>svv222v</v>
      </c>
      <c r="B224" t="s">
        <v>344</v>
      </c>
      <c r="C224" t="s">
        <v>447</v>
      </c>
      <c r="D224" s="2" t="s">
        <v>448</v>
      </c>
      <c r="E224" t="s">
        <v>348</v>
      </c>
      <c r="F224" s="11">
        <v>43182</v>
      </c>
      <c r="G224" s="2">
        <f>VLOOKUP(E224,Produtos!$A:$E,5,FALSE)</f>
        <v>2</v>
      </c>
      <c r="H224" s="2">
        <f>VLOOKUP(E224,Produtos!$A:$E,4,FALSE)</f>
        <v>1</v>
      </c>
      <c r="I224" s="2">
        <v>3</v>
      </c>
    </row>
    <row r="225" spans="1:9" x14ac:dyDescent="0.25">
      <c r="A225" s="2" t="str">
        <f>CONCATENATE(Códigos!S224,Códigos!T224,Códigos!U224)</f>
        <v>svv223v</v>
      </c>
      <c r="B225" t="s">
        <v>344</v>
      </c>
      <c r="C225" t="s">
        <v>447</v>
      </c>
      <c r="D225" s="2" t="s">
        <v>448</v>
      </c>
      <c r="E225" t="s">
        <v>348</v>
      </c>
      <c r="F225" s="11">
        <v>43183</v>
      </c>
      <c r="G225" s="2">
        <f>VLOOKUP(E225,Produtos!$A:$E,5,FALSE)</f>
        <v>2</v>
      </c>
      <c r="H225" s="2">
        <f>VLOOKUP(E225,Produtos!$A:$E,4,FALSE)</f>
        <v>1</v>
      </c>
      <c r="I225" s="2">
        <v>3</v>
      </c>
    </row>
    <row r="226" spans="1:9" x14ac:dyDescent="0.25">
      <c r="A226" s="2" t="str">
        <f>CONCATENATE(Códigos!S225,Códigos!T225,Códigos!U225)</f>
        <v>svv224v</v>
      </c>
      <c r="B226" t="s">
        <v>344</v>
      </c>
      <c r="C226" t="s">
        <v>447</v>
      </c>
      <c r="D226" s="2" t="s">
        <v>448</v>
      </c>
      <c r="E226" t="s">
        <v>348</v>
      </c>
      <c r="F226" s="11">
        <v>43184</v>
      </c>
      <c r="G226" s="2">
        <f>VLOOKUP(E226,Produtos!$A:$E,5,FALSE)</f>
        <v>2</v>
      </c>
      <c r="H226" s="2">
        <f>VLOOKUP(E226,Produtos!$A:$E,4,FALSE)</f>
        <v>1</v>
      </c>
      <c r="I226" s="2">
        <v>3</v>
      </c>
    </row>
    <row r="227" spans="1:9" x14ac:dyDescent="0.25">
      <c r="A227" s="2" t="str">
        <f>CONCATENATE(Códigos!S226,Códigos!T226,Códigos!U226)</f>
        <v>svv225v</v>
      </c>
      <c r="B227" t="s">
        <v>344</v>
      </c>
      <c r="C227" t="s">
        <v>447</v>
      </c>
      <c r="D227" s="2" t="s">
        <v>448</v>
      </c>
      <c r="E227" t="s">
        <v>348</v>
      </c>
      <c r="F227" s="11">
        <v>43185</v>
      </c>
      <c r="G227" s="2">
        <f>VLOOKUP(E227,Produtos!$A:$E,5,FALSE)</f>
        <v>2</v>
      </c>
      <c r="H227" s="2">
        <f>VLOOKUP(E227,Produtos!$A:$E,4,FALSE)</f>
        <v>1</v>
      </c>
      <c r="I227" s="2">
        <v>3</v>
      </c>
    </row>
    <row r="228" spans="1:9" x14ac:dyDescent="0.25">
      <c r="A228" s="2" t="str">
        <f>CONCATENATE(Códigos!S227,Códigos!T227,Códigos!U227)</f>
        <v>svv226v</v>
      </c>
      <c r="B228" t="s">
        <v>344</v>
      </c>
      <c r="C228" t="s">
        <v>447</v>
      </c>
      <c r="D228" s="2" t="s">
        <v>448</v>
      </c>
      <c r="E228" t="s">
        <v>348</v>
      </c>
      <c r="F228" s="11">
        <v>43186</v>
      </c>
      <c r="G228" s="2">
        <f>VLOOKUP(E228,Produtos!$A:$E,5,FALSE)</f>
        <v>2</v>
      </c>
      <c r="H228" s="2">
        <f>VLOOKUP(E228,Produtos!$A:$E,4,FALSE)</f>
        <v>1</v>
      </c>
      <c r="I228" s="2">
        <v>3</v>
      </c>
    </row>
    <row r="229" spans="1:9" x14ac:dyDescent="0.25">
      <c r="A229" s="2" t="str">
        <f>CONCATENATE(Códigos!S228,Códigos!T228,Códigos!U228)</f>
        <v>svv227v</v>
      </c>
      <c r="B229" t="s">
        <v>344</v>
      </c>
      <c r="C229" t="s">
        <v>447</v>
      </c>
      <c r="D229" s="2" t="s">
        <v>448</v>
      </c>
      <c r="E229" t="s">
        <v>348</v>
      </c>
      <c r="F229" s="11">
        <v>43187</v>
      </c>
      <c r="G229" s="2">
        <f>VLOOKUP(E229,Produtos!$A:$E,5,FALSE)</f>
        <v>2</v>
      </c>
      <c r="H229" s="2">
        <f>VLOOKUP(E229,Produtos!$A:$E,4,FALSE)</f>
        <v>1</v>
      </c>
      <c r="I229" s="2">
        <v>3</v>
      </c>
    </row>
    <row r="230" spans="1:9" x14ac:dyDescent="0.25">
      <c r="A230" s="2" t="str">
        <f>CONCATENATE(Códigos!S229,Códigos!T229,Códigos!U229)</f>
        <v>svv228v</v>
      </c>
      <c r="B230" t="s">
        <v>344</v>
      </c>
      <c r="C230" t="s">
        <v>447</v>
      </c>
      <c r="D230" s="2" t="s">
        <v>448</v>
      </c>
      <c r="E230" t="s">
        <v>348</v>
      </c>
      <c r="F230" s="11">
        <v>43188</v>
      </c>
      <c r="G230" s="2">
        <f>VLOOKUP(E230,Produtos!$A:$E,5,FALSE)</f>
        <v>2</v>
      </c>
      <c r="H230" s="2">
        <f>VLOOKUP(E230,Produtos!$A:$E,4,FALSE)</f>
        <v>1</v>
      </c>
      <c r="I230" s="2">
        <v>3</v>
      </c>
    </row>
    <row r="231" spans="1:9" x14ac:dyDescent="0.25">
      <c r="A231" s="2" t="str">
        <f>CONCATENATE(Códigos!S230,Códigos!T230,Códigos!U230)</f>
        <v>svv229v</v>
      </c>
      <c r="B231" t="s">
        <v>344</v>
      </c>
      <c r="C231" t="s">
        <v>447</v>
      </c>
      <c r="D231" s="2" t="s">
        <v>448</v>
      </c>
      <c r="E231" t="s">
        <v>348</v>
      </c>
      <c r="F231" s="11">
        <v>43189</v>
      </c>
      <c r="G231" s="2">
        <f>VLOOKUP(E231,Produtos!$A:$E,5,FALSE)</f>
        <v>2</v>
      </c>
      <c r="H231" s="2">
        <f>VLOOKUP(E231,Produtos!$A:$E,4,FALSE)</f>
        <v>1</v>
      </c>
      <c r="I231" s="2">
        <v>3</v>
      </c>
    </row>
    <row r="232" spans="1:9" x14ac:dyDescent="0.25">
      <c r="A232" s="2" t="str">
        <f>CONCATENATE(Códigos!S231,Códigos!T231,Códigos!U231)</f>
        <v>svv230v</v>
      </c>
      <c r="B232" t="s">
        <v>344</v>
      </c>
      <c r="C232" t="s">
        <v>447</v>
      </c>
      <c r="D232" s="2" t="s">
        <v>448</v>
      </c>
      <c r="E232" t="s">
        <v>348</v>
      </c>
      <c r="F232" s="11">
        <v>43190</v>
      </c>
      <c r="G232" s="2">
        <f>VLOOKUP(E232,Produtos!$A:$E,5,FALSE)</f>
        <v>2</v>
      </c>
      <c r="H232" s="2">
        <f>VLOOKUP(E232,Produtos!$A:$E,4,FALSE)</f>
        <v>1</v>
      </c>
      <c r="I232" s="2">
        <v>3</v>
      </c>
    </row>
    <row r="233" spans="1:9" x14ac:dyDescent="0.25">
      <c r="A233" s="2" t="str">
        <f>CONCATENATE(Códigos!S232,Códigos!T232,Códigos!U232)</f>
        <v>svv231v</v>
      </c>
      <c r="B233" t="s">
        <v>344</v>
      </c>
      <c r="C233" t="s">
        <v>447</v>
      </c>
      <c r="D233" s="2" t="s">
        <v>448</v>
      </c>
      <c r="E233" t="s">
        <v>348</v>
      </c>
      <c r="F233" s="11">
        <v>43191</v>
      </c>
      <c r="G233" s="2">
        <f>VLOOKUP(E233,Produtos!$A:$E,5,FALSE)</f>
        <v>2</v>
      </c>
      <c r="H233" s="2">
        <f>VLOOKUP(E233,Produtos!$A:$E,4,FALSE)</f>
        <v>1</v>
      </c>
      <c r="I233" s="2">
        <v>3</v>
      </c>
    </row>
    <row r="234" spans="1:9" x14ac:dyDescent="0.25">
      <c r="A234" s="2" t="str">
        <f>CONCATENATE(Códigos!S233,Códigos!T233,Códigos!U233)</f>
        <v>svv232v</v>
      </c>
      <c r="B234" t="s">
        <v>344</v>
      </c>
      <c r="C234" t="s">
        <v>447</v>
      </c>
      <c r="D234" s="2" t="s">
        <v>448</v>
      </c>
      <c r="E234" t="s">
        <v>348</v>
      </c>
      <c r="F234" s="11">
        <v>43192</v>
      </c>
      <c r="G234" s="2">
        <f>VLOOKUP(E234,Produtos!$A:$E,5,FALSE)</f>
        <v>2</v>
      </c>
      <c r="H234" s="2">
        <f>VLOOKUP(E234,Produtos!$A:$E,4,FALSE)</f>
        <v>1</v>
      </c>
      <c r="I234" s="2">
        <v>3</v>
      </c>
    </row>
    <row r="235" spans="1:9" x14ac:dyDescent="0.25">
      <c r="A235" s="2" t="str">
        <f>CONCATENATE(Códigos!S234,Códigos!T234,Códigos!U234)</f>
        <v>svv233v</v>
      </c>
      <c r="B235" t="s">
        <v>344</v>
      </c>
      <c r="C235" t="s">
        <v>447</v>
      </c>
      <c r="D235" s="2" t="s">
        <v>448</v>
      </c>
      <c r="E235" t="s">
        <v>348</v>
      </c>
      <c r="F235" s="11">
        <v>43193</v>
      </c>
      <c r="G235" s="2">
        <f>VLOOKUP(E235,Produtos!$A:$E,5,FALSE)</f>
        <v>2</v>
      </c>
      <c r="H235" s="2">
        <f>VLOOKUP(E235,Produtos!$A:$E,4,FALSE)</f>
        <v>1</v>
      </c>
      <c r="I235" s="2">
        <v>3</v>
      </c>
    </row>
    <row r="236" spans="1:9" x14ac:dyDescent="0.25">
      <c r="A236" s="2" t="str">
        <f>CONCATENATE(Códigos!S235,Códigos!T235,Códigos!U235)</f>
        <v>svv234v</v>
      </c>
      <c r="B236" t="s">
        <v>344</v>
      </c>
      <c r="C236" t="s">
        <v>447</v>
      </c>
      <c r="D236" s="2" t="s">
        <v>448</v>
      </c>
      <c r="E236" t="s">
        <v>348</v>
      </c>
      <c r="F236" s="11">
        <v>43194</v>
      </c>
      <c r="G236" s="2">
        <f>VLOOKUP(E236,Produtos!$A:$E,5,FALSE)</f>
        <v>2</v>
      </c>
      <c r="H236" s="2">
        <f>VLOOKUP(E236,Produtos!$A:$E,4,FALSE)</f>
        <v>1</v>
      </c>
      <c r="I236" s="2">
        <v>3</v>
      </c>
    </row>
    <row r="237" spans="1:9" x14ac:dyDescent="0.25">
      <c r="A237" s="2" t="str">
        <f>CONCATENATE(Códigos!S236,Códigos!T236,Códigos!U236)</f>
        <v>svv235v</v>
      </c>
      <c r="B237" t="s">
        <v>344</v>
      </c>
      <c r="C237" t="s">
        <v>447</v>
      </c>
      <c r="D237" s="2" t="s">
        <v>448</v>
      </c>
      <c r="E237" t="s">
        <v>348</v>
      </c>
      <c r="F237" s="11">
        <v>43195</v>
      </c>
      <c r="G237" s="2">
        <f>VLOOKUP(E237,Produtos!$A:$E,5,FALSE)</f>
        <v>2</v>
      </c>
      <c r="H237" s="2">
        <f>VLOOKUP(E237,Produtos!$A:$E,4,FALSE)</f>
        <v>1</v>
      </c>
      <c r="I237" s="2">
        <v>3</v>
      </c>
    </row>
    <row r="238" spans="1:9" x14ac:dyDescent="0.25">
      <c r="A238" s="2" t="str">
        <f>CONCATENATE(Códigos!S237,Códigos!T237,Códigos!U237)</f>
        <v>svv236v</v>
      </c>
      <c r="B238" t="s">
        <v>344</v>
      </c>
      <c r="C238" t="s">
        <v>447</v>
      </c>
      <c r="D238" s="2" t="s">
        <v>448</v>
      </c>
      <c r="E238" t="s">
        <v>348</v>
      </c>
      <c r="F238" s="11">
        <v>43196</v>
      </c>
      <c r="G238" s="2">
        <f>VLOOKUP(E238,Produtos!$A:$E,5,FALSE)</f>
        <v>2</v>
      </c>
      <c r="H238" s="2">
        <f>VLOOKUP(E238,Produtos!$A:$E,4,FALSE)</f>
        <v>1</v>
      </c>
      <c r="I238" s="2">
        <v>3</v>
      </c>
    </row>
    <row r="239" spans="1:9" x14ac:dyDescent="0.25">
      <c r="A239" s="2" t="str">
        <f>CONCATENATE(Códigos!S238,Códigos!T238,Códigos!U238)</f>
        <v>svv237v</v>
      </c>
      <c r="B239" t="s">
        <v>344</v>
      </c>
      <c r="C239" t="s">
        <v>447</v>
      </c>
      <c r="D239" s="2" t="s">
        <v>448</v>
      </c>
      <c r="E239" t="s">
        <v>348</v>
      </c>
      <c r="F239" s="11">
        <v>43197</v>
      </c>
      <c r="G239" s="2">
        <f>VLOOKUP(E239,Produtos!$A:$E,5,FALSE)</f>
        <v>2</v>
      </c>
      <c r="H239" s="2">
        <f>VLOOKUP(E239,Produtos!$A:$E,4,FALSE)</f>
        <v>1</v>
      </c>
      <c r="I239" s="2">
        <v>3</v>
      </c>
    </row>
    <row r="240" spans="1:9" x14ac:dyDescent="0.25">
      <c r="A240" s="2" t="str">
        <f>CONCATENATE(Códigos!S239,Códigos!T239,Códigos!U239)</f>
        <v>svv238v</v>
      </c>
      <c r="B240" t="s">
        <v>344</v>
      </c>
      <c r="C240" t="s">
        <v>447</v>
      </c>
      <c r="D240" s="2" t="s">
        <v>448</v>
      </c>
      <c r="E240" t="s">
        <v>348</v>
      </c>
      <c r="F240" s="11">
        <v>43198</v>
      </c>
      <c r="G240" s="2">
        <f>VLOOKUP(E240,Produtos!$A:$E,5,FALSE)</f>
        <v>2</v>
      </c>
      <c r="H240" s="2">
        <f>VLOOKUP(E240,Produtos!$A:$E,4,FALSE)</f>
        <v>1</v>
      </c>
      <c r="I240" s="2">
        <v>3</v>
      </c>
    </row>
    <row r="241" spans="1:9" x14ac:dyDescent="0.25">
      <c r="A241" s="2" t="str">
        <f>CONCATENATE(Códigos!S240,Códigos!T240,Códigos!U240)</f>
        <v>svv239v</v>
      </c>
      <c r="B241" t="s">
        <v>344</v>
      </c>
      <c r="C241" t="s">
        <v>447</v>
      </c>
      <c r="D241" s="2" t="s">
        <v>448</v>
      </c>
      <c r="E241" t="s">
        <v>348</v>
      </c>
      <c r="F241" s="11">
        <v>43199</v>
      </c>
      <c r="G241" s="2">
        <f>VLOOKUP(E241,Produtos!$A:$E,5,FALSE)</f>
        <v>2</v>
      </c>
      <c r="H241" s="2">
        <f>VLOOKUP(E241,Produtos!$A:$E,4,FALSE)</f>
        <v>1</v>
      </c>
      <c r="I241" s="2">
        <v>3</v>
      </c>
    </row>
    <row r="242" spans="1:9" x14ac:dyDescent="0.25">
      <c r="A242" s="2" t="str">
        <f>CONCATENATE(Códigos!S241,Códigos!T241,Códigos!U241)</f>
        <v>svv240v</v>
      </c>
      <c r="B242" t="s">
        <v>344</v>
      </c>
      <c r="C242" t="s">
        <v>447</v>
      </c>
      <c r="D242" s="2" t="s">
        <v>448</v>
      </c>
      <c r="E242" t="s">
        <v>348</v>
      </c>
      <c r="F242" s="11">
        <v>43200</v>
      </c>
      <c r="G242" s="2">
        <f>VLOOKUP(E242,Produtos!$A:$E,5,FALSE)</f>
        <v>2</v>
      </c>
      <c r="H242" s="2">
        <f>VLOOKUP(E242,Produtos!$A:$E,4,FALSE)</f>
        <v>1</v>
      </c>
      <c r="I242" s="2">
        <v>3</v>
      </c>
    </row>
    <row r="243" spans="1:9" x14ac:dyDescent="0.25">
      <c r="A243" s="2" t="str">
        <f>CONCATENATE(Códigos!S242,Códigos!T242,Códigos!U242)</f>
        <v>svv241v</v>
      </c>
      <c r="B243" t="s">
        <v>344</v>
      </c>
      <c r="C243" t="s">
        <v>447</v>
      </c>
      <c r="D243" s="2" t="s">
        <v>448</v>
      </c>
      <c r="E243" t="s">
        <v>348</v>
      </c>
      <c r="F243" s="11">
        <v>43201</v>
      </c>
      <c r="G243" s="2">
        <f>VLOOKUP(E243,Produtos!$A:$E,5,FALSE)</f>
        <v>2</v>
      </c>
      <c r="H243" s="2">
        <f>VLOOKUP(E243,Produtos!$A:$E,4,FALSE)</f>
        <v>1</v>
      </c>
      <c r="I243" s="2">
        <v>3</v>
      </c>
    </row>
    <row r="244" spans="1:9" x14ac:dyDescent="0.25">
      <c r="A244" s="2" t="str">
        <f>CONCATENATE(Códigos!S243,Códigos!T243,Códigos!U243)</f>
        <v>svv242v</v>
      </c>
      <c r="B244" t="s">
        <v>344</v>
      </c>
      <c r="C244" t="s">
        <v>447</v>
      </c>
      <c r="D244" s="2" t="s">
        <v>448</v>
      </c>
      <c r="E244" t="s">
        <v>502</v>
      </c>
      <c r="F244" s="11">
        <v>43202</v>
      </c>
      <c r="G244" s="2">
        <f>VLOOKUP(E244,Produtos!$A:$E,5,FALSE)</f>
        <v>1</v>
      </c>
      <c r="H244" s="2">
        <f>VLOOKUP(E244,Produtos!$A:$E,4,FALSE)</f>
        <v>0.5</v>
      </c>
      <c r="I244" s="2">
        <v>3</v>
      </c>
    </row>
    <row r="245" spans="1:9" x14ac:dyDescent="0.25">
      <c r="A245" s="2" t="str">
        <f>CONCATENATE(Códigos!S244,Códigos!T244,Códigos!U244)</f>
        <v>svv243v</v>
      </c>
      <c r="B245" t="s">
        <v>344</v>
      </c>
      <c r="C245" t="s">
        <v>447</v>
      </c>
      <c r="D245" s="2" t="s">
        <v>448</v>
      </c>
      <c r="E245" t="s">
        <v>502</v>
      </c>
      <c r="F245" s="11">
        <v>43203</v>
      </c>
      <c r="G245" s="2">
        <f>VLOOKUP(E245,Produtos!$A:$E,5,FALSE)</f>
        <v>1</v>
      </c>
      <c r="H245" s="2">
        <f>VLOOKUP(E245,Produtos!$A:$E,4,FALSE)</f>
        <v>0.5</v>
      </c>
      <c r="I245" s="2">
        <v>3</v>
      </c>
    </row>
    <row r="246" spans="1:9" x14ac:dyDescent="0.25">
      <c r="A246" s="2" t="str">
        <f>CONCATENATE(Códigos!S245,Códigos!T245,Códigos!U245)</f>
        <v>svv244v</v>
      </c>
      <c r="B246" t="s">
        <v>344</v>
      </c>
      <c r="C246" t="s">
        <v>447</v>
      </c>
      <c r="D246" s="2" t="s">
        <v>448</v>
      </c>
      <c r="E246" t="s">
        <v>502</v>
      </c>
      <c r="F246" s="11">
        <v>43204</v>
      </c>
      <c r="G246" s="2">
        <f>VLOOKUP(E246,Produtos!$A:$E,5,FALSE)</f>
        <v>1</v>
      </c>
      <c r="H246" s="2">
        <f>VLOOKUP(E246,Produtos!$A:$E,4,FALSE)</f>
        <v>0.5</v>
      </c>
      <c r="I246" s="2">
        <v>3</v>
      </c>
    </row>
    <row r="247" spans="1:9" x14ac:dyDescent="0.25">
      <c r="A247" s="2" t="str">
        <f>CONCATENATE(Códigos!S246,Códigos!T246,Códigos!U246)</f>
        <v>svv245v</v>
      </c>
      <c r="B247" t="s">
        <v>344</v>
      </c>
      <c r="C247" t="s">
        <v>447</v>
      </c>
      <c r="D247" s="2" t="s">
        <v>448</v>
      </c>
      <c r="E247" t="s">
        <v>502</v>
      </c>
      <c r="F247" s="11">
        <v>43205</v>
      </c>
      <c r="G247" s="2">
        <f>VLOOKUP(E247,Produtos!$A:$E,5,FALSE)</f>
        <v>1</v>
      </c>
      <c r="H247" s="2">
        <f>VLOOKUP(E247,Produtos!$A:$E,4,FALSE)</f>
        <v>0.5</v>
      </c>
      <c r="I247" s="2">
        <v>3</v>
      </c>
    </row>
    <row r="248" spans="1:9" x14ac:dyDescent="0.25">
      <c r="A248" s="2" t="str">
        <f>CONCATENATE(Códigos!S247,Códigos!T247,Códigos!U247)</f>
        <v>svv246v</v>
      </c>
      <c r="B248" t="s">
        <v>344</v>
      </c>
      <c r="C248" t="s">
        <v>447</v>
      </c>
      <c r="D248" s="2" t="s">
        <v>448</v>
      </c>
      <c r="E248" t="s">
        <v>502</v>
      </c>
      <c r="F248" s="11">
        <v>43206</v>
      </c>
      <c r="G248" s="2">
        <f>VLOOKUP(E248,Produtos!$A:$E,5,FALSE)</f>
        <v>1</v>
      </c>
      <c r="H248" s="2">
        <f>VLOOKUP(E248,Produtos!$A:$E,4,FALSE)</f>
        <v>0.5</v>
      </c>
      <c r="I248" s="2">
        <v>3</v>
      </c>
    </row>
    <row r="249" spans="1:9" x14ac:dyDescent="0.25">
      <c r="A249" s="2" t="str">
        <f>CONCATENATE(Códigos!S248,Códigos!T248,Códigos!U248)</f>
        <v>svv247v</v>
      </c>
      <c r="B249" t="s">
        <v>344</v>
      </c>
      <c r="C249" t="s">
        <v>447</v>
      </c>
      <c r="D249" s="2" t="s">
        <v>448</v>
      </c>
      <c r="E249" t="s">
        <v>502</v>
      </c>
      <c r="F249" s="11">
        <v>43207</v>
      </c>
      <c r="G249" s="2">
        <f>VLOOKUP(E249,Produtos!$A:$E,5,FALSE)</f>
        <v>1</v>
      </c>
      <c r="H249" s="2">
        <f>VLOOKUP(E249,Produtos!$A:$E,4,FALSE)</f>
        <v>0.5</v>
      </c>
      <c r="I249" s="2">
        <v>3</v>
      </c>
    </row>
    <row r="250" spans="1:9" x14ac:dyDescent="0.25">
      <c r="A250" s="2" t="str">
        <f>CONCATENATE(Códigos!S249,Códigos!T249,Códigos!U249)</f>
        <v>svv248v</v>
      </c>
      <c r="B250" t="s">
        <v>344</v>
      </c>
      <c r="C250" t="s">
        <v>447</v>
      </c>
      <c r="D250" s="2" t="s">
        <v>448</v>
      </c>
      <c r="E250" t="s">
        <v>502</v>
      </c>
      <c r="F250" s="11">
        <v>43208</v>
      </c>
      <c r="G250" s="2">
        <f>VLOOKUP(E250,Produtos!$A:$E,5,FALSE)</f>
        <v>1</v>
      </c>
      <c r="H250" s="2">
        <f>VLOOKUP(E250,Produtos!$A:$E,4,FALSE)</f>
        <v>0.5</v>
      </c>
      <c r="I250" s="2">
        <v>3</v>
      </c>
    </row>
    <row r="251" spans="1:9" x14ac:dyDescent="0.25">
      <c r="A251" s="2" t="str">
        <f>CONCATENATE(Códigos!S250,Códigos!T250,Códigos!U250)</f>
        <v>svv249v</v>
      </c>
      <c r="B251" t="s">
        <v>344</v>
      </c>
      <c r="C251" t="s">
        <v>447</v>
      </c>
      <c r="D251" s="2" t="s">
        <v>448</v>
      </c>
      <c r="E251" t="s">
        <v>502</v>
      </c>
      <c r="F251" s="11">
        <v>43209</v>
      </c>
      <c r="G251" s="2">
        <f>VLOOKUP(E251,Produtos!$A:$E,5,FALSE)</f>
        <v>1</v>
      </c>
      <c r="H251" s="2">
        <f>VLOOKUP(E251,Produtos!$A:$E,4,FALSE)</f>
        <v>0.5</v>
      </c>
      <c r="I251" s="2">
        <v>3</v>
      </c>
    </row>
    <row r="252" spans="1:9" x14ac:dyDescent="0.25">
      <c r="A252" s="2" t="str">
        <f>CONCATENATE(Códigos!S251,Códigos!T251,Códigos!U251)</f>
        <v>svv250v</v>
      </c>
      <c r="B252" t="s">
        <v>344</v>
      </c>
      <c r="C252" t="s">
        <v>447</v>
      </c>
      <c r="D252" s="2" t="s">
        <v>448</v>
      </c>
      <c r="E252" t="s">
        <v>502</v>
      </c>
      <c r="F252" s="11">
        <v>43210</v>
      </c>
      <c r="G252" s="2">
        <f>VLOOKUP(E252,Produtos!$A:$E,5,FALSE)</f>
        <v>1</v>
      </c>
      <c r="H252" s="2">
        <f>VLOOKUP(E252,Produtos!$A:$E,4,FALSE)</f>
        <v>0.5</v>
      </c>
      <c r="I252" s="2">
        <v>3</v>
      </c>
    </row>
    <row r="253" spans="1:9" x14ac:dyDescent="0.25">
      <c r="A253" s="2" t="str">
        <f>CONCATENATE(Códigos!S252,Códigos!T252,Códigos!U252)</f>
        <v>svv251v</v>
      </c>
      <c r="B253" t="s">
        <v>344</v>
      </c>
      <c r="C253" t="s">
        <v>447</v>
      </c>
      <c r="D253" s="2" t="s">
        <v>448</v>
      </c>
      <c r="E253" t="s">
        <v>502</v>
      </c>
      <c r="F253" s="11">
        <v>43211</v>
      </c>
      <c r="G253" s="2">
        <f>VLOOKUP(E253,Produtos!$A:$E,5,FALSE)</f>
        <v>1</v>
      </c>
      <c r="H253" s="2">
        <f>VLOOKUP(E253,Produtos!$A:$E,4,FALSE)</f>
        <v>0.5</v>
      </c>
      <c r="I253" s="2">
        <v>3</v>
      </c>
    </row>
    <row r="254" spans="1:9" x14ac:dyDescent="0.25">
      <c r="A254" s="2" t="str">
        <f>CONCATENATE(Códigos!S253,Códigos!T253,Códigos!U253)</f>
        <v>svv252v</v>
      </c>
      <c r="B254" t="s">
        <v>344</v>
      </c>
      <c r="C254" t="s">
        <v>447</v>
      </c>
      <c r="D254" s="2" t="s">
        <v>448</v>
      </c>
      <c r="E254" t="s">
        <v>502</v>
      </c>
      <c r="F254" s="11">
        <v>43212</v>
      </c>
      <c r="G254" s="2">
        <f>VLOOKUP(E254,Produtos!$A:$E,5,FALSE)</f>
        <v>1</v>
      </c>
      <c r="H254" s="2">
        <f>VLOOKUP(E254,Produtos!$A:$E,4,FALSE)</f>
        <v>0.5</v>
      </c>
      <c r="I254" s="2">
        <v>3</v>
      </c>
    </row>
    <row r="255" spans="1:9" x14ac:dyDescent="0.25">
      <c r="A255" s="2" t="str">
        <f>CONCATENATE(Códigos!S254,Códigos!T254,Códigos!U254)</f>
        <v>svv253v</v>
      </c>
      <c r="B255" t="s">
        <v>344</v>
      </c>
      <c r="C255" t="s">
        <v>447</v>
      </c>
      <c r="D255" s="2" t="s">
        <v>448</v>
      </c>
      <c r="E255" t="s">
        <v>502</v>
      </c>
      <c r="F255" s="11">
        <v>43213</v>
      </c>
      <c r="G255" s="2">
        <f>VLOOKUP(E255,Produtos!$A:$E,5,FALSE)</f>
        <v>1</v>
      </c>
      <c r="H255" s="2">
        <f>VLOOKUP(E255,Produtos!$A:$E,4,FALSE)</f>
        <v>0.5</v>
      </c>
      <c r="I255" s="2">
        <v>3</v>
      </c>
    </row>
    <row r="256" spans="1:9" x14ac:dyDescent="0.25">
      <c r="A256" s="2" t="str">
        <f>CONCATENATE(Códigos!S255,Códigos!T255,Códigos!U255)</f>
        <v>svv254v</v>
      </c>
      <c r="B256" t="s">
        <v>344</v>
      </c>
      <c r="C256" t="s">
        <v>447</v>
      </c>
      <c r="D256" s="2" t="s">
        <v>448</v>
      </c>
      <c r="E256" t="s">
        <v>502</v>
      </c>
      <c r="F256" s="11">
        <v>43214</v>
      </c>
      <c r="G256" s="2">
        <f>VLOOKUP(E256,Produtos!$A:$E,5,FALSE)</f>
        <v>1</v>
      </c>
      <c r="H256" s="2">
        <f>VLOOKUP(E256,Produtos!$A:$E,4,FALSE)</f>
        <v>0.5</v>
      </c>
      <c r="I256" s="2">
        <v>3</v>
      </c>
    </row>
    <row r="257" spans="1:9" x14ac:dyDescent="0.25">
      <c r="A257" s="2" t="str">
        <f>CONCATENATE(Códigos!S256,Códigos!T256,Códigos!U256)</f>
        <v>svv255v</v>
      </c>
      <c r="B257" t="s">
        <v>344</v>
      </c>
      <c r="C257" t="s">
        <v>447</v>
      </c>
      <c r="D257" s="2" t="s">
        <v>448</v>
      </c>
      <c r="E257" t="s">
        <v>502</v>
      </c>
      <c r="F257" s="11">
        <v>43215</v>
      </c>
      <c r="G257" s="2">
        <f>VLOOKUP(E257,Produtos!$A:$E,5,FALSE)</f>
        <v>1</v>
      </c>
      <c r="H257" s="2">
        <f>VLOOKUP(E257,Produtos!$A:$E,4,FALSE)</f>
        <v>0.5</v>
      </c>
      <c r="I257" s="2">
        <v>3</v>
      </c>
    </row>
    <row r="258" spans="1:9" x14ac:dyDescent="0.25">
      <c r="A258" s="2" t="str">
        <f>CONCATENATE(Códigos!S257,Códigos!T257,Códigos!U257)</f>
        <v>svv256v</v>
      </c>
      <c r="B258" t="s">
        <v>344</v>
      </c>
      <c r="C258" t="s">
        <v>447</v>
      </c>
      <c r="D258" s="2" t="s">
        <v>448</v>
      </c>
      <c r="E258" t="s">
        <v>502</v>
      </c>
      <c r="F258" s="11">
        <v>43216</v>
      </c>
      <c r="G258" s="2">
        <f>VLOOKUP(E258,Produtos!$A:$E,5,FALSE)</f>
        <v>1</v>
      </c>
      <c r="H258" s="2">
        <f>VLOOKUP(E258,Produtos!$A:$E,4,FALSE)</f>
        <v>0.5</v>
      </c>
      <c r="I258" s="2">
        <v>3</v>
      </c>
    </row>
    <row r="259" spans="1:9" x14ac:dyDescent="0.25">
      <c r="A259" s="2" t="str">
        <f>CONCATENATE(Códigos!S258,Códigos!T258,Códigos!U258)</f>
        <v>svv257v</v>
      </c>
      <c r="B259" t="s">
        <v>344</v>
      </c>
      <c r="C259" t="s">
        <v>447</v>
      </c>
      <c r="D259" s="2" t="s">
        <v>448</v>
      </c>
      <c r="E259" t="s">
        <v>502</v>
      </c>
      <c r="F259" s="11">
        <v>43217</v>
      </c>
      <c r="G259" s="2">
        <f>VLOOKUP(E259,Produtos!$A:$E,5,FALSE)</f>
        <v>1</v>
      </c>
      <c r="H259" s="2">
        <f>VLOOKUP(E259,Produtos!$A:$E,4,FALSE)</f>
        <v>0.5</v>
      </c>
      <c r="I259" s="2">
        <v>3</v>
      </c>
    </row>
    <row r="260" spans="1:9" x14ac:dyDescent="0.25">
      <c r="A260" s="2" t="str">
        <f>CONCATENATE(Códigos!S259,Códigos!T259,Códigos!U259)</f>
        <v>svv258v</v>
      </c>
      <c r="B260" t="s">
        <v>344</v>
      </c>
      <c r="C260" t="s">
        <v>447</v>
      </c>
      <c r="D260" s="2" t="s">
        <v>448</v>
      </c>
      <c r="E260" t="s">
        <v>502</v>
      </c>
      <c r="F260" s="11">
        <v>43218</v>
      </c>
      <c r="G260" s="2">
        <f>VLOOKUP(E260,Produtos!$A:$E,5,FALSE)</f>
        <v>1</v>
      </c>
      <c r="H260" s="2">
        <f>VLOOKUP(E260,Produtos!$A:$E,4,FALSE)</f>
        <v>0.5</v>
      </c>
      <c r="I260" s="2">
        <v>3</v>
      </c>
    </row>
    <row r="261" spans="1:9" x14ac:dyDescent="0.25">
      <c r="A261" s="2" t="str">
        <f>CONCATENATE(Códigos!S260,Códigos!T260,Códigos!U260)</f>
        <v>svv259v</v>
      </c>
      <c r="B261" t="s">
        <v>344</v>
      </c>
      <c r="C261" t="s">
        <v>447</v>
      </c>
      <c r="D261" s="2" t="s">
        <v>448</v>
      </c>
      <c r="E261" t="s">
        <v>502</v>
      </c>
      <c r="F261" s="11">
        <v>43219</v>
      </c>
      <c r="G261" s="2">
        <f>VLOOKUP(E261,Produtos!$A:$E,5,FALSE)</f>
        <v>1</v>
      </c>
      <c r="H261" s="2">
        <f>VLOOKUP(E261,Produtos!$A:$E,4,FALSE)</f>
        <v>0.5</v>
      </c>
      <c r="I261" s="2">
        <v>3</v>
      </c>
    </row>
    <row r="262" spans="1:9" x14ac:dyDescent="0.25">
      <c r="A262" s="2" t="str">
        <f>CONCATENATE(Códigos!S261,Códigos!T261,Códigos!U261)</f>
        <v>svv260v</v>
      </c>
      <c r="B262" t="s">
        <v>344</v>
      </c>
      <c r="C262" t="s">
        <v>447</v>
      </c>
      <c r="D262" s="2" t="s">
        <v>448</v>
      </c>
      <c r="E262" t="s">
        <v>502</v>
      </c>
      <c r="F262" s="11">
        <v>43220</v>
      </c>
      <c r="G262" s="2">
        <f>VLOOKUP(E262,Produtos!$A:$E,5,FALSE)</f>
        <v>1</v>
      </c>
      <c r="H262" s="2">
        <f>VLOOKUP(E262,Produtos!$A:$E,4,FALSE)</f>
        <v>0.5</v>
      </c>
      <c r="I262" s="2">
        <v>3</v>
      </c>
    </row>
    <row r="263" spans="1:9" x14ac:dyDescent="0.25">
      <c r="A263" s="2" t="str">
        <f>CONCATENATE(Códigos!S262,Códigos!T262,Códigos!U262)</f>
        <v>svv261v</v>
      </c>
      <c r="B263" t="s">
        <v>344</v>
      </c>
      <c r="C263" t="s">
        <v>447</v>
      </c>
      <c r="D263" s="2" t="s">
        <v>448</v>
      </c>
      <c r="E263" t="s">
        <v>502</v>
      </c>
      <c r="F263" s="11">
        <v>43221</v>
      </c>
      <c r="G263" s="2">
        <f>VLOOKUP(E263,Produtos!$A:$E,5,FALSE)</f>
        <v>1</v>
      </c>
      <c r="H263" s="2">
        <f>VLOOKUP(E263,Produtos!$A:$E,4,FALSE)</f>
        <v>0.5</v>
      </c>
      <c r="I263" s="2">
        <v>3</v>
      </c>
    </row>
    <row r="264" spans="1:9" x14ac:dyDescent="0.25">
      <c r="A264" s="2" t="str">
        <f>CONCATENATE(Códigos!S263,Códigos!T263,Códigos!U263)</f>
        <v>svv262v</v>
      </c>
      <c r="B264" t="s">
        <v>344</v>
      </c>
      <c r="C264" t="s">
        <v>447</v>
      </c>
      <c r="D264" s="2" t="s">
        <v>448</v>
      </c>
      <c r="E264" t="s">
        <v>502</v>
      </c>
      <c r="F264" s="11">
        <v>43222</v>
      </c>
      <c r="G264" s="2">
        <f>VLOOKUP(E264,Produtos!$A:$E,5,FALSE)</f>
        <v>1</v>
      </c>
      <c r="H264" s="2">
        <f>VLOOKUP(E264,Produtos!$A:$E,4,FALSE)</f>
        <v>0.5</v>
      </c>
      <c r="I264" s="2">
        <v>3</v>
      </c>
    </row>
    <row r="265" spans="1:9" x14ac:dyDescent="0.25">
      <c r="A265" s="2" t="str">
        <f>CONCATENATE(Códigos!S264,Códigos!T264,Códigos!U264)</f>
        <v>svv263v</v>
      </c>
      <c r="B265" t="s">
        <v>344</v>
      </c>
      <c r="C265" t="s">
        <v>447</v>
      </c>
      <c r="D265" s="2" t="s">
        <v>448</v>
      </c>
      <c r="E265" t="s">
        <v>502</v>
      </c>
      <c r="F265" s="11">
        <v>43223</v>
      </c>
      <c r="G265" s="2">
        <f>VLOOKUP(E265,Produtos!$A:$E,5,FALSE)</f>
        <v>1</v>
      </c>
      <c r="H265" s="2">
        <f>VLOOKUP(E265,Produtos!$A:$E,4,FALSE)</f>
        <v>0.5</v>
      </c>
      <c r="I265" s="2">
        <v>3</v>
      </c>
    </row>
    <row r="266" spans="1:9" x14ac:dyDescent="0.25">
      <c r="A266" s="2" t="str">
        <f>CONCATENATE(Códigos!S265,Códigos!T265,Códigos!U265)</f>
        <v>svv264v</v>
      </c>
      <c r="B266" t="s">
        <v>344</v>
      </c>
      <c r="C266" t="s">
        <v>447</v>
      </c>
      <c r="D266" s="2" t="s">
        <v>448</v>
      </c>
      <c r="E266" t="s">
        <v>502</v>
      </c>
      <c r="F266" s="11">
        <v>43224</v>
      </c>
      <c r="G266" s="2">
        <f>VLOOKUP(E266,Produtos!$A:$E,5,FALSE)</f>
        <v>1</v>
      </c>
      <c r="H266" s="2">
        <f>VLOOKUP(E266,Produtos!$A:$E,4,FALSE)</f>
        <v>0.5</v>
      </c>
      <c r="I266" s="2">
        <v>3</v>
      </c>
    </row>
    <row r="267" spans="1:9" x14ac:dyDescent="0.25">
      <c r="A267" s="2" t="str">
        <f>CONCATENATE(Códigos!S266,Códigos!T266,Códigos!U266)</f>
        <v>svv265v</v>
      </c>
      <c r="B267" t="s">
        <v>344</v>
      </c>
      <c r="C267" t="s">
        <v>447</v>
      </c>
      <c r="D267" s="2" t="s">
        <v>448</v>
      </c>
      <c r="E267" t="s">
        <v>502</v>
      </c>
      <c r="F267" s="11">
        <v>43225</v>
      </c>
      <c r="G267" s="2">
        <f>VLOOKUP(E267,Produtos!$A:$E,5,FALSE)</f>
        <v>1</v>
      </c>
      <c r="H267" s="2">
        <f>VLOOKUP(E267,Produtos!$A:$E,4,FALSE)</f>
        <v>0.5</v>
      </c>
      <c r="I267" s="2">
        <v>3</v>
      </c>
    </row>
    <row r="268" spans="1:9" x14ac:dyDescent="0.25">
      <c r="A268" s="2" t="str">
        <f>CONCATENATE(Códigos!S267,Códigos!T267,Códigos!U267)</f>
        <v>svv266v</v>
      </c>
      <c r="B268" t="s">
        <v>344</v>
      </c>
      <c r="C268" t="s">
        <v>447</v>
      </c>
      <c r="D268" s="2" t="s">
        <v>448</v>
      </c>
      <c r="E268" t="s">
        <v>502</v>
      </c>
      <c r="F268" s="11">
        <v>43226</v>
      </c>
      <c r="G268" s="2">
        <f>VLOOKUP(E268,Produtos!$A:$E,5,FALSE)</f>
        <v>1</v>
      </c>
      <c r="H268" s="2">
        <f>VLOOKUP(E268,Produtos!$A:$E,4,FALSE)</f>
        <v>0.5</v>
      </c>
      <c r="I268" s="2">
        <v>3</v>
      </c>
    </row>
    <row r="269" spans="1:9" x14ac:dyDescent="0.25">
      <c r="A269" s="2" t="str">
        <f>CONCATENATE(Códigos!S268,Códigos!T268,Códigos!U268)</f>
        <v>svv267v</v>
      </c>
      <c r="B269" t="s">
        <v>321</v>
      </c>
      <c r="C269" t="s">
        <v>447</v>
      </c>
      <c r="D269" s="2" t="s">
        <v>448</v>
      </c>
      <c r="E269" t="s">
        <v>535</v>
      </c>
      <c r="F269" s="11">
        <v>43227</v>
      </c>
      <c r="G269" s="2">
        <f>VLOOKUP(E269,Produtos!$A:$E,5,FALSE)</f>
        <v>250</v>
      </c>
      <c r="H269" s="2">
        <f>VLOOKUP(E269,Produtos!$A:$E,4,FALSE)</f>
        <v>120</v>
      </c>
      <c r="I269" s="2">
        <v>3</v>
      </c>
    </row>
    <row r="270" spans="1:9" x14ac:dyDescent="0.25">
      <c r="A270" s="2" t="str">
        <f>CONCATENATE(Códigos!S269,Códigos!T269,Códigos!U269)</f>
        <v>svv268v</v>
      </c>
      <c r="B270" t="s">
        <v>321</v>
      </c>
      <c r="C270" t="s">
        <v>447</v>
      </c>
      <c r="D270" s="2" t="s">
        <v>448</v>
      </c>
      <c r="E270" t="s">
        <v>535</v>
      </c>
      <c r="F270" s="11">
        <v>43228</v>
      </c>
      <c r="G270" s="2">
        <f>VLOOKUP(E270,Produtos!$A:$E,5,FALSE)</f>
        <v>250</v>
      </c>
      <c r="H270" s="2">
        <f>VLOOKUP(E270,Produtos!$A:$E,4,FALSE)</f>
        <v>120</v>
      </c>
      <c r="I270" s="2">
        <v>3</v>
      </c>
    </row>
    <row r="271" spans="1:9" x14ac:dyDescent="0.25">
      <c r="A271" s="2" t="str">
        <f>CONCATENATE(Códigos!S270,Códigos!T270,Códigos!U270)</f>
        <v>svv269v</v>
      </c>
      <c r="B271" t="s">
        <v>321</v>
      </c>
      <c r="C271" t="s">
        <v>447</v>
      </c>
      <c r="D271" s="2" t="s">
        <v>448</v>
      </c>
      <c r="E271" t="s">
        <v>535</v>
      </c>
      <c r="F271" s="11">
        <v>43229</v>
      </c>
      <c r="G271" s="2">
        <f>VLOOKUP(E271,Produtos!$A:$E,5,FALSE)</f>
        <v>250</v>
      </c>
      <c r="H271" s="2">
        <f>VLOOKUP(E271,Produtos!$A:$E,4,FALSE)</f>
        <v>120</v>
      </c>
      <c r="I271" s="2">
        <v>3</v>
      </c>
    </row>
    <row r="272" spans="1:9" x14ac:dyDescent="0.25">
      <c r="A272" s="2" t="str">
        <f>CONCATENATE(Códigos!S271,Códigos!T271,Códigos!U271)</f>
        <v>svv270v</v>
      </c>
      <c r="B272" t="s">
        <v>321</v>
      </c>
      <c r="C272" t="s">
        <v>447</v>
      </c>
      <c r="D272" s="2" t="s">
        <v>448</v>
      </c>
      <c r="E272" t="s">
        <v>535</v>
      </c>
      <c r="F272" s="11">
        <v>43230</v>
      </c>
      <c r="G272" s="2">
        <f>VLOOKUP(E272,Produtos!$A:$E,5,FALSE)</f>
        <v>250</v>
      </c>
      <c r="H272" s="2">
        <f>VLOOKUP(E272,Produtos!$A:$E,4,FALSE)</f>
        <v>120</v>
      </c>
      <c r="I272" s="2">
        <v>3</v>
      </c>
    </row>
    <row r="273" spans="1:9" x14ac:dyDescent="0.25">
      <c r="A273" s="2" t="str">
        <f>CONCATENATE(Códigos!S272,Códigos!T272,Códigos!U272)</f>
        <v>svv271v</v>
      </c>
      <c r="B273" t="s">
        <v>321</v>
      </c>
      <c r="C273" t="s">
        <v>447</v>
      </c>
      <c r="D273" s="2" t="s">
        <v>448</v>
      </c>
      <c r="E273" t="s">
        <v>535</v>
      </c>
      <c r="F273" s="11">
        <v>43231</v>
      </c>
      <c r="G273" s="2">
        <f>VLOOKUP(E273,Produtos!$A:$E,5,FALSE)</f>
        <v>250</v>
      </c>
      <c r="H273" s="2">
        <f>VLOOKUP(E273,Produtos!$A:$E,4,FALSE)</f>
        <v>120</v>
      </c>
      <c r="I273" s="2">
        <v>3</v>
      </c>
    </row>
    <row r="274" spans="1:9" x14ac:dyDescent="0.25">
      <c r="A274" s="2" t="str">
        <f>CONCATENATE(Códigos!S273,Códigos!T273,Códigos!U273)</f>
        <v>svv272v</v>
      </c>
      <c r="B274" t="s">
        <v>321</v>
      </c>
      <c r="C274" t="s">
        <v>447</v>
      </c>
      <c r="D274" s="2" t="s">
        <v>448</v>
      </c>
      <c r="E274" t="s">
        <v>535</v>
      </c>
      <c r="F274" s="11">
        <v>43232</v>
      </c>
      <c r="G274" s="2">
        <f>VLOOKUP(E274,Produtos!$A:$E,5,FALSE)</f>
        <v>250</v>
      </c>
      <c r="H274" s="2">
        <f>VLOOKUP(E274,Produtos!$A:$E,4,FALSE)</f>
        <v>120</v>
      </c>
      <c r="I274" s="2">
        <v>3</v>
      </c>
    </row>
    <row r="275" spans="1:9" x14ac:dyDescent="0.25">
      <c r="A275" s="2" t="str">
        <f>CONCATENATE(Códigos!S274,Códigos!T274,Códigos!U274)</f>
        <v>svv273v</v>
      </c>
      <c r="B275" t="s">
        <v>321</v>
      </c>
      <c r="C275" t="s">
        <v>447</v>
      </c>
      <c r="D275" s="2" t="s">
        <v>448</v>
      </c>
      <c r="E275" t="s">
        <v>535</v>
      </c>
      <c r="F275" s="11">
        <v>43233</v>
      </c>
      <c r="G275" s="2">
        <f>VLOOKUP(E275,Produtos!$A:$E,5,FALSE)</f>
        <v>250</v>
      </c>
      <c r="H275" s="2">
        <f>VLOOKUP(E275,Produtos!$A:$E,4,FALSE)</f>
        <v>120</v>
      </c>
      <c r="I275" s="2">
        <v>3</v>
      </c>
    </row>
    <row r="276" spans="1:9" x14ac:dyDescent="0.25">
      <c r="A276" s="2" t="str">
        <f>CONCATENATE(Códigos!S275,Códigos!T275,Códigos!U275)</f>
        <v>svv274v</v>
      </c>
      <c r="B276" t="s">
        <v>321</v>
      </c>
      <c r="C276" t="s">
        <v>447</v>
      </c>
      <c r="D276" s="2" t="s">
        <v>448</v>
      </c>
      <c r="E276" t="s">
        <v>535</v>
      </c>
      <c r="F276" s="11">
        <v>43234</v>
      </c>
      <c r="G276" s="2">
        <f>VLOOKUP(E276,Produtos!$A:$E,5,FALSE)</f>
        <v>250</v>
      </c>
      <c r="H276" s="2">
        <f>VLOOKUP(E276,Produtos!$A:$E,4,FALSE)</f>
        <v>120</v>
      </c>
      <c r="I276" s="2">
        <v>3</v>
      </c>
    </row>
    <row r="277" spans="1:9" x14ac:dyDescent="0.25">
      <c r="A277" s="2" t="str">
        <f>CONCATENATE(Códigos!S276,Códigos!T276,Códigos!U276)</f>
        <v>svv275v</v>
      </c>
      <c r="B277" t="s">
        <v>321</v>
      </c>
      <c r="C277" t="s">
        <v>447</v>
      </c>
      <c r="D277" s="2" t="s">
        <v>448</v>
      </c>
      <c r="E277" t="s">
        <v>535</v>
      </c>
      <c r="F277" s="11">
        <v>43235</v>
      </c>
      <c r="G277" s="2">
        <f>VLOOKUP(E277,Produtos!$A:$E,5,FALSE)</f>
        <v>250</v>
      </c>
      <c r="H277" s="2">
        <f>VLOOKUP(E277,Produtos!$A:$E,4,FALSE)</f>
        <v>120</v>
      </c>
      <c r="I277" s="2">
        <v>3</v>
      </c>
    </row>
    <row r="278" spans="1:9" x14ac:dyDescent="0.25">
      <c r="A278" s="2" t="str">
        <f>CONCATENATE(Códigos!S277,Códigos!T277,Códigos!U277)</f>
        <v>svv276v</v>
      </c>
      <c r="B278" t="s">
        <v>321</v>
      </c>
      <c r="C278" t="s">
        <v>447</v>
      </c>
      <c r="D278" s="2" t="s">
        <v>448</v>
      </c>
      <c r="E278" t="s">
        <v>535</v>
      </c>
      <c r="F278" s="11">
        <v>43236</v>
      </c>
      <c r="G278" s="2">
        <f>VLOOKUP(E278,Produtos!$A:$E,5,FALSE)</f>
        <v>250</v>
      </c>
      <c r="H278" s="2">
        <f>VLOOKUP(E278,Produtos!$A:$E,4,FALSE)</f>
        <v>120</v>
      </c>
      <c r="I278" s="2">
        <v>3</v>
      </c>
    </row>
    <row r="279" spans="1:9" x14ac:dyDescent="0.25">
      <c r="A279" s="2" t="str">
        <f>CONCATENATE(Códigos!S278,Códigos!T278,Códigos!U278)</f>
        <v>svv277v</v>
      </c>
      <c r="B279" t="s">
        <v>321</v>
      </c>
      <c r="C279" t="s">
        <v>447</v>
      </c>
      <c r="D279" s="2" t="s">
        <v>448</v>
      </c>
      <c r="E279" t="s">
        <v>535</v>
      </c>
      <c r="F279" s="11">
        <v>43237</v>
      </c>
      <c r="G279" s="2">
        <f>VLOOKUP(E279,Produtos!$A:$E,5,FALSE)</f>
        <v>250</v>
      </c>
      <c r="H279" s="2">
        <f>VLOOKUP(E279,Produtos!$A:$E,4,FALSE)</f>
        <v>120</v>
      </c>
      <c r="I279" s="2">
        <v>3</v>
      </c>
    </row>
    <row r="280" spans="1:9" x14ac:dyDescent="0.25">
      <c r="A280" s="2" t="str">
        <f>CONCATENATE(Códigos!S279,Códigos!T279,Códigos!U279)</f>
        <v>svv278v</v>
      </c>
      <c r="B280" t="s">
        <v>321</v>
      </c>
      <c r="C280" t="s">
        <v>447</v>
      </c>
      <c r="D280" s="2" t="s">
        <v>448</v>
      </c>
      <c r="E280" t="s">
        <v>535</v>
      </c>
      <c r="F280" s="11">
        <v>43238</v>
      </c>
      <c r="G280" s="2">
        <f>VLOOKUP(E280,Produtos!$A:$E,5,FALSE)</f>
        <v>250</v>
      </c>
      <c r="H280" s="2">
        <f>VLOOKUP(E280,Produtos!$A:$E,4,FALSE)</f>
        <v>120</v>
      </c>
      <c r="I280" s="2">
        <v>3</v>
      </c>
    </row>
    <row r="281" spans="1:9" x14ac:dyDescent="0.25">
      <c r="A281" s="2" t="str">
        <f>CONCATENATE(Códigos!S280,Códigos!T280,Códigos!U280)</f>
        <v>svv279v</v>
      </c>
      <c r="B281" t="s">
        <v>321</v>
      </c>
      <c r="C281" t="s">
        <v>447</v>
      </c>
      <c r="D281" s="2" t="s">
        <v>448</v>
      </c>
      <c r="E281" t="s">
        <v>535</v>
      </c>
      <c r="F281" s="11">
        <v>43239</v>
      </c>
      <c r="G281" s="2">
        <f>VLOOKUP(E281,Produtos!$A:$E,5,FALSE)</f>
        <v>250</v>
      </c>
      <c r="H281" s="2">
        <f>VLOOKUP(E281,Produtos!$A:$E,4,FALSE)</f>
        <v>120</v>
      </c>
      <c r="I281" s="2">
        <v>3</v>
      </c>
    </row>
    <row r="282" spans="1:9" x14ac:dyDescent="0.25">
      <c r="A282" s="2" t="str">
        <f>CONCATENATE(Códigos!S281,Códigos!T281,Códigos!U281)</f>
        <v>svv280v</v>
      </c>
      <c r="B282" t="s">
        <v>321</v>
      </c>
      <c r="C282" t="s">
        <v>447</v>
      </c>
      <c r="D282" s="2" t="s">
        <v>448</v>
      </c>
      <c r="E282" t="s">
        <v>535</v>
      </c>
      <c r="F282" s="11">
        <v>43240</v>
      </c>
      <c r="G282" s="2">
        <f>VLOOKUP(E282,Produtos!$A:$E,5,FALSE)</f>
        <v>250</v>
      </c>
      <c r="H282" s="2">
        <f>VLOOKUP(E282,Produtos!$A:$E,4,FALSE)</f>
        <v>120</v>
      </c>
      <c r="I282" s="2">
        <v>3</v>
      </c>
    </row>
    <row r="283" spans="1:9" x14ac:dyDescent="0.25">
      <c r="A283" s="2" t="str">
        <f>CONCATENATE(Códigos!S282,Códigos!T282,Códigos!U282)</f>
        <v>svv281v</v>
      </c>
      <c r="B283" t="s">
        <v>321</v>
      </c>
      <c r="C283" t="s">
        <v>447</v>
      </c>
      <c r="D283" s="2" t="s">
        <v>448</v>
      </c>
      <c r="E283" t="s">
        <v>535</v>
      </c>
      <c r="F283" s="11">
        <v>43241</v>
      </c>
      <c r="G283" s="2">
        <f>VLOOKUP(E283,Produtos!$A:$E,5,FALSE)</f>
        <v>250</v>
      </c>
      <c r="H283" s="2">
        <f>VLOOKUP(E283,Produtos!$A:$E,4,FALSE)</f>
        <v>120</v>
      </c>
      <c r="I283" s="2">
        <v>3</v>
      </c>
    </row>
    <row r="284" spans="1:9" x14ac:dyDescent="0.25">
      <c r="A284" s="2" t="str">
        <f>CONCATENATE(Códigos!S283,Códigos!T283,Códigos!U283)</f>
        <v>svv282v</v>
      </c>
      <c r="B284" t="s">
        <v>321</v>
      </c>
      <c r="C284" t="s">
        <v>447</v>
      </c>
      <c r="D284" s="2" t="s">
        <v>448</v>
      </c>
      <c r="E284" t="s">
        <v>535</v>
      </c>
      <c r="F284" s="11">
        <v>43242</v>
      </c>
      <c r="G284" s="2">
        <f>VLOOKUP(E284,Produtos!$A:$E,5,FALSE)</f>
        <v>250</v>
      </c>
      <c r="H284" s="2">
        <f>VLOOKUP(E284,Produtos!$A:$E,4,FALSE)</f>
        <v>120</v>
      </c>
      <c r="I284" s="2">
        <v>3</v>
      </c>
    </row>
    <row r="285" spans="1:9" x14ac:dyDescent="0.25">
      <c r="A285" s="2" t="str">
        <f>CONCATENATE(Códigos!S284,Códigos!T284,Códigos!U284)</f>
        <v>svv283v</v>
      </c>
      <c r="B285" t="s">
        <v>321</v>
      </c>
      <c r="C285" t="s">
        <v>447</v>
      </c>
      <c r="D285" s="2" t="s">
        <v>448</v>
      </c>
      <c r="E285" t="s">
        <v>535</v>
      </c>
      <c r="F285" s="11">
        <v>43243</v>
      </c>
      <c r="G285" s="2">
        <f>VLOOKUP(E285,Produtos!$A:$E,5,FALSE)</f>
        <v>250</v>
      </c>
      <c r="H285" s="2">
        <f>VLOOKUP(E285,Produtos!$A:$E,4,FALSE)</f>
        <v>120</v>
      </c>
      <c r="I285" s="2">
        <v>3</v>
      </c>
    </row>
    <row r="286" spans="1:9" x14ac:dyDescent="0.25">
      <c r="A286" s="2" t="str">
        <f>CONCATENATE(Códigos!S285,Códigos!T285,Códigos!U285)</f>
        <v>svv284v</v>
      </c>
      <c r="B286" t="s">
        <v>321</v>
      </c>
      <c r="C286" t="s">
        <v>447</v>
      </c>
      <c r="D286" s="2" t="s">
        <v>448</v>
      </c>
      <c r="E286" t="s">
        <v>535</v>
      </c>
      <c r="F286" s="11">
        <v>43244</v>
      </c>
      <c r="G286" s="2">
        <f>VLOOKUP(E286,Produtos!$A:$E,5,FALSE)</f>
        <v>250</v>
      </c>
      <c r="H286" s="2">
        <f>VLOOKUP(E286,Produtos!$A:$E,4,FALSE)</f>
        <v>120</v>
      </c>
      <c r="I286" s="2">
        <v>3</v>
      </c>
    </row>
    <row r="287" spans="1:9" x14ac:dyDescent="0.25">
      <c r="A287" s="2" t="str">
        <f>CONCATENATE(Códigos!S286,Códigos!T286,Códigos!U286)</f>
        <v>svv285v</v>
      </c>
      <c r="B287" t="s">
        <v>321</v>
      </c>
      <c r="C287" t="s">
        <v>447</v>
      </c>
      <c r="D287" s="2" t="s">
        <v>448</v>
      </c>
      <c r="E287" t="s">
        <v>535</v>
      </c>
      <c r="F287" s="11">
        <v>43245</v>
      </c>
      <c r="G287" s="2">
        <f>VLOOKUP(E287,Produtos!$A:$E,5,FALSE)</f>
        <v>250</v>
      </c>
      <c r="H287" s="2">
        <f>VLOOKUP(E287,Produtos!$A:$E,4,FALSE)</f>
        <v>120</v>
      </c>
      <c r="I287" s="2">
        <v>3</v>
      </c>
    </row>
    <row r="288" spans="1:9" x14ac:dyDescent="0.25">
      <c r="A288" s="2" t="str">
        <f>CONCATENATE(Códigos!S287,Códigos!T287,Códigos!U287)</f>
        <v>svv286v</v>
      </c>
      <c r="B288" t="s">
        <v>321</v>
      </c>
      <c r="C288" t="s">
        <v>447</v>
      </c>
      <c r="D288" s="2" t="s">
        <v>448</v>
      </c>
      <c r="E288" t="s">
        <v>535</v>
      </c>
      <c r="F288" s="11">
        <v>43246</v>
      </c>
      <c r="G288" s="2">
        <f>VLOOKUP(E288,Produtos!$A:$E,5,FALSE)</f>
        <v>250</v>
      </c>
      <c r="H288" s="2">
        <f>VLOOKUP(E288,Produtos!$A:$E,4,FALSE)</f>
        <v>120</v>
      </c>
      <c r="I288" s="2">
        <v>3</v>
      </c>
    </row>
    <row r="289" spans="1:9" x14ac:dyDescent="0.25">
      <c r="A289" s="2" t="str">
        <f>CONCATENATE(Códigos!S288,Códigos!T288,Códigos!U288)</f>
        <v>svv287v</v>
      </c>
      <c r="B289" t="s">
        <v>321</v>
      </c>
      <c r="C289" t="s">
        <v>447</v>
      </c>
      <c r="D289" s="2" t="s">
        <v>448</v>
      </c>
      <c r="E289" t="s">
        <v>535</v>
      </c>
      <c r="F289" s="11">
        <v>43247</v>
      </c>
      <c r="G289" s="2">
        <f>VLOOKUP(E289,Produtos!$A:$E,5,FALSE)</f>
        <v>250</v>
      </c>
      <c r="H289" s="2">
        <f>VLOOKUP(E289,Produtos!$A:$E,4,FALSE)</f>
        <v>120</v>
      </c>
      <c r="I289" s="2">
        <v>3</v>
      </c>
    </row>
    <row r="290" spans="1:9" x14ac:dyDescent="0.25">
      <c r="A290" s="2" t="str">
        <f>CONCATENATE(Códigos!S289,Códigos!T289,Códigos!U289)</f>
        <v>svv288v</v>
      </c>
      <c r="B290" t="s">
        <v>321</v>
      </c>
      <c r="C290" t="s">
        <v>447</v>
      </c>
      <c r="D290" s="2" t="s">
        <v>448</v>
      </c>
      <c r="E290" t="s">
        <v>535</v>
      </c>
      <c r="F290" s="11">
        <v>43248</v>
      </c>
      <c r="G290" s="2">
        <f>VLOOKUP(E290,Produtos!$A:$E,5,FALSE)</f>
        <v>250</v>
      </c>
      <c r="H290" s="2">
        <f>VLOOKUP(E290,Produtos!$A:$E,4,FALSE)</f>
        <v>120</v>
      </c>
      <c r="I290" s="2">
        <v>3</v>
      </c>
    </row>
    <row r="291" spans="1:9" x14ac:dyDescent="0.25">
      <c r="A291" s="2" t="str">
        <f>CONCATENATE(Códigos!S290,Códigos!T290,Códigos!U290)</f>
        <v>svv289v</v>
      </c>
      <c r="B291" t="s">
        <v>321</v>
      </c>
      <c r="C291" t="s">
        <v>447</v>
      </c>
      <c r="D291" s="2" t="s">
        <v>448</v>
      </c>
      <c r="E291" t="s">
        <v>535</v>
      </c>
      <c r="F291" s="11">
        <v>43249</v>
      </c>
      <c r="G291" s="2">
        <f>VLOOKUP(E291,Produtos!$A:$E,5,FALSE)</f>
        <v>250</v>
      </c>
      <c r="H291" s="2">
        <f>VLOOKUP(E291,Produtos!$A:$E,4,FALSE)</f>
        <v>120</v>
      </c>
      <c r="I291" s="2">
        <v>3</v>
      </c>
    </row>
    <row r="292" spans="1:9" x14ac:dyDescent="0.25">
      <c r="A292" s="2" t="str">
        <f>CONCATENATE(Códigos!S291,Códigos!T291,Códigos!U291)</f>
        <v>svv290v</v>
      </c>
      <c r="B292" t="s">
        <v>321</v>
      </c>
      <c r="C292" t="s">
        <v>447</v>
      </c>
      <c r="D292" s="2" t="s">
        <v>448</v>
      </c>
      <c r="E292" t="s">
        <v>535</v>
      </c>
      <c r="F292" s="11">
        <v>43250</v>
      </c>
      <c r="G292" s="2">
        <f>VLOOKUP(E292,Produtos!$A:$E,5,FALSE)</f>
        <v>250</v>
      </c>
      <c r="H292" s="2">
        <f>VLOOKUP(E292,Produtos!$A:$E,4,FALSE)</f>
        <v>120</v>
      </c>
      <c r="I292" s="2">
        <v>3</v>
      </c>
    </row>
    <row r="293" spans="1:9" x14ac:dyDescent="0.25">
      <c r="A293" s="2" t="str">
        <f>CONCATENATE(Códigos!S292,Códigos!T292,Códigos!U292)</f>
        <v>svv291v</v>
      </c>
      <c r="B293" t="s">
        <v>321</v>
      </c>
      <c r="C293" t="s">
        <v>447</v>
      </c>
      <c r="D293" s="2" t="s">
        <v>448</v>
      </c>
      <c r="E293" t="s">
        <v>535</v>
      </c>
      <c r="F293" s="11">
        <v>43251</v>
      </c>
      <c r="G293" s="2">
        <f>VLOOKUP(E293,Produtos!$A:$E,5,FALSE)</f>
        <v>250</v>
      </c>
      <c r="H293" s="2">
        <f>VLOOKUP(E293,Produtos!$A:$E,4,FALSE)</f>
        <v>120</v>
      </c>
      <c r="I293" s="2">
        <v>3</v>
      </c>
    </row>
    <row r="294" spans="1:9" x14ac:dyDescent="0.25">
      <c r="A294" s="2" t="str">
        <f>CONCATENATE(Códigos!S293,Códigos!T293,Códigos!U293)</f>
        <v>svv292v</v>
      </c>
      <c r="B294" t="s">
        <v>321</v>
      </c>
      <c r="C294" t="s">
        <v>447</v>
      </c>
      <c r="D294" s="2" t="s">
        <v>448</v>
      </c>
      <c r="E294" t="s">
        <v>535</v>
      </c>
      <c r="F294" s="11">
        <v>43252</v>
      </c>
      <c r="G294" s="2">
        <f>VLOOKUP(E294,Produtos!$A:$E,5,FALSE)</f>
        <v>250</v>
      </c>
      <c r="H294" s="2">
        <f>VLOOKUP(E294,Produtos!$A:$E,4,FALSE)</f>
        <v>120</v>
      </c>
      <c r="I294" s="2">
        <v>3</v>
      </c>
    </row>
    <row r="295" spans="1:9" x14ac:dyDescent="0.25">
      <c r="A295" s="2" t="str">
        <f>CONCATENATE(Códigos!S294,Códigos!T294,Códigos!U294)</f>
        <v>svv293v</v>
      </c>
      <c r="B295" t="s">
        <v>321</v>
      </c>
      <c r="C295" t="s">
        <v>447</v>
      </c>
      <c r="D295" s="2" t="s">
        <v>448</v>
      </c>
      <c r="E295" t="s">
        <v>535</v>
      </c>
      <c r="F295" s="11">
        <v>43253</v>
      </c>
      <c r="G295" s="2">
        <f>VLOOKUP(E295,Produtos!$A:$E,5,FALSE)</f>
        <v>250</v>
      </c>
      <c r="H295" s="2">
        <f>VLOOKUP(E295,Produtos!$A:$E,4,FALSE)</f>
        <v>120</v>
      </c>
      <c r="I295" s="2">
        <v>3</v>
      </c>
    </row>
    <row r="296" spans="1:9" x14ac:dyDescent="0.25">
      <c r="A296" s="2" t="str">
        <f>CONCATENATE(Códigos!S295,Códigos!T295,Códigos!U295)</f>
        <v>svv294v</v>
      </c>
      <c r="B296" t="s">
        <v>321</v>
      </c>
      <c r="C296" t="s">
        <v>447</v>
      </c>
      <c r="D296" s="2" t="s">
        <v>448</v>
      </c>
      <c r="E296" t="s">
        <v>535</v>
      </c>
      <c r="F296" s="11">
        <v>43254</v>
      </c>
      <c r="G296" s="2">
        <f>VLOOKUP(E296,Produtos!$A:$E,5,FALSE)</f>
        <v>250</v>
      </c>
      <c r="H296" s="2">
        <f>VLOOKUP(E296,Produtos!$A:$E,4,FALSE)</f>
        <v>120</v>
      </c>
      <c r="I296" s="2">
        <v>3</v>
      </c>
    </row>
    <row r="297" spans="1:9" x14ac:dyDescent="0.25">
      <c r="A297" s="2" t="str">
        <f>CONCATENATE(Códigos!S296,Códigos!T296,Códigos!U296)</f>
        <v>svv295v</v>
      </c>
      <c r="B297" t="s">
        <v>321</v>
      </c>
      <c r="C297" t="s">
        <v>447</v>
      </c>
      <c r="D297" s="2" t="s">
        <v>448</v>
      </c>
      <c r="E297" t="s">
        <v>535</v>
      </c>
      <c r="F297" s="11">
        <v>43255</v>
      </c>
      <c r="G297" s="2">
        <f>VLOOKUP(E297,Produtos!$A:$E,5,FALSE)</f>
        <v>250</v>
      </c>
      <c r="H297" s="2">
        <f>VLOOKUP(E297,Produtos!$A:$E,4,FALSE)</f>
        <v>120</v>
      </c>
      <c r="I297" s="2">
        <v>3</v>
      </c>
    </row>
    <row r="298" spans="1:9" x14ac:dyDescent="0.25">
      <c r="A298" s="2" t="str">
        <f>CONCATENATE(Códigos!S297,Códigos!T297,Códigos!U297)</f>
        <v>svv296v</v>
      </c>
      <c r="B298" t="s">
        <v>321</v>
      </c>
      <c r="C298" t="s">
        <v>397</v>
      </c>
      <c r="D298" s="2" t="s">
        <v>398</v>
      </c>
      <c r="E298" t="s">
        <v>512</v>
      </c>
      <c r="F298" s="11">
        <v>43256</v>
      </c>
      <c r="G298" s="2">
        <f>VLOOKUP(E298,Produtos!$A:$E,5,FALSE)</f>
        <v>170</v>
      </c>
      <c r="H298" s="2">
        <f>VLOOKUP(E298,Produtos!$A:$E,4,FALSE)</f>
        <v>80</v>
      </c>
      <c r="I298" s="2">
        <v>3</v>
      </c>
    </row>
    <row r="299" spans="1:9" x14ac:dyDescent="0.25">
      <c r="A299" s="2" t="str">
        <f>CONCATENATE(Códigos!S298,Códigos!T298,Códigos!U298)</f>
        <v>svv297v</v>
      </c>
      <c r="B299" t="s">
        <v>321</v>
      </c>
      <c r="C299" t="s">
        <v>397</v>
      </c>
      <c r="D299" s="2" t="s">
        <v>398</v>
      </c>
      <c r="E299" t="s">
        <v>512</v>
      </c>
      <c r="F299" s="11">
        <v>43257</v>
      </c>
      <c r="G299" s="2">
        <f>VLOOKUP(E299,Produtos!$A:$E,5,FALSE)</f>
        <v>170</v>
      </c>
      <c r="H299" s="2">
        <f>VLOOKUP(E299,Produtos!$A:$E,4,FALSE)</f>
        <v>80</v>
      </c>
      <c r="I299" s="2">
        <v>3</v>
      </c>
    </row>
    <row r="300" spans="1:9" x14ac:dyDescent="0.25">
      <c r="A300" s="2" t="str">
        <f>CONCATENATE(Códigos!S299,Códigos!T299,Códigos!U299)</f>
        <v>svv298v</v>
      </c>
      <c r="B300" t="s">
        <v>321</v>
      </c>
      <c r="C300" t="s">
        <v>397</v>
      </c>
      <c r="D300" s="2" t="s">
        <v>398</v>
      </c>
      <c r="E300" t="s">
        <v>512</v>
      </c>
      <c r="F300" s="11">
        <v>43258</v>
      </c>
      <c r="G300" s="2">
        <f>VLOOKUP(E300,Produtos!$A:$E,5,FALSE)</f>
        <v>170</v>
      </c>
      <c r="H300" s="2">
        <f>VLOOKUP(E300,Produtos!$A:$E,4,FALSE)</f>
        <v>80</v>
      </c>
      <c r="I300" s="2">
        <v>3</v>
      </c>
    </row>
    <row r="301" spans="1:9" x14ac:dyDescent="0.25">
      <c r="A301" s="2" t="str">
        <f>CONCATENATE(Códigos!S300,Códigos!T300,Códigos!U300)</f>
        <v>svv299v</v>
      </c>
      <c r="B301" t="s">
        <v>321</v>
      </c>
      <c r="C301" t="s">
        <v>397</v>
      </c>
      <c r="D301" s="2" t="s">
        <v>398</v>
      </c>
      <c r="E301" t="s">
        <v>512</v>
      </c>
      <c r="F301" s="11">
        <v>43259</v>
      </c>
      <c r="G301" s="2">
        <f>VLOOKUP(E301,Produtos!$A:$E,5,FALSE)</f>
        <v>170</v>
      </c>
      <c r="H301" s="2">
        <f>VLOOKUP(E301,Produtos!$A:$E,4,FALSE)</f>
        <v>80</v>
      </c>
      <c r="I301" s="2">
        <v>3</v>
      </c>
    </row>
    <row r="302" spans="1:9" x14ac:dyDescent="0.25">
      <c r="A302" s="2" t="str">
        <f>CONCATENATE(Códigos!S301,Códigos!T301,Códigos!U301)</f>
        <v>svv300v</v>
      </c>
      <c r="B302" t="s">
        <v>321</v>
      </c>
      <c r="C302" t="s">
        <v>397</v>
      </c>
      <c r="D302" s="2" t="s">
        <v>398</v>
      </c>
      <c r="E302" t="s">
        <v>512</v>
      </c>
      <c r="F302" s="11">
        <v>43260</v>
      </c>
      <c r="G302" s="2">
        <f>VLOOKUP(E302,Produtos!$A:$E,5,FALSE)</f>
        <v>170</v>
      </c>
      <c r="H302" s="2">
        <f>VLOOKUP(E302,Produtos!$A:$E,4,FALSE)</f>
        <v>80</v>
      </c>
      <c r="I302" s="2">
        <v>3</v>
      </c>
    </row>
    <row r="303" spans="1:9" x14ac:dyDescent="0.25">
      <c r="A303" s="2" t="str">
        <f>CONCATENATE(Códigos!S302,Códigos!T302,Códigos!U302)</f>
        <v>svv301v</v>
      </c>
      <c r="B303" t="s">
        <v>321</v>
      </c>
      <c r="C303" t="s">
        <v>397</v>
      </c>
      <c r="D303" s="2" t="s">
        <v>398</v>
      </c>
      <c r="E303" t="s">
        <v>512</v>
      </c>
      <c r="F303" s="11">
        <v>43261</v>
      </c>
      <c r="G303" s="2">
        <f>VLOOKUP(E303,Produtos!$A:$E,5,FALSE)</f>
        <v>170</v>
      </c>
      <c r="H303" s="2">
        <f>VLOOKUP(E303,Produtos!$A:$E,4,FALSE)</f>
        <v>80</v>
      </c>
      <c r="I303" s="2">
        <v>3</v>
      </c>
    </row>
    <row r="304" spans="1:9" x14ac:dyDescent="0.25">
      <c r="A304" s="2" t="str">
        <f>CONCATENATE(Códigos!S303,Códigos!T303,Códigos!U303)</f>
        <v>svv302v</v>
      </c>
      <c r="B304" t="s">
        <v>321</v>
      </c>
      <c r="C304" t="s">
        <v>397</v>
      </c>
      <c r="D304" s="2" t="s">
        <v>398</v>
      </c>
      <c r="E304" t="s">
        <v>512</v>
      </c>
      <c r="F304" s="11">
        <v>43262</v>
      </c>
      <c r="G304" s="2">
        <f>VLOOKUP(E304,Produtos!$A:$E,5,FALSE)</f>
        <v>170</v>
      </c>
      <c r="H304" s="2">
        <f>VLOOKUP(E304,Produtos!$A:$E,4,FALSE)</f>
        <v>80</v>
      </c>
      <c r="I304" s="2">
        <v>3</v>
      </c>
    </row>
    <row r="305" spans="1:9" x14ac:dyDescent="0.25">
      <c r="A305" s="2" t="str">
        <f>CONCATENATE(Códigos!S304,Códigos!T304,Códigos!U304)</f>
        <v>svv303v</v>
      </c>
      <c r="B305" t="s">
        <v>321</v>
      </c>
      <c r="C305" t="s">
        <v>397</v>
      </c>
      <c r="D305" s="2" t="s">
        <v>398</v>
      </c>
      <c r="E305" t="s">
        <v>512</v>
      </c>
      <c r="F305" s="11">
        <v>43263</v>
      </c>
      <c r="G305" s="2">
        <f>VLOOKUP(E305,Produtos!$A:$E,5,FALSE)</f>
        <v>170</v>
      </c>
      <c r="H305" s="2">
        <f>VLOOKUP(E305,Produtos!$A:$E,4,FALSE)</f>
        <v>80</v>
      </c>
      <c r="I305" s="2">
        <v>3</v>
      </c>
    </row>
    <row r="306" spans="1:9" x14ac:dyDescent="0.25">
      <c r="A306" s="2" t="str">
        <f>CONCATENATE(Códigos!S305,Códigos!T305,Códigos!U305)</f>
        <v>svv304v</v>
      </c>
      <c r="B306" t="s">
        <v>321</v>
      </c>
      <c r="C306" t="s">
        <v>397</v>
      </c>
      <c r="D306" s="2" t="s">
        <v>398</v>
      </c>
      <c r="E306" t="s">
        <v>512</v>
      </c>
      <c r="F306" s="11">
        <v>43264</v>
      </c>
      <c r="G306" s="2">
        <f>VLOOKUP(E306,Produtos!$A:$E,5,FALSE)</f>
        <v>170</v>
      </c>
      <c r="H306" s="2">
        <f>VLOOKUP(E306,Produtos!$A:$E,4,FALSE)</f>
        <v>80</v>
      </c>
      <c r="I306" s="2">
        <v>3</v>
      </c>
    </row>
    <row r="307" spans="1:9" x14ac:dyDescent="0.25">
      <c r="A307" s="2" t="str">
        <f>CONCATENATE(Códigos!S306,Códigos!T306,Códigos!U306)</f>
        <v>svv305v</v>
      </c>
      <c r="B307" t="s">
        <v>321</v>
      </c>
      <c r="C307" t="s">
        <v>397</v>
      </c>
      <c r="D307" s="2" t="s">
        <v>398</v>
      </c>
      <c r="E307" t="s">
        <v>512</v>
      </c>
      <c r="F307" s="11">
        <v>43265</v>
      </c>
      <c r="G307" s="2">
        <f>VLOOKUP(E307,Produtos!$A:$E,5,FALSE)</f>
        <v>170</v>
      </c>
      <c r="H307" s="2">
        <f>VLOOKUP(E307,Produtos!$A:$E,4,FALSE)</f>
        <v>80</v>
      </c>
      <c r="I307" s="2">
        <v>3</v>
      </c>
    </row>
    <row r="308" spans="1:9" x14ac:dyDescent="0.25">
      <c r="A308" s="2" t="str">
        <f>CONCATENATE(Códigos!S307,Códigos!T307,Códigos!U307)</f>
        <v>svv306v</v>
      </c>
      <c r="B308" t="s">
        <v>321</v>
      </c>
      <c r="C308" t="s">
        <v>397</v>
      </c>
      <c r="D308" s="2" t="s">
        <v>398</v>
      </c>
      <c r="E308" t="s">
        <v>512</v>
      </c>
      <c r="F308" s="11">
        <v>43266</v>
      </c>
      <c r="G308" s="2">
        <f>VLOOKUP(E308,Produtos!$A:$E,5,FALSE)</f>
        <v>170</v>
      </c>
      <c r="H308" s="2">
        <f>VLOOKUP(E308,Produtos!$A:$E,4,FALSE)</f>
        <v>80</v>
      </c>
      <c r="I308" s="2">
        <v>3</v>
      </c>
    </row>
    <row r="309" spans="1:9" x14ac:dyDescent="0.25">
      <c r="A309" s="2" t="str">
        <f>CONCATENATE(Códigos!S308,Códigos!T308,Códigos!U308)</f>
        <v>svv307v</v>
      </c>
      <c r="B309" t="s">
        <v>321</v>
      </c>
      <c r="C309" t="s">
        <v>397</v>
      </c>
      <c r="D309" s="2" t="s">
        <v>398</v>
      </c>
      <c r="E309" t="s">
        <v>512</v>
      </c>
      <c r="F309" s="11">
        <v>43267</v>
      </c>
      <c r="G309" s="2">
        <f>VLOOKUP(E309,Produtos!$A:$E,5,FALSE)</f>
        <v>170</v>
      </c>
      <c r="H309" s="2">
        <f>VLOOKUP(E309,Produtos!$A:$E,4,FALSE)</f>
        <v>80</v>
      </c>
      <c r="I309" s="2">
        <v>3</v>
      </c>
    </row>
    <row r="310" spans="1:9" x14ac:dyDescent="0.25">
      <c r="A310" s="2" t="str">
        <f>CONCATENATE(Códigos!S309,Códigos!T309,Códigos!U309)</f>
        <v>svv308v</v>
      </c>
      <c r="B310" t="s">
        <v>321</v>
      </c>
      <c r="C310" t="s">
        <v>397</v>
      </c>
      <c r="D310" s="2" t="s">
        <v>398</v>
      </c>
      <c r="E310" t="s">
        <v>512</v>
      </c>
      <c r="F310" s="11">
        <v>43268</v>
      </c>
      <c r="G310" s="2">
        <f>VLOOKUP(E310,Produtos!$A:$E,5,FALSE)</f>
        <v>170</v>
      </c>
      <c r="H310" s="2">
        <f>VLOOKUP(E310,Produtos!$A:$E,4,FALSE)</f>
        <v>80</v>
      </c>
      <c r="I310" s="2">
        <v>3</v>
      </c>
    </row>
    <row r="311" spans="1:9" x14ac:dyDescent="0.25">
      <c r="A311" s="2" t="str">
        <f>CONCATENATE(Códigos!S310,Códigos!T310,Códigos!U310)</f>
        <v>svv309v</v>
      </c>
      <c r="B311" t="s">
        <v>321</v>
      </c>
      <c r="C311" t="s">
        <v>397</v>
      </c>
      <c r="D311" s="2" t="s">
        <v>398</v>
      </c>
      <c r="E311" t="s">
        <v>512</v>
      </c>
      <c r="F311" s="11">
        <v>43269</v>
      </c>
      <c r="G311" s="2">
        <f>VLOOKUP(E311,Produtos!$A:$E,5,FALSE)</f>
        <v>170</v>
      </c>
      <c r="H311" s="2">
        <f>VLOOKUP(E311,Produtos!$A:$E,4,FALSE)</f>
        <v>80</v>
      </c>
      <c r="I311" s="2">
        <v>3</v>
      </c>
    </row>
    <row r="312" spans="1:9" x14ac:dyDescent="0.25">
      <c r="A312" s="2" t="str">
        <f>CONCATENATE(Códigos!S311,Códigos!T311,Códigos!U311)</f>
        <v>svv310v</v>
      </c>
      <c r="B312" t="s">
        <v>321</v>
      </c>
      <c r="C312" t="s">
        <v>397</v>
      </c>
      <c r="D312" s="2" t="s">
        <v>398</v>
      </c>
      <c r="E312" t="s">
        <v>512</v>
      </c>
      <c r="F312" s="11">
        <v>43270</v>
      </c>
      <c r="G312" s="2">
        <f>VLOOKUP(E312,Produtos!$A:$E,5,FALSE)</f>
        <v>170</v>
      </c>
      <c r="H312" s="2">
        <f>VLOOKUP(E312,Produtos!$A:$E,4,FALSE)</f>
        <v>80</v>
      </c>
      <c r="I312" s="2">
        <v>3</v>
      </c>
    </row>
    <row r="313" spans="1:9" x14ac:dyDescent="0.25">
      <c r="A313" s="2" t="str">
        <f>CONCATENATE(Códigos!S312,Códigos!T312,Códigos!U312)</f>
        <v>svv311v</v>
      </c>
      <c r="B313" t="s">
        <v>321</v>
      </c>
      <c r="C313" t="s">
        <v>388</v>
      </c>
      <c r="D313" s="2" t="s">
        <v>389</v>
      </c>
      <c r="E313" t="s">
        <v>512</v>
      </c>
      <c r="F313" s="11">
        <v>43271</v>
      </c>
      <c r="G313" s="2">
        <f>VLOOKUP(E313,Produtos!$A:$E,5,FALSE)</f>
        <v>170</v>
      </c>
      <c r="H313" s="2">
        <f>VLOOKUP(E313,Produtos!$A:$E,4,FALSE)</f>
        <v>80</v>
      </c>
      <c r="I313" s="2">
        <v>3</v>
      </c>
    </row>
    <row r="314" spans="1:9" x14ac:dyDescent="0.25">
      <c r="A314" s="2" t="str">
        <f>CONCATENATE(Códigos!S313,Códigos!T313,Códigos!U313)</f>
        <v>svv312v</v>
      </c>
      <c r="B314" t="s">
        <v>321</v>
      </c>
      <c r="C314" t="s">
        <v>388</v>
      </c>
      <c r="D314" s="2" t="s">
        <v>389</v>
      </c>
      <c r="E314" t="s">
        <v>512</v>
      </c>
      <c r="F314" s="11">
        <v>43272</v>
      </c>
      <c r="G314" s="2">
        <f>VLOOKUP(E314,Produtos!$A:$E,5,FALSE)</f>
        <v>170</v>
      </c>
      <c r="H314" s="2">
        <f>VLOOKUP(E314,Produtos!$A:$E,4,FALSE)</f>
        <v>80</v>
      </c>
      <c r="I314" s="2">
        <v>3</v>
      </c>
    </row>
    <row r="315" spans="1:9" x14ac:dyDescent="0.25">
      <c r="A315" s="2" t="str">
        <f>CONCATENATE(Códigos!S314,Códigos!T314,Códigos!U314)</f>
        <v>svv313v</v>
      </c>
      <c r="B315" t="s">
        <v>321</v>
      </c>
      <c r="C315" t="s">
        <v>388</v>
      </c>
      <c r="D315" s="2" t="s">
        <v>389</v>
      </c>
      <c r="E315" t="s">
        <v>512</v>
      </c>
      <c r="F315" s="11">
        <v>43273</v>
      </c>
      <c r="G315" s="2">
        <f>VLOOKUP(E315,Produtos!$A:$E,5,FALSE)</f>
        <v>170</v>
      </c>
      <c r="H315" s="2">
        <f>VLOOKUP(E315,Produtos!$A:$E,4,FALSE)</f>
        <v>80</v>
      </c>
      <c r="I315" s="2">
        <v>3</v>
      </c>
    </row>
    <row r="316" spans="1:9" x14ac:dyDescent="0.25">
      <c r="A316" s="2" t="str">
        <f>CONCATENATE(Códigos!S315,Códigos!T315,Códigos!U315)</f>
        <v>svv314v</v>
      </c>
      <c r="B316" t="s">
        <v>321</v>
      </c>
      <c r="C316" t="s">
        <v>388</v>
      </c>
      <c r="D316" s="2" t="s">
        <v>389</v>
      </c>
      <c r="E316" t="s">
        <v>512</v>
      </c>
      <c r="F316" s="11">
        <v>43274</v>
      </c>
      <c r="G316" s="2">
        <f>VLOOKUP(E316,Produtos!$A:$E,5,FALSE)</f>
        <v>170</v>
      </c>
      <c r="H316" s="2">
        <f>VLOOKUP(E316,Produtos!$A:$E,4,FALSE)</f>
        <v>80</v>
      </c>
      <c r="I316" s="2">
        <v>3</v>
      </c>
    </row>
    <row r="317" spans="1:9" x14ac:dyDescent="0.25">
      <c r="A317" s="2" t="str">
        <f>CONCATENATE(Códigos!S316,Códigos!T316,Códigos!U316)</f>
        <v>svv315v</v>
      </c>
      <c r="B317" t="s">
        <v>321</v>
      </c>
      <c r="C317" t="s">
        <v>388</v>
      </c>
      <c r="D317" s="2" t="s">
        <v>389</v>
      </c>
      <c r="E317" t="s">
        <v>512</v>
      </c>
      <c r="F317" s="11">
        <v>43275</v>
      </c>
      <c r="G317" s="2">
        <f>VLOOKUP(E317,Produtos!$A:$E,5,FALSE)</f>
        <v>170</v>
      </c>
      <c r="H317" s="2">
        <f>VLOOKUP(E317,Produtos!$A:$E,4,FALSE)</f>
        <v>80</v>
      </c>
      <c r="I317" s="2">
        <v>3</v>
      </c>
    </row>
    <row r="318" spans="1:9" x14ac:dyDescent="0.25">
      <c r="A318" s="2" t="str">
        <f>CONCATENATE(Códigos!S317,Códigos!T317,Códigos!U317)</f>
        <v>svv316v</v>
      </c>
      <c r="B318" t="s">
        <v>321</v>
      </c>
      <c r="C318" t="s">
        <v>388</v>
      </c>
      <c r="D318" s="2" t="s">
        <v>389</v>
      </c>
      <c r="E318" t="s">
        <v>512</v>
      </c>
      <c r="F318" s="11">
        <v>43276</v>
      </c>
      <c r="G318" s="2">
        <f>VLOOKUP(E318,Produtos!$A:$E,5,FALSE)</f>
        <v>170</v>
      </c>
      <c r="H318" s="2">
        <f>VLOOKUP(E318,Produtos!$A:$E,4,FALSE)</f>
        <v>80</v>
      </c>
      <c r="I318" s="2">
        <v>3</v>
      </c>
    </row>
    <row r="319" spans="1:9" x14ac:dyDescent="0.25">
      <c r="A319" s="2" t="str">
        <f>CONCATENATE(Códigos!S318,Códigos!T318,Códigos!U318)</f>
        <v>svv317v</v>
      </c>
      <c r="B319" t="s">
        <v>321</v>
      </c>
      <c r="C319" t="s">
        <v>388</v>
      </c>
      <c r="D319" s="2" t="s">
        <v>389</v>
      </c>
      <c r="E319" t="s">
        <v>512</v>
      </c>
      <c r="F319" s="11">
        <v>43277</v>
      </c>
      <c r="G319" s="2">
        <f>VLOOKUP(E319,Produtos!$A:$E,5,FALSE)</f>
        <v>170</v>
      </c>
      <c r="H319" s="2">
        <f>VLOOKUP(E319,Produtos!$A:$E,4,FALSE)</f>
        <v>80</v>
      </c>
      <c r="I319" s="2">
        <v>3</v>
      </c>
    </row>
    <row r="320" spans="1:9" x14ac:dyDescent="0.25">
      <c r="A320" s="2" t="str">
        <f>CONCATENATE(Códigos!S319,Códigos!T319,Códigos!U319)</f>
        <v>svv318v</v>
      </c>
      <c r="B320" t="s">
        <v>321</v>
      </c>
      <c r="C320" t="s">
        <v>388</v>
      </c>
      <c r="D320" s="2" t="s">
        <v>389</v>
      </c>
      <c r="E320" t="s">
        <v>512</v>
      </c>
      <c r="F320" s="11">
        <v>43278</v>
      </c>
      <c r="G320" s="2">
        <f>VLOOKUP(E320,Produtos!$A:$E,5,FALSE)</f>
        <v>170</v>
      </c>
      <c r="H320" s="2">
        <f>VLOOKUP(E320,Produtos!$A:$E,4,FALSE)</f>
        <v>80</v>
      </c>
      <c r="I320" s="2">
        <v>3</v>
      </c>
    </row>
    <row r="321" spans="1:9" x14ac:dyDescent="0.25">
      <c r="A321" s="2" t="str">
        <f>CONCATENATE(Códigos!S320,Códigos!T320,Códigos!U320)</f>
        <v>svv319v</v>
      </c>
      <c r="B321" t="s">
        <v>321</v>
      </c>
      <c r="C321" t="s">
        <v>388</v>
      </c>
      <c r="D321" s="2" t="s">
        <v>389</v>
      </c>
      <c r="E321" t="s">
        <v>512</v>
      </c>
      <c r="F321" s="11">
        <v>43279</v>
      </c>
      <c r="G321" s="2">
        <f>VLOOKUP(E321,Produtos!$A:$E,5,FALSE)</f>
        <v>170</v>
      </c>
      <c r="H321" s="2">
        <f>VLOOKUP(E321,Produtos!$A:$E,4,FALSE)</f>
        <v>80</v>
      </c>
      <c r="I321" s="2">
        <v>3</v>
      </c>
    </row>
    <row r="322" spans="1:9" x14ac:dyDescent="0.25">
      <c r="A322" s="2" t="str">
        <f>CONCATENATE(Códigos!S321,Códigos!T321,Códigos!U321)</f>
        <v>svv320v</v>
      </c>
      <c r="B322" t="s">
        <v>321</v>
      </c>
      <c r="C322" t="s">
        <v>388</v>
      </c>
      <c r="D322" s="2" t="s">
        <v>389</v>
      </c>
      <c r="E322" t="s">
        <v>512</v>
      </c>
      <c r="F322" s="11">
        <v>43280</v>
      </c>
      <c r="G322" s="2">
        <f>VLOOKUP(E322,Produtos!$A:$E,5,FALSE)</f>
        <v>170</v>
      </c>
      <c r="H322" s="2">
        <f>VLOOKUP(E322,Produtos!$A:$E,4,FALSE)</f>
        <v>80</v>
      </c>
      <c r="I322" s="2">
        <v>3</v>
      </c>
    </row>
    <row r="323" spans="1:9" x14ac:dyDescent="0.25">
      <c r="A323" s="2" t="str">
        <f>CONCATENATE(Códigos!S322,Códigos!T322,Códigos!U322)</f>
        <v>svv321v</v>
      </c>
      <c r="B323" t="s">
        <v>321</v>
      </c>
      <c r="C323" t="s">
        <v>388</v>
      </c>
      <c r="D323" s="2" t="s">
        <v>389</v>
      </c>
      <c r="E323" t="s">
        <v>512</v>
      </c>
      <c r="F323" s="11">
        <v>43281</v>
      </c>
      <c r="G323" s="2">
        <f>VLOOKUP(E323,Produtos!$A:$E,5,FALSE)</f>
        <v>170</v>
      </c>
      <c r="H323" s="2">
        <f>VLOOKUP(E323,Produtos!$A:$E,4,FALSE)</f>
        <v>80</v>
      </c>
      <c r="I323" s="2">
        <v>3</v>
      </c>
    </row>
    <row r="324" spans="1:9" x14ac:dyDescent="0.25">
      <c r="A324" s="2" t="str">
        <f>CONCATENATE(Códigos!S323,Códigos!T323,Códigos!U323)</f>
        <v>svv322v</v>
      </c>
      <c r="B324" t="s">
        <v>321</v>
      </c>
      <c r="C324" t="s">
        <v>388</v>
      </c>
      <c r="D324" s="2" t="s">
        <v>389</v>
      </c>
      <c r="E324" t="s">
        <v>512</v>
      </c>
      <c r="F324" s="11">
        <v>43282</v>
      </c>
      <c r="G324" s="2">
        <f>VLOOKUP(E324,Produtos!$A:$E,5,FALSE)</f>
        <v>170</v>
      </c>
      <c r="H324" s="2">
        <f>VLOOKUP(E324,Produtos!$A:$E,4,FALSE)</f>
        <v>80</v>
      </c>
      <c r="I324" s="2">
        <v>3</v>
      </c>
    </row>
    <row r="325" spans="1:9" x14ac:dyDescent="0.25">
      <c r="A325" s="2" t="str">
        <f>CONCATENATE(Códigos!S324,Códigos!T324,Códigos!U324)</f>
        <v>svv323v</v>
      </c>
      <c r="B325" t="s">
        <v>321</v>
      </c>
      <c r="C325" t="s">
        <v>388</v>
      </c>
      <c r="D325" s="2" t="s">
        <v>389</v>
      </c>
      <c r="E325" t="s">
        <v>512</v>
      </c>
      <c r="F325" s="11">
        <v>43283</v>
      </c>
      <c r="G325" s="2">
        <f>VLOOKUP(E325,Produtos!$A:$E,5,FALSE)</f>
        <v>170</v>
      </c>
      <c r="H325" s="2">
        <f>VLOOKUP(E325,Produtos!$A:$E,4,FALSE)</f>
        <v>80</v>
      </c>
      <c r="I325" s="2">
        <v>3</v>
      </c>
    </row>
    <row r="326" spans="1:9" x14ac:dyDescent="0.25">
      <c r="A326" s="2" t="str">
        <f>CONCATENATE(Códigos!S325,Códigos!T325,Códigos!U325)</f>
        <v>svv324v</v>
      </c>
      <c r="B326" t="s">
        <v>321</v>
      </c>
      <c r="C326" t="s">
        <v>388</v>
      </c>
      <c r="D326" s="2" t="s">
        <v>389</v>
      </c>
      <c r="E326" t="s">
        <v>534</v>
      </c>
      <c r="F326" s="11">
        <v>43284</v>
      </c>
      <c r="G326" s="2">
        <f>VLOOKUP(E326,Produtos!$A:$E,5,FALSE)</f>
        <v>65</v>
      </c>
      <c r="H326" s="2">
        <f>VLOOKUP(E326,Produtos!$A:$E,4,FALSE)</f>
        <v>30</v>
      </c>
      <c r="I326" s="2">
        <v>3</v>
      </c>
    </row>
    <row r="327" spans="1:9" x14ac:dyDescent="0.25">
      <c r="A327" s="2" t="str">
        <f>CONCATENATE(Códigos!S326,Códigos!T326,Códigos!U326)</f>
        <v>svv325v</v>
      </c>
      <c r="B327" t="s">
        <v>321</v>
      </c>
      <c r="C327" t="s">
        <v>388</v>
      </c>
      <c r="D327" s="2" t="s">
        <v>389</v>
      </c>
      <c r="E327" t="s">
        <v>534</v>
      </c>
      <c r="F327" s="11">
        <v>43285</v>
      </c>
      <c r="G327" s="2">
        <f>VLOOKUP(E327,Produtos!$A:$E,5,FALSE)</f>
        <v>65</v>
      </c>
      <c r="H327" s="2">
        <f>VLOOKUP(E327,Produtos!$A:$E,4,FALSE)</f>
        <v>30</v>
      </c>
      <c r="I327" s="2">
        <v>3</v>
      </c>
    </row>
    <row r="328" spans="1:9" x14ac:dyDescent="0.25">
      <c r="A328" s="2" t="str">
        <f>CONCATENATE(Códigos!S327,Códigos!T327,Códigos!U327)</f>
        <v>svv326v</v>
      </c>
      <c r="B328" t="s">
        <v>321</v>
      </c>
      <c r="C328" t="s">
        <v>388</v>
      </c>
      <c r="D328" s="2" t="s">
        <v>389</v>
      </c>
      <c r="E328" t="s">
        <v>534</v>
      </c>
      <c r="F328" s="11">
        <v>43286</v>
      </c>
      <c r="G328" s="2">
        <f>VLOOKUP(E328,Produtos!$A:$E,5,FALSE)</f>
        <v>65</v>
      </c>
      <c r="H328" s="2">
        <f>VLOOKUP(E328,Produtos!$A:$E,4,FALSE)</f>
        <v>30</v>
      </c>
      <c r="I328" s="2">
        <v>3</v>
      </c>
    </row>
    <row r="329" spans="1:9" x14ac:dyDescent="0.25">
      <c r="A329" s="2" t="str">
        <f>CONCATENATE(Códigos!S328,Códigos!T328,Códigos!U328)</f>
        <v>svv327v</v>
      </c>
      <c r="B329" t="s">
        <v>321</v>
      </c>
      <c r="C329" t="s">
        <v>388</v>
      </c>
      <c r="D329" s="2" t="s">
        <v>389</v>
      </c>
      <c r="E329" t="s">
        <v>534</v>
      </c>
      <c r="F329" s="11">
        <v>43287</v>
      </c>
      <c r="G329" s="2">
        <f>VLOOKUP(E329,Produtos!$A:$E,5,FALSE)</f>
        <v>65</v>
      </c>
      <c r="H329" s="2">
        <f>VLOOKUP(E329,Produtos!$A:$E,4,FALSE)</f>
        <v>30</v>
      </c>
      <c r="I329" s="2">
        <v>3</v>
      </c>
    </row>
    <row r="330" spans="1:9" x14ac:dyDescent="0.25">
      <c r="A330" s="2" t="str">
        <f>CONCATENATE(Códigos!S329,Códigos!T329,Códigos!U329)</f>
        <v>svv328v</v>
      </c>
      <c r="B330" t="s">
        <v>321</v>
      </c>
      <c r="C330" t="s">
        <v>388</v>
      </c>
      <c r="D330" s="2" t="s">
        <v>389</v>
      </c>
      <c r="E330" t="s">
        <v>534</v>
      </c>
      <c r="F330" s="11">
        <v>43288</v>
      </c>
      <c r="G330" s="2">
        <f>VLOOKUP(E330,Produtos!$A:$E,5,FALSE)</f>
        <v>65</v>
      </c>
      <c r="H330" s="2">
        <f>VLOOKUP(E330,Produtos!$A:$E,4,FALSE)</f>
        <v>30</v>
      </c>
      <c r="I330" s="2">
        <v>3</v>
      </c>
    </row>
    <row r="331" spans="1:9" x14ac:dyDescent="0.25">
      <c r="A331" s="2" t="str">
        <f>CONCATENATE(Códigos!S330,Códigos!T330,Códigos!U330)</f>
        <v>svv329v</v>
      </c>
      <c r="B331" t="s">
        <v>321</v>
      </c>
      <c r="C331" t="s">
        <v>388</v>
      </c>
      <c r="D331" s="2" t="s">
        <v>389</v>
      </c>
      <c r="E331" t="s">
        <v>534</v>
      </c>
      <c r="F331" s="11">
        <v>43289</v>
      </c>
      <c r="G331" s="2">
        <f>VLOOKUP(E331,Produtos!$A:$E,5,FALSE)</f>
        <v>65</v>
      </c>
      <c r="H331" s="2">
        <f>VLOOKUP(E331,Produtos!$A:$E,4,FALSE)</f>
        <v>30</v>
      </c>
      <c r="I331" s="2">
        <v>3</v>
      </c>
    </row>
    <row r="332" spans="1:9" x14ac:dyDescent="0.25">
      <c r="A332" s="2" t="str">
        <f>CONCATENATE(Códigos!S331,Códigos!T331,Códigos!U331)</f>
        <v>svv330v</v>
      </c>
      <c r="B332" t="s">
        <v>321</v>
      </c>
      <c r="C332" t="s">
        <v>388</v>
      </c>
      <c r="D332" s="2" t="s">
        <v>389</v>
      </c>
      <c r="E332" t="s">
        <v>534</v>
      </c>
      <c r="F332" s="11">
        <v>43290</v>
      </c>
      <c r="G332" s="2">
        <f>VLOOKUP(E332,Produtos!$A:$E,5,FALSE)</f>
        <v>65</v>
      </c>
      <c r="H332" s="2">
        <f>VLOOKUP(E332,Produtos!$A:$E,4,FALSE)</f>
        <v>30</v>
      </c>
      <c r="I332" s="2">
        <v>3</v>
      </c>
    </row>
    <row r="333" spans="1:9" x14ac:dyDescent="0.25">
      <c r="A333" s="2" t="str">
        <f>CONCATENATE(Códigos!S332,Códigos!T332,Códigos!U332)</f>
        <v>svv331v</v>
      </c>
      <c r="B333" t="s">
        <v>321</v>
      </c>
      <c r="C333" t="s">
        <v>388</v>
      </c>
      <c r="D333" s="2" t="s">
        <v>389</v>
      </c>
      <c r="E333" t="s">
        <v>534</v>
      </c>
      <c r="F333" s="11">
        <v>43291</v>
      </c>
      <c r="G333" s="2">
        <f>VLOOKUP(E333,Produtos!$A:$E,5,FALSE)</f>
        <v>65</v>
      </c>
      <c r="H333" s="2">
        <f>VLOOKUP(E333,Produtos!$A:$E,4,FALSE)</f>
        <v>30</v>
      </c>
      <c r="I333" s="2">
        <v>3</v>
      </c>
    </row>
    <row r="334" spans="1:9" x14ac:dyDescent="0.25">
      <c r="A334" s="2" t="str">
        <f>CONCATENATE(Códigos!S333,Códigos!T333,Códigos!U333)</f>
        <v>svv332v</v>
      </c>
      <c r="B334" t="s">
        <v>321</v>
      </c>
      <c r="C334" t="s">
        <v>388</v>
      </c>
      <c r="D334" s="2" t="s">
        <v>389</v>
      </c>
      <c r="E334" t="s">
        <v>534</v>
      </c>
      <c r="F334" s="11">
        <v>43292</v>
      </c>
      <c r="G334" s="2">
        <f>VLOOKUP(E334,Produtos!$A:$E,5,FALSE)</f>
        <v>65</v>
      </c>
      <c r="H334" s="2">
        <f>VLOOKUP(E334,Produtos!$A:$E,4,FALSE)</f>
        <v>30</v>
      </c>
      <c r="I334" s="2">
        <v>3</v>
      </c>
    </row>
    <row r="335" spans="1:9" x14ac:dyDescent="0.25">
      <c r="A335" s="2" t="str">
        <f>CONCATENATE(Códigos!S334,Códigos!T334,Códigos!U334)</f>
        <v>svv333v</v>
      </c>
      <c r="B335" t="s">
        <v>321</v>
      </c>
      <c r="C335" t="s">
        <v>388</v>
      </c>
      <c r="D335" s="2" t="s">
        <v>389</v>
      </c>
      <c r="E335" t="s">
        <v>534</v>
      </c>
      <c r="F335" s="11">
        <v>43293</v>
      </c>
      <c r="G335" s="2">
        <f>VLOOKUP(E335,Produtos!$A:$E,5,FALSE)</f>
        <v>65</v>
      </c>
      <c r="H335" s="2">
        <f>VLOOKUP(E335,Produtos!$A:$E,4,FALSE)</f>
        <v>30</v>
      </c>
      <c r="I335" s="2">
        <v>3</v>
      </c>
    </row>
    <row r="336" spans="1:9" x14ac:dyDescent="0.25">
      <c r="A336" s="2" t="str">
        <f>CONCATENATE(Códigos!S335,Códigos!T335,Códigos!U335)</f>
        <v>svv334v</v>
      </c>
      <c r="B336" t="s">
        <v>321</v>
      </c>
      <c r="C336" t="s">
        <v>388</v>
      </c>
      <c r="D336" s="2" t="s">
        <v>389</v>
      </c>
      <c r="E336" t="s">
        <v>534</v>
      </c>
      <c r="F336" s="11">
        <v>43294</v>
      </c>
      <c r="G336" s="2">
        <f>VLOOKUP(E336,Produtos!$A:$E,5,FALSE)</f>
        <v>65</v>
      </c>
      <c r="H336" s="2">
        <f>VLOOKUP(E336,Produtos!$A:$E,4,FALSE)</f>
        <v>30</v>
      </c>
      <c r="I336" s="2">
        <v>3</v>
      </c>
    </row>
    <row r="337" spans="1:9" x14ac:dyDescent="0.25">
      <c r="A337" s="2" t="str">
        <f>CONCATENATE(Códigos!S336,Códigos!T336,Códigos!U336)</f>
        <v>svv335v</v>
      </c>
      <c r="B337" t="s">
        <v>321</v>
      </c>
      <c r="C337" t="s">
        <v>388</v>
      </c>
      <c r="D337" s="2" t="s">
        <v>389</v>
      </c>
      <c r="E337" t="s">
        <v>534</v>
      </c>
      <c r="F337" s="11">
        <v>43295</v>
      </c>
      <c r="G337" s="2">
        <f>VLOOKUP(E337,Produtos!$A:$E,5,FALSE)</f>
        <v>65</v>
      </c>
      <c r="H337" s="2">
        <f>VLOOKUP(E337,Produtos!$A:$E,4,FALSE)</f>
        <v>30</v>
      </c>
      <c r="I337" s="2">
        <v>3</v>
      </c>
    </row>
    <row r="338" spans="1:9" x14ac:dyDescent="0.25">
      <c r="A338" s="2" t="str">
        <f>CONCATENATE(Códigos!S337,Códigos!T337,Códigos!U337)</f>
        <v>svv336v</v>
      </c>
      <c r="B338" t="s">
        <v>321</v>
      </c>
      <c r="C338" t="s">
        <v>388</v>
      </c>
      <c r="D338" s="2" t="s">
        <v>389</v>
      </c>
      <c r="E338" t="s">
        <v>534</v>
      </c>
      <c r="F338" s="11">
        <v>43296</v>
      </c>
      <c r="G338" s="2">
        <f>VLOOKUP(E338,Produtos!$A:$E,5,FALSE)</f>
        <v>65</v>
      </c>
      <c r="H338" s="2">
        <f>VLOOKUP(E338,Produtos!$A:$E,4,FALSE)</f>
        <v>30</v>
      </c>
      <c r="I338" s="2">
        <v>3</v>
      </c>
    </row>
    <row r="339" spans="1:9" x14ac:dyDescent="0.25">
      <c r="A339" s="2" t="str">
        <f>CONCATENATE(Códigos!S338,Códigos!T338,Códigos!U338)</f>
        <v>svv337v</v>
      </c>
      <c r="B339" t="s">
        <v>321</v>
      </c>
      <c r="C339" t="s">
        <v>388</v>
      </c>
      <c r="D339" s="2" t="s">
        <v>389</v>
      </c>
      <c r="E339" t="s">
        <v>534</v>
      </c>
      <c r="F339" s="11">
        <v>43297</v>
      </c>
      <c r="G339" s="2">
        <f>VLOOKUP(E339,Produtos!$A:$E,5,FALSE)</f>
        <v>65</v>
      </c>
      <c r="H339" s="2">
        <f>VLOOKUP(E339,Produtos!$A:$E,4,FALSE)</f>
        <v>30</v>
      </c>
      <c r="I339" s="2">
        <v>3</v>
      </c>
    </row>
    <row r="340" spans="1:9" x14ac:dyDescent="0.25">
      <c r="A340" s="2" t="str">
        <f>CONCATENATE(Códigos!S339,Códigos!T339,Códigos!U339)</f>
        <v>svv338v</v>
      </c>
      <c r="B340" t="s">
        <v>321</v>
      </c>
      <c r="C340" t="s">
        <v>388</v>
      </c>
      <c r="D340" s="2" t="s">
        <v>389</v>
      </c>
      <c r="E340" t="s">
        <v>534</v>
      </c>
      <c r="F340" s="11">
        <v>43298</v>
      </c>
      <c r="G340" s="2">
        <f>VLOOKUP(E340,Produtos!$A:$E,5,FALSE)</f>
        <v>65</v>
      </c>
      <c r="H340" s="2">
        <f>VLOOKUP(E340,Produtos!$A:$E,4,FALSE)</f>
        <v>30</v>
      </c>
      <c r="I340" s="2">
        <v>3</v>
      </c>
    </row>
    <row r="341" spans="1:9" x14ac:dyDescent="0.25">
      <c r="A341" s="2" t="str">
        <f>CONCATENATE(Códigos!S340,Códigos!T340,Códigos!U340)</f>
        <v>svv339v</v>
      </c>
      <c r="B341" t="s">
        <v>321</v>
      </c>
      <c r="C341" t="s">
        <v>388</v>
      </c>
      <c r="D341" s="2" t="s">
        <v>389</v>
      </c>
      <c r="E341" t="s">
        <v>534</v>
      </c>
      <c r="F341" s="11">
        <v>43299</v>
      </c>
      <c r="G341" s="2">
        <f>VLOOKUP(E341,Produtos!$A:$E,5,FALSE)</f>
        <v>65</v>
      </c>
      <c r="H341" s="2">
        <f>VLOOKUP(E341,Produtos!$A:$E,4,FALSE)</f>
        <v>30</v>
      </c>
      <c r="I341" s="2">
        <v>3</v>
      </c>
    </row>
    <row r="342" spans="1:9" x14ac:dyDescent="0.25">
      <c r="A342" s="2" t="str">
        <f>CONCATENATE(Códigos!S341,Códigos!T341,Códigos!U341)</f>
        <v>svv340v</v>
      </c>
      <c r="B342" t="s">
        <v>321</v>
      </c>
      <c r="C342" t="s">
        <v>388</v>
      </c>
      <c r="D342" s="2" t="s">
        <v>389</v>
      </c>
      <c r="E342" t="s">
        <v>534</v>
      </c>
      <c r="F342" s="11">
        <v>43300</v>
      </c>
      <c r="G342" s="2">
        <f>VLOOKUP(E342,Produtos!$A:$E,5,FALSE)</f>
        <v>65</v>
      </c>
      <c r="H342" s="2">
        <f>VLOOKUP(E342,Produtos!$A:$E,4,FALSE)</f>
        <v>30</v>
      </c>
      <c r="I342" s="2">
        <v>3</v>
      </c>
    </row>
    <row r="343" spans="1:9" x14ac:dyDescent="0.25">
      <c r="A343" s="2" t="str">
        <f>CONCATENATE(Códigos!S342,Códigos!T342,Códigos!U342)</f>
        <v>svv341v</v>
      </c>
      <c r="B343" t="s">
        <v>321</v>
      </c>
      <c r="C343" t="s">
        <v>388</v>
      </c>
      <c r="D343" s="2" t="s">
        <v>389</v>
      </c>
      <c r="E343" t="s">
        <v>534</v>
      </c>
      <c r="F343" s="11">
        <v>43301</v>
      </c>
      <c r="G343" s="2">
        <f>VLOOKUP(E343,Produtos!$A:$E,5,FALSE)</f>
        <v>65</v>
      </c>
      <c r="H343" s="2">
        <f>VLOOKUP(E343,Produtos!$A:$E,4,FALSE)</f>
        <v>30</v>
      </c>
      <c r="I343" s="2">
        <v>3</v>
      </c>
    </row>
    <row r="344" spans="1:9" x14ac:dyDescent="0.25">
      <c r="A344" s="2" t="str">
        <f>CONCATENATE(Códigos!S343,Códigos!T343,Códigos!U343)</f>
        <v>svv342v</v>
      </c>
      <c r="B344" t="s">
        <v>321</v>
      </c>
      <c r="C344" t="s">
        <v>388</v>
      </c>
      <c r="D344" s="2" t="s">
        <v>389</v>
      </c>
      <c r="E344" t="s">
        <v>534</v>
      </c>
      <c r="F344" s="11">
        <v>43302</v>
      </c>
      <c r="G344" s="2">
        <f>VLOOKUP(E344,Produtos!$A:$E,5,FALSE)</f>
        <v>65</v>
      </c>
      <c r="H344" s="2">
        <f>VLOOKUP(E344,Produtos!$A:$E,4,FALSE)</f>
        <v>30</v>
      </c>
      <c r="I344" s="2">
        <v>3</v>
      </c>
    </row>
    <row r="345" spans="1:9" x14ac:dyDescent="0.25">
      <c r="A345" s="2" t="str">
        <f>CONCATENATE(Códigos!S344,Códigos!T344,Códigos!U344)</f>
        <v>svv343v</v>
      </c>
      <c r="B345" t="s">
        <v>321</v>
      </c>
      <c r="C345" t="s">
        <v>388</v>
      </c>
      <c r="D345" s="2" t="s">
        <v>389</v>
      </c>
      <c r="E345" t="s">
        <v>534</v>
      </c>
      <c r="F345" s="11">
        <v>43303</v>
      </c>
      <c r="G345" s="2">
        <f>VLOOKUP(E345,Produtos!$A:$E,5,FALSE)</f>
        <v>65</v>
      </c>
      <c r="H345" s="2">
        <f>VLOOKUP(E345,Produtos!$A:$E,4,FALSE)</f>
        <v>30</v>
      </c>
      <c r="I345" s="2">
        <v>3</v>
      </c>
    </row>
    <row r="346" spans="1:9" x14ac:dyDescent="0.25">
      <c r="A346" s="2" t="str">
        <f>CONCATENATE(Códigos!S345,Códigos!T345,Códigos!U345)</f>
        <v>svv344v</v>
      </c>
      <c r="B346" t="s">
        <v>321</v>
      </c>
      <c r="C346" t="s">
        <v>388</v>
      </c>
      <c r="D346" s="2" t="s">
        <v>389</v>
      </c>
      <c r="E346" t="s">
        <v>534</v>
      </c>
      <c r="F346" s="11">
        <v>43304</v>
      </c>
      <c r="G346" s="2">
        <f>VLOOKUP(E346,Produtos!$A:$E,5,FALSE)</f>
        <v>65</v>
      </c>
      <c r="H346" s="2">
        <f>VLOOKUP(E346,Produtos!$A:$E,4,FALSE)</f>
        <v>30</v>
      </c>
      <c r="I346" s="2">
        <v>3</v>
      </c>
    </row>
    <row r="347" spans="1:9" x14ac:dyDescent="0.25">
      <c r="A347" s="2" t="str">
        <f>CONCATENATE(Códigos!S346,Códigos!T346,Códigos!U346)</f>
        <v>svv345v</v>
      </c>
      <c r="B347" t="s">
        <v>321</v>
      </c>
      <c r="C347" t="s">
        <v>388</v>
      </c>
      <c r="D347" s="2" t="s">
        <v>389</v>
      </c>
      <c r="E347" t="s">
        <v>534</v>
      </c>
      <c r="F347" s="11">
        <v>43305</v>
      </c>
      <c r="G347" s="2">
        <f>VLOOKUP(E347,Produtos!$A:$E,5,FALSE)</f>
        <v>65</v>
      </c>
      <c r="H347" s="2">
        <f>VLOOKUP(E347,Produtos!$A:$E,4,FALSE)</f>
        <v>30</v>
      </c>
      <c r="I347" s="2">
        <v>3</v>
      </c>
    </row>
    <row r="348" spans="1:9" x14ac:dyDescent="0.25">
      <c r="A348" s="2" t="str">
        <f>CONCATENATE(Códigos!S347,Códigos!T347,Códigos!U347)</f>
        <v>svv346v</v>
      </c>
      <c r="B348" t="s">
        <v>321</v>
      </c>
      <c r="C348" t="s">
        <v>388</v>
      </c>
      <c r="D348" s="2" t="s">
        <v>389</v>
      </c>
      <c r="E348" t="s">
        <v>534</v>
      </c>
      <c r="F348" s="11">
        <v>43306</v>
      </c>
      <c r="G348" s="2">
        <f>VLOOKUP(E348,Produtos!$A:$E,5,FALSE)</f>
        <v>65</v>
      </c>
      <c r="H348" s="2">
        <f>VLOOKUP(E348,Produtos!$A:$E,4,FALSE)</f>
        <v>30</v>
      </c>
      <c r="I348" s="2">
        <v>3</v>
      </c>
    </row>
    <row r="349" spans="1:9" x14ac:dyDescent="0.25">
      <c r="A349" s="2" t="str">
        <f>CONCATENATE(Códigos!S348,Códigos!T348,Códigos!U348)</f>
        <v>svv347v</v>
      </c>
      <c r="B349" t="s">
        <v>321</v>
      </c>
      <c r="C349" t="s">
        <v>388</v>
      </c>
      <c r="D349" s="2" t="s">
        <v>389</v>
      </c>
      <c r="E349" t="s">
        <v>534</v>
      </c>
      <c r="F349" s="11">
        <v>43307</v>
      </c>
      <c r="G349" s="2">
        <f>VLOOKUP(E349,Produtos!$A:$E,5,FALSE)</f>
        <v>65</v>
      </c>
      <c r="H349" s="2">
        <f>VLOOKUP(E349,Produtos!$A:$E,4,FALSE)</f>
        <v>30</v>
      </c>
      <c r="I349" s="2">
        <v>3</v>
      </c>
    </row>
    <row r="350" spans="1:9" x14ac:dyDescent="0.25">
      <c r="A350" s="2" t="str">
        <f>CONCATENATE(Códigos!S349,Códigos!T349,Códigos!U349)</f>
        <v>svv348v</v>
      </c>
      <c r="B350" t="s">
        <v>321</v>
      </c>
      <c r="C350" t="s">
        <v>388</v>
      </c>
      <c r="D350" s="2" t="s">
        <v>389</v>
      </c>
      <c r="E350" t="s">
        <v>534</v>
      </c>
      <c r="F350" s="11">
        <v>43308</v>
      </c>
      <c r="G350" s="2">
        <f>VLOOKUP(E350,Produtos!$A:$E,5,FALSE)</f>
        <v>65</v>
      </c>
      <c r="H350" s="2">
        <f>VLOOKUP(E350,Produtos!$A:$E,4,FALSE)</f>
        <v>30</v>
      </c>
      <c r="I350" s="2">
        <v>3</v>
      </c>
    </row>
    <row r="351" spans="1:9" x14ac:dyDescent="0.25">
      <c r="A351" s="2" t="str">
        <f>CONCATENATE(Códigos!S350,Códigos!T350,Códigos!U350)</f>
        <v>svv349v</v>
      </c>
      <c r="B351" t="s">
        <v>321</v>
      </c>
      <c r="C351" t="s">
        <v>388</v>
      </c>
      <c r="D351" s="2" t="s">
        <v>389</v>
      </c>
      <c r="E351" t="s">
        <v>534</v>
      </c>
      <c r="F351" s="11">
        <v>43309</v>
      </c>
      <c r="G351" s="2">
        <f>VLOOKUP(E351,Produtos!$A:$E,5,FALSE)</f>
        <v>65</v>
      </c>
      <c r="H351" s="2">
        <f>VLOOKUP(E351,Produtos!$A:$E,4,FALSE)</f>
        <v>30</v>
      </c>
      <c r="I351" s="2">
        <v>3</v>
      </c>
    </row>
    <row r="352" spans="1:9" x14ac:dyDescent="0.25">
      <c r="A352" s="2" t="str">
        <f>CONCATENATE(Códigos!S351,Códigos!T351,Códigos!U351)</f>
        <v>svv350v</v>
      </c>
      <c r="B352" t="s">
        <v>321</v>
      </c>
      <c r="C352" t="s">
        <v>388</v>
      </c>
      <c r="D352" s="2" t="s">
        <v>389</v>
      </c>
      <c r="E352" t="s">
        <v>534</v>
      </c>
      <c r="F352" s="11">
        <v>43310</v>
      </c>
      <c r="G352" s="2">
        <f>VLOOKUP(E352,Produtos!$A:$E,5,FALSE)</f>
        <v>65</v>
      </c>
      <c r="H352" s="2">
        <f>VLOOKUP(E352,Produtos!$A:$E,4,FALSE)</f>
        <v>30</v>
      </c>
      <c r="I352" s="2">
        <v>3</v>
      </c>
    </row>
    <row r="353" spans="1:9" x14ac:dyDescent="0.25">
      <c r="A353" s="2" t="str">
        <f>CONCATENATE(Códigos!S352,Códigos!T352,Códigos!U352)</f>
        <v>svv351v</v>
      </c>
      <c r="B353" t="s">
        <v>321</v>
      </c>
      <c r="C353" t="s">
        <v>388</v>
      </c>
      <c r="D353" s="2" t="s">
        <v>389</v>
      </c>
      <c r="E353" t="s">
        <v>534</v>
      </c>
      <c r="F353" s="11">
        <v>43311</v>
      </c>
      <c r="G353" s="2">
        <f>VLOOKUP(E353,Produtos!$A:$E,5,FALSE)</f>
        <v>65</v>
      </c>
      <c r="H353" s="2">
        <f>VLOOKUP(E353,Produtos!$A:$E,4,FALSE)</f>
        <v>30</v>
      </c>
      <c r="I353" s="2">
        <v>3</v>
      </c>
    </row>
    <row r="354" spans="1:9" x14ac:dyDescent="0.25">
      <c r="A354" s="2" t="str">
        <f>CONCATENATE(Códigos!S353,Códigos!T353,Códigos!U353)</f>
        <v>svv352v</v>
      </c>
      <c r="B354" t="s">
        <v>321</v>
      </c>
      <c r="C354" t="s">
        <v>388</v>
      </c>
      <c r="D354" s="2" t="s">
        <v>389</v>
      </c>
      <c r="E354" t="s">
        <v>534</v>
      </c>
      <c r="F354" s="11">
        <v>43312</v>
      </c>
      <c r="G354" s="2">
        <f>VLOOKUP(E354,Produtos!$A:$E,5,FALSE)</f>
        <v>65</v>
      </c>
      <c r="H354" s="2">
        <f>VLOOKUP(E354,Produtos!$A:$E,4,FALSE)</f>
        <v>30</v>
      </c>
      <c r="I354" s="2">
        <v>3</v>
      </c>
    </row>
    <row r="355" spans="1:9" x14ac:dyDescent="0.25">
      <c r="A355" s="2" t="str">
        <f>CONCATENATE(Códigos!S354,Códigos!T354,Códigos!U354)</f>
        <v>svv353v</v>
      </c>
      <c r="B355" t="s">
        <v>321</v>
      </c>
      <c r="C355" t="s">
        <v>388</v>
      </c>
      <c r="D355" s="2" t="s">
        <v>389</v>
      </c>
      <c r="E355" t="s">
        <v>534</v>
      </c>
      <c r="F355" s="11">
        <v>43313</v>
      </c>
      <c r="G355" s="2">
        <f>VLOOKUP(E355,Produtos!$A:$E,5,FALSE)</f>
        <v>65</v>
      </c>
      <c r="H355" s="2">
        <f>VLOOKUP(E355,Produtos!$A:$E,4,FALSE)</f>
        <v>30</v>
      </c>
      <c r="I355" s="2">
        <v>3</v>
      </c>
    </row>
    <row r="356" spans="1:9" x14ac:dyDescent="0.25">
      <c r="A356" s="2" t="str">
        <f>CONCATENATE(Códigos!S355,Códigos!T355,Códigos!U355)</f>
        <v>svv354v</v>
      </c>
      <c r="B356" t="s">
        <v>321</v>
      </c>
      <c r="C356" t="s">
        <v>388</v>
      </c>
      <c r="D356" s="2" t="s">
        <v>389</v>
      </c>
      <c r="E356" t="s">
        <v>534</v>
      </c>
      <c r="F356" s="11">
        <v>43314</v>
      </c>
      <c r="G356" s="2">
        <f>VLOOKUP(E356,Produtos!$A:$E,5,FALSE)</f>
        <v>65</v>
      </c>
      <c r="H356" s="2">
        <f>VLOOKUP(E356,Produtos!$A:$E,4,FALSE)</f>
        <v>30</v>
      </c>
      <c r="I356" s="2">
        <v>3</v>
      </c>
    </row>
    <row r="357" spans="1:9" x14ac:dyDescent="0.25">
      <c r="A357" s="2" t="str">
        <f>CONCATENATE(Códigos!S356,Códigos!T356,Códigos!U356)</f>
        <v>svv355v</v>
      </c>
      <c r="B357" t="s">
        <v>321</v>
      </c>
      <c r="C357" t="s">
        <v>388</v>
      </c>
      <c r="D357" s="2" t="s">
        <v>389</v>
      </c>
      <c r="E357" t="s">
        <v>536</v>
      </c>
      <c r="F357" s="11">
        <v>43315</v>
      </c>
      <c r="G357" s="2">
        <f>VLOOKUP(E357,Produtos!$A:$E,5,FALSE)</f>
        <v>400</v>
      </c>
      <c r="H357" s="2">
        <f>VLOOKUP(E357,Produtos!$A:$E,4,FALSE)</f>
        <v>180</v>
      </c>
      <c r="I357" s="2">
        <v>3</v>
      </c>
    </row>
    <row r="358" spans="1:9" x14ac:dyDescent="0.25">
      <c r="A358" s="2" t="str">
        <f>CONCATENATE(Códigos!S357,Códigos!T357,Códigos!U357)</f>
        <v>svv356v</v>
      </c>
      <c r="B358" t="s">
        <v>321</v>
      </c>
      <c r="C358" t="s">
        <v>388</v>
      </c>
      <c r="D358" s="2" t="s">
        <v>389</v>
      </c>
      <c r="E358" t="s">
        <v>536</v>
      </c>
      <c r="F358" s="11">
        <v>43316</v>
      </c>
      <c r="G358" s="2">
        <f>VLOOKUP(E358,Produtos!$A:$E,5,FALSE)</f>
        <v>400</v>
      </c>
      <c r="H358" s="2">
        <f>VLOOKUP(E358,Produtos!$A:$E,4,FALSE)</f>
        <v>180</v>
      </c>
      <c r="I358" s="2">
        <v>3</v>
      </c>
    </row>
    <row r="359" spans="1:9" x14ac:dyDescent="0.25">
      <c r="A359" s="2" t="str">
        <f>CONCATENATE(Códigos!S358,Códigos!T358,Códigos!U358)</f>
        <v>svv357v</v>
      </c>
      <c r="B359" t="s">
        <v>321</v>
      </c>
      <c r="C359" t="s">
        <v>388</v>
      </c>
      <c r="D359" s="2" t="s">
        <v>389</v>
      </c>
      <c r="E359" t="s">
        <v>536</v>
      </c>
      <c r="F359" s="11">
        <v>43317</v>
      </c>
      <c r="G359" s="2">
        <f>VLOOKUP(E359,Produtos!$A:$E,5,FALSE)</f>
        <v>400</v>
      </c>
      <c r="H359" s="2">
        <f>VLOOKUP(E359,Produtos!$A:$E,4,FALSE)</f>
        <v>180</v>
      </c>
      <c r="I359" s="2">
        <v>3</v>
      </c>
    </row>
    <row r="360" spans="1:9" x14ac:dyDescent="0.25">
      <c r="A360" s="2" t="str">
        <f>CONCATENATE(Códigos!S359,Códigos!T359,Códigos!U359)</f>
        <v>svv358v</v>
      </c>
      <c r="B360" t="s">
        <v>321</v>
      </c>
      <c r="C360" t="s">
        <v>388</v>
      </c>
      <c r="D360" s="2" t="s">
        <v>389</v>
      </c>
      <c r="E360" t="s">
        <v>536</v>
      </c>
      <c r="F360" s="11">
        <v>43318</v>
      </c>
      <c r="G360" s="2">
        <f>VLOOKUP(E360,Produtos!$A:$E,5,FALSE)</f>
        <v>400</v>
      </c>
      <c r="H360" s="2">
        <f>VLOOKUP(E360,Produtos!$A:$E,4,FALSE)</f>
        <v>180</v>
      </c>
      <c r="I360" s="2">
        <v>3</v>
      </c>
    </row>
    <row r="361" spans="1:9" x14ac:dyDescent="0.25">
      <c r="A361" s="2" t="str">
        <f>CONCATENATE(Códigos!S360,Códigos!T360,Códigos!U360)</f>
        <v>svv359v</v>
      </c>
      <c r="B361" t="s">
        <v>321</v>
      </c>
      <c r="C361" t="s">
        <v>388</v>
      </c>
      <c r="D361" s="2" t="s">
        <v>389</v>
      </c>
      <c r="E361" t="s">
        <v>536</v>
      </c>
      <c r="F361" s="11">
        <v>43319</v>
      </c>
      <c r="G361" s="2">
        <f>VLOOKUP(E361,Produtos!$A:$E,5,FALSE)</f>
        <v>400</v>
      </c>
      <c r="H361" s="2">
        <f>VLOOKUP(E361,Produtos!$A:$E,4,FALSE)</f>
        <v>180</v>
      </c>
      <c r="I361" s="2">
        <v>3</v>
      </c>
    </row>
    <row r="362" spans="1:9" x14ac:dyDescent="0.25">
      <c r="A362" s="2" t="str">
        <f>CONCATENATE(Códigos!S361,Códigos!T361,Códigos!U361)</f>
        <v>svv360v</v>
      </c>
      <c r="B362" t="s">
        <v>321</v>
      </c>
      <c r="C362" t="s">
        <v>388</v>
      </c>
      <c r="D362" s="2" t="s">
        <v>389</v>
      </c>
      <c r="E362" t="s">
        <v>536</v>
      </c>
      <c r="F362" s="11">
        <v>43320</v>
      </c>
      <c r="G362" s="2">
        <f>VLOOKUP(E362,Produtos!$A:$E,5,FALSE)</f>
        <v>400</v>
      </c>
      <c r="H362" s="2">
        <f>VLOOKUP(E362,Produtos!$A:$E,4,FALSE)</f>
        <v>180</v>
      </c>
      <c r="I362" s="2">
        <v>3</v>
      </c>
    </row>
    <row r="363" spans="1:9" x14ac:dyDescent="0.25">
      <c r="A363" s="2" t="str">
        <f>CONCATENATE(Códigos!S362,Códigos!T362,Códigos!U362)</f>
        <v>svv361v</v>
      </c>
      <c r="B363" t="s">
        <v>321</v>
      </c>
      <c r="C363" t="s">
        <v>388</v>
      </c>
      <c r="D363" s="2" t="s">
        <v>389</v>
      </c>
      <c r="E363" t="s">
        <v>536</v>
      </c>
      <c r="F363" s="11">
        <v>43321</v>
      </c>
      <c r="G363" s="2">
        <f>VLOOKUP(E363,Produtos!$A:$E,5,FALSE)</f>
        <v>400</v>
      </c>
      <c r="H363" s="2">
        <f>VLOOKUP(E363,Produtos!$A:$E,4,FALSE)</f>
        <v>180</v>
      </c>
      <c r="I363" s="2">
        <v>3</v>
      </c>
    </row>
    <row r="364" spans="1:9" x14ac:dyDescent="0.25">
      <c r="A364" s="2" t="str">
        <f>CONCATENATE(Códigos!S363,Códigos!T363,Códigos!U363)</f>
        <v>svv362v</v>
      </c>
      <c r="B364" t="s">
        <v>321</v>
      </c>
      <c r="C364" t="s">
        <v>388</v>
      </c>
      <c r="D364" s="2" t="s">
        <v>389</v>
      </c>
      <c r="E364" t="s">
        <v>536</v>
      </c>
      <c r="F364" s="11">
        <v>43322</v>
      </c>
      <c r="G364" s="2">
        <f>VLOOKUP(E364,Produtos!$A:$E,5,FALSE)</f>
        <v>400</v>
      </c>
      <c r="H364" s="2">
        <f>VLOOKUP(E364,Produtos!$A:$E,4,FALSE)</f>
        <v>180</v>
      </c>
      <c r="I364" s="2">
        <v>3</v>
      </c>
    </row>
    <row r="365" spans="1:9" x14ac:dyDescent="0.25">
      <c r="A365" s="2" t="str">
        <f>CONCATENATE(Códigos!S364,Códigos!T364,Códigos!U364)</f>
        <v>svv363v</v>
      </c>
      <c r="B365" t="s">
        <v>321</v>
      </c>
      <c r="C365" t="s">
        <v>388</v>
      </c>
      <c r="D365" s="2" t="s">
        <v>389</v>
      </c>
      <c r="E365" t="s">
        <v>536</v>
      </c>
      <c r="F365" s="11">
        <v>43323</v>
      </c>
      <c r="G365" s="2">
        <f>VLOOKUP(E365,Produtos!$A:$E,5,FALSE)</f>
        <v>400</v>
      </c>
      <c r="H365" s="2">
        <f>VLOOKUP(E365,Produtos!$A:$E,4,FALSE)</f>
        <v>180</v>
      </c>
      <c r="I365" s="2">
        <v>3</v>
      </c>
    </row>
    <row r="366" spans="1:9" x14ac:dyDescent="0.25">
      <c r="A366" s="2" t="str">
        <f>CONCATENATE(Códigos!S365,Códigos!T365,Códigos!U365)</f>
        <v>svv364v</v>
      </c>
      <c r="B366" t="s">
        <v>321</v>
      </c>
      <c r="C366" t="s">
        <v>388</v>
      </c>
      <c r="D366" s="2" t="s">
        <v>389</v>
      </c>
      <c r="E366" t="s">
        <v>536</v>
      </c>
      <c r="F366" s="11">
        <v>43324</v>
      </c>
      <c r="G366" s="2">
        <f>VLOOKUP(E366,Produtos!$A:$E,5,FALSE)</f>
        <v>400</v>
      </c>
      <c r="H366" s="2">
        <f>VLOOKUP(E366,Produtos!$A:$E,4,FALSE)</f>
        <v>180</v>
      </c>
      <c r="I366" s="2">
        <v>3</v>
      </c>
    </row>
    <row r="367" spans="1:9" x14ac:dyDescent="0.25">
      <c r="A367" s="2" t="str">
        <f>CONCATENATE(Códigos!S366,Códigos!T366,Códigos!U366)</f>
        <v>svv365v</v>
      </c>
      <c r="B367" t="s">
        <v>321</v>
      </c>
      <c r="C367" t="s">
        <v>388</v>
      </c>
      <c r="D367" s="2" t="s">
        <v>389</v>
      </c>
      <c r="E367" t="s">
        <v>536</v>
      </c>
      <c r="F367" s="11">
        <v>43325</v>
      </c>
      <c r="G367" s="2">
        <f>VLOOKUP(E367,Produtos!$A:$E,5,FALSE)</f>
        <v>400</v>
      </c>
      <c r="H367" s="2">
        <f>VLOOKUP(E367,Produtos!$A:$E,4,FALSE)</f>
        <v>180</v>
      </c>
      <c r="I367" s="2">
        <v>3</v>
      </c>
    </row>
    <row r="368" spans="1:9" x14ac:dyDescent="0.25">
      <c r="A368" s="2" t="str">
        <f>CONCATENATE(Códigos!S367,Códigos!T367,Códigos!U367)</f>
        <v>svv366v</v>
      </c>
      <c r="B368" t="s">
        <v>321</v>
      </c>
      <c r="C368" t="s">
        <v>388</v>
      </c>
      <c r="D368" s="2" t="s">
        <v>389</v>
      </c>
      <c r="E368" t="s">
        <v>536</v>
      </c>
      <c r="F368" s="11">
        <v>43326</v>
      </c>
      <c r="G368" s="2">
        <f>VLOOKUP(E368,Produtos!$A:$E,5,FALSE)</f>
        <v>400</v>
      </c>
      <c r="H368" s="2">
        <f>VLOOKUP(E368,Produtos!$A:$E,4,FALSE)</f>
        <v>180</v>
      </c>
      <c r="I368" s="2">
        <v>3</v>
      </c>
    </row>
    <row r="369" spans="1:9" x14ac:dyDescent="0.25">
      <c r="A369" s="2" t="str">
        <f>CONCATENATE(Códigos!S368,Códigos!T368,Códigos!U368)</f>
        <v>svv367v</v>
      </c>
      <c r="B369" t="s">
        <v>321</v>
      </c>
      <c r="C369" t="s">
        <v>388</v>
      </c>
      <c r="D369" s="2" t="s">
        <v>389</v>
      </c>
      <c r="E369" t="s">
        <v>536</v>
      </c>
      <c r="F369" s="11">
        <v>43327</v>
      </c>
      <c r="G369" s="2">
        <f>VLOOKUP(E369,Produtos!$A:$E,5,FALSE)</f>
        <v>400</v>
      </c>
      <c r="H369" s="2">
        <f>VLOOKUP(E369,Produtos!$A:$E,4,FALSE)</f>
        <v>180</v>
      </c>
      <c r="I369" s="2">
        <v>3</v>
      </c>
    </row>
    <row r="370" spans="1:9" x14ac:dyDescent="0.25">
      <c r="A370" s="2" t="str">
        <f>CONCATENATE(Códigos!S369,Códigos!T369,Códigos!U369)</f>
        <v>svv368v</v>
      </c>
      <c r="B370" t="s">
        <v>321</v>
      </c>
      <c r="C370" t="s">
        <v>388</v>
      </c>
      <c r="D370" s="2" t="s">
        <v>389</v>
      </c>
      <c r="E370" t="s">
        <v>536</v>
      </c>
      <c r="F370" s="11">
        <v>43328</v>
      </c>
      <c r="G370" s="2">
        <f>VLOOKUP(E370,Produtos!$A:$E,5,FALSE)</f>
        <v>400</v>
      </c>
      <c r="H370" s="2">
        <f>VLOOKUP(E370,Produtos!$A:$E,4,FALSE)</f>
        <v>180</v>
      </c>
      <c r="I370" s="2">
        <v>3</v>
      </c>
    </row>
    <row r="371" spans="1:9" x14ac:dyDescent="0.25">
      <c r="A371" s="2" t="str">
        <f>CONCATENATE(Códigos!S370,Códigos!T370,Códigos!U370)</f>
        <v>svv369v</v>
      </c>
      <c r="B371" t="s">
        <v>321</v>
      </c>
      <c r="C371" t="s">
        <v>388</v>
      </c>
      <c r="D371" s="2" t="s">
        <v>389</v>
      </c>
      <c r="E371" t="s">
        <v>536</v>
      </c>
      <c r="F371" s="11">
        <v>43329</v>
      </c>
      <c r="G371" s="2">
        <f>VLOOKUP(E371,Produtos!$A:$E,5,FALSE)</f>
        <v>400</v>
      </c>
      <c r="H371" s="2">
        <f>VLOOKUP(E371,Produtos!$A:$E,4,FALSE)</f>
        <v>180</v>
      </c>
      <c r="I371" s="2">
        <v>3</v>
      </c>
    </row>
    <row r="372" spans="1:9" x14ac:dyDescent="0.25">
      <c r="A372" s="2" t="str">
        <f>CONCATENATE(Códigos!S371,Códigos!T371,Códigos!U371)</f>
        <v>svv370v</v>
      </c>
      <c r="B372" t="s">
        <v>321</v>
      </c>
      <c r="C372" t="s">
        <v>388</v>
      </c>
      <c r="D372" s="2" t="s">
        <v>389</v>
      </c>
      <c r="E372" t="s">
        <v>536</v>
      </c>
      <c r="F372" s="11">
        <v>43330</v>
      </c>
      <c r="G372" s="2">
        <f>VLOOKUP(E372,Produtos!$A:$E,5,FALSE)</f>
        <v>400</v>
      </c>
      <c r="H372" s="2">
        <f>VLOOKUP(E372,Produtos!$A:$E,4,FALSE)</f>
        <v>180</v>
      </c>
      <c r="I372" s="2">
        <v>3</v>
      </c>
    </row>
    <row r="373" spans="1:9" x14ac:dyDescent="0.25">
      <c r="A373" s="2" t="str">
        <f>CONCATENATE(Códigos!S372,Códigos!T372,Códigos!U372)</f>
        <v>svv371v</v>
      </c>
      <c r="B373" t="s">
        <v>321</v>
      </c>
      <c r="C373" t="s">
        <v>388</v>
      </c>
      <c r="D373" s="2" t="s">
        <v>389</v>
      </c>
      <c r="E373" t="s">
        <v>536</v>
      </c>
      <c r="F373" s="11">
        <v>43331</v>
      </c>
      <c r="G373" s="2">
        <f>VLOOKUP(E373,Produtos!$A:$E,5,FALSE)</f>
        <v>400</v>
      </c>
      <c r="H373" s="2">
        <f>VLOOKUP(E373,Produtos!$A:$E,4,FALSE)</f>
        <v>180</v>
      </c>
      <c r="I373" s="2">
        <v>3</v>
      </c>
    </row>
    <row r="374" spans="1:9" x14ac:dyDescent="0.25">
      <c r="A374" s="2" t="str">
        <f>CONCATENATE(Códigos!S373,Códigos!T373,Códigos!U373)</f>
        <v>svv372v</v>
      </c>
      <c r="B374" t="s">
        <v>321</v>
      </c>
      <c r="C374" t="s">
        <v>388</v>
      </c>
      <c r="D374" s="2" t="s">
        <v>389</v>
      </c>
      <c r="E374" t="s">
        <v>536</v>
      </c>
      <c r="F374" s="11">
        <v>43332</v>
      </c>
      <c r="G374" s="2">
        <f>VLOOKUP(E374,Produtos!$A:$E,5,FALSE)</f>
        <v>400</v>
      </c>
      <c r="H374" s="2">
        <f>VLOOKUP(E374,Produtos!$A:$E,4,FALSE)</f>
        <v>180</v>
      </c>
      <c r="I374" s="2">
        <v>3</v>
      </c>
    </row>
    <row r="375" spans="1:9" x14ac:dyDescent="0.25">
      <c r="A375" s="2" t="str">
        <f>CONCATENATE(Códigos!S374,Códigos!T374,Códigos!U374)</f>
        <v>svv373v</v>
      </c>
      <c r="B375" t="s">
        <v>321</v>
      </c>
      <c r="C375" t="s">
        <v>388</v>
      </c>
      <c r="D375" s="2" t="s">
        <v>389</v>
      </c>
      <c r="E375" t="s">
        <v>536</v>
      </c>
      <c r="F375" s="11">
        <v>43333</v>
      </c>
      <c r="G375" s="2">
        <f>VLOOKUP(E375,Produtos!$A:$E,5,FALSE)</f>
        <v>400</v>
      </c>
      <c r="H375" s="2">
        <f>VLOOKUP(E375,Produtos!$A:$E,4,FALSE)</f>
        <v>180</v>
      </c>
      <c r="I375" s="2">
        <v>3</v>
      </c>
    </row>
    <row r="376" spans="1:9" x14ac:dyDescent="0.25">
      <c r="A376" s="2" t="str">
        <f>CONCATENATE(Códigos!S375,Códigos!T375,Códigos!U375)</f>
        <v>svv374v</v>
      </c>
      <c r="B376" t="s">
        <v>321</v>
      </c>
      <c r="C376" t="s">
        <v>388</v>
      </c>
      <c r="D376" s="2" t="s">
        <v>389</v>
      </c>
      <c r="E376" t="s">
        <v>536</v>
      </c>
      <c r="F376" s="11">
        <v>43334</v>
      </c>
      <c r="G376" s="2">
        <f>VLOOKUP(E376,Produtos!$A:$E,5,FALSE)</f>
        <v>400</v>
      </c>
      <c r="H376" s="2">
        <f>VLOOKUP(E376,Produtos!$A:$E,4,FALSE)</f>
        <v>180</v>
      </c>
      <c r="I376" s="2">
        <v>3</v>
      </c>
    </row>
    <row r="377" spans="1:9" x14ac:dyDescent="0.25">
      <c r="A377" s="2" t="str">
        <f>CONCATENATE(Códigos!S376,Códigos!T376,Códigos!U376)</f>
        <v>svv375v</v>
      </c>
      <c r="B377" t="s">
        <v>321</v>
      </c>
      <c r="C377" t="s">
        <v>388</v>
      </c>
      <c r="D377" s="2" t="s">
        <v>389</v>
      </c>
      <c r="E377" t="s">
        <v>536</v>
      </c>
      <c r="F377" s="11">
        <v>43335</v>
      </c>
      <c r="G377" s="2">
        <f>VLOOKUP(E377,Produtos!$A:$E,5,FALSE)</f>
        <v>400</v>
      </c>
      <c r="H377" s="2">
        <f>VLOOKUP(E377,Produtos!$A:$E,4,FALSE)</f>
        <v>180</v>
      </c>
      <c r="I377" s="2">
        <v>3</v>
      </c>
    </row>
    <row r="378" spans="1:9" x14ac:dyDescent="0.25">
      <c r="A378" s="2" t="str">
        <f>CONCATENATE(Códigos!S377,Códigos!T377,Códigos!U377)</f>
        <v>svv376v</v>
      </c>
      <c r="B378" t="s">
        <v>321</v>
      </c>
      <c r="C378" t="s">
        <v>388</v>
      </c>
      <c r="D378" s="2" t="s">
        <v>389</v>
      </c>
      <c r="E378" t="s">
        <v>536</v>
      </c>
      <c r="F378" s="11">
        <v>43336</v>
      </c>
      <c r="G378" s="2">
        <f>VLOOKUP(E378,Produtos!$A:$E,5,FALSE)</f>
        <v>400</v>
      </c>
      <c r="H378" s="2">
        <f>VLOOKUP(E378,Produtos!$A:$E,4,FALSE)</f>
        <v>180</v>
      </c>
      <c r="I378" s="2">
        <v>3</v>
      </c>
    </row>
    <row r="379" spans="1:9" x14ac:dyDescent="0.25">
      <c r="A379" s="2" t="str">
        <f>CONCATENATE(Códigos!S378,Códigos!T378,Códigos!U378)</f>
        <v>svv377v</v>
      </c>
      <c r="B379" t="s">
        <v>321</v>
      </c>
      <c r="C379" t="s">
        <v>388</v>
      </c>
      <c r="D379" s="2" t="s">
        <v>389</v>
      </c>
      <c r="E379" t="s">
        <v>536</v>
      </c>
      <c r="F379" s="11">
        <v>43337</v>
      </c>
      <c r="G379" s="2">
        <f>VLOOKUP(E379,Produtos!$A:$E,5,FALSE)</f>
        <v>400</v>
      </c>
      <c r="H379" s="2">
        <f>VLOOKUP(E379,Produtos!$A:$E,4,FALSE)</f>
        <v>180</v>
      </c>
      <c r="I379" s="2">
        <v>3</v>
      </c>
    </row>
    <row r="380" spans="1:9" x14ac:dyDescent="0.25">
      <c r="A380" s="2" t="str">
        <f>CONCATENATE(Códigos!S379,Códigos!T379,Códigos!U379)</f>
        <v>svv378v</v>
      </c>
      <c r="B380" t="s">
        <v>321</v>
      </c>
      <c r="C380" t="s">
        <v>388</v>
      </c>
      <c r="D380" s="2" t="s">
        <v>389</v>
      </c>
      <c r="E380" t="s">
        <v>536</v>
      </c>
      <c r="F380" s="11">
        <v>43338</v>
      </c>
      <c r="G380" s="2">
        <f>VLOOKUP(E380,Produtos!$A:$E,5,FALSE)</f>
        <v>400</v>
      </c>
      <c r="H380" s="2">
        <f>VLOOKUP(E380,Produtos!$A:$E,4,FALSE)</f>
        <v>180</v>
      </c>
      <c r="I380" s="2">
        <v>3</v>
      </c>
    </row>
    <row r="381" spans="1:9" x14ac:dyDescent="0.25">
      <c r="A381" s="2" t="str">
        <f>CONCATENATE(Códigos!S380,Códigos!T380,Códigos!U380)</f>
        <v>svv379v</v>
      </c>
      <c r="B381" t="s">
        <v>321</v>
      </c>
      <c r="C381" t="s">
        <v>388</v>
      </c>
      <c r="D381" s="2" t="s">
        <v>389</v>
      </c>
      <c r="E381" t="s">
        <v>536</v>
      </c>
      <c r="F381" s="11">
        <v>43339</v>
      </c>
      <c r="G381" s="2">
        <f>VLOOKUP(E381,Produtos!$A:$E,5,FALSE)</f>
        <v>400</v>
      </c>
      <c r="H381" s="2">
        <f>VLOOKUP(E381,Produtos!$A:$E,4,FALSE)</f>
        <v>180</v>
      </c>
      <c r="I381" s="2">
        <v>3</v>
      </c>
    </row>
    <row r="382" spans="1:9" x14ac:dyDescent="0.25">
      <c r="A382" s="2" t="str">
        <f>CONCATENATE(Códigos!S381,Códigos!T381,Códigos!U381)</f>
        <v>svv380v</v>
      </c>
      <c r="B382" t="s">
        <v>496</v>
      </c>
      <c r="C382" t="s">
        <v>397</v>
      </c>
      <c r="D382" s="2" t="s">
        <v>398</v>
      </c>
      <c r="E382" t="s">
        <v>536</v>
      </c>
      <c r="F382" s="11">
        <v>43340</v>
      </c>
      <c r="G382" s="2">
        <f>VLOOKUP(E382,Produtos!$A:$E,5,FALSE)</f>
        <v>400</v>
      </c>
      <c r="H382" s="2">
        <f>VLOOKUP(E382,Produtos!$A:$E,4,FALSE)</f>
        <v>180</v>
      </c>
      <c r="I382" s="2">
        <v>3</v>
      </c>
    </row>
    <row r="383" spans="1:9" x14ac:dyDescent="0.25">
      <c r="A383" s="2" t="str">
        <f>CONCATENATE(Códigos!S382,Códigos!T382,Códigos!U382)</f>
        <v>svv381v</v>
      </c>
      <c r="B383" t="s">
        <v>496</v>
      </c>
      <c r="C383" t="s">
        <v>397</v>
      </c>
      <c r="D383" s="2" t="s">
        <v>398</v>
      </c>
      <c r="E383" t="s">
        <v>536</v>
      </c>
      <c r="F383" s="11">
        <v>43341</v>
      </c>
      <c r="G383" s="2">
        <f>VLOOKUP(E383,Produtos!$A:$E,5,FALSE)</f>
        <v>400</v>
      </c>
      <c r="H383" s="2">
        <f>VLOOKUP(E383,Produtos!$A:$E,4,FALSE)</f>
        <v>180</v>
      </c>
      <c r="I383" s="2">
        <v>3</v>
      </c>
    </row>
    <row r="384" spans="1:9" x14ac:dyDescent="0.25">
      <c r="A384" s="2" t="str">
        <f>CONCATENATE(Códigos!S383,Códigos!T383,Códigos!U383)</f>
        <v>svv382v</v>
      </c>
      <c r="B384" t="s">
        <v>496</v>
      </c>
      <c r="C384" t="s">
        <v>397</v>
      </c>
      <c r="D384" s="2" t="s">
        <v>398</v>
      </c>
      <c r="E384" t="s">
        <v>536</v>
      </c>
      <c r="F384" s="11">
        <v>43342</v>
      </c>
      <c r="G384" s="2">
        <f>VLOOKUP(E384,Produtos!$A:$E,5,FALSE)</f>
        <v>400</v>
      </c>
      <c r="H384" s="2">
        <f>VLOOKUP(E384,Produtos!$A:$E,4,FALSE)</f>
        <v>180</v>
      </c>
      <c r="I384" s="2">
        <v>3</v>
      </c>
    </row>
    <row r="385" spans="1:9" x14ac:dyDescent="0.25">
      <c r="A385" s="2" t="str">
        <f>CONCATENATE(Códigos!S384,Códigos!T384,Códigos!U384)</f>
        <v>svv383v</v>
      </c>
      <c r="B385" t="s">
        <v>496</v>
      </c>
      <c r="C385" t="s">
        <v>397</v>
      </c>
      <c r="D385" s="2" t="s">
        <v>398</v>
      </c>
      <c r="E385" t="s">
        <v>536</v>
      </c>
      <c r="F385" s="11">
        <v>43343</v>
      </c>
      <c r="G385" s="2">
        <f>VLOOKUP(E385,Produtos!$A:$E,5,FALSE)</f>
        <v>400</v>
      </c>
      <c r="H385" s="2">
        <f>VLOOKUP(E385,Produtos!$A:$E,4,FALSE)</f>
        <v>180</v>
      </c>
      <c r="I385" s="2">
        <v>3</v>
      </c>
    </row>
    <row r="386" spans="1:9" x14ac:dyDescent="0.25">
      <c r="A386" s="2" t="str">
        <f>CONCATENATE(Códigos!S385,Códigos!T385,Códigos!U385)</f>
        <v>svv384v</v>
      </c>
      <c r="B386" t="s">
        <v>496</v>
      </c>
      <c r="C386" t="s">
        <v>397</v>
      </c>
      <c r="D386" s="2" t="s">
        <v>398</v>
      </c>
      <c r="E386" t="s">
        <v>536</v>
      </c>
      <c r="F386" s="11">
        <v>43344</v>
      </c>
      <c r="G386" s="2">
        <f>VLOOKUP(E386,Produtos!$A:$E,5,FALSE)</f>
        <v>400</v>
      </c>
      <c r="H386" s="2">
        <f>VLOOKUP(E386,Produtos!$A:$E,4,FALSE)</f>
        <v>180</v>
      </c>
      <c r="I386" s="2">
        <v>3</v>
      </c>
    </row>
    <row r="387" spans="1:9" x14ac:dyDescent="0.25">
      <c r="A387" s="2" t="str">
        <f>CONCATENATE(Códigos!S386,Códigos!T386,Códigos!U386)</f>
        <v>svv385v</v>
      </c>
      <c r="B387" t="s">
        <v>496</v>
      </c>
      <c r="C387" t="s">
        <v>397</v>
      </c>
      <c r="D387" s="2" t="s">
        <v>398</v>
      </c>
      <c r="E387" t="s">
        <v>536</v>
      </c>
      <c r="F387" s="11">
        <v>43345</v>
      </c>
      <c r="G387" s="2">
        <f>VLOOKUP(E387,Produtos!$A:$E,5,FALSE)</f>
        <v>400</v>
      </c>
      <c r="H387" s="2">
        <f>VLOOKUP(E387,Produtos!$A:$E,4,FALSE)</f>
        <v>180</v>
      </c>
      <c r="I387" s="2">
        <v>3</v>
      </c>
    </row>
    <row r="388" spans="1:9" x14ac:dyDescent="0.25">
      <c r="A388" s="2" t="str">
        <f>CONCATENATE(Códigos!S387,Códigos!T387,Códigos!U387)</f>
        <v>svv386v</v>
      </c>
      <c r="B388" t="s">
        <v>496</v>
      </c>
      <c r="C388" t="s">
        <v>397</v>
      </c>
      <c r="D388" s="2" t="s">
        <v>398</v>
      </c>
      <c r="E388" t="s">
        <v>536</v>
      </c>
      <c r="F388" s="11">
        <v>43346</v>
      </c>
      <c r="G388" s="2">
        <f>VLOOKUP(E388,Produtos!$A:$E,5,FALSE)</f>
        <v>400</v>
      </c>
      <c r="H388" s="2">
        <f>VLOOKUP(E388,Produtos!$A:$E,4,FALSE)</f>
        <v>180</v>
      </c>
      <c r="I388" s="2">
        <v>3</v>
      </c>
    </row>
    <row r="389" spans="1:9" x14ac:dyDescent="0.25">
      <c r="A389" s="2" t="str">
        <f>CONCATENATE(Códigos!S388,Códigos!T388,Códigos!U388)</f>
        <v>svv387v</v>
      </c>
      <c r="B389" t="s">
        <v>496</v>
      </c>
      <c r="C389" t="s">
        <v>397</v>
      </c>
      <c r="D389" s="2" t="s">
        <v>398</v>
      </c>
      <c r="E389" t="s">
        <v>536</v>
      </c>
      <c r="F389" s="11">
        <v>43347</v>
      </c>
      <c r="G389" s="2">
        <f>VLOOKUP(E389,Produtos!$A:$E,5,FALSE)</f>
        <v>400</v>
      </c>
      <c r="H389" s="2">
        <f>VLOOKUP(E389,Produtos!$A:$E,4,FALSE)</f>
        <v>180</v>
      </c>
      <c r="I389" s="2">
        <v>3</v>
      </c>
    </row>
    <row r="390" spans="1:9" x14ac:dyDescent="0.25">
      <c r="A390" s="2" t="str">
        <f>CONCATENATE(Códigos!S389,Códigos!T389,Códigos!U389)</f>
        <v>svv388v</v>
      </c>
      <c r="B390" t="s">
        <v>496</v>
      </c>
      <c r="C390" t="s">
        <v>397</v>
      </c>
      <c r="D390" s="2" t="s">
        <v>398</v>
      </c>
      <c r="E390" t="s">
        <v>536</v>
      </c>
      <c r="F390" s="11">
        <v>43348</v>
      </c>
      <c r="G390" s="2">
        <f>VLOOKUP(E390,Produtos!$A:$E,5,FALSE)</f>
        <v>400</v>
      </c>
      <c r="H390" s="2">
        <f>VLOOKUP(E390,Produtos!$A:$E,4,FALSE)</f>
        <v>180</v>
      </c>
      <c r="I390" s="2">
        <v>3</v>
      </c>
    </row>
    <row r="391" spans="1:9" x14ac:dyDescent="0.25">
      <c r="A391" s="2" t="str">
        <f>CONCATENATE(Códigos!S390,Códigos!T390,Códigos!U390)</f>
        <v>svv389v</v>
      </c>
      <c r="B391" t="s">
        <v>496</v>
      </c>
      <c r="C391" t="s">
        <v>397</v>
      </c>
      <c r="D391" s="2" t="s">
        <v>398</v>
      </c>
      <c r="E391" t="s">
        <v>536</v>
      </c>
      <c r="F391" s="11">
        <v>43349</v>
      </c>
      <c r="G391" s="2">
        <f>VLOOKUP(E391,Produtos!$A:$E,5,FALSE)</f>
        <v>400</v>
      </c>
      <c r="H391" s="2">
        <f>VLOOKUP(E391,Produtos!$A:$E,4,FALSE)</f>
        <v>180</v>
      </c>
      <c r="I391" s="2">
        <v>3</v>
      </c>
    </row>
    <row r="392" spans="1:9" x14ac:dyDescent="0.25">
      <c r="A392" s="2" t="str">
        <f>CONCATENATE(Códigos!S391,Códigos!T391,Códigos!U391)</f>
        <v>svv390v</v>
      </c>
      <c r="B392" t="s">
        <v>496</v>
      </c>
      <c r="C392" t="s">
        <v>397</v>
      </c>
      <c r="D392" s="2" t="s">
        <v>398</v>
      </c>
      <c r="E392" t="s">
        <v>536</v>
      </c>
      <c r="F392" s="11">
        <v>43350</v>
      </c>
      <c r="G392" s="2">
        <f>VLOOKUP(E392,Produtos!$A:$E,5,FALSE)</f>
        <v>400</v>
      </c>
      <c r="H392" s="2">
        <f>VLOOKUP(E392,Produtos!$A:$E,4,FALSE)</f>
        <v>180</v>
      </c>
      <c r="I392" s="2">
        <v>3</v>
      </c>
    </row>
    <row r="393" spans="1:9" x14ac:dyDescent="0.25">
      <c r="A393" s="2" t="str">
        <f>CONCATENATE(Códigos!S392,Códigos!T392,Códigos!U392)</f>
        <v>svv391v</v>
      </c>
      <c r="B393" t="s">
        <v>496</v>
      </c>
      <c r="C393" t="s">
        <v>397</v>
      </c>
      <c r="D393" s="2" t="s">
        <v>398</v>
      </c>
      <c r="E393" t="s">
        <v>536</v>
      </c>
      <c r="F393" s="11">
        <v>43351</v>
      </c>
      <c r="G393" s="2">
        <f>VLOOKUP(E393,Produtos!$A:$E,5,FALSE)</f>
        <v>400</v>
      </c>
      <c r="H393" s="2">
        <f>VLOOKUP(E393,Produtos!$A:$E,4,FALSE)</f>
        <v>180</v>
      </c>
      <c r="I393" s="2">
        <v>3</v>
      </c>
    </row>
    <row r="394" spans="1:9" x14ac:dyDescent="0.25">
      <c r="A394" s="2" t="str">
        <f>CONCATENATE(Códigos!S393,Códigos!T393,Códigos!U393)</f>
        <v>svv392v</v>
      </c>
      <c r="B394" t="s">
        <v>496</v>
      </c>
      <c r="C394" t="s">
        <v>397</v>
      </c>
      <c r="D394" s="2" t="s">
        <v>398</v>
      </c>
      <c r="E394" t="s">
        <v>536</v>
      </c>
      <c r="F394" s="11">
        <v>43352</v>
      </c>
      <c r="G394" s="2">
        <f>VLOOKUP(E394,Produtos!$A:$E,5,FALSE)</f>
        <v>400</v>
      </c>
      <c r="H394" s="2">
        <f>VLOOKUP(E394,Produtos!$A:$E,4,FALSE)</f>
        <v>180</v>
      </c>
      <c r="I394" s="2">
        <v>3</v>
      </c>
    </row>
    <row r="395" spans="1:9" x14ac:dyDescent="0.25">
      <c r="A395" s="2" t="str">
        <f>CONCATENATE(Códigos!S394,Códigos!T394,Códigos!U394)</f>
        <v>svv393v</v>
      </c>
      <c r="B395" t="s">
        <v>496</v>
      </c>
      <c r="C395" t="s">
        <v>397</v>
      </c>
      <c r="D395" s="2" t="s">
        <v>398</v>
      </c>
      <c r="E395" t="s">
        <v>536</v>
      </c>
      <c r="F395" s="11">
        <v>43353</v>
      </c>
      <c r="G395" s="2">
        <f>VLOOKUP(E395,Produtos!$A:$E,5,FALSE)</f>
        <v>400</v>
      </c>
      <c r="H395" s="2">
        <f>VLOOKUP(E395,Produtos!$A:$E,4,FALSE)</f>
        <v>180</v>
      </c>
      <c r="I395" s="2">
        <v>3</v>
      </c>
    </row>
    <row r="396" spans="1:9" x14ac:dyDescent="0.25">
      <c r="A396" s="2" t="str">
        <f>CONCATENATE(Códigos!S395,Códigos!T395,Códigos!U395)</f>
        <v>svv394v</v>
      </c>
      <c r="B396" t="s">
        <v>496</v>
      </c>
      <c r="C396" t="s">
        <v>397</v>
      </c>
      <c r="D396" s="2" t="s">
        <v>398</v>
      </c>
      <c r="E396" t="s">
        <v>536</v>
      </c>
      <c r="F396" s="11">
        <v>43354</v>
      </c>
      <c r="G396" s="2">
        <f>VLOOKUP(E396,Produtos!$A:$E,5,FALSE)</f>
        <v>400</v>
      </c>
      <c r="H396" s="2">
        <f>VLOOKUP(E396,Produtos!$A:$E,4,FALSE)</f>
        <v>180</v>
      </c>
      <c r="I396" s="2">
        <v>3</v>
      </c>
    </row>
    <row r="397" spans="1:9" x14ac:dyDescent="0.25">
      <c r="A397" s="2" t="str">
        <f>CONCATENATE(Códigos!S396,Códigos!T396,Códigos!U396)</f>
        <v>svv395v</v>
      </c>
      <c r="B397" t="s">
        <v>496</v>
      </c>
      <c r="C397" t="s">
        <v>397</v>
      </c>
      <c r="D397" s="2" t="s">
        <v>398</v>
      </c>
      <c r="E397" t="s">
        <v>536</v>
      </c>
      <c r="F397" s="11">
        <v>43355</v>
      </c>
      <c r="G397" s="2">
        <f>VLOOKUP(E397,Produtos!$A:$E,5,FALSE)</f>
        <v>400</v>
      </c>
      <c r="H397" s="2">
        <f>VLOOKUP(E397,Produtos!$A:$E,4,FALSE)</f>
        <v>180</v>
      </c>
      <c r="I397" s="2">
        <v>3</v>
      </c>
    </row>
    <row r="398" spans="1:9" x14ac:dyDescent="0.25">
      <c r="A398" s="2" t="str">
        <f>CONCATENATE(Códigos!S397,Códigos!T397,Códigos!U397)</f>
        <v>svv396v</v>
      </c>
      <c r="B398" t="s">
        <v>496</v>
      </c>
      <c r="C398" t="s">
        <v>397</v>
      </c>
      <c r="D398" s="2" t="s">
        <v>398</v>
      </c>
      <c r="E398" t="s">
        <v>536</v>
      </c>
      <c r="F398" s="11">
        <v>43356</v>
      </c>
      <c r="G398" s="2">
        <f>VLOOKUP(E398,Produtos!$A:$E,5,FALSE)</f>
        <v>400</v>
      </c>
      <c r="H398" s="2">
        <f>VLOOKUP(E398,Produtos!$A:$E,4,FALSE)</f>
        <v>180</v>
      </c>
      <c r="I398" s="2">
        <v>3</v>
      </c>
    </row>
    <row r="399" spans="1:9" x14ac:dyDescent="0.25">
      <c r="A399" s="2" t="str">
        <f>CONCATENATE(Códigos!S398,Códigos!T398,Códigos!U398)</f>
        <v>svv397v</v>
      </c>
      <c r="B399" t="s">
        <v>496</v>
      </c>
      <c r="C399" t="s">
        <v>397</v>
      </c>
      <c r="D399" s="2" t="s">
        <v>398</v>
      </c>
      <c r="E399" t="s">
        <v>536</v>
      </c>
      <c r="F399" s="11">
        <v>43357</v>
      </c>
      <c r="G399" s="2">
        <f>VLOOKUP(E399,Produtos!$A:$E,5,FALSE)</f>
        <v>400</v>
      </c>
      <c r="H399" s="2">
        <f>VLOOKUP(E399,Produtos!$A:$E,4,FALSE)</f>
        <v>180</v>
      </c>
      <c r="I399" s="2">
        <v>3</v>
      </c>
    </row>
    <row r="400" spans="1:9" x14ac:dyDescent="0.25">
      <c r="A400" s="2" t="str">
        <f>CONCATENATE(Códigos!S399,Códigos!T399,Códigos!U399)</f>
        <v>svv398v</v>
      </c>
      <c r="B400" t="s">
        <v>496</v>
      </c>
      <c r="C400" t="s">
        <v>397</v>
      </c>
      <c r="D400" s="2" t="s">
        <v>398</v>
      </c>
      <c r="E400" t="s">
        <v>536</v>
      </c>
      <c r="F400" s="11">
        <v>43358</v>
      </c>
      <c r="G400" s="2">
        <f>VLOOKUP(E400,Produtos!$A:$E,5,FALSE)</f>
        <v>400</v>
      </c>
      <c r="H400" s="2">
        <f>VLOOKUP(E400,Produtos!$A:$E,4,FALSE)</f>
        <v>180</v>
      </c>
      <c r="I400" s="2">
        <v>3</v>
      </c>
    </row>
    <row r="401" spans="1:9" x14ac:dyDescent="0.25">
      <c r="A401" s="2" t="str">
        <f>CONCATENATE(Códigos!S400,Códigos!T400,Códigos!U400)</f>
        <v>svv399v</v>
      </c>
      <c r="B401" t="s">
        <v>496</v>
      </c>
      <c r="C401" t="s">
        <v>397</v>
      </c>
      <c r="D401" s="2" t="s">
        <v>398</v>
      </c>
      <c r="E401" t="s">
        <v>536</v>
      </c>
      <c r="F401" s="11">
        <v>43359</v>
      </c>
      <c r="G401" s="2">
        <f>VLOOKUP(E401,Produtos!$A:$E,5,FALSE)</f>
        <v>400</v>
      </c>
      <c r="H401" s="2">
        <f>VLOOKUP(E401,Produtos!$A:$E,4,FALSE)</f>
        <v>180</v>
      </c>
      <c r="I401" s="2">
        <v>3</v>
      </c>
    </row>
    <row r="402" spans="1:9" x14ac:dyDescent="0.25">
      <c r="A402" s="2" t="str">
        <f>CONCATENATE(Códigos!S401,Códigos!T401,Códigos!U401)</f>
        <v>svv400v</v>
      </c>
      <c r="B402" t="s">
        <v>496</v>
      </c>
      <c r="C402" t="s">
        <v>397</v>
      </c>
      <c r="D402" s="2" t="s">
        <v>398</v>
      </c>
      <c r="E402" t="s">
        <v>536</v>
      </c>
      <c r="F402" s="11">
        <v>43360</v>
      </c>
      <c r="G402" s="2">
        <f>VLOOKUP(E402,Produtos!$A:$E,5,FALSE)</f>
        <v>400</v>
      </c>
      <c r="H402" s="2">
        <f>VLOOKUP(E402,Produtos!$A:$E,4,FALSE)</f>
        <v>180</v>
      </c>
      <c r="I402" s="2">
        <v>3</v>
      </c>
    </row>
    <row r="403" spans="1:9" x14ac:dyDescent="0.25">
      <c r="A403" s="2" t="str">
        <f>CONCATENATE(Códigos!S402,Códigos!T402,Códigos!U402)</f>
        <v>svv401v</v>
      </c>
      <c r="B403" t="s">
        <v>496</v>
      </c>
      <c r="C403" t="s">
        <v>397</v>
      </c>
      <c r="D403" s="2" t="s">
        <v>398</v>
      </c>
      <c r="E403" t="s">
        <v>535</v>
      </c>
      <c r="F403" s="11">
        <v>43361</v>
      </c>
      <c r="G403" s="2">
        <f>VLOOKUP(E403,Produtos!$A:$E,5,FALSE)</f>
        <v>250</v>
      </c>
      <c r="H403" s="2">
        <f>VLOOKUP(E403,Produtos!$A:$E,4,FALSE)</f>
        <v>120</v>
      </c>
      <c r="I403" s="2">
        <v>3</v>
      </c>
    </row>
    <row r="404" spans="1:9" x14ac:dyDescent="0.25">
      <c r="A404" s="2" t="str">
        <f>CONCATENATE(Códigos!S403,Códigos!T403,Códigos!U403)</f>
        <v>svv402v</v>
      </c>
      <c r="B404" t="s">
        <v>496</v>
      </c>
      <c r="C404" t="s">
        <v>397</v>
      </c>
      <c r="D404" s="2" t="s">
        <v>398</v>
      </c>
      <c r="E404" t="s">
        <v>535</v>
      </c>
      <c r="F404" s="11">
        <v>43362</v>
      </c>
      <c r="G404" s="2">
        <f>VLOOKUP(E404,Produtos!$A:$E,5,FALSE)</f>
        <v>250</v>
      </c>
      <c r="H404" s="2">
        <f>VLOOKUP(E404,Produtos!$A:$E,4,FALSE)</f>
        <v>120</v>
      </c>
      <c r="I404" s="2">
        <v>3</v>
      </c>
    </row>
    <row r="405" spans="1:9" x14ac:dyDescent="0.25">
      <c r="A405" s="2" t="str">
        <f>CONCATENATE(Códigos!S404,Códigos!T404,Códigos!U404)</f>
        <v>svv403v</v>
      </c>
      <c r="B405" t="s">
        <v>496</v>
      </c>
      <c r="C405" t="s">
        <v>397</v>
      </c>
      <c r="D405" s="2" t="s">
        <v>398</v>
      </c>
      <c r="E405" t="s">
        <v>535</v>
      </c>
      <c r="F405" s="11">
        <v>43363</v>
      </c>
      <c r="G405" s="2">
        <f>VLOOKUP(E405,Produtos!$A:$E,5,FALSE)</f>
        <v>250</v>
      </c>
      <c r="H405" s="2">
        <f>VLOOKUP(E405,Produtos!$A:$E,4,FALSE)</f>
        <v>120</v>
      </c>
      <c r="I405" s="2">
        <v>3</v>
      </c>
    </row>
    <row r="406" spans="1:9" x14ac:dyDescent="0.25">
      <c r="A406" s="2" t="str">
        <f>CONCATENATE(Códigos!S405,Códigos!T405,Códigos!U405)</f>
        <v>svv404v</v>
      </c>
      <c r="B406" t="s">
        <v>496</v>
      </c>
      <c r="C406" t="s">
        <v>397</v>
      </c>
      <c r="D406" s="2" t="s">
        <v>398</v>
      </c>
      <c r="E406" t="s">
        <v>535</v>
      </c>
      <c r="F406" s="11">
        <v>43364</v>
      </c>
      <c r="G406" s="2">
        <f>VLOOKUP(E406,Produtos!$A:$E,5,FALSE)</f>
        <v>250</v>
      </c>
      <c r="H406" s="2">
        <f>VLOOKUP(E406,Produtos!$A:$E,4,FALSE)</f>
        <v>120</v>
      </c>
      <c r="I406" s="2">
        <v>3</v>
      </c>
    </row>
    <row r="407" spans="1:9" x14ac:dyDescent="0.25">
      <c r="A407" s="2" t="str">
        <f>CONCATENATE(Códigos!S406,Códigos!T406,Códigos!U406)</f>
        <v>svv405v</v>
      </c>
      <c r="B407" t="s">
        <v>496</v>
      </c>
      <c r="C407" t="s">
        <v>397</v>
      </c>
      <c r="D407" s="2" t="s">
        <v>398</v>
      </c>
      <c r="E407" t="s">
        <v>535</v>
      </c>
      <c r="F407" s="11">
        <v>43365</v>
      </c>
      <c r="G407" s="2">
        <f>VLOOKUP(E407,Produtos!$A:$E,5,FALSE)</f>
        <v>250</v>
      </c>
      <c r="H407" s="2">
        <f>VLOOKUP(E407,Produtos!$A:$E,4,FALSE)</f>
        <v>120</v>
      </c>
      <c r="I407" s="2">
        <v>3</v>
      </c>
    </row>
    <row r="408" spans="1:9" x14ac:dyDescent="0.25">
      <c r="A408" s="2" t="str">
        <f>CONCATENATE(Códigos!S407,Códigos!T407,Códigos!U407)</f>
        <v>svv406v</v>
      </c>
      <c r="B408" t="s">
        <v>496</v>
      </c>
      <c r="C408" t="s">
        <v>397</v>
      </c>
      <c r="D408" s="2" t="s">
        <v>398</v>
      </c>
      <c r="E408" t="s">
        <v>535</v>
      </c>
      <c r="F408" s="11">
        <v>43366</v>
      </c>
      <c r="G408" s="2">
        <f>VLOOKUP(E408,Produtos!$A:$E,5,FALSE)</f>
        <v>250</v>
      </c>
      <c r="H408" s="2">
        <f>VLOOKUP(E408,Produtos!$A:$E,4,FALSE)</f>
        <v>120</v>
      </c>
      <c r="I408" s="2">
        <v>3</v>
      </c>
    </row>
    <row r="409" spans="1:9" x14ac:dyDescent="0.25">
      <c r="A409" s="2" t="str">
        <f>CONCATENATE(Códigos!S408,Códigos!T408,Códigos!U408)</f>
        <v>svv407v</v>
      </c>
      <c r="B409" t="s">
        <v>496</v>
      </c>
      <c r="C409" t="s">
        <v>397</v>
      </c>
      <c r="D409" s="2" t="s">
        <v>398</v>
      </c>
      <c r="E409" t="s">
        <v>535</v>
      </c>
      <c r="F409" s="11">
        <v>43367</v>
      </c>
      <c r="G409" s="2">
        <f>VLOOKUP(E409,Produtos!$A:$E,5,FALSE)</f>
        <v>250</v>
      </c>
      <c r="H409" s="2">
        <f>VLOOKUP(E409,Produtos!$A:$E,4,FALSE)</f>
        <v>120</v>
      </c>
      <c r="I409" s="2">
        <v>3</v>
      </c>
    </row>
    <row r="410" spans="1:9" x14ac:dyDescent="0.25">
      <c r="A410" s="2" t="str">
        <f>CONCATENATE(Códigos!S409,Códigos!T409,Códigos!U409)</f>
        <v>svv408v</v>
      </c>
      <c r="B410" t="s">
        <v>496</v>
      </c>
      <c r="C410" t="s">
        <v>397</v>
      </c>
      <c r="D410" s="2" t="s">
        <v>398</v>
      </c>
      <c r="E410" t="s">
        <v>535</v>
      </c>
      <c r="F410" s="11">
        <v>43368</v>
      </c>
      <c r="G410" s="2">
        <f>VLOOKUP(E410,Produtos!$A:$E,5,FALSE)</f>
        <v>250</v>
      </c>
      <c r="H410" s="2">
        <f>VLOOKUP(E410,Produtos!$A:$E,4,FALSE)</f>
        <v>120</v>
      </c>
      <c r="I410" s="2">
        <v>3</v>
      </c>
    </row>
    <row r="411" spans="1:9" x14ac:dyDescent="0.25">
      <c r="A411" s="2" t="str">
        <f>CONCATENATE(Códigos!S410,Códigos!T410,Códigos!U410)</f>
        <v>svv409v</v>
      </c>
      <c r="B411" t="s">
        <v>496</v>
      </c>
      <c r="C411" t="s">
        <v>397</v>
      </c>
      <c r="D411" s="2" t="s">
        <v>398</v>
      </c>
      <c r="E411" t="s">
        <v>535</v>
      </c>
      <c r="F411" s="11">
        <v>43369</v>
      </c>
      <c r="G411" s="2">
        <f>VLOOKUP(E411,Produtos!$A:$E,5,FALSE)</f>
        <v>250</v>
      </c>
      <c r="H411" s="2">
        <f>VLOOKUP(E411,Produtos!$A:$E,4,FALSE)</f>
        <v>120</v>
      </c>
      <c r="I411" s="2">
        <v>3</v>
      </c>
    </row>
    <row r="412" spans="1:9" x14ac:dyDescent="0.25">
      <c r="A412" s="2" t="str">
        <f>CONCATENATE(Códigos!S411,Códigos!T411,Códigos!U411)</f>
        <v>svv410v</v>
      </c>
      <c r="B412" t="s">
        <v>496</v>
      </c>
      <c r="C412" t="s">
        <v>397</v>
      </c>
      <c r="D412" s="2" t="s">
        <v>398</v>
      </c>
      <c r="E412" t="s">
        <v>535</v>
      </c>
      <c r="F412" s="11">
        <v>43370</v>
      </c>
      <c r="G412" s="2">
        <f>VLOOKUP(E412,Produtos!$A:$E,5,FALSE)</f>
        <v>250</v>
      </c>
      <c r="H412" s="2">
        <f>VLOOKUP(E412,Produtos!$A:$E,4,FALSE)</f>
        <v>120</v>
      </c>
      <c r="I412" s="2">
        <v>3</v>
      </c>
    </row>
    <row r="413" spans="1:9" x14ac:dyDescent="0.25">
      <c r="A413" s="2" t="str">
        <f>CONCATENATE(Códigos!S412,Códigos!T412,Códigos!U412)</f>
        <v>svv411v</v>
      </c>
      <c r="B413" t="s">
        <v>496</v>
      </c>
      <c r="C413" t="s">
        <v>397</v>
      </c>
      <c r="D413" s="2" t="s">
        <v>398</v>
      </c>
      <c r="E413" t="s">
        <v>535</v>
      </c>
      <c r="F413" s="11">
        <v>43371</v>
      </c>
      <c r="G413" s="2">
        <f>VLOOKUP(E413,Produtos!$A:$E,5,FALSE)</f>
        <v>250</v>
      </c>
      <c r="H413" s="2">
        <f>VLOOKUP(E413,Produtos!$A:$E,4,FALSE)</f>
        <v>120</v>
      </c>
      <c r="I413" s="2">
        <v>3</v>
      </c>
    </row>
    <row r="414" spans="1:9" x14ac:dyDescent="0.25">
      <c r="A414" s="2" t="str">
        <f>CONCATENATE(Códigos!S413,Códigos!T413,Códigos!U413)</f>
        <v>svv412v</v>
      </c>
      <c r="B414" t="s">
        <v>496</v>
      </c>
      <c r="C414" t="s">
        <v>397</v>
      </c>
      <c r="D414" s="2" t="s">
        <v>398</v>
      </c>
      <c r="E414" t="s">
        <v>535</v>
      </c>
      <c r="F414" s="11">
        <v>43372</v>
      </c>
      <c r="G414" s="2">
        <f>VLOOKUP(E414,Produtos!$A:$E,5,FALSE)</f>
        <v>250</v>
      </c>
      <c r="H414" s="2">
        <f>VLOOKUP(E414,Produtos!$A:$E,4,FALSE)</f>
        <v>120</v>
      </c>
      <c r="I414" s="2">
        <v>3</v>
      </c>
    </row>
    <row r="415" spans="1:9" x14ac:dyDescent="0.25">
      <c r="A415" s="2" t="str">
        <f>CONCATENATE(Códigos!S414,Códigos!T414,Códigos!U414)</f>
        <v>svv413v</v>
      </c>
      <c r="B415" t="s">
        <v>496</v>
      </c>
      <c r="C415" t="s">
        <v>397</v>
      </c>
      <c r="D415" s="2" t="s">
        <v>398</v>
      </c>
      <c r="E415" t="s">
        <v>535</v>
      </c>
      <c r="F415" s="11">
        <v>43373</v>
      </c>
      <c r="G415" s="2">
        <f>VLOOKUP(E415,Produtos!$A:$E,5,FALSE)</f>
        <v>250</v>
      </c>
      <c r="H415" s="2">
        <f>VLOOKUP(E415,Produtos!$A:$E,4,FALSE)</f>
        <v>120</v>
      </c>
      <c r="I415" s="2">
        <v>3</v>
      </c>
    </row>
    <row r="416" spans="1:9" x14ac:dyDescent="0.25">
      <c r="A416" s="2" t="str">
        <f>CONCATENATE(Códigos!S415,Códigos!T415,Códigos!U415)</f>
        <v>svv414v</v>
      </c>
      <c r="B416" t="s">
        <v>496</v>
      </c>
      <c r="C416" t="s">
        <v>397</v>
      </c>
      <c r="D416" s="2" t="s">
        <v>398</v>
      </c>
      <c r="E416" t="s">
        <v>535</v>
      </c>
      <c r="F416" s="11">
        <v>43374</v>
      </c>
      <c r="G416" s="2">
        <f>VLOOKUP(E416,Produtos!$A:$E,5,FALSE)</f>
        <v>250</v>
      </c>
      <c r="H416" s="2">
        <f>VLOOKUP(E416,Produtos!$A:$E,4,FALSE)</f>
        <v>120</v>
      </c>
      <c r="I416" s="2">
        <v>3</v>
      </c>
    </row>
    <row r="417" spans="1:9" x14ac:dyDescent="0.25">
      <c r="A417" s="2" t="str">
        <f>CONCATENATE(Códigos!S416,Códigos!T416,Códigos!U416)</f>
        <v>svv415v</v>
      </c>
      <c r="B417" t="s">
        <v>496</v>
      </c>
      <c r="C417" t="s">
        <v>397</v>
      </c>
      <c r="D417" s="2" t="s">
        <v>398</v>
      </c>
      <c r="E417" t="s">
        <v>535</v>
      </c>
      <c r="F417" s="11">
        <v>43375</v>
      </c>
      <c r="G417" s="2">
        <f>VLOOKUP(E417,Produtos!$A:$E,5,FALSE)</f>
        <v>250</v>
      </c>
      <c r="H417" s="2">
        <f>VLOOKUP(E417,Produtos!$A:$E,4,FALSE)</f>
        <v>120</v>
      </c>
      <c r="I417" s="2">
        <v>3</v>
      </c>
    </row>
    <row r="418" spans="1:9" x14ac:dyDescent="0.25">
      <c r="A418" s="2" t="str">
        <f>CONCATENATE(Códigos!S417,Códigos!T417,Códigos!U417)</f>
        <v>svv416v</v>
      </c>
      <c r="B418" t="s">
        <v>496</v>
      </c>
      <c r="C418" t="s">
        <v>397</v>
      </c>
      <c r="D418" s="2" t="s">
        <v>398</v>
      </c>
      <c r="E418" t="s">
        <v>535</v>
      </c>
      <c r="F418" s="11">
        <v>43376</v>
      </c>
      <c r="G418" s="2">
        <f>VLOOKUP(E418,Produtos!$A:$E,5,FALSE)</f>
        <v>250</v>
      </c>
      <c r="H418" s="2">
        <f>VLOOKUP(E418,Produtos!$A:$E,4,FALSE)</f>
        <v>120</v>
      </c>
      <c r="I418" s="2">
        <v>3</v>
      </c>
    </row>
    <row r="419" spans="1:9" x14ac:dyDescent="0.25">
      <c r="A419" s="2" t="str">
        <f>CONCATENATE(Códigos!S418,Códigos!T418,Códigos!U418)</f>
        <v>svv417v</v>
      </c>
      <c r="B419" t="s">
        <v>496</v>
      </c>
      <c r="C419" t="s">
        <v>397</v>
      </c>
      <c r="D419" s="2" t="s">
        <v>398</v>
      </c>
      <c r="E419" t="s">
        <v>535</v>
      </c>
      <c r="F419" s="11">
        <v>43377</v>
      </c>
      <c r="G419" s="2">
        <f>VLOOKUP(E419,Produtos!$A:$E,5,FALSE)</f>
        <v>250</v>
      </c>
      <c r="H419" s="2">
        <f>VLOOKUP(E419,Produtos!$A:$E,4,FALSE)</f>
        <v>120</v>
      </c>
      <c r="I419" s="2">
        <v>3</v>
      </c>
    </row>
    <row r="420" spans="1:9" x14ac:dyDescent="0.25">
      <c r="A420" s="2" t="str">
        <f>CONCATENATE(Códigos!S419,Códigos!T419,Códigos!U419)</f>
        <v>svv418v</v>
      </c>
      <c r="B420" t="s">
        <v>496</v>
      </c>
      <c r="C420" t="s">
        <v>397</v>
      </c>
      <c r="D420" s="2" t="s">
        <v>398</v>
      </c>
      <c r="E420" t="s">
        <v>535</v>
      </c>
      <c r="F420" s="11">
        <v>43378</v>
      </c>
      <c r="G420" s="2">
        <f>VLOOKUP(E420,Produtos!$A:$E,5,FALSE)</f>
        <v>250</v>
      </c>
      <c r="H420" s="2">
        <f>VLOOKUP(E420,Produtos!$A:$E,4,FALSE)</f>
        <v>120</v>
      </c>
      <c r="I420" s="2">
        <v>3</v>
      </c>
    </row>
    <row r="421" spans="1:9" x14ac:dyDescent="0.25">
      <c r="A421" s="2" t="str">
        <f>CONCATENATE(Códigos!S420,Códigos!T420,Códigos!U420)</f>
        <v>svv419v</v>
      </c>
      <c r="B421" t="s">
        <v>496</v>
      </c>
      <c r="C421" t="s">
        <v>397</v>
      </c>
      <c r="D421" s="2" t="s">
        <v>398</v>
      </c>
      <c r="E421" t="s">
        <v>535</v>
      </c>
      <c r="F421" s="11">
        <v>43379</v>
      </c>
      <c r="G421" s="2">
        <f>VLOOKUP(E421,Produtos!$A:$E,5,FALSE)</f>
        <v>250</v>
      </c>
      <c r="H421" s="2">
        <f>VLOOKUP(E421,Produtos!$A:$E,4,FALSE)</f>
        <v>120</v>
      </c>
      <c r="I421" s="2">
        <v>3</v>
      </c>
    </row>
    <row r="422" spans="1:9" x14ac:dyDescent="0.25">
      <c r="A422" s="2" t="str">
        <f>CONCATENATE(Códigos!S421,Códigos!T421,Códigos!U421)</f>
        <v>svv420v</v>
      </c>
      <c r="B422" t="s">
        <v>496</v>
      </c>
      <c r="C422" t="s">
        <v>397</v>
      </c>
      <c r="D422" s="2" t="s">
        <v>398</v>
      </c>
      <c r="E422" t="s">
        <v>535</v>
      </c>
      <c r="F422" s="11">
        <v>43380</v>
      </c>
      <c r="G422" s="2">
        <f>VLOOKUP(E422,Produtos!$A:$E,5,FALSE)</f>
        <v>250</v>
      </c>
      <c r="H422" s="2">
        <f>VLOOKUP(E422,Produtos!$A:$E,4,FALSE)</f>
        <v>120</v>
      </c>
      <c r="I422" s="2">
        <v>3</v>
      </c>
    </row>
    <row r="423" spans="1:9" x14ac:dyDescent="0.25">
      <c r="A423" s="2" t="str">
        <f>CONCATENATE(Códigos!S422,Códigos!T422,Códigos!U422)</f>
        <v>svv421v</v>
      </c>
      <c r="B423" t="s">
        <v>496</v>
      </c>
      <c r="C423" t="s">
        <v>397</v>
      </c>
      <c r="D423" s="2" t="s">
        <v>398</v>
      </c>
      <c r="E423" t="s">
        <v>535</v>
      </c>
      <c r="F423" s="11">
        <v>43381</v>
      </c>
      <c r="G423" s="2">
        <f>VLOOKUP(E423,Produtos!$A:$E,5,FALSE)</f>
        <v>250</v>
      </c>
      <c r="H423" s="2">
        <f>VLOOKUP(E423,Produtos!$A:$E,4,FALSE)</f>
        <v>120</v>
      </c>
      <c r="I423" s="2">
        <v>3</v>
      </c>
    </row>
    <row r="424" spans="1:9" x14ac:dyDescent="0.25">
      <c r="A424" s="2" t="str">
        <f>CONCATENATE(Códigos!S423,Códigos!T423,Códigos!U423)</f>
        <v>svv422v</v>
      </c>
      <c r="B424" t="s">
        <v>496</v>
      </c>
      <c r="C424" t="s">
        <v>397</v>
      </c>
      <c r="D424" s="2" t="s">
        <v>398</v>
      </c>
      <c r="E424" t="s">
        <v>535</v>
      </c>
      <c r="F424" s="11">
        <v>43382</v>
      </c>
      <c r="G424" s="2">
        <f>VLOOKUP(E424,Produtos!$A:$E,5,FALSE)</f>
        <v>250</v>
      </c>
      <c r="H424" s="2">
        <f>VLOOKUP(E424,Produtos!$A:$E,4,FALSE)</f>
        <v>120</v>
      </c>
      <c r="I424" s="2">
        <v>3</v>
      </c>
    </row>
    <row r="425" spans="1:9" x14ac:dyDescent="0.25">
      <c r="A425" s="2" t="str">
        <f>CONCATENATE(Códigos!S424,Códigos!T424,Códigos!U424)</f>
        <v>svv423v</v>
      </c>
      <c r="B425" t="s">
        <v>496</v>
      </c>
      <c r="C425" t="s">
        <v>397</v>
      </c>
      <c r="D425" s="2" t="s">
        <v>398</v>
      </c>
      <c r="E425" t="s">
        <v>535</v>
      </c>
      <c r="F425" s="11">
        <v>43383</v>
      </c>
      <c r="G425" s="2">
        <f>VLOOKUP(E425,Produtos!$A:$E,5,FALSE)</f>
        <v>250</v>
      </c>
      <c r="H425" s="2">
        <f>VLOOKUP(E425,Produtos!$A:$E,4,FALSE)</f>
        <v>120</v>
      </c>
      <c r="I425" s="2">
        <v>3</v>
      </c>
    </row>
    <row r="426" spans="1:9" x14ac:dyDescent="0.25">
      <c r="A426" s="2" t="str">
        <f>CONCATENATE(Códigos!S425,Códigos!T425,Códigos!U425)</f>
        <v>svv424v</v>
      </c>
      <c r="B426" t="s">
        <v>496</v>
      </c>
      <c r="C426" t="s">
        <v>397</v>
      </c>
      <c r="D426" s="2" t="s">
        <v>398</v>
      </c>
      <c r="E426" t="s">
        <v>535</v>
      </c>
      <c r="F426" s="11">
        <v>43384</v>
      </c>
      <c r="G426" s="2">
        <f>VLOOKUP(E426,Produtos!$A:$E,5,FALSE)</f>
        <v>250</v>
      </c>
      <c r="H426" s="2">
        <f>VLOOKUP(E426,Produtos!$A:$E,4,FALSE)</f>
        <v>120</v>
      </c>
      <c r="I426" s="2">
        <v>3</v>
      </c>
    </row>
    <row r="427" spans="1:9" x14ac:dyDescent="0.25">
      <c r="A427" s="2" t="str">
        <f>CONCATENATE(Códigos!S426,Códigos!T426,Códigos!U426)</f>
        <v>svv425v</v>
      </c>
      <c r="B427" t="s">
        <v>496</v>
      </c>
      <c r="C427" t="s">
        <v>397</v>
      </c>
      <c r="D427" s="2" t="s">
        <v>398</v>
      </c>
      <c r="E427" t="s">
        <v>535</v>
      </c>
      <c r="F427" s="11">
        <v>43385</v>
      </c>
      <c r="G427" s="2">
        <f>VLOOKUP(E427,Produtos!$A:$E,5,FALSE)</f>
        <v>250</v>
      </c>
      <c r="H427" s="2">
        <f>VLOOKUP(E427,Produtos!$A:$E,4,FALSE)</f>
        <v>120</v>
      </c>
      <c r="I427" s="2">
        <v>3</v>
      </c>
    </row>
    <row r="428" spans="1:9" x14ac:dyDescent="0.25">
      <c r="A428" s="2" t="str">
        <f>CONCATENATE(Códigos!S427,Códigos!T427,Códigos!U427)</f>
        <v>svv426v</v>
      </c>
      <c r="B428" t="s">
        <v>496</v>
      </c>
      <c r="C428" t="s">
        <v>397</v>
      </c>
      <c r="D428" s="2" t="s">
        <v>398</v>
      </c>
      <c r="E428" t="s">
        <v>535</v>
      </c>
      <c r="F428" s="11">
        <v>43386</v>
      </c>
      <c r="G428" s="2">
        <f>VLOOKUP(E428,Produtos!$A:$E,5,FALSE)</f>
        <v>250</v>
      </c>
      <c r="H428" s="2">
        <f>VLOOKUP(E428,Produtos!$A:$E,4,FALSE)</f>
        <v>120</v>
      </c>
      <c r="I428" s="2">
        <v>3</v>
      </c>
    </row>
    <row r="429" spans="1:9" x14ac:dyDescent="0.25">
      <c r="A429" s="2" t="str">
        <f>CONCATENATE(Códigos!S428,Códigos!T428,Códigos!U428)</f>
        <v>svv427v</v>
      </c>
      <c r="B429" t="s">
        <v>496</v>
      </c>
      <c r="C429" t="s">
        <v>397</v>
      </c>
      <c r="D429" s="2" t="s">
        <v>398</v>
      </c>
      <c r="E429" t="s">
        <v>535</v>
      </c>
      <c r="F429" s="11">
        <v>43387</v>
      </c>
      <c r="G429" s="2">
        <f>VLOOKUP(E429,Produtos!$A:$E,5,FALSE)</f>
        <v>250</v>
      </c>
      <c r="H429" s="2">
        <f>VLOOKUP(E429,Produtos!$A:$E,4,FALSE)</f>
        <v>120</v>
      </c>
      <c r="I429" s="2">
        <v>3</v>
      </c>
    </row>
    <row r="430" spans="1:9" x14ac:dyDescent="0.25">
      <c r="A430" s="2" t="str">
        <f>CONCATENATE(Códigos!S429,Códigos!T429,Códigos!U429)</f>
        <v>svv428v</v>
      </c>
      <c r="B430" t="s">
        <v>496</v>
      </c>
      <c r="C430" t="s">
        <v>397</v>
      </c>
      <c r="D430" s="2" t="s">
        <v>398</v>
      </c>
      <c r="E430" t="s">
        <v>535</v>
      </c>
      <c r="F430" s="11">
        <v>43388</v>
      </c>
      <c r="G430" s="2">
        <f>VLOOKUP(E430,Produtos!$A:$E,5,FALSE)</f>
        <v>250</v>
      </c>
      <c r="H430" s="2">
        <f>VLOOKUP(E430,Produtos!$A:$E,4,FALSE)</f>
        <v>120</v>
      </c>
      <c r="I430" s="2">
        <v>3</v>
      </c>
    </row>
    <row r="431" spans="1:9" x14ac:dyDescent="0.25">
      <c r="A431" s="2" t="str">
        <f>CONCATENATE(Códigos!S430,Códigos!T430,Códigos!U430)</f>
        <v>svv429v</v>
      </c>
      <c r="B431" t="s">
        <v>496</v>
      </c>
      <c r="C431" t="s">
        <v>397</v>
      </c>
      <c r="D431" s="2" t="s">
        <v>398</v>
      </c>
      <c r="E431" t="s">
        <v>535</v>
      </c>
      <c r="F431" s="11">
        <v>43389</v>
      </c>
      <c r="G431" s="2">
        <f>VLOOKUP(E431,Produtos!$A:$E,5,FALSE)</f>
        <v>250</v>
      </c>
      <c r="H431" s="2">
        <f>VLOOKUP(E431,Produtos!$A:$E,4,FALSE)</f>
        <v>120</v>
      </c>
      <c r="I431" s="2">
        <v>3</v>
      </c>
    </row>
    <row r="432" spans="1:9" x14ac:dyDescent="0.25">
      <c r="A432" s="2" t="str">
        <f>CONCATENATE(Códigos!S431,Códigos!T431,Códigos!U431)</f>
        <v>svv430v</v>
      </c>
      <c r="B432" t="s">
        <v>496</v>
      </c>
      <c r="C432" t="s">
        <v>397</v>
      </c>
      <c r="D432" s="2" t="s">
        <v>398</v>
      </c>
      <c r="E432" t="s">
        <v>535</v>
      </c>
      <c r="F432" s="11">
        <v>43390</v>
      </c>
      <c r="G432" s="2">
        <f>VLOOKUP(E432,Produtos!$A:$E,5,FALSE)</f>
        <v>250</v>
      </c>
      <c r="H432" s="2">
        <f>VLOOKUP(E432,Produtos!$A:$E,4,FALSE)</f>
        <v>120</v>
      </c>
      <c r="I432" s="2">
        <v>3</v>
      </c>
    </row>
    <row r="433" spans="1:9" x14ac:dyDescent="0.25">
      <c r="A433" s="2" t="str">
        <f>CONCATENATE(Códigos!S432,Códigos!T432,Códigos!U432)</f>
        <v>svv431v</v>
      </c>
      <c r="B433" t="s">
        <v>496</v>
      </c>
      <c r="C433" t="s">
        <v>397</v>
      </c>
      <c r="D433" s="2" t="s">
        <v>398</v>
      </c>
      <c r="E433" t="s">
        <v>535</v>
      </c>
      <c r="F433" s="11">
        <v>43391</v>
      </c>
      <c r="G433" s="2">
        <f>VLOOKUP(E433,Produtos!$A:$E,5,FALSE)</f>
        <v>250</v>
      </c>
      <c r="H433" s="2">
        <f>VLOOKUP(E433,Produtos!$A:$E,4,FALSE)</f>
        <v>120</v>
      </c>
      <c r="I433" s="2">
        <v>3</v>
      </c>
    </row>
    <row r="434" spans="1:9" x14ac:dyDescent="0.25">
      <c r="A434" s="2" t="str">
        <f>CONCATENATE(Códigos!S433,Códigos!T433,Códigos!U433)</f>
        <v>svv432v</v>
      </c>
      <c r="B434" t="s">
        <v>496</v>
      </c>
      <c r="C434" t="s">
        <v>397</v>
      </c>
      <c r="D434" s="2" t="s">
        <v>398</v>
      </c>
      <c r="E434" t="s">
        <v>535</v>
      </c>
      <c r="F434" s="11">
        <v>43392</v>
      </c>
      <c r="G434" s="2">
        <f>VLOOKUP(E434,Produtos!$A:$E,5,FALSE)</f>
        <v>250</v>
      </c>
      <c r="H434" s="2">
        <f>VLOOKUP(E434,Produtos!$A:$E,4,FALSE)</f>
        <v>120</v>
      </c>
      <c r="I434" s="2">
        <v>3</v>
      </c>
    </row>
    <row r="435" spans="1:9" x14ac:dyDescent="0.25">
      <c r="A435" s="2" t="str">
        <f>CONCATENATE(Códigos!S434,Códigos!T434,Códigos!U434)</f>
        <v>svv433v</v>
      </c>
      <c r="B435" t="s">
        <v>496</v>
      </c>
      <c r="C435" t="s">
        <v>397</v>
      </c>
      <c r="D435" s="2" t="s">
        <v>398</v>
      </c>
      <c r="E435" t="s">
        <v>535</v>
      </c>
      <c r="F435" s="11">
        <v>43393</v>
      </c>
      <c r="G435" s="2">
        <f>VLOOKUP(E435,Produtos!$A:$E,5,FALSE)</f>
        <v>250</v>
      </c>
      <c r="H435" s="2">
        <f>VLOOKUP(E435,Produtos!$A:$E,4,FALSE)</f>
        <v>120</v>
      </c>
      <c r="I435" s="2">
        <v>3</v>
      </c>
    </row>
    <row r="436" spans="1:9" x14ac:dyDescent="0.25">
      <c r="A436" s="2" t="str">
        <f>CONCATENATE(Códigos!S435,Códigos!T435,Códigos!U435)</f>
        <v>svv434v</v>
      </c>
      <c r="B436" t="s">
        <v>496</v>
      </c>
      <c r="C436" t="s">
        <v>388</v>
      </c>
      <c r="D436" s="2" t="s">
        <v>389</v>
      </c>
      <c r="E436" t="s">
        <v>535</v>
      </c>
      <c r="F436" s="11">
        <v>43394</v>
      </c>
      <c r="G436" s="2">
        <f>VLOOKUP(E436,Produtos!$A:$E,5,FALSE)</f>
        <v>250</v>
      </c>
      <c r="H436" s="2">
        <f>VLOOKUP(E436,Produtos!$A:$E,4,FALSE)</f>
        <v>120</v>
      </c>
      <c r="I436" s="2">
        <v>3</v>
      </c>
    </row>
    <row r="437" spans="1:9" x14ac:dyDescent="0.25">
      <c r="A437" s="2" t="str">
        <f>CONCATENATE(Códigos!S436,Códigos!T436,Códigos!U436)</f>
        <v>svv435v</v>
      </c>
      <c r="B437" t="s">
        <v>496</v>
      </c>
      <c r="C437" t="s">
        <v>388</v>
      </c>
      <c r="D437" s="2" t="s">
        <v>389</v>
      </c>
      <c r="E437" t="s">
        <v>535</v>
      </c>
      <c r="F437" s="11">
        <v>43395</v>
      </c>
      <c r="G437" s="2">
        <f>VLOOKUP(E437,Produtos!$A:$E,5,FALSE)</f>
        <v>250</v>
      </c>
      <c r="H437" s="2">
        <f>VLOOKUP(E437,Produtos!$A:$E,4,FALSE)</f>
        <v>120</v>
      </c>
      <c r="I437" s="2">
        <v>3</v>
      </c>
    </row>
    <row r="438" spans="1:9" x14ac:dyDescent="0.25">
      <c r="A438" s="2" t="str">
        <f>CONCATENATE(Códigos!S437,Códigos!T437,Códigos!U437)</f>
        <v>svv436v</v>
      </c>
      <c r="B438" t="s">
        <v>496</v>
      </c>
      <c r="C438" t="s">
        <v>388</v>
      </c>
      <c r="D438" s="2" t="s">
        <v>389</v>
      </c>
      <c r="E438" t="s">
        <v>535</v>
      </c>
      <c r="F438" s="11">
        <v>43396</v>
      </c>
      <c r="G438" s="2">
        <f>VLOOKUP(E438,Produtos!$A:$E,5,FALSE)</f>
        <v>250</v>
      </c>
      <c r="H438" s="2">
        <f>VLOOKUP(E438,Produtos!$A:$E,4,FALSE)</f>
        <v>120</v>
      </c>
      <c r="I438" s="2">
        <v>3</v>
      </c>
    </row>
    <row r="439" spans="1:9" x14ac:dyDescent="0.25">
      <c r="A439" s="2" t="str">
        <f>CONCATENATE(Códigos!S438,Códigos!T438,Códigos!U438)</f>
        <v>svv437v</v>
      </c>
      <c r="B439" t="s">
        <v>496</v>
      </c>
      <c r="C439" t="s">
        <v>388</v>
      </c>
      <c r="D439" s="2" t="s">
        <v>389</v>
      </c>
      <c r="E439" t="s">
        <v>535</v>
      </c>
      <c r="F439" s="11">
        <v>43397</v>
      </c>
      <c r="G439" s="2">
        <f>VLOOKUP(E439,Produtos!$A:$E,5,FALSE)</f>
        <v>250</v>
      </c>
      <c r="H439" s="2">
        <f>VLOOKUP(E439,Produtos!$A:$E,4,FALSE)</f>
        <v>120</v>
      </c>
      <c r="I439" s="2">
        <v>3</v>
      </c>
    </row>
    <row r="440" spans="1:9" x14ac:dyDescent="0.25">
      <c r="A440" s="2" t="str">
        <f>CONCATENATE(Códigos!S439,Códigos!T439,Códigos!U439)</f>
        <v>svv438v</v>
      </c>
      <c r="B440" t="s">
        <v>496</v>
      </c>
      <c r="C440" t="s">
        <v>388</v>
      </c>
      <c r="D440" s="2" t="s">
        <v>389</v>
      </c>
      <c r="E440" t="s">
        <v>535</v>
      </c>
      <c r="F440" s="11">
        <v>43398</v>
      </c>
      <c r="G440" s="2">
        <f>VLOOKUP(E440,Produtos!$A:$E,5,FALSE)</f>
        <v>250</v>
      </c>
      <c r="H440" s="2">
        <f>VLOOKUP(E440,Produtos!$A:$E,4,FALSE)</f>
        <v>120</v>
      </c>
      <c r="I440" s="2">
        <v>3</v>
      </c>
    </row>
    <row r="441" spans="1:9" x14ac:dyDescent="0.25">
      <c r="A441" s="2" t="str">
        <f>CONCATENATE(Códigos!S440,Códigos!T440,Códigos!U440)</f>
        <v>svv439v</v>
      </c>
      <c r="B441" t="s">
        <v>496</v>
      </c>
      <c r="C441" t="s">
        <v>388</v>
      </c>
      <c r="D441" s="2" t="s">
        <v>389</v>
      </c>
      <c r="E441" t="s">
        <v>535</v>
      </c>
      <c r="F441" s="11">
        <v>43399</v>
      </c>
      <c r="G441" s="2">
        <f>VLOOKUP(E441,Produtos!$A:$E,5,FALSE)</f>
        <v>250</v>
      </c>
      <c r="H441" s="2">
        <f>VLOOKUP(E441,Produtos!$A:$E,4,FALSE)</f>
        <v>120</v>
      </c>
      <c r="I441" s="2">
        <v>3</v>
      </c>
    </row>
    <row r="442" spans="1:9" x14ac:dyDescent="0.25">
      <c r="A442" s="2" t="str">
        <f>CONCATENATE(Códigos!S441,Códigos!T441,Códigos!U441)</f>
        <v>svv440v</v>
      </c>
      <c r="B442" t="s">
        <v>496</v>
      </c>
      <c r="C442" t="s">
        <v>388</v>
      </c>
      <c r="D442" s="2" t="s">
        <v>389</v>
      </c>
      <c r="E442" t="s">
        <v>535</v>
      </c>
      <c r="F442" s="11">
        <v>43400</v>
      </c>
      <c r="G442" s="2">
        <f>VLOOKUP(E442,Produtos!$A:$E,5,FALSE)</f>
        <v>250</v>
      </c>
      <c r="H442" s="2">
        <f>VLOOKUP(E442,Produtos!$A:$E,4,FALSE)</f>
        <v>120</v>
      </c>
      <c r="I442" s="2">
        <v>3</v>
      </c>
    </row>
    <row r="443" spans="1:9" x14ac:dyDescent="0.25">
      <c r="A443" s="2" t="str">
        <f>CONCATENATE(Códigos!S442,Códigos!T442,Códigos!U442)</f>
        <v>svv441v</v>
      </c>
      <c r="B443" t="s">
        <v>496</v>
      </c>
      <c r="C443" t="s">
        <v>388</v>
      </c>
      <c r="D443" s="2" t="s">
        <v>389</v>
      </c>
      <c r="E443" t="s">
        <v>535</v>
      </c>
      <c r="F443" s="11">
        <v>43401</v>
      </c>
      <c r="G443" s="2">
        <f>VLOOKUP(E443,Produtos!$A:$E,5,FALSE)</f>
        <v>250</v>
      </c>
      <c r="H443" s="2">
        <f>VLOOKUP(E443,Produtos!$A:$E,4,FALSE)</f>
        <v>120</v>
      </c>
      <c r="I443" s="2">
        <v>3</v>
      </c>
    </row>
    <row r="444" spans="1:9" x14ac:dyDescent="0.25">
      <c r="A444" s="2" t="str">
        <f>CONCATENATE(Códigos!S443,Códigos!T443,Códigos!U443)</f>
        <v>svv442v</v>
      </c>
      <c r="B444" t="s">
        <v>496</v>
      </c>
      <c r="C444" t="s">
        <v>388</v>
      </c>
      <c r="D444" s="2" t="s">
        <v>389</v>
      </c>
      <c r="E444" t="s">
        <v>535</v>
      </c>
      <c r="F444" s="11">
        <v>43402</v>
      </c>
      <c r="G444" s="2">
        <f>VLOOKUP(E444,Produtos!$A:$E,5,FALSE)</f>
        <v>250</v>
      </c>
      <c r="H444" s="2">
        <f>VLOOKUP(E444,Produtos!$A:$E,4,FALSE)</f>
        <v>120</v>
      </c>
      <c r="I444" s="2">
        <v>3</v>
      </c>
    </row>
    <row r="445" spans="1:9" x14ac:dyDescent="0.25">
      <c r="A445" s="2" t="str">
        <f>CONCATENATE(Códigos!S444,Códigos!T444,Códigos!U444)</f>
        <v>svv443v</v>
      </c>
      <c r="B445" t="s">
        <v>496</v>
      </c>
      <c r="C445" t="s">
        <v>388</v>
      </c>
      <c r="D445" s="2" t="s">
        <v>389</v>
      </c>
      <c r="E445" t="s">
        <v>535</v>
      </c>
      <c r="F445" s="11">
        <v>43403</v>
      </c>
      <c r="G445" s="2">
        <f>VLOOKUP(E445,Produtos!$A:$E,5,FALSE)</f>
        <v>250</v>
      </c>
      <c r="H445" s="2">
        <f>VLOOKUP(E445,Produtos!$A:$E,4,FALSE)</f>
        <v>120</v>
      </c>
      <c r="I445" s="2">
        <v>3</v>
      </c>
    </row>
    <row r="446" spans="1:9" x14ac:dyDescent="0.25">
      <c r="A446" s="2" t="str">
        <f>CONCATENATE(Códigos!S445,Códigos!T445,Códigos!U445)</f>
        <v>svv444v</v>
      </c>
      <c r="B446" t="s">
        <v>496</v>
      </c>
      <c r="C446" t="s">
        <v>388</v>
      </c>
      <c r="D446" s="2" t="s">
        <v>389</v>
      </c>
      <c r="E446" t="s">
        <v>535</v>
      </c>
      <c r="F446" s="11">
        <v>43404</v>
      </c>
      <c r="G446" s="2">
        <f>VLOOKUP(E446,Produtos!$A:$E,5,FALSE)</f>
        <v>250</v>
      </c>
      <c r="H446" s="2">
        <f>VLOOKUP(E446,Produtos!$A:$E,4,FALSE)</f>
        <v>120</v>
      </c>
      <c r="I446" s="2">
        <v>3</v>
      </c>
    </row>
    <row r="447" spans="1:9" x14ac:dyDescent="0.25">
      <c r="A447" s="2" t="str">
        <f>CONCATENATE(Códigos!S446,Códigos!T446,Códigos!U446)</f>
        <v>svv445v</v>
      </c>
      <c r="B447" t="s">
        <v>496</v>
      </c>
      <c r="C447" t="s">
        <v>388</v>
      </c>
      <c r="D447" s="2" t="s">
        <v>389</v>
      </c>
      <c r="E447" t="s">
        <v>535</v>
      </c>
      <c r="F447" s="11">
        <v>43405</v>
      </c>
      <c r="G447" s="2">
        <f>VLOOKUP(E447,Produtos!$A:$E,5,FALSE)</f>
        <v>250</v>
      </c>
      <c r="H447" s="2">
        <f>VLOOKUP(E447,Produtos!$A:$E,4,FALSE)</f>
        <v>120</v>
      </c>
      <c r="I447" s="2">
        <v>3</v>
      </c>
    </row>
    <row r="448" spans="1:9" x14ac:dyDescent="0.25">
      <c r="A448" s="2" t="str">
        <f>CONCATENATE(Códigos!S447,Códigos!T447,Códigos!U447)</f>
        <v>svv446v</v>
      </c>
      <c r="B448" t="s">
        <v>496</v>
      </c>
      <c r="C448" t="s">
        <v>388</v>
      </c>
      <c r="D448" s="2" t="s">
        <v>389</v>
      </c>
      <c r="E448" t="s">
        <v>535</v>
      </c>
      <c r="F448" s="11">
        <v>43406</v>
      </c>
      <c r="G448" s="2">
        <f>VLOOKUP(E448,Produtos!$A:$E,5,FALSE)</f>
        <v>250</v>
      </c>
      <c r="H448" s="2">
        <f>VLOOKUP(E448,Produtos!$A:$E,4,FALSE)</f>
        <v>120</v>
      </c>
      <c r="I448" s="2">
        <v>3</v>
      </c>
    </row>
    <row r="449" spans="1:9" x14ac:dyDescent="0.25">
      <c r="A449" s="2" t="str">
        <f>CONCATENATE(Códigos!S448,Códigos!T448,Códigos!U448)</f>
        <v>svv447v</v>
      </c>
      <c r="B449" t="s">
        <v>496</v>
      </c>
      <c r="C449" t="s">
        <v>388</v>
      </c>
      <c r="D449" s="2" t="s">
        <v>389</v>
      </c>
      <c r="E449" t="s">
        <v>535</v>
      </c>
      <c r="F449" s="11">
        <v>43407</v>
      </c>
      <c r="G449" s="2">
        <f>VLOOKUP(E449,Produtos!$A:$E,5,FALSE)</f>
        <v>250</v>
      </c>
      <c r="H449" s="2">
        <f>VLOOKUP(E449,Produtos!$A:$E,4,FALSE)</f>
        <v>120</v>
      </c>
      <c r="I449" s="2">
        <v>3</v>
      </c>
    </row>
    <row r="450" spans="1:9" x14ac:dyDescent="0.25">
      <c r="A450" s="2" t="str">
        <f>CONCATENATE(Códigos!S449,Códigos!T449,Códigos!U449)</f>
        <v>svv448v</v>
      </c>
      <c r="B450" t="s">
        <v>496</v>
      </c>
      <c r="C450" t="s">
        <v>388</v>
      </c>
      <c r="D450" s="2" t="s">
        <v>389</v>
      </c>
      <c r="E450" t="s">
        <v>535</v>
      </c>
      <c r="F450" s="11">
        <v>43408</v>
      </c>
      <c r="G450" s="2">
        <f>VLOOKUP(E450,Produtos!$A:$E,5,FALSE)</f>
        <v>250</v>
      </c>
      <c r="H450" s="2">
        <f>VLOOKUP(E450,Produtos!$A:$E,4,FALSE)</f>
        <v>120</v>
      </c>
      <c r="I450" s="2">
        <v>3</v>
      </c>
    </row>
    <row r="451" spans="1:9" x14ac:dyDescent="0.25">
      <c r="A451" s="2" t="str">
        <f>CONCATENATE(Códigos!S450,Códigos!T450,Códigos!U450)</f>
        <v>svv449v</v>
      </c>
      <c r="B451" t="s">
        <v>496</v>
      </c>
      <c r="C451" t="s">
        <v>388</v>
      </c>
      <c r="D451" s="2" t="s">
        <v>389</v>
      </c>
      <c r="E451" t="s">
        <v>535</v>
      </c>
      <c r="F451" s="11">
        <v>43409</v>
      </c>
      <c r="G451" s="2">
        <f>VLOOKUP(E451,Produtos!$A:$E,5,FALSE)</f>
        <v>250</v>
      </c>
      <c r="H451" s="2">
        <f>VLOOKUP(E451,Produtos!$A:$E,4,FALSE)</f>
        <v>120</v>
      </c>
      <c r="I451" s="2">
        <v>3</v>
      </c>
    </row>
    <row r="452" spans="1:9" x14ac:dyDescent="0.25">
      <c r="A452" s="2" t="str">
        <f>CONCATENATE(Códigos!S451,Códigos!T451,Códigos!U451)</f>
        <v>svv450v</v>
      </c>
      <c r="B452" t="s">
        <v>496</v>
      </c>
      <c r="C452" t="s">
        <v>388</v>
      </c>
      <c r="D452" s="2" t="s">
        <v>389</v>
      </c>
      <c r="E452" t="s">
        <v>535</v>
      </c>
      <c r="F452" s="11">
        <v>43410</v>
      </c>
      <c r="G452" s="2">
        <f>VLOOKUP(E452,Produtos!$A:$E,5,FALSE)</f>
        <v>250</v>
      </c>
      <c r="H452" s="2">
        <f>VLOOKUP(E452,Produtos!$A:$E,4,FALSE)</f>
        <v>120</v>
      </c>
      <c r="I452" s="2">
        <v>3</v>
      </c>
    </row>
    <row r="453" spans="1:9" x14ac:dyDescent="0.25">
      <c r="A453" s="2" t="str">
        <f>CONCATENATE(Códigos!S452,Códigos!T452,Códigos!U452)</f>
        <v>svv451v</v>
      </c>
      <c r="B453" t="s">
        <v>496</v>
      </c>
      <c r="C453" t="s">
        <v>388</v>
      </c>
      <c r="D453" s="2" t="s">
        <v>389</v>
      </c>
      <c r="E453" t="s">
        <v>535</v>
      </c>
      <c r="F453" s="11">
        <v>43411</v>
      </c>
      <c r="G453" s="2">
        <f>VLOOKUP(E453,Produtos!$A:$E,5,FALSE)</f>
        <v>250</v>
      </c>
      <c r="H453" s="2">
        <f>VLOOKUP(E453,Produtos!$A:$E,4,FALSE)</f>
        <v>120</v>
      </c>
      <c r="I453" s="2">
        <v>3</v>
      </c>
    </row>
    <row r="454" spans="1:9" x14ac:dyDescent="0.25">
      <c r="A454" s="2" t="str">
        <f>CONCATENATE(Códigos!S453,Códigos!T453,Códigos!U453)</f>
        <v>svv452v</v>
      </c>
      <c r="B454" t="s">
        <v>496</v>
      </c>
      <c r="C454" t="s">
        <v>388</v>
      </c>
      <c r="D454" s="2" t="s">
        <v>389</v>
      </c>
      <c r="E454" t="s">
        <v>535</v>
      </c>
      <c r="F454" s="11">
        <v>43412</v>
      </c>
      <c r="G454" s="2">
        <f>VLOOKUP(E454,Produtos!$A:$E,5,FALSE)</f>
        <v>250</v>
      </c>
      <c r="H454" s="2">
        <f>VLOOKUP(E454,Produtos!$A:$E,4,FALSE)</f>
        <v>120</v>
      </c>
      <c r="I454" s="2">
        <v>3</v>
      </c>
    </row>
    <row r="455" spans="1:9" x14ac:dyDescent="0.25">
      <c r="A455" s="2" t="str">
        <f>CONCATENATE(Códigos!S454,Códigos!T454,Códigos!U454)</f>
        <v>svv453v</v>
      </c>
      <c r="B455" t="s">
        <v>496</v>
      </c>
      <c r="C455" t="s">
        <v>388</v>
      </c>
      <c r="D455" s="2" t="s">
        <v>389</v>
      </c>
      <c r="E455" t="s">
        <v>535</v>
      </c>
      <c r="F455" s="11">
        <v>43413</v>
      </c>
      <c r="G455" s="2">
        <f>VLOOKUP(E455,Produtos!$A:$E,5,FALSE)</f>
        <v>250</v>
      </c>
      <c r="H455" s="2">
        <f>VLOOKUP(E455,Produtos!$A:$E,4,FALSE)</f>
        <v>120</v>
      </c>
      <c r="I455" s="2">
        <v>3</v>
      </c>
    </row>
    <row r="456" spans="1:9" x14ac:dyDescent="0.25">
      <c r="A456" s="2" t="str">
        <f>CONCATENATE(Códigos!S455,Códigos!T455,Códigos!U455)</f>
        <v>svv454v</v>
      </c>
      <c r="B456" t="s">
        <v>496</v>
      </c>
      <c r="C456" t="s">
        <v>388</v>
      </c>
      <c r="D456" s="2" t="s">
        <v>389</v>
      </c>
      <c r="E456" t="s">
        <v>535</v>
      </c>
      <c r="F456" s="11">
        <v>43414</v>
      </c>
      <c r="G456" s="2">
        <f>VLOOKUP(E456,Produtos!$A:$E,5,FALSE)</f>
        <v>250</v>
      </c>
      <c r="H456" s="2">
        <f>VLOOKUP(E456,Produtos!$A:$E,4,FALSE)</f>
        <v>120</v>
      </c>
      <c r="I456" s="2">
        <v>3</v>
      </c>
    </row>
    <row r="457" spans="1:9" x14ac:dyDescent="0.25">
      <c r="A457" s="2" t="str">
        <f>CONCATENATE(Códigos!S456,Códigos!T456,Códigos!U456)</f>
        <v>svv455v</v>
      </c>
      <c r="B457" t="s">
        <v>496</v>
      </c>
      <c r="C457" t="s">
        <v>388</v>
      </c>
      <c r="D457" s="2" t="s">
        <v>389</v>
      </c>
      <c r="E457" t="s">
        <v>535</v>
      </c>
      <c r="F457" s="11">
        <v>43415</v>
      </c>
      <c r="G457" s="2">
        <f>VLOOKUP(E457,Produtos!$A:$E,5,FALSE)</f>
        <v>250</v>
      </c>
      <c r="H457" s="2">
        <f>VLOOKUP(E457,Produtos!$A:$E,4,FALSE)</f>
        <v>120</v>
      </c>
      <c r="I457" s="2">
        <v>3</v>
      </c>
    </row>
    <row r="458" spans="1:9" x14ac:dyDescent="0.25">
      <c r="A458" s="2" t="str">
        <f>CONCATENATE(Códigos!S457,Códigos!T457,Códigos!U457)</f>
        <v>svv456v</v>
      </c>
      <c r="B458" t="s">
        <v>496</v>
      </c>
      <c r="C458" t="s">
        <v>388</v>
      </c>
      <c r="D458" s="2" t="s">
        <v>389</v>
      </c>
      <c r="E458" t="s">
        <v>535</v>
      </c>
      <c r="F458" s="11">
        <v>43416</v>
      </c>
      <c r="G458" s="2">
        <f>VLOOKUP(E458,Produtos!$A:$E,5,FALSE)</f>
        <v>250</v>
      </c>
      <c r="H458" s="2">
        <f>VLOOKUP(E458,Produtos!$A:$E,4,FALSE)</f>
        <v>120</v>
      </c>
      <c r="I458" s="2">
        <v>3</v>
      </c>
    </row>
    <row r="459" spans="1:9" x14ac:dyDescent="0.25">
      <c r="A459" s="2" t="str">
        <f>CONCATENATE(Códigos!S458,Códigos!T458,Códigos!U458)</f>
        <v>svv457v</v>
      </c>
      <c r="B459" t="s">
        <v>496</v>
      </c>
      <c r="C459" t="s">
        <v>388</v>
      </c>
      <c r="D459" s="2" t="s">
        <v>389</v>
      </c>
      <c r="E459" t="s">
        <v>535</v>
      </c>
      <c r="F459" s="11">
        <v>43417</v>
      </c>
      <c r="G459" s="2">
        <f>VLOOKUP(E459,Produtos!$A:$E,5,FALSE)</f>
        <v>250</v>
      </c>
      <c r="H459" s="2">
        <f>VLOOKUP(E459,Produtos!$A:$E,4,FALSE)</f>
        <v>120</v>
      </c>
      <c r="I459" s="2">
        <v>3</v>
      </c>
    </row>
    <row r="460" spans="1:9" x14ac:dyDescent="0.25">
      <c r="A460" s="2" t="str">
        <f>CONCATENATE(Códigos!S459,Códigos!T459,Códigos!U459)</f>
        <v>svv458v</v>
      </c>
      <c r="B460" t="s">
        <v>496</v>
      </c>
      <c r="C460" t="s">
        <v>388</v>
      </c>
      <c r="D460" s="2" t="s">
        <v>389</v>
      </c>
      <c r="E460" t="s">
        <v>535</v>
      </c>
      <c r="F460" s="11">
        <v>43418</v>
      </c>
      <c r="G460" s="2">
        <f>VLOOKUP(E460,Produtos!$A:$E,5,FALSE)</f>
        <v>250</v>
      </c>
      <c r="H460" s="2">
        <f>VLOOKUP(E460,Produtos!$A:$E,4,FALSE)</f>
        <v>120</v>
      </c>
      <c r="I460" s="2">
        <v>3</v>
      </c>
    </row>
    <row r="461" spans="1:9" x14ac:dyDescent="0.25">
      <c r="A461" s="2" t="str">
        <f>CONCATENATE(Códigos!S460,Códigos!T460,Códigos!U460)</f>
        <v>svv459v</v>
      </c>
      <c r="B461" t="s">
        <v>496</v>
      </c>
      <c r="C461" t="s">
        <v>388</v>
      </c>
      <c r="D461" s="2" t="s">
        <v>389</v>
      </c>
      <c r="E461" t="s">
        <v>512</v>
      </c>
      <c r="F461" s="11">
        <v>43419</v>
      </c>
      <c r="G461" s="2">
        <f>VLOOKUP(E461,Produtos!$A:$E,5,FALSE)</f>
        <v>170</v>
      </c>
      <c r="H461" s="2">
        <f>VLOOKUP(E461,Produtos!$A:$E,4,FALSE)</f>
        <v>80</v>
      </c>
      <c r="I461" s="2">
        <v>3</v>
      </c>
    </row>
    <row r="462" spans="1:9" x14ac:dyDescent="0.25">
      <c r="A462" s="2" t="str">
        <f>CONCATENATE(Códigos!S461,Códigos!T461,Códigos!U461)</f>
        <v>svv460v</v>
      </c>
      <c r="B462" t="s">
        <v>496</v>
      </c>
      <c r="C462" t="s">
        <v>388</v>
      </c>
      <c r="D462" s="2" t="s">
        <v>389</v>
      </c>
      <c r="E462" t="s">
        <v>512</v>
      </c>
      <c r="F462" s="11">
        <v>43420</v>
      </c>
      <c r="G462" s="2">
        <f>VLOOKUP(E462,Produtos!$A:$E,5,FALSE)</f>
        <v>170</v>
      </c>
      <c r="H462" s="2">
        <f>VLOOKUP(E462,Produtos!$A:$E,4,FALSE)</f>
        <v>80</v>
      </c>
      <c r="I462" s="2">
        <v>3</v>
      </c>
    </row>
    <row r="463" spans="1:9" x14ac:dyDescent="0.25">
      <c r="A463" s="2" t="str">
        <f>CONCATENATE(Códigos!S462,Códigos!T462,Códigos!U462)</f>
        <v>svv461v</v>
      </c>
      <c r="B463" t="s">
        <v>496</v>
      </c>
      <c r="C463" t="s">
        <v>388</v>
      </c>
      <c r="D463" s="2" t="s">
        <v>389</v>
      </c>
      <c r="E463" t="s">
        <v>512</v>
      </c>
      <c r="F463" s="11">
        <v>43421</v>
      </c>
      <c r="G463" s="2">
        <f>VLOOKUP(E463,Produtos!$A:$E,5,FALSE)</f>
        <v>170</v>
      </c>
      <c r="H463" s="2">
        <f>VLOOKUP(E463,Produtos!$A:$E,4,FALSE)</f>
        <v>80</v>
      </c>
      <c r="I463" s="2">
        <v>3</v>
      </c>
    </row>
    <row r="464" spans="1:9" x14ac:dyDescent="0.25">
      <c r="A464" s="2" t="str">
        <f>CONCATENATE(Códigos!S463,Códigos!T463,Códigos!U463)</f>
        <v>svv462v</v>
      </c>
      <c r="B464" t="s">
        <v>496</v>
      </c>
      <c r="C464" t="s">
        <v>388</v>
      </c>
      <c r="D464" s="2" t="s">
        <v>389</v>
      </c>
      <c r="E464" t="s">
        <v>512</v>
      </c>
      <c r="F464" s="11">
        <v>43422</v>
      </c>
      <c r="G464" s="2">
        <f>VLOOKUP(E464,Produtos!$A:$E,5,FALSE)</f>
        <v>170</v>
      </c>
      <c r="H464" s="2">
        <f>VLOOKUP(E464,Produtos!$A:$E,4,FALSE)</f>
        <v>80</v>
      </c>
      <c r="I464" s="2">
        <v>3</v>
      </c>
    </row>
    <row r="465" spans="1:9" x14ac:dyDescent="0.25">
      <c r="A465" s="2" t="str">
        <f>CONCATENATE(Códigos!S464,Códigos!T464,Códigos!U464)</f>
        <v>svv463v</v>
      </c>
      <c r="B465" t="s">
        <v>496</v>
      </c>
      <c r="C465" t="s">
        <v>388</v>
      </c>
      <c r="D465" s="2" t="s">
        <v>389</v>
      </c>
      <c r="E465" t="s">
        <v>512</v>
      </c>
      <c r="F465" s="11">
        <v>43423</v>
      </c>
      <c r="G465" s="2">
        <f>VLOOKUP(E465,Produtos!$A:$E,5,FALSE)</f>
        <v>170</v>
      </c>
      <c r="H465" s="2">
        <f>VLOOKUP(E465,Produtos!$A:$E,4,FALSE)</f>
        <v>80</v>
      </c>
      <c r="I465" s="2">
        <v>3</v>
      </c>
    </row>
    <row r="466" spans="1:9" x14ac:dyDescent="0.25">
      <c r="A466" s="2" t="str">
        <f>CONCATENATE(Códigos!S465,Códigos!T465,Códigos!U465)</f>
        <v>svv464v</v>
      </c>
      <c r="B466" t="s">
        <v>496</v>
      </c>
      <c r="C466" t="s">
        <v>388</v>
      </c>
      <c r="D466" s="2" t="s">
        <v>389</v>
      </c>
      <c r="E466" t="s">
        <v>512</v>
      </c>
      <c r="F466" s="11">
        <v>43424</v>
      </c>
      <c r="G466" s="2">
        <f>VLOOKUP(E466,Produtos!$A:$E,5,FALSE)</f>
        <v>170</v>
      </c>
      <c r="H466" s="2">
        <f>VLOOKUP(E466,Produtos!$A:$E,4,FALSE)</f>
        <v>80</v>
      </c>
      <c r="I466" s="2">
        <v>3</v>
      </c>
    </row>
    <row r="467" spans="1:9" x14ac:dyDescent="0.25">
      <c r="A467" s="2" t="str">
        <f>CONCATENATE(Códigos!S466,Códigos!T466,Códigos!U466)</f>
        <v>svv465v</v>
      </c>
      <c r="B467" t="s">
        <v>496</v>
      </c>
      <c r="C467" t="s">
        <v>388</v>
      </c>
      <c r="D467" s="2" t="s">
        <v>389</v>
      </c>
      <c r="E467" t="s">
        <v>512</v>
      </c>
      <c r="F467" s="11">
        <v>43425</v>
      </c>
      <c r="G467" s="2">
        <f>VLOOKUP(E467,Produtos!$A:$E,5,FALSE)</f>
        <v>170</v>
      </c>
      <c r="H467" s="2">
        <f>VLOOKUP(E467,Produtos!$A:$E,4,FALSE)</f>
        <v>80</v>
      </c>
      <c r="I467" s="2">
        <v>3</v>
      </c>
    </row>
    <row r="468" spans="1:9" x14ac:dyDescent="0.25">
      <c r="A468" s="2" t="str">
        <f>CONCATENATE(Códigos!S467,Códigos!T467,Códigos!U467)</f>
        <v>svv466v</v>
      </c>
      <c r="B468" t="s">
        <v>496</v>
      </c>
      <c r="C468" t="s">
        <v>388</v>
      </c>
      <c r="D468" s="2" t="s">
        <v>389</v>
      </c>
      <c r="E468" t="s">
        <v>512</v>
      </c>
      <c r="F468" s="11">
        <v>43426</v>
      </c>
      <c r="G468" s="2">
        <f>VLOOKUP(E468,Produtos!$A:$E,5,FALSE)</f>
        <v>170</v>
      </c>
      <c r="H468" s="2">
        <f>VLOOKUP(E468,Produtos!$A:$E,4,FALSE)</f>
        <v>80</v>
      </c>
      <c r="I468" s="2">
        <v>3</v>
      </c>
    </row>
    <row r="469" spans="1:9" x14ac:dyDescent="0.25">
      <c r="A469" s="2" t="str">
        <f>CONCATENATE(Códigos!S468,Códigos!T468,Códigos!U468)</f>
        <v>svv467v</v>
      </c>
      <c r="B469" t="s">
        <v>496</v>
      </c>
      <c r="C469" t="s">
        <v>388</v>
      </c>
      <c r="D469" s="2" t="s">
        <v>389</v>
      </c>
      <c r="E469" t="s">
        <v>512</v>
      </c>
      <c r="F469" s="11">
        <v>43427</v>
      </c>
      <c r="G469" s="2">
        <f>VLOOKUP(E469,Produtos!$A:$E,5,FALSE)</f>
        <v>170</v>
      </c>
      <c r="H469" s="2">
        <f>VLOOKUP(E469,Produtos!$A:$E,4,FALSE)</f>
        <v>80</v>
      </c>
      <c r="I469" s="2">
        <v>3</v>
      </c>
    </row>
    <row r="470" spans="1:9" x14ac:dyDescent="0.25">
      <c r="A470" s="2" t="str">
        <f>CONCATENATE(Códigos!S469,Códigos!T469,Códigos!U469)</f>
        <v>svv468v</v>
      </c>
      <c r="B470" t="s">
        <v>496</v>
      </c>
      <c r="C470" t="s">
        <v>388</v>
      </c>
      <c r="D470" s="2" t="s">
        <v>389</v>
      </c>
      <c r="E470" t="s">
        <v>512</v>
      </c>
      <c r="F470" s="11">
        <v>43428</v>
      </c>
      <c r="G470" s="2">
        <f>VLOOKUP(E470,Produtos!$A:$E,5,FALSE)</f>
        <v>170</v>
      </c>
      <c r="H470" s="2">
        <f>VLOOKUP(E470,Produtos!$A:$E,4,FALSE)</f>
        <v>80</v>
      </c>
      <c r="I470" s="2">
        <v>3</v>
      </c>
    </row>
    <row r="471" spans="1:9" x14ac:dyDescent="0.25">
      <c r="A471" s="2" t="str">
        <f>CONCATENATE(Códigos!S470,Códigos!T470,Códigos!U470)</f>
        <v>svv469v</v>
      </c>
      <c r="B471" t="s">
        <v>496</v>
      </c>
      <c r="C471" t="s">
        <v>388</v>
      </c>
      <c r="D471" s="2" t="s">
        <v>389</v>
      </c>
      <c r="E471" t="s">
        <v>512</v>
      </c>
      <c r="F471" s="11">
        <v>43429</v>
      </c>
      <c r="G471" s="2">
        <f>VLOOKUP(E471,Produtos!$A:$E,5,FALSE)</f>
        <v>170</v>
      </c>
      <c r="H471" s="2">
        <f>VLOOKUP(E471,Produtos!$A:$E,4,FALSE)</f>
        <v>80</v>
      </c>
      <c r="I471" s="2">
        <v>3</v>
      </c>
    </row>
    <row r="472" spans="1:9" x14ac:dyDescent="0.25">
      <c r="A472" s="2" t="str">
        <f>CONCATENATE(Códigos!S471,Códigos!T471,Códigos!U471)</f>
        <v>svv470v</v>
      </c>
      <c r="B472" t="s">
        <v>496</v>
      </c>
      <c r="C472" t="s">
        <v>388</v>
      </c>
      <c r="D472" s="2" t="s">
        <v>389</v>
      </c>
      <c r="E472" t="s">
        <v>512</v>
      </c>
      <c r="F472" s="11">
        <v>43430</v>
      </c>
      <c r="G472" s="2">
        <f>VLOOKUP(E472,Produtos!$A:$E,5,FALSE)</f>
        <v>170</v>
      </c>
      <c r="H472" s="2">
        <f>VLOOKUP(E472,Produtos!$A:$E,4,FALSE)</f>
        <v>80</v>
      </c>
      <c r="I472" s="2">
        <v>3</v>
      </c>
    </row>
    <row r="473" spans="1:9" x14ac:dyDescent="0.25">
      <c r="A473" s="2" t="str">
        <f>CONCATENATE(Códigos!S472,Códigos!T472,Códigos!U472)</f>
        <v>svv471v</v>
      </c>
      <c r="B473" t="s">
        <v>496</v>
      </c>
      <c r="C473" t="s">
        <v>388</v>
      </c>
      <c r="D473" s="2" t="s">
        <v>389</v>
      </c>
      <c r="E473" t="s">
        <v>512</v>
      </c>
      <c r="F473" s="11">
        <v>43431</v>
      </c>
      <c r="G473" s="2">
        <f>VLOOKUP(E473,Produtos!$A:$E,5,FALSE)</f>
        <v>170</v>
      </c>
      <c r="H473" s="2">
        <f>VLOOKUP(E473,Produtos!$A:$E,4,FALSE)</f>
        <v>80</v>
      </c>
      <c r="I473" s="2">
        <v>3</v>
      </c>
    </row>
    <row r="474" spans="1:9" x14ac:dyDescent="0.25">
      <c r="A474" s="2" t="str">
        <f>CONCATENATE(Códigos!S473,Códigos!T473,Códigos!U473)</f>
        <v>svv472v</v>
      </c>
      <c r="B474" t="s">
        <v>496</v>
      </c>
      <c r="C474" t="s">
        <v>388</v>
      </c>
      <c r="D474" s="2" t="s">
        <v>389</v>
      </c>
      <c r="E474" t="s">
        <v>512</v>
      </c>
      <c r="F474" s="11">
        <v>43432</v>
      </c>
      <c r="G474" s="2">
        <f>VLOOKUP(E474,Produtos!$A:$E,5,FALSE)</f>
        <v>170</v>
      </c>
      <c r="H474" s="2">
        <f>VLOOKUP(E474,Produtos!$A:$E,4,FALSE)</f>
        <v>80</v>
      </c>
      <c r="I474" s="2">
        <v>3</v>
      </c>
    </row>
    <row r="475" spans="1:9" x14ac:dyDescent="0.25">
      <c r="A475" s="2" t="str">
        <f>CONCATENATE(Códigos!S474,Códigos!T474,Códigos!U474)</f>
        <v>svv473v</v>
      </c>
      <c r="B475" t="s">
        <v>496</v>
      </c>
      <c r="C475" t="s">
        <v>388</v>
      </c>
      <c r="D475" s="2" t="s">
        <v>389</v>
      </c>
      <c r="E475" t="s">
        <v>512</v>
      </c>
      <c r="F475" s="11">
        <v>43433</v>
      </c>
      <c r="G475" s="2">
        <f>VLOOKUP(E475,Produtos!$A:$E,5,FALSE)</f>
        <v>170</v>
      </c>
      <c r="H475" s="2">
        <f>VLOOKUP(E475,Produtos!$A:$E,4,FALSE)</f>
        <v>80</v>
      </c>
      <c r="I475" s="2">
        <v>3</v>
      </c>
    </row>
    <row r="476" spans="1:9" x14ac:dyDescent="0.25">
      <c r="A476" s="2" t="str">
        <f>CONCATENATE(Códigos!S475,Códigos!T475,Códigos!U475)</f>
        <v>svv474v</v>
      </c>
      <c r="B476" t="s">
        <v>496</v>
      </c>
      <c r="C476" t="s">
        <v>388</v>
      </c>
      <c r="D476" s="2" t="s">
        <v>389</v>
      </c>
      <c r="E476" t="s">
        <v>512</v>
      </c>
      <c r="F476" s="11">
        <v>43434</v>
      </c>
      <c r="G476" s="2">
        <f>VLOOKUP(E476,Produtos!$A:$E,5,FALSE)</f>
        <v>170</v>
      </c>
      <c r="H476" s="2">
        <f>VLOOKUP(E476,Produtos!$A:$E,4,FALSE)</f>
        <v>80</v>
      </c>
      <c r="I476" s="2">
        <v>3</v>
      </c>
    </row>
    <row r="477" spans="1:9" x14ac:dyDescent="0.25">
      <c r="A477" s="2" t="str">
        <f>CONCATENATE(Códigos!S476,Códigos!T476,Códigos!U476)</f>
        <v>svv475v</v>
      </c>
      <c r="B477" t="s">
        <v>496</v>
      </c>
      <c r="C477" t="s">
        <v>388</v>
      </c>
      <c r="D477" s="2" t="s">
        <v>389</v>
      </c>
      <c r="E477" t="s">
        <v>512</v>
      </c>
      <c r="F477" s="11">
        <v>43435</v>
      </c>
      <c r="G477" s="2">
        <f>VLOOKUP(E477,Produtos!$A:$E,5,FALSE)</f>
        <v>170</v>
      </c>
      <c r="H477" s="2">
        <f>VLOOKUP(E477,Produtos!$A:$E,4,FALSE)</f>
        <v>80</v>
      </c>
      <c r="I477" s="2">
        <v>3</v>
      </c>
    </row>
    <row r="478" spans="1:9" x14ac:dyDescent="0.25">
      <c r="A478" s="2" t="str">
        <f>CONCATENATE(Códigos!S477,Códigos!T477,Códigos!U477)</f>
        <v>svv476v</v>
      </c>
      <c r="B478" t="s">
        <v>496</v>
      </c>
      <c r="C478" t="s">
        <v>388</v>
      </c>
      <c r="D478" s="2" t="s">
        <v>389</v>
      </c>
      <c r="E478" t="s">
        <v>512</v>
      </c>
      <c r="F478" s="11">
        <v>43436</v>
      </c>
      <c r="G478" s="2">
        <f>VLOOKUP(E478,Produtos!$A:$E,5,FALSE)</f>
        <v>170</v>
      </c>
      <c r="H478" s="2">
        <f>VLOOKUP(E478,Produtos!$A:$E,4,FALSE)</f>
        <v>80</v>
      </c>
      <c r="I478" s="2">
        <v>3</v>
      </c>
    </row>
    <row r="479" spans="1:9" x14ac:dyDescent="0.25">
      <c r="A479" s="2" t="str">
        <f>CONCATENATE(Códigos!S478,Códigos!T478,Códigos!U478)</f>
        <v>svv477v</v>
      </c>
      <c r="B479" t="s">
        <v>496</v>
      </c>
      <c r="C479" t="s">
        <v>388</v>
      </c>
      <c r="D479" s="2" t="s">
        <v>389</v>
      </c>
      <c r="E479" t="s">
        <v>512</v>
      </c>
      <c r="F479" s="11">
        <v>43437</v>
      </c>
      <c r="G479" s="2">
        <f>VLOOKUP(E479,Produtos!$A:$E,5,FALSE)</f>
        <v>170</v>
      </c>
      <c r="H479" s="2">
        <f>VLOOKUP(E479,Produtos!$A:$E,4,FALSE)</f>
        <v>80</v>
      </c>
      <c r="I479" s="2">
        <v>3</v>
      </c>
    </row>
    <row r="480" spans="1:9" x14ac:dyDescent="0.25">
      <c r="A480" s="2" t="str">
        <f>CONCATENATE(Códigos!S479,Códigos!T479,Códigos!U479)</f>
        <v>svv478v</v>
      </c>
      <c r="B480" t="s">
        <v>496</v>
      </c>
      <c r="C480" t="s">
        <v>388</v>
      </c>
      <c r="D480" s="2" t="s">
        <v>389</v>
      </c>
      <c r="E480" t="s">
        <v>512</v>
      </c>
      <c r="F480" s="11">
        <v>43438</v>
      </c>
      <c r="G480" s="2">
        <f>VLOOKUP(E480,Produtos!$A:$E,5,FALSE)</f>
        <v>170</v>
      </c>
      <c r="H480" s="2">
        <f>VLOOKUP(E480,Produtos!$A:$E,4,FALSE)</f>
        <v>80</v>
      </c>
      <c r="I480" s="2">
        <v>3</v>
      </c>
    </row>
    <row r="481" spans="1:9" x14ac:dyDescent="0.25">
      <c r="A481" s="2" t="str">
        <f>CONCATENATE(Códigos!S480,Códigos!T480,Códigos!U480)</f>
        <v>svv479v</v>
      </c>
      <c r="B481" t="s">
        <v>496</v>
      </c>
      <c r="C481" t="s">
        <v>388</v>
      </c>
      <c r="D481" s="2" t="s">
        <v>389</v>
      </c>
      <c r="E481" t="s">
        <v>512</v>
      </c>
      <c r="F481" s="11">
        <v>43439</v>
      </c>
      <c r="G481" s="2">
        <f>VLOOKUP(E481,Produtos!$A:$E,5,FALSE)</f>
        <v>170</v>
      </c>
      <c r="H481" s="2">
        <f>VLOOKUP(E481,Produtos!$A:$E,4,FALSE)</f>
        <v>80</v>
      </c>
      <c r="I481" s="2">
        <v>3</v>
      </c>
    </row>
    <row r="482" spans="1:9" x14ac:dyDescent="0.25">
      <c r="A482" s="2" t="str">
        <f>CONCATENATE(Códigos!S481,Códigos!T481,Códigos!U481)</f>
        <v>svv480v</v>
      </c>
      <c r="B482" t="s">
        <v>496</v>
      </c>
      <c r="C482" t="s">
        <v>388</v>
      </c>
      <c r="D482" s="2" t="s">
        <v>389</v>
      </c>
      <c r="E482" t="s">
        <v>512</v>
      </c>
      <c r="F482" s="11">
        <v>43440</v>
      </c>
      <c r="G482" s="2">
        <f>VLOOKUP(E482,Produtos!$A:$E,5,FALSE)</f>
        <v>170</v>
      </c>
      <c r="H482" s="2">
        <f>VLOOKUP(E482,Produtos!$A:$E,4,FALSE)</f>
        <v>80</v>
      </c>
      <c r="I482" s="2">
        <v>3</v>
      </c>
    </row>
    <row r="483" spans="1:9" x14ac:dyDescent="0.25">
      <c r="A483" s="2" t="str">
        <f>CONCATENATE(Códigos!S482,Códigos!T482,Códigos!U482)</f>
        <v>svv481v</v>
      </c>
      <c r="B483" t="s">
        <v>496</v>
      </c>
      <c r="C483" t="s">
        <v>388</v>
      </c>
      <c r="D483" s="2" t="s">
        <v>389</v>
      </c>
      <c r="E483" t="s">
        <v>512</v>
      </c>
      <c r="F483" s="11">
        <v>43441</v>
      </c>
      <c r="G483" s="2">
        <f>VLOOKUP(E483,Produtos!$A:$E,5,FALSE)</f>
        <v>170</v>
      </c>
      <c r="H483" s="2">
        <f>VLOOKUP(E483,Produtos!$A:$E,4,FALSE)</f>
        <v>80</v>
      </c>
      <c r="I483" s="2">
        <v>3</v>
      </c>
    </row>
    <row r="484" spans="1:9" x14ac:dyDescent="0.25">
      <c r="A484" s="2" t="str">
        <f>CONCATENATE(Códigos!S483,Códigos!T483,Códigos!U483)</f>
        <v>svv482v</v>
      </c>
      <c r="B484" t="s">
        <v>496</v>
      </c>
      <c r="C484" t="s">
        <v>388</v>
      </c>
      <c r="D484" s="2" t="s">
        <v>389</v>
      </c>
      <c r="E484" t="s">
        <v>506</v>
      </c>
      <c r="F484" s="11">
        <v>43442</v>
      </c>
      <c r="G484" s="2">
        <f>VLOOKUP(E484,Produtos!$A:$E,5,FALSE)</f>
        <v>50</v>
      </c>
      <c r="H484" s="2">
        <f>VLOOKUP(E484,Produtos!$A:$E,4,FALSE)</f>
        <v>25</v>
      </c>
      <c r="I484" s="2">
        <v>3</v>
      </c>
    </row>
    <row r="485" spans="1:9" x14ac:dyDescent="0.25">
      <c r="A485" s="2" t="str">
        <f>CONCATENATE(Códigos!S484,Códigos!T484,Códigos!U484)</f>
        <v>svv483v</v>
      </c>
      <c r="B485" t="s">
        <v>496</v>
      </c>
      <c r="C485" t="s">
        <v>388</v>
      </c>
      <c r="D485" s="2" t="s">
        <v>389</v>
      </c>
      <c r="E485" t="s">
        <v>506</v>
      </c>
      <c r="F485" s="11">
        <v>43443</v>
      </c>
      <c r="G485" s="2">
        <f>VLOOKUP(E485,Produtos!$A:$E,5,FALSE)</f>
        <v>50</v>
      </c>
      <c r="H485" s="2">
        <f>VLOOKUP(E485,Produtos!$A:$E,4,FALSE)</f>
        <v>25</v>
      </c>
      <c r="I485" s="2">
        <v>3</v>
      </c>
    </row>
    <row r="486" spans="1:9" x14ac:dyDescent="0.25">
      <c r="A486" s="2" t="str">
        <f>CONCATENATE(Códigos!S485,Códigos!T485,Códigos!U485)</f>
        <v>svv484v</v>
      </c>
      <c r="B486" t="s">
        <v>496</v>
      </c>
      <c r="C486" t="s">
        <v>388</v>
      </c>
      <c r="D486" s="2" t="s">
        <v>389</v>
      </c>
      <c r="E486" t="s">
        <v>506</v>
      </c>
      <c r="F486" s="11">
        <v>43444</v>
      </c>
      <c r="G486" s="2">
        <f>VLOOKUP(E486,Produtos!$A:$E,5,FALSE)</f>
        <v>50</v>
      </c>
      <c r="H486" s="2">
        <f>VLOOKUP(E486,Produtos!$A:$E,4,FALSE)</f>
        <v>25</v>
      </c>
      <c r="I486" s="2">
        <v>3</v>
      </c>
    </row>
    <row r="487" spans="1:9" x14ac:dyDescent="0.25">
      <c r="A487" s="2" t="str">
        <f>CONCATENATE(Códigos!S486,Códigos!T486,Códigos!U486)</f>
        <v>svv485v</v>
      </c>
      <c r="B487" t="s">
        <v>496</v>
      </c>
      <c r="C487" t="s">
        <v>388</v>
      </c>
      <c r="D487" s="2" t="s">
        <v>389</v>
      </c>
      <c r="E487" t="s">
        <v>506</v>
      </c>
      <c r="F487" s="11">
        <v>43445</v>
      </c>
      <c r="G487" s="2">
        <f>VLOOKUP(E487,Produtos!$A:$E,5,FALSE)</f>
        <v>50</v>
      </c>
      <c r="H487" s="2">
        <f>VLOOKUP(E487,Produtos!$A:$E,4,FALSE)</f>
        <v>25</v>
      </c>
      <c r="I487" s="2">
        <v>3</v>
      </c>
    </row>
    <row r="488" spans="1:9" x14ac:dyDescent="0.25">
      <c r="A488" s="2" t="str">
        <f>CONCATENATE(Códigos!S487,Códigos!T487,Códigos!U487)</f>
        <v>svv486v</v>
      </c>
      <c r="B488" t="s">
        <v>496</v>
      </c>
      <c r="C488" t="s">
        <v>388</v>
      </c>
      <c r="D488" s="2" t="s">
        <v>389</v>
      </c>
      <c r="E488" t="s">
        <v>506</v>
      </c>
      <c r="F488" s="11">
        <v>43446</v>
      </c>
      <c r="G488" s="2">
        <f>VLOOKUP(E488,Produtos!$A:$E,5,FALSE)</f>
        <v>50</v>
      </c>
      <c r="H488" s="2">
        <f>VLOOKUP(E488,Produtos!$A:$E,4,FALSE)</f>
        <v>25</v>
      </c>
      <c r="I488" s="2">
        <v>3</v>
      </c>
    </row>
    <row r="489" spans="1:9" x14ac:dyDescent="0.25">
      <c r="A489" s="2" t="str">
        <f>CONCATENATE(Códigos!S488,Códigos!T488,Códigos!U488)</f>
        <v>svv487v</v>
      </c>
      <c r="B489" t="s">
        <v>496</v>
      </c>
      <c r="C489" t="s">
        <v>388</v>
      </c>
      <c r="D489" s="2" t="s">
        <v>389</v>
      </c>
      <c r="E489" t="s">
        <v>506</v>
      </c>
      <c r="F489" s="11">
        <v>43447</v>
      </c>
      <c r="G489" s="2">
        <f>VLOOKUP(E489,Produtos!$A:$E,5,FALSE)</f>
        <v>50</v>
      </c>
      <c r="H489" s="2">
        <f>VLOOKUP(E489,Produtos!$A:$E,4,FALSE)</f>
        <v>25</v>
      </c>
      <c r="I489" s="2">
        <v>3</v>
      </c>
    </row>
    <row r="490" spans="1:9" x14ac:dyDescent="0.25">
      <c r="A490" s="2" t="str">
        <f>CONCATENATE(Códigos!S489,Códigos!T489,Códigos!U489)</f>
        <v>svv488v</v>
      </c>
      <c r="B490" t="s">
        <v>496</v>
      </c>
      <c r="C490" t="s">
        <v>388</v>
      </c>
      <c r="D490" s="2" t="s">
        <v>389</v>
      </c>
      <c r="E490" t="s">
        <v>506</v>
      </c>
      <c r="F490" s="11">
        <v>43448</v>
      </c>
      <c r="G490" s="2">
        <f>VLOOKUP(E490,Produtos!$A:$E,5,FALSE)</f>
        <v>50</v>
      </c>
      <c r="H490" s="2">
        <f>VLOOKUP(E490,Produtos!$A:$E,4,FALSE)</f>
        <v>25</v>
      </c>
      <c r="I490" s="2">
        <v>3</v>
      </c>
    </row>
    <row r="491" spans="1:9" x14ac:dyDescent="0.25">
      <c r="A491" s="2" t="str">
        <f>CONCATENATE(Códigos!S490,Códigos!T490,Códigos!U490)</f>
        <v>svv489v</v>
      </c>
      <c r="B491" t="s">
        <v>496</v>
      </c>
      <c r="C491" t="s">
        <v>388</v>
      </c>
      <c r="D491" s="2" t="s">
        <v>389</v>
      </c>
      <c r="E491" t="s">
        <v>506</v>
      </c>
      <c r="F491" s="11">
        <v>43449</v>
      </c>
      <c r="G491" s="2">
        <f>VLOOKUP(E491,Produtos!$A:$E,5,FALSE)</f>
        <v>50</v>
      </c>
      <c r="H491" s="2">
        <f>VLOOKUP(E491,Produtos!$A:$E,4,FALSE)</f>
        <v>25</v>
      </c>
      <c r="I491" s="2">
        <v>3</v>
      </c>
    </row>
    <row r="492" spans="1:9" x14ac:dyDescent="0.25">
      <c r="A492" s="2" t="str">
        <f>CONCATENATE(Códigos!S491,Códigos!T491,Códigos!U491)</f>
        <v>svv490v</v>
      </c>
      <c r="B492" t="s">
        <v>496</v>
      </c>
      <c r="C492" t="s">
        <v>388</v>
      </c>
      <c r="D492" s="2" t="s">
        <v>389</v>
      </c>
      <c r="E492" t="s">
        <v>506</v>
      </c>
      <c r="F492" s="11">
        <v>43450</v>
      </c>
      <c r="G492" s="2">
        <f>VLOOKUP(E492,Produtos!$A:$E,5,FALSE)</f>
        <v>50</v>
      </c>
      <c r="H492" s="2">
        <f>VLOOKUP(E492,Produtos!$A:$E,4,FALSE)</f>
        <v>25</v>
      </c>
      <c r="I492" s="2">
        <v>3</v>
      </c>
    </row>
    <row r="493" spans="1:9" x14ac:dyDescent="0.25">
      <c r="A493" s="2" t="str">
        <f>CONCATENATE(Códigos!S492,Códigos!T492,Códigos!U492)</f>
        <v>svv491v</v>
      </c>
      <c r="B493" t="s">
        <v>496</v>
      </c>
      <c r="C493" t="s">
        <v>388</v>
      </c>
      <c r="D493" s="2" t="s">
        <v>389</v>
      </c>
      <c r="E493" t="s">
        <v>506</v>
      </c>
      <c r="F493" s="11">
        <v>43451</v>
      </c>
      <c r="G493" s="2">
        <f>VLOOKUP(E493,Produtos!$A:$E,5,FALSE)</f>
        <v>50</v>
      </c>
      <c r="H493" s="2">
        <f>VLOOKUP(E493,Produtos!$A:$E,4,FALSE)</f>
        <v>25</v>
      </c>
      <c r="I493" s="2">
        <v>3</v>
      </c>
    </row>
    <row r="494" spans="1:9" x14ac:dyDescent="0.25">
      <c r="A494" s="2" t="str">
        <f>CONCATENATE(Códigos!S493,Códigos!T493,Códigos!U493)</f>
        <v>svv492v</v>
      </c>
      <c r="B494" t="s">
        <v>496</v>
      </c>
      <c r="C494" t="s">
        <v>362</v>
      </c>
      <c r="D494" s="2" t="s">
        <v>363</v>
      </c>
      <c r="E494" t="s">
        <v>506</v>
      </c>
      <c r="F494" s="11">
        <v>43452</v>
      </c>
      <c r="G494" s="2">
        <f>VLOOKUP(E494,Produtos!$A:$E,5,FALSE)</f>
        <v>50</v>
      </c>
      <c r="H494" s="2">
        <f>VLOOKUP(E494,Produtos!$A:$E,4,FALSE)</f>
        <v>25</v>
      </c>
      <c r="I494" s="2">
        <v>3</v>
      </c>
    </row>
    <row r="495" spans="1:9" x14ac:dyDescent="0.25">
      <c r="A495" s="2" t="str">
        <f>CONCATENATE(Códigos!S494,Códigos!T494,Códigos!U494)</f>
        <v>svv493v</v>
      </c>
      <c r="B495" t="s">
        <v>496</v>
      </c>
      <c r="C495" t="s">
        <v>362</v>
      </c>
      <c r="D495" s="2" t="s">
        <v>363</v>
      </c>
      <c r="E495" t="s">
        <v>506</v>
      </c>
      <c r="F495" s="11">
        <v>43453</v>
      </c>
      <c r="G495" s="2">
        <f>VLOOKUP(E495,Produtos!$A:$E,5,FALSE)</f>
        <v>50</v>
      </c>
      <c r="H495" s="2">
        <f>VLOOKUP(E495,Produtos!$A:$E,4,FALSE)</f>
        <v>25</v>
      </c>
      <c r="I495" s="2">
        <v>3</v>
      </c>
    </row>
    <row r="496" spans="1:9" x14ac:dyDescent="0.25">
      <c r="A496" s="2" t="str">
        <f>CONCATENATE(Códigos!S495,Códigos!T495,Códigos!U495)</f>
        <v>svv494v</v>
      </c>
      <c r="B496" t="s">
        <v>496</v>
      </c>
      <c r="C496" t="s">
        <v>362</v>
      </c>
      <c r="D496" s="2" t="s">
        <v>363</v>
      </c>
      <c r="E496" t="s">
        <v>506</v>
      </c>
      <c r="F496" s="11">
        <v>43454</v>
      </c>
      <c r="G496" s="2">
        <f>VLOOKUP(E496,Produtos!$A:$E,5,FALSE)</f>
        <v>50</v>
      </c>
      <c r="H496" s="2">
        <f>VLOOKUP(E496,Produtos!$A:$E,4,FALSE)</f>
        <v>25</v>
      </c>
      <c r="I496" s="2">
        <v>3</v>
      </c>
    </row>
    <row r="497" spans="1:9" x14ac:dyDescent="0.25">
      <c r="A497" s="2" t="str">
        <f>CONCATENATE(Códigos!S496,Códigos!T496,Códigos!U496)</f>
        <v>svv495v</v>
      </c>
      <c r="B497" t="s">
        <v>496</v>
      </c>
      <c r="C497" t="s">
        <v>362</v>
      </c>
      <c r="D497" s="2" t="s">
        <v>363</v>
      </c>
      <c r="E497" t="s">
        <v>506</v>
      </c>
      <c r="F497" s="11">
        <v>43455</v>
      </c>
      <c r="G497" s="2">
        <f>VLOOKUP(E497,Produtos!$A:$E,5,FALSE)</f>
        <v>50</v>
      </c>
      <c r="H497" s="2">
        <f>VLOOKUP(E497,Produtos!$A:$E,4,FALSE)</f>
        <v>25</v>
      </c>
      <c r="I497" s="2">
        <v>3</v>
      </c>
    </row>
    <row r="498" spans="1:9" x14ac:dyDescent="0.25">
      <c r="A498" s="2" t="str">
        <f>CONCATENATE(Códigos!S497,Códigos!T497,Códigos!U497)</f>
        <v>svv496v</v>
      </c>
      <c r="B498" t="s">
        <v>496</v>
      </c>
      <c r="C498" t="s">
        <v>362</v>
      </c>
      <c r="D498" s="2" t="s">
        <v>363</v>
      </c>
      <c r="E498" t="s">
        <v>506</v>
      </c>
      <c r="F498" s="11">
        <v>43456</v>
      </c>
      <c r="G498" s="2">
        <f>VLOOKUP(E498,Produtos!$A:$E,5,FALSE)</f>
        <v>50</v>
      </c>
      <c r="H498" s="2">
        <f>VLOOKUP(E498,Produtos!$A:$E,4,FALSE)</f>
        <v>25</v>
      </c>
      <c r="I498" s="2">
        <v>3</v>
      </c>
    </row>
    <row r="499" spans="1:9" x14ac:dyDescent="0.25">
      <c r="A499" s="2" t="str">
        <f>CONCATENATE(Códigos!S498,Códigos!T498,Códigos!U498)</f>
        <v>svv497v</v>
      </c>
      <c r="B499" t="s">
        <v>496</v>
      </c>
      <c r="C499" t="s">
        <v>362</v>
      </c>
      <c r="D499" s="2" t="s">
        <v>363</v>
      </c>
      <c r="E499" t="s">
        <v>506</v>
      </c>
      <c r="F499" s="11">
        <v>43457</v>
      </c>
      <c r="G499" s="2">
        <f>VLOOKUP(E499,Produtos!$A:$E,5,FALSE)</f>
        <v>50</v>
      </c>
      <c r="H499" s="2">
        <f>VLOOKUP(E499,Produtos!$A:$E,4,FALSE)</f>
        <v>25</v>
      </c>
      <c r="I499" s="2">
        <v>3</v>
      </c>
    </row>
    <row r="500" spans="1:9" x14ac:dyDescent="0.25">
      <c r="A500" s="2" t="str">
        <f>CONCATENATE(Códigos!S499,Códigos!T499,Códigos!U499)</f>
        <v>svv498v</v>
      </c>
      <c r="B500" t="s">
        <v>496</v>
      </c>
      <c r="C500" t="s">
        <v>362</v>
      </c>
      <c r="D500" s="2" t="s">
        <v>363</v>
      </c>
      <c r="E500" t="s">
        <v>506</v>
      </c>
      <c r="F500" s="11">
        <v>43458</v>
      </c>
      <c r="G500" s="2">
        <f>VLOOKUP(E500,Produtos!$A:$E,5,FALSE)</f>
        <v>50</v>
      </c>
      <c r="H500" s="2">
        <f>VLOOKUP(E500,Produtos!$A:$E,4,FALSE)</f>
        <v>25</v>
      </c>
      <c r="I500" s="2">
        <v>3</v>
      </c>
    </row>
    <row r="501" spans="1:9" x14ac:dyDescent="0.25">
      <c r="A501" s="2" t="str">
        <f>CONCATENATE(Códigos!S500,Códigos!T500,Códigos!U500)</f>
        <v>svv499v</v>
      </c>
      <c r="B501" t="s">
        <v>496</v>
      </c>
      <c r="C501" t="s">
        <v>362</v>
      </c>
      <c r="D501" s="2" t="s">
        <v>363</v>
      </c>
      <c r="E501" t="s">
        <v>506</v>
      </c>
      <c r="F501" s="11">
        <v>43459</v>
      </c>
      <c r="G501" s="2">
        <f>VLOOKUP(E501,Produtos!$A:$E,5,FALSE)</f>
        <v>50</v>
      </c>
      <c r="H501" s="2">
        <f>VLOOKUP(E501,Produtos!$A:$E,4,FALSE)</f>
        <v>25</v>
      </c>
      <c r="I501" s="2">
        <v>3</v>
      </c>
    </row>
    <row r="502" spans="1:9" x14ac:dyDescent="0.25">
      <c r="A502" s="2" t="str">
        <f>CONCATENATE(Códigos!S501,Códigos!T501,Códigos!U501)</f>
        <v>svv500v</v>
      </c>
      <c r="B502" t="s">
        <v>496</v>
      </c>
      <c r="C502" t="s">
        <v>362</v>
      </c>
      <c r="D502" s="2" t="s">
        <v>363</v>
      </c>
      <c r="E502" t="s">
        <v>506</v>
      </c>
      <c r="F502" s="11">
        <v>43460</v>
      </c>
      <c r="G502" s="2">
        <f>VLOOKUP(E502,Produtos!$A:$E,5,FALSE)</f>
        <v>50</v>
      </c>
      <c r="H502" s="2">
        <f>VLOOKUP(E502,Produtos!$A:$E,4,FALSE)</f>
        <v>25</v>
      </c>
      <c r="I502" s="2">
        <v>4</v>
      </c>
    </row>
    <row r="503" spans="1:9" x14ac:dyDescent="0.25">
      <c r="A503" s="2" t="str">
        <f>CONCATENATE(Códigos!S502,Códigos!T502,Códigos!U502)</f>
        <v>svv501v</v>
      </c>
      <c r="B503" t="s">
        <v>496</v>
      </c>
      <c r="C503" t="s">
        <v>362</v>
      </c>
      <c r="D503" s="2" t="s">
        <v>363</v>
      </c>
      <c r="E503" t="s">
        <v>506</v>
      </c>
      <c r="F503" s="11">
        <v>43461</v>
      </c>
      <c r="G503" s="2">
        <f>VLOOKUP(E503,Produtos!$A:$E,5,FALSE)</f>
        <v>50</v>
      </c>
      <c r="H503" s="2">
        <f>VLOOKUP(E503,Produtos!$A:$E,4,FALSE)</f>
        <v>25</v>
      </c>
      <c r="I503" s="2">
        <v>4</v>
      </c>
    </row>
    <row r="504" spans="1:9" x14ac:dyDescent="0.25">
      <c r="A504" s="2" t="str">
        <f>CONCATENATE(Códigos!S503,Códigos!T503,Códigos!U503)</f>
        <v>svv502v</v>
      </c>
      <c r="B504" t="s">
        <v>496</v>
      </c>
      <c r="C504" t="s">
        <v>362</v>
      </c>
      <c r="D504" s="2" t="s">
        <v>363</v>
      </c>
      <c r="E504" t="s">
        <v>506</v>
      </c>
      <c r="F504" s="11">
        <v>43462</v>
      </c>
      <c r="G504" s="2">
        <f>VLOOKUP(E504,Produtos!$A:$E,5,FALSE)</f>
        <v>50</v>
      </c>
      <c r="H504" s="2">
        <f>VLOOKUP(E504,Produtos!$A:$E,4,FALSE)</f>
        <v>25</v>
      </c>
      <c r="I504" s="2">
        <v>4</v>
      </c>
    </row>
    <row r="505" spans="1:9" x14ac:dyDescent="0.25">
      <c r="A505" s="2" t="str">
        <f>CONCATENATE(Códigos!S504,Códigos!T504,Códigos!U504)</f>
        <v>svv503v</v>
      </c>
      <c r="B505" t="s">
        <v>496</v>
      </c>
      <c r="C505" t="s">
        <v>362</v>
      </c>
      <c r="D505" s="2" t="s">
        <v>363</v>
      </c>
      <c r="E505" t="s">
        <v>506</v>
      </c>
      <c r="F505" s="11">
        <v>43463</v>
      </c>
      <c r="G505" s="2">
        <f>VLOOKUP(E505,Produtos!$A:$E,5,FALSE)</f>
        <v>50</v>
      </c>
      <c r="H505" s="2">
        <f>VLOOKUP(E505,Produtos!$A:$E,4,FALSE)</f>
        <v>25</v>
      </c>
      <c r="I505" s="2">
        <v>4</v>
      </c>
    </row>
    <row r="506" spans="1:9" x14ac:dyDescent="0.25">
      <c r="A506" s="2" t="str">
        <f>CONCATENATE(Códigos!S505,Códigos!T505,Códigos!U505)</f>
        <v>svv504v</v>
      </c>
      <c r="B506" t="s">
        <v>496</v>
      </c>
      <c r="C506" t="s">
        <v>362</v>
      </c>
      <c r="D506" s="2" t="s">
        <v>363</v>
      </c>
      <c r="E506" t="s">
        <v>506</v>
      </c>
      <c r="F506" s="11">
        <v>43464</v>
      </c>
      <c r="G506" s="2">
        <f>VLOOKUP(E506,Produtos!$A:$E,5,FALSE)</f>
        <v>50</v>
      </c>
      <c r="H506" s="2">
        <f>VLOOKUP(E506,Produtos!$A:$E,4,FALSE)</f>
        <v>25</v>
      </c>
      <c r="I506" s="2">
        <v>4</v>
      </c>
    </row>
    <row r="507" spans="1:9" x14ac:dyDescent="0.25">
      <c r="A507" s="2" t="str">
        <f>CONCATENATE(Códigos!S506,Códigos!T506,Códigos!U506)</f>
        <v>svv505v</v>
      </c>
      <c r="B507" t="s">
        <v>496</v>
      </c>
      <c r="C507" t="s">
        <v>362</v>
      </c>
      <c r="D507" s="2" t="s">
        <v>363</v>
      </c>
      <c r="E507" t="s">
        <v>506</v>
      </c>
      <c r="F507" s="11">
        <v>43465</v>
      </c>
      <c r="G507" s="2">
        <f>VLOOKUP(E507,Produtos!$A:$E,5,FALSE)</f>
        <v>50</v>
      </c>
      <c r="H507" s="2">
        <f>VLOOKUP(E507,Produtos!$A:$E,4,FALSE)</f>
        <v>25</v>
      </c>
      <c r="I507" s="2">
        <v>4</v>
      </c>
    </row>
    <row r="508" spans="1:9" x14ac:dyDescent="0.25">
      <c r="A508" s="2" t="str">
        <f>CONCATENATE(Códigos!S507,Códigos!T507,Códigos!U507)</f>
        <v>svv506v</v>
      </c>
      <c r="B508" t="s">
        <v>496</v>
      </c>
      <c r="C508" t="s">
        <v>362</v>
      </c>
      <c r="D508" s="2" t="s">
        <v>363</v>
      </c>
      <c r="E508" t="s">
        <v>506</v>
      </c>
      <c r="F508" s="11">
        <v>43466</v>
      </c>
      <c r="G508" s="2">
        <f>VLOOKUP(E508,Produtos!$A:$E,5,FALSE)</f>
        <v>50</v>
      </c>
      <c r="H508" s="2">
        <f>VLOOKUP(E508,Produtos!$A:$E,4,FALSE)</f>
        <v>25</v>
      </c>
      <c r="I508" s="2">
        <v>4</v>
      </c>
    </row>
    <row r="509" spans="1:9" x14ac:dyDescent="0.25">
      <c r="A509" s="2" t="str">
        <f>CONCATENATE(Códigos!S508,Códigos!T508,Códigos!U508)</f>
        <v>svv507v</v>
      </c>
      <c r="B509" t="s">
        <v>496</v>
      </c>
      <c r="C509" t="s">
        <v>362</v>
      </c>
      <c r="D509" s="2" t="s">
        <v>363</v>
      </c>
      <c r="E509" t="s">
        <v>506</v>
      </c>
      <c r="F509" s="11">
        <v>43467</v>
      </c>
      <c r="G509" s="2">
        <f>VLOOKUP(E509,Produtos!$A:$E,5,FALSE)</f>
        <v>50</v>
      </c>
      <c r="H509" s="2">
        <f>VLOOKUP(E509,Produtos!$A:$E,4,FALSE)</f>
        <v>25</v>
      </c>
      <c r="I509" s="2">
        <v>4</v>
      </c>
    </row>
    <row r="510" spans="1:9" x14ac:dyDescent="0.25">
      <c r="A510" s="2" t="str">
        <f>CONCATENATE(Códigos!S509,Códigos!T509,Códigos!U509)</f>
        <v>svv508v</v>
      </c>
      <c r="B510" t="s">
        <v>496</v>
      </c>
      <c r="C510" t="s">
        <v>362</v>
      </c>
      <c r="D510" s="2" t="s">
        <v>363</v>
      </c>
      <c r="E510" t="s">
        <v>506</v>
      </c>
      <c r="F510" s="11">
        <v>43468</v>
      </c>
      <c r="G510" s="2">
        <f>VLOOKUP(E510,Produtos!$A:$E,5,FALSE)</f>
        <v>50</v>
      </c>
      <c r="H510" s="2">
        <f>VLOOKUP(E510,Produtos!$A:$E,4,FALSE)</f>
        <v>25</v>
      </c>
      <c r="I510" s="2">
        <v>4</v>
      </c>
    </row>
    <row r="511" spans="1:9" x14ac:dyDescent="0.25">
      <c r="A511" s="2" t="str">
        <f>CONCATENATE(Códigos!S510,Códigos!T510,Códigos!U510)</f>
        <v>svv509v</v>
      </c>
      <c r="B511" t="s">
        <v>496</v>
      </c>
      <c r="C511" t="s">
        <v>362</v>
      </c>
      <c r="D511" s="2" t="s">
        <v>363</v>
      </c>
      <c r="E511" t="s">
        <v>506</v>
      </c>
      <c r="F511" s="11">
        <v>43469</v>
      </c>
      <c r="G511" s="2">
        <f>VLOOKUP(E511,Produtos!$A:$E,5,FALSE)</f>
        <v>50</v>
      </c>
      <c r="H511" s="2">
        <f>VLOOKUP(E511,Produtos!$A:$E,4,FALSE)</f>
        <v>25</v>
      </c>
      <c r="I511" s="2">
        <v>4</v>
      </c>
    </row>
    <row r="512" spans="1:9" x14ac:dyDescent="0.25">
      <c r="A512" s="2" t="str">
        <f>CONCATENATE(Códigos!S511,Códigos!T511,Códigos!U511)</f>
        <v>svv510v</v>
      </c>
      <c r="B512" t="s">
        <v>496</v>
      </c>
      <c r="C512" t="s">
        <v>362</v>
      </c>
      <c r="D512" s="2" t="s">
        <v>363</v>
      </c>
      <c r="E512" t="s">
        <v>506</v>
      </c>
      <c r="F512" s="11">
        <v>43470</v>
      </c>
      <c r="G512" s="2">
        <f>VLOOKUP(E512,Produtos!$A:$E,5,FALSE)</f>
        <v>50</v>
      </c>
      <c r="H512" s="2">
        <f>VLOOKUP(E512,Produtos!$A:$E,4,FALSE)</f>
        <v>25</v>
      </c>
      <c r="I512" s="2">
        <v>4</v>
      </c>
    </row>
    <row r="513" spans="1:9" x14ac:dyDescent="0.25">
      <c r="A513" s="2" t="str">
        <f>CONCATENATE(Códigos!S512,Códigos!T512,Códigos!U512)</f>
        <v>svv511v</v>
      </c>
      <c r="B513" t="s">
        <v>496</v>
      </c>
      <c r="C513" t="s">
        <v>362</v>
      </c>
      <c r="D513" s="2" t="s">
        <v>363</v>
      </c>
      <c r="E513" t="s">
        <v>506</v>
      </c>
      <c r="F513" s="11">
        <v>43471</v>
      </c>
      <c r="G513" s="2">
        <f>VLOOKUP(E513,Produtos!$A:$E,5,FALSE)</f>
        <v>50</v>
      </c>
      <c r="H513" s="2">
        <f>VLOOKUP(E513,Produtos!$A:$E,4,FALSE)</f>
        <v>25</v>
      </c>
      <c r="I513" s="2">
        <v>4</v>
      </c>
    </row>
    <row r="514" spans="1:9" x14ac:dyDescent="0.25">
      <c r="A514" s="2" t="str">
        <f>CONCATENATE(Códigos!S513,Códigos!T513,Códigos!U513)</f>
        <v>svv512v</v>
      </c>
      <c r="B514" t="s">
        <v>496</v>
      </c>
      <c r="C514" t="s">
        <v>362</v>
      </c>
      <c r="D514" s="2" t="s">
        <v>363</v>
      </c>
      <c r="E514" t="s">
        <v>506</v>
      </c>
      <c r="F514" s="11">
        <v>43472</v>
      </c>
      <c r="G514" s="2">
        <f>VLOOKUP(E514,Produtos!$A:$E,5,FALSE)</f>
        <v>50</v>
      </c>
      <c r="H514" s="2">
        <f>VLOOKUP(E514,Produtos!$A:$E,4,FALSE)</f>
        <v>25</v>
      </c>
      <c r="I514" s="2">
        <v>4</v>
      </c>
    </row>
    <row r="515" spans="1:9" x14ac:dyDescent="0.25">
      <c r="A515" s="2" t="str">
        <f>CONCATENATE(Códigos!S514,Códigos!T514,Códigos!U514)</f>
        <v>svv513v</v>
      </c>
      <c r="B515" t="s">
        <v>496</v>
      </c>
      <c r="C515" t="s">
        <v>362</v>
      </c>
      <c r="D515" s="2" t="s">
        <v>363</v>
      </c>
      <c r="E515" t="s">
        <v>506</v>
      </c>
      <c r="F515" s="11">
        <v>43473</v>
      </c>
      <c r="G515" s="2">
        <f>VLOOKUP(E515,Produtos!$A:$E,5,FALSE)</f>
        <v>50</v>
      </c>
      <c r="H515" s="2">
        <f>VLOOKUP(E515,Produtos!$A:$E,4,FALSE)</f>
        <v>25</v>
      </c>
      <c r="I515" s="2">
        <v>4</v>
      </c>
    </row>
    <row r="516" spans="1:9" x14ac:dyDescent="0.25">
      <c r="A516" s="2" t="str">
        <f>CONCATENATE(Códigos!S515,Códigos!T515,Códigos!U515)</f>
        <v>svv514v</v>
      </c>
      <c r="B516" t="s">
        <v>496</v>
      </c>
      <c r="C516" t="s">
        <v>362</v>
      </c>
      <c r="D516" s="2" t="s">
        <v>363</v>
      </c>
      <c r="E516" t="s">
        <v>506</v>
      </c>
      <c r="F516" s="11">
        <v>43474</v>
      </c>
      <c r="G516" s="2">
        <f>VLOOKUP(E516,Produtos!$A:$E,5,FALSE)</f>
        <v>50</v>
      </c>
      <c r="H516" s="2">
        <f>VLOOKUP(E516,Produtos!$A:$E,4,FALSE)</f>
        <v>25</v>
      </c>
      <c r="I516" s="2">
        <v>4</v>
      </c>
    </row>
    <row r="517" spans="1:9" x14ac:dyDescent="0.25">
      <c r="A517" s="2" t="str">
        <f>CONCATENATE(Códigos!S516,Códigos!T516,Códigos!U516)</f>
        <v>svv515v</v>
      </c>
      <c r="B517" t="s">
        <v>496</v>
      </c>
      <c r="C517" t="s">
        <v>362</v>
      </c>
      <c r="D517" s="2" t="s">
        <v>363</v>
      </c>
      <c r="E517" t="s">
        <v>506</v>
      </c>
      <c r="F517" s="11">
        <v>43475</v>
      </c>
      <c r="G517" s="2">
        <f>VLOOKUP(E517,Produtos!$A:$E,5,FALSE)</f>
        <v>50</v>
      </c>
      <c r="H517" s="2">
        <f>VLOOKUP(E517,Produtos!$A:$E,4,FALSE)</f>
        <v>25</v>
      </c>
      <c r="I517" s="2">
        <v>4</v>
      </c>
    </row>
    <row r="518" spans="1:9" x14ac:dyDescent="0.25">
      <c r="A518" s="2" t="str">
        <f>CONCATENATE(Códigos!S517,Códigos!T517,Códigos!U517)</f>
        <v>svv516v</v>
      </c>
      <c r="B518" t="s">
        <v>496</v>
      </c>
      <c r="C518" t="s">
        <v>362</v>
      </c>
      <c r="D518" s="2" t="s">
        <v>363</v>
      </c>
      <c r="E518" t="s">
        <v>506</v>
      </c>
      <c r="F518" s="11">
        <v>43476</v>
      </c>
      <c r="G518" s="2">
        <f>VLOOKUP(E518,Produtos!$A:$E,5,FALSE)</f>
        <v>50</v>
      </c>
      <c r="H518" s="2">
        <f>VLOOKUP(E518,Produtos!$A:$E,4,FALSE)</f>
        <v>25</v>
      </c>
      <c r="I518" s="2">
        <v>4</v>
      </c>
    </row>
    <row r="519" spans="1:9" x14ac:dyDescent="0.25">
      <c r="A519" s="2" t="str">
        <f>CONCATENATE(Códigos!S518,Códigos!T518,Códigos!U518)</f>
        <v>svv517v</v>
      </c>
      <c r="B519" t="s">
        <v>496</v>
      </c>
      <c r="C519" t="s">
        <v>362</v>
      </c>
      <c r="D519" s="2" t="s">
        <v>363</v>
      </c>
      <c r="E519" t="s">
        <v>534</v>
      </c>
      <c r="F519" s="11">
        <v>43477</v>
      </c>
      <c r="G519" s="2">
        <f>VLOOKUP(E519,Produtos!$A:$E,5,FALSE)</f>
        <v>65</v>
      </c>
      <c r="H519" s="2">
        <f>VLOOKUP(E519,Produtos!$A:$E,4,FALSE)</f>
        <v>30</v>
      </c>
      <c r="I519" s="2">
        <v>4</v>
      </c>
    </row>
    <row r="520" spans="1:9" x14ac:dyDescent="0.25">
      <c r="A520" s="2" t="str">
        <f>CONCATENATE(Códigos!S519,Códigos!T519,Códigos!U519)</f>
        <v>svv518v</v>
      </c>
      <c r="B520" t="s">
        <v>496</v>
      </c>
      <c r="C520" t="s">
        <v>362</v>
      </c>
      <c r="D520" s="2" t="s">
        <v>363</v>
      </c>
      <c r="E520" t="s">
        <v>534</v>
      </c>
      <c r="F520" s="11">
        <v>43478</v>
      </c>
      <c r="G520" s="2">
        <f>VLOOKUP(E520,Produtos!$A:$E,5,FALSE)</f>
        <v>65</v>
      </c>
      <c r="H520" s="2">
        <f>VLOOKUP(E520,Produtos!$A:$E,4,FALSE)</f>
        <v>30</v>
      </c>
      <c r="I520" s="2">
        <v>4</v>
      </c>
    </row>
    <row r="521" spans="1:9" x14ac:dyDescent="0.25">
      <c r="A521" s="2" t="str">
        <f>CONCATENATE(Códigos!S520,Códigos!T520,Códigos!U520)</f>
        <v>svv519v</v>
      </c>
      <c r="B521" t="s">
        <v>496</v>
      </c>
      <c r="C521" t="s">
        <v>362</v>
      </c>
      <c r="D521" s="2" t="s">
        <v>363</v>
      </c>
      <c r="E521" t="s">
        <v>534</v>
      </c>
      <c r="F521" s="11">
        <v>43479</v>
      </c>
      <c r="G521" s="2">
        <f>VLOOKUP(E521,Produtos!$A:$E,5,FALSE)</f>
        <v>65</v>
      </c>
      <c r="H521" s="2">
        <f>VLOOKUP(E521,Produtos!$A:$E,4,FALSE)</f>
        <v>30</v>
      </c>
      <c r="I521" s="2">
        <v>4</v>
      </c>
    </row>
    <row r="522" spans="1:9" x14ac:dyDescent="0.25">
      <c r="A522" s="2" t="str">
        <f>CONCATENATE(Códigos!S521,Códigos!T521,Códigos!U521)</f>
        <v>svv520v</v>
      </c>
      <c r="B522" t="s">
        <v>496</v>
      </c>
      <c r="C522" t="s">
        <v>362</v>
      </c>
      <c r="D522" s="2" t="s">
        <v>363</v>
      </c>
      <c r="E522" t="s">
        <v>534</v>
      </c>
      <c r="F522" s="11">
        <v>43480</v>
      </c>
      <c r="G522" s="2">
        <f>VLOOKUP(E522,Produtos!$A:$E,5,FALSE)</f>
        <v>65</v>
      </c>
      <c r="H522" s="2">
        <f>VLOOKUP(E522,Produtos!$A:$E,4,FALSE)</f>
        <v>30</v>
      </c>
      <c r="I522" s="2">
        <v>4</v>
      </c>
    </row>
    <row r="523" spans="1:9" x14ac:dyDescent="0.25">
      <c r="A523" s="2" t="str">
        <f>CONCATENATE(Códigos!S522,Códigos!T522,Códigos!U522)</f>
        <v>svv521v</v>
      </c>
      <c r="B523" t="s">
        <v>496</v>
      </c>
      <c r="C523" t="s">
        <v>362</v>
      </c>
      <c r="D523" s="2" t="s">
        <v>363</v>
      </c>
      <c r="E523" t="s">
        <v>534</v>
      </c>
      <c r="F523" s="11">
        <v>43481</v>
      </c>
      <c r="G523" s="2">
        <f>VLOOKUP(E523,Produtos!$A:$E,5,FALSE)</f>
        <v>65</v>
      </c>
      <c r="H523" s="2">
        <f>VLOOKUP(E523,Produtos!$A:$E,4,FALSE)</f>
        <v>30</v>
      </c>
      <c r="I523" s="2">
        <v>4</v>
      </c>
    </row>
    <row r="524" spans="1:9" x14ac:dyDescent="0.25">
      <c r="A524" s="2" t="str">
        <f>CONCATENATE(Códigos!S523,Códigos!T523,Códigos!U523)</f>
        <v>svv522v</v>
      </c>
      <c r="B524" t="s">
        <v>496</v>
      </c>
      <c r="C524" t="s">
        <v>362</v>
      </c>
      <c r="D524" s="2" t="s">
        <v>363</v>
      </c>
      <c r="E524" t="s">
        <v>534</v>
      </c>
      <c r="F524" s="11">
        <v>43482</v>
      </c>
      <c r="G524" s="2">
        <f>VLOOKUP(E524,Produtos!$A:$E,5,FALSE)</f>
        <v>65</v>
      </c>
      <c r="H524" s="2">
        <f>VLOOKUP(E524,Produtos!$A:$E,4,FALSE)</f>
        <v>30</v>
      </c>
      <c r="I524" s="2">
        <v>4</v>
      </c>
    </row>
    <row r="525" spans="1:9" x14ac:dyDescent="0.25">
      <c r="A525" s="2" t="str">
        <f>CONCATENATE(Códigos!S524,Códigos!T524,Códigos!U524)</f>
        <v>svv523v</v>
      </c>
      <c r="B525" t="s">
        <v>496</v>
      </c>
      <c r="C525" t="s">
        <v>362</v>
      </c>
      <c r="D525" s="2" t="s">
        <v>363</v>
      </c>
      <c r="E525" t="s">
        <v>534</v>
      </c>
      <c r="F525" s="11">
        <v>43483</v>
      </c>
      <c r="G525" s="2">
        <f>VLOOKUP(E525,Produtos!$A:$E,5,FALSE)</f>
        <v>65</v>
      </c>
      <c r="H525" s="2">
        <f>VLOOKUP(E525,Produtos!$A:$E,4,FALSE)</f>
        <v>30</v>
      </c>
      <c r="I525" s="2">
        <v>4</v>
      </c>
    </row>
    <row r="526" spans="1:9" x14ac:dyDescent="0.25">
      <c r="A526" s="2" t="str">
        <f>CONCATENATE(Códigos!S525,Códigos!T525,Códigos!U525)</f>
        <v>svv524v</v>
      </c>
      <c r="B526" t="s">
        <v>496</v>
      </c>
      <c r="C526" t="s">
        <v>362</v>
      </c>
      <c r="D526" s="2" t="s">
        <v>363</v>
      </c>
      <c r="E526" t="s">
        <v>534</v>
      </c>
      <c r="F526" s="11">
        <v>43484</v>
      </c>
      <c r="G526" s="2">
        <f>VLOOKUP(E526,Produtos!$A:$E,5,FALSE)</f>
        <v>65</v>
      </c>
      <c r="H526" s="2">
        <f>VLOOKUP(E526,Produtos!$A:$E,4,FALSE)</f>
        <v>30</v>
      </c>
      <c r="I526" s="2">
        <v>4</v>
      </c>
    </row>
    <row r="527" spans="1:9" x14ac:dyDescent="0.25">
      <c r="A527" s="2" t="str">
        <f>CONCATENATE(Códigos!S526,Códigos!T526,Códigos!U526)</f>
        <v>svv525v</v>
      </c>
      <c r="B527" t="s">
        <v>496</v>
      </c>
      <c r="C527" t="s">
        <v>362</v>
      </c>
      <c r="D527" s="2" t="s">
        <v>363</v>
      </c>
      <c r="E527" t="s">
        <v>534</v>
      </c>
      <c r="F527" s="11">
        <v>43485</v>
      </c>
      <c r="G527" s="2">
        <f>VLOOKUP(E527,Produtos!$A:$E,5,FALSE)</f>
        <v>65</v>
      </c>
      <c r="H527" s="2">
        <f>VLOOKUP(E527,Produtos!$A:$E,4,FALSE)</f>
        <v>30</v>
      </c>
      <c r="I527" s="2">
        <v>4</v>
      </c>
    </row>
    <row r="528" spans="1:9" x14ac:dyDescent="0.25">
      <c r="A528" s="2" t="str">
        <f>CONCATENATE(Códigos!S527,Códigos!T527,Códigos!U527)</f>
        <v>svv526v</v>
      </c>
      <c r="B528" t="s">
        <v>496</v>
      </c>
      <c r="C528" t="s">
        <v>362</v>
      </c>
      <c r="D528" s="2" t="s">
        <v>363</v>
      </c>
      <c r="E528" t="s">
        <v>534</v>
      </c>
      <c r="F528" s="11">
        <v>43486</v>
      </c>
      <c r="G528" s="2">
        <f>VLOOKUP(E528,Produtos!$A:$E,5,FALSE)</f>
        <v>65</v>
      </c>
      <c r="H528" s="2">
        <f>VLOOKUP(E528,Produtos!$A:$E,4,FALSE)</f>
        <v>30</v>
      </c>
      <c r="I528" s="2">
        <v>4</v>
      </c>
    </row>
    <row r="529" spans="1:9" x14ac:dyDescent="0.25">
      <c r="A529" s="2" t="str">
        <f>CONCATENATE(Códigos!S528,Códigos!T528,Códigos!U528)</f>
        <v>svv527v</v>
      </c>
      <c r="B529" t="s">
        <v>496</v>
      </c>
      <c r="C529" t="s">
        <v>362</v>
      </c>
      <c r="D529" s="2" t="s">
        <v>363</v>
      </c>
      <c r="E529" t="s">
        <v>534</v>
      </c>
      <c r="F529" s="11">
        <v>43487</v>
      </c>
      <c r="G529" s="2">
        <f>VLOOKUP(E529,Produtos!$A:$E,5,FALSE)</f>
        <v>65</v>
      </c>
      <c r="H529" s="2">
        <f>VLOOKUP(E529,Produtos!$A:$E,4,FALSE)</f>
        <v>30</v>
      </c>
      <c r="I529" s="2">
        <v>4</v>
      </c>
    </row>
    <row r="530" spans="1:9" x14ac:dyDescent="0.25">
      <c r="A530" s="2" t="str">
        <f>CONCATENATE(Códigos!S529,Códigos!T529,Códigos!U529)</f>
        <v>svv528v</v>
      </c>
      <c r="B530" t="s">
        <v>496</v>
      </c>
      <c r="C530" t="s">
        <v>362</v>
      </c>
      <c r="D530" s="2" t="s">
        <v>363</v>
      </c>
      <c r="E530" t="s">
        <v>534</v>
      </c>
      <c r="F530" s="11">
        <v>43488</v>
      </c>
      <c r="G530" s="2">
        <f>VLOOKUP(E530,Produtos!$A:$E,5,FALSE)</f>
        <v>65</v>
      </c>
      <c r="H530" s="2">
        <f>VLOOKUP(E530,Produtos!$A:$E,4,FALSE)</f>
        <v>30</v>
      </c>
      <c r="I530" s="2">
        <v>4</v>
      </c>
    </row>
    <row r="531" spans="1:9" x14ac:dyDescent="0.25">
      <c r="A531" s="2" t="str">
        <f>CONCATENATE(Códigos!S530,Códigos!T530,Códigos!U530)</f>
        <v>svv529v</v>
      </c>
      <c r="B531" t="s">
        <v>496</v>
      </c>
      <c r="C531" t="s">
        <v>362</v>
      </c>
      <c r="D531" s="2" t="s">
        <v>363</v>
      </c>
      <c r="E531" t="s">
        <v>534</v>
      </c>
      <c r="F531" s="11">
        <v>43489</v>
      </c>
      <c r="G531" s="2">
        <f>VLOOKUP(E531,Produtos!$A:$E,5,FALSE)</f>
        <v>65</v>
      </c>
      <c r="H531" s="2">
        <f>VLOOKUP(E531,Produtos!$A:$E,4,FALSE)</f>
        <v>30</v>
      </c>
      <c r="I531" s="2">
        <v>4</v>
      </c>
    </row>
    <row r="532" spans="1:9" x14ac:dyDescent="0.25">
      <c r="A532" s="2" t="str">
        <f>CONCATENATE(Códigos!S531,Códigos!T531,Códigos!U531)</f>
        <v>svv530v</v>
      </c>
      <c r="B532" t="s">
        <v>496</v>
      </c>
      <c r="C532" t="s">
        <v>362</v>
      </c>
      <c r="D532" s="2" t="s">
        <v>363</v>
      </c>
      <c r="E532" t="s">
        <v>534</v>
      </c>
      <c r="F532" s="11">
        <v>43490</v>
      </c>
      <c r="G532" s="2">
        <f>VLOOKUP(E532,Produtos!$A:$E,5,FALSE)</f>
        <v>65</v>
      </c>
      <c r="H532" s="2">
        <f>VLOOKUP(E532,Produtos!$A:$E,4,FALSE)</f>
        <v>30</v>
      </c>
      <c r="I532" s="2">
        <v>4</v>
      </c>
    </row>
    <row r="533" spans="1:9" x14ac:dyDescent="0.25">
      <c r="A533" s="2" t="str">
        <f>CONCATENATE(Códigos!S532,Códigos!T532,Códigos!U532)</f>
        <v>svv531v</v>
      </c>
      <c r="B533" t="s">
        <v>496</v>
      </c>
      <c r="C533" t="s">
        <v>362</v>
      </c>
      <c r="D533" s="2" t="s">
        <v>363</v>
      </c>
      <c r="E533" t="s">
        <v>534</v>
      </c>
      <c r="F533" s="11">
        <v>43491</v>
      </c>
      <c r="G533" s="2">
        <f>VLOOKUP(E533,Produtos!$A:$E,5,FALSE)</f>
        <v>65</v>
      </c>
      <c r="H533" s="2">
        <f>VLOOKUP(E533,Produtos!$A:$E,4,FALSE)</f>
        <v>30</v>
      </c>
      <c r="I533" s="2">
        <v>4</v>
      </c>
    </row>
    <row r="534" spans="1:9" x14ac:dyDescent="0.25">
      <c r="A534" s="2" t="str">
        <f>CONCATENATE(Códigos!S533,Códigos!T533,Códigos!U533)</f>
        <v>svv532v</v>
      </c>
      <c r="B534" t="s">
        <v>496</v>
      </c>
      <c r="C534" t="s">
        <v>362</v>
      </c>
      <c r="D534" s="2" t="s">
        <v>363</v>
      </c>
      <c r="E534" t="s">
        <v>534</v>
      </c>
      <c r="F534" s="11">
        <v>43492</v>
      </c>
      <c r="G534" s="2">
        <f>VLOOKUP(E534,Produtos!$A:$E,5,FALSE)</f>
        <v>65</v>
      </c>
      <c r="H534" s="2">
        <f>VLOOKUP(E534,Produtos!$A:$E,4,FALSE)</f>
        <v>30</v>
      </c>
      <c r="I534" s="2">
        <v>4</v>
      </c>
    </row>
    <row r="535" spans="1:9" x14ac:dyDescent="0.25">
      <c r="A535" s="2" t="str">
        <f>CONCATENATE(Códigos!S534,Códigos!T534,Códigos!U534)</f>
        <v>svv533v</v>
      </c>
      <c r="B535" t="s">
        <v>496</v>
      </c>
      <c r="C535" t="s">
        <v>362</v>
      </c>
      <c r="D535" s="2" t="s">
        <v>363</v>
      </c>
      <c r="E535" t="s">
        <v>534</v>
      </c>
      <c r="F535" s="11">
        <v>43493</v>
      </c>
      <c r="G535" s="2">
        <f>VLOOKUP(E535,Produtos!$A:$E,5,FALSE)</f>
        <v>65</v>
      </c>
      <c r="H535" s="2">
        <f>VLOOKUP(E535,Produtos!$A:$E,4,FALSE)</f>
        <v>30</v>
      </c>
      <c r="I535" s="2">
        <v>4</v>
      </c>
    </row>
    <row r="536" spans="1:9" x14ac:dyDescent="0.25">
      <c r="A536" s="2" t="str">
        <f>CONCATENATE(Códigos!S535,Códigos!T535,Códigos!U535)</f>
        <v>svv534v</v>
      </c>
      <c r="B536" t="s">
        <v>496</v>
      </c>
      <c r="C536" t="s">
        <v>362</v>
      </c>
      <c r="D536" s="2" t="s">
        <v>363</v>
      </c>
      <c r="E536" t="s">
        <v>534</v>
      </c>
      <c r="F536" s="11">
        <v>43494</v>
      </c>
      <c r="G536" s="2">
        <f>VLOOKUP(E536,Produtos!$A:$E,5,FALSE)</f>
        <v>65</v>
      </c>
      <c r="H536" s="2">
        <f>VLOOKUP(E536,Produtos!$A:$E,4,FALSE)</f>
        <v>30</v>
      </c>
      <c r="I536" s="2">
        <v>4</v>
      </c>
    </row>
    <row r="537" spans="1:9" x14ac:dyDescent="0.25">
      <c r="A537" s="2" t="str">
        <f>CONCATENATE(Códigos!S536,Códigos!T536,Códigos!U536)</f>
        <v>svv535v</v>
      </c>
      <c r="B537" t="s">
        <v>496</v>
      </c>
      <c r="C537" t="s">
        <v>362</v>
      </c>
      <c r="D537" s="2" t="s">
        <v>363</v>
      </c>
      <c r="E537" t="s">
        <v>534</v>
      </c>
      <c r="F537" s="11">
        <v>43495</v>
      </c>
      <c r="G537" s="2">
        <f>VLOOKUP(E537,Produtos!$A:$E,5,FALSE)</f>
        <v>65</v>
      </c>
      <c r="H537" s="2">
        <f>VLOOKUP(E537,Produtos!$A:$E,4,FALSE)</f>
        <v>30</v>
      </c>
      <c r="I537" s="2">
        <v>4</v>
      </c>
    </row>
    <row r="538" spans="1:9" x14ac:dyDescent="0.25">
      <c r="A538" s="2" t="str">
        <f>CONCATENATE(Códigos!S537,Códigos!T537,Códigos!U537)</f>
        <v>svv536v</v>
      </c>
      <c r="B538" t="s">
        <v>496</v>
      </c>
      <c r="C538" t="s">
        <v>362</v>
      </c>
      <c r="D538" s="2" t="s">
        <v>363</v>
      </c>
      <c r="E538" t="s">
        <v>534</v>
      </c>
      <c r="F538" s="11">
        <v>43496</v>
      </c>
      <c r="G538" s="2">
        <f>VLOOKUP(E538,Produtos!$A:$E,5,FALSE)</f>
        <v>65</v>
      </c>
      <c r="H538" s="2">
        <f>VLOOKUP(E538,Produtos!$A:$E,4,FALSE)</f>
        <v>30</v>
      </c>
      <c r="I538" s="2">
        <v>4</v>
      </c>
    </row>
    <row r="539" spans="1:9" x14ac:dyDescent="0.25">
      <c r="A539" s="2" t="str">
        <f>CONCATENATE(Códigos!S538,Códigos!T538,Códigos!U538)</f>
        <v>svv537v</v>
      </c>
      <c r="B539" t="s">
        <v>496</v>
      </c>
      <c r="C539" t="s">
        <v>362</v>
      </c>
      <c r="D539" s="2" t="s">
        <v>363</v>
      </c>
      <c r="E539" t="s">
        <v>534</v>
      </c>
      <c r="F539" s="11">
        <v>43497</v>
      </c>
      <c r="G539" s="2">
        <f>VLOOKUP(E539,Produtos!$A:$E,5,FALSE)</f>
        <v>65</v>
      </c>
      <c r="H539" s="2">
        <f>VLOOKUP(E539,Produtos!$A:$E,4,FALSE)</f>
        <v>30</v>
      </c>
      <c r="I539" s="2">
        <v>4</v>
      </c>
    </row>
    <row r="540" spans="1:9" x14ac:dyDescent="0.25">
      <c r="A540" s="2" t="str">
        <f>CONCATENATE(Códigos!S539,Códigos!T539,Códigos!U539)</f>
        <v>svv538v</v>
      </c>
      <c r="B540" t="s">
        <v>496</v>
      </c>
      <c r="C540" t="s">
        <v>362</v>
      </c>
      <c r="D540" s="2" t="s">
        <v>363</v>
      </c>
      <c r="E540" t="s">
        <v>534</v>
      </c>
      <c r="F540" s="11">
        <v>43498</v>
      </c>
      <c r="G540" s="2">
        <f>VLOOKUP(E540,Produtos!$A:$E,5,FALSE)</f>
        <v>65</v>
      </c>
      <c r="H540" s="2">
        <f>VLOOKUP(E540,Produtos!$A:$E,4,FALSE)</f>
        <v>30</v>
      </c>
      <c r="I540" s="2">
        <v>4</v>
      </c>
    </row>
    <row r="541" spans="1:9" x14ac:dyDescent="0.25">
      <c r="A541" s="2" t="str">
        <f>CONCATENATE(Códigos!S540,Códigos!T540,Códigos!U540)</f>
        <v>svv539v</v>
      </c>
      <c r="B541" t="s">
        <v>496</v>
      </c>
      <c r="C541" t="s">
        <v>362</v>
      </c>
      <c r="D541" s="2" t="s">
        <v>363</v>
      </c>
      <c r="E541" t="s">
        <v>534</v>
      </c>
      <c r="F541" s="11">
        <v>43499</v>
      </c>
      <c r="G541" s="2">
        <f>VLOOKUP(E541,Produtos!$A:$E,5,FALSE)</f>
        <v>65</v>
      </c>
      <c r="H541" s="2">
        <f>VLOOKUP(E541,Produtos!$A:$E,4,FALSE)</f>
        <v>30</v>
      </c>
      <c r="I541" s="2">
        <v>4</v>
      </c>
    </row>
    <row r="542" spans="1:9" x14ac:dyDescent="0.25">
      <c r="A542" s="2" t="str">
        <f>CONCATENATE(Códigos!S541,Códigos!T541,Códigos!U541)</f>
        <v>svv540v</v>
      </c>
      <c r="B542" t="s">
        <v>496</v>
      </c>
      <c r="C542" t="s">
        <v>362</v>
      </c>
      <c r="D542" s="2" t="s">
        <v>363</v>
      </c>
      <c r="E542" t="s">
        <v>534</v>
      </c>
      <c r="F542" s="11">
        <v>43500</v>
      </c>
      <c r="G542" s="2">
        <f>VLOOKUP(E542,Produtos!$A:$E,5,FALSE)</f>
        <v>65</v>
      </c>
      <c r="H542" s="2">
        <f>VLOOKUP(E542,Produtos!$A:$E,4,FALSE)</f>
        <v>30</v>
      </c>
      <c r="I542" s="2">
        <v>4</v>
      </c>
    </row>
    <row r="543" spans="1:9" x14ac:dyDescent="0.25">
      <c r="A543" s="2" t="str">
        <f>CONCATENATE(Códigos!S542,Códigos!T542,Códigos!U542)</f>
        <v>svv541v</v>
      </c>
      <c r="B543" t="s">
        <v>496</v>
      </c>
      <c r="C543" t="s">
        <v>362</v>
      </c>
      <c r="D543" s="2" t="s">
        <v>363</v>
      </c>
      <c r="E543" t="s">
        <v>534</v>
      </c>
      <c r="F543" s="11">
        <v>43501</v>
      </c>
      <c r="G543" s="2">
        <f>VLOOKUP(E543,Produtos!$A:$E,5,FALSE)</f>
        <v>65</v>
      </c>
      <c r="H543" s="2">
        <f>VLOOKUP(E543,Produtos!$A:$E,4,FALSE)</f>
        <v>30</v>
      </c>
      <c r="I543" s="2">
        <v>4</v>
      </c>
    </row>
    <row r="544" spans="1:9" x14ac:dyDescent="0.25">
      <c r="A544" s="2" t="str">
        <f>CONCATENATE(Códigos!S543,Códigos!T543,Códigos!U543)</f>
        <v>svv542v</v>
      </c>
      <c r="B544" t="s">
        <v>496</v>
      </c>
      <c r="C544" t="s">
        <v>362</v>
      </c>
      <c r="D544" s="2" t="s">
        <v>363</v>
      </c>
      <c r="E544" t="s">
        <v>534</v>
      </c>
      <c r="F544" s="11">
        <v>43502</v>
      </c>
      <c r="G544" s="2">
        <f>VLOOKUP(E544,Produtos!$A:$E,5,FALSE)</f>
        <v>65</v>
      </c>
      <c r="H544" s="2">
        <f>VLOOKUP(E544,Produtos!$A:$E,4,FALSE)</f>
        <v>30</v>
      </c>
      <c r="I544" s="2">
        <v>4</v>
      </c>
    </row>
    <row r="545" spans="1:9" x14ac:dyDescent="0.25">
      <c r="A545" s="2" t="str">
        <f>CONCATENATE(Códigos!S544,Códigos!T544,Códigos!U544)</f>
        <v>svv543v</v>
      </c>
      <c r="B545" t="s">
        <v>496</v>
      </c>
      <c r="C545" t="s">
        <v>362</v>
      </c>
      <c r="D545" s="2" t="s">
        <v>363</v>
      </c>
      <c r="E545" t="s">
        <v>534</v>
      </c>
      <c r="F545" s="11">
        <v>43503</v>
      </c>
      <c r="G545" s="2">
        <f>VLOOKUP(E545,Produtos!$A:$E,5,FALSE)</f>
        <v>65</v>
      </c>
      <c r="H545" s="2">
        <f>VLOOKUP(E545,Produtos!$A:$E,4,FALSE)</f>
        <v>30</v>
      </c>
      <c r="I545" s="2">
        <v>4</v>
      </c>
    </row>
    <row r="546" spans="1:9" x14ac:dyDescent="0.25">
      <c r="A546" s="2" t="str">
        <f>CONCATENATE(Códigos!S545,Códigos!T545,Códigos!U545)</f>
        <v>svv544v</v>
      </c>
      <c r="B546" t="s">
        <v>496</v>
      </c>
      <c r="C546" t="s">
        <v>362</v>
      </c>
      <c r="D546" s="2" t="s">
        <v>363</v>
      </c>
      <c r="E546" t="s">
        <v>534</v>
      </c>
      <c r="F546" s="11">
        <v>43504</v>
      </c>
      <c r="G546" s="2">
        <f>VLOOKUP(E546,Produtos!$A:$E,5,FALSE)</f>
        <v>65</v>
      </c>
      <c r="H546" s="2">
        <f>VLOOKUP(E546,Produtos!$A:$E,4,FALSE)</f>
        <v>30</v>
      </c>
      <c r="I546" s="2">
        <v>4</v>
      </c>
    </row>
    <row r="547" spans="1:9" x14ac:dyDescent="0.25">
      <c r="A547" s="2" t="str">
        <f>CONCATENATE(Códigos!S546,Códigos!T546,Códigos!U546)</f>
        <v>svv545v</v>
      </c>
      <c r="B547" t="s">
        <v>496</v>
      </c>
      <c r="C547" t="s">
        <v>362</v>
      </c>
      <c r="D547" s="2" t="s">
        <v>363</v>
      </c>
      <c r="E547" t="s">
        <v>534</v>
      </c>
      <c r="F547" s="11">
        <v>43505</v>
      </c>
      <c r="G547" s="2">
        <f>VLOOKUP(E547,Produtos!$A:$E,5,FALSE)</f>
        <v>65</v>
      </c>
      <c r="H547" s="2">
        <f>VLOOKUP(E547,Produtos!$A:$E,4,FALSE)</f>
        <v>30</v>
      </c>
      <c r="I547" s="2">
        <v>4</v>
      </c>
    </row>
    <row r="548" spans="1:9" x14ac:dyDescent="0.25">
      <c r="A548" s="2" t="str">
        <f>CONCATENATE(Códigos!S547,Códigos!T547,Códigos!U547)</f>
        <v>svv546v</v>
      </c>
      <c r="B548" t="s">
        <v>496</v>
      </c>
      <c r="C548" t="s">
        <v>362</v>
      </c>
      <c r="D548" s="2" t="s">
        <v>363</v>
      </c>
      <c r="E548" t="s">
        <v>534</v>
      </c>
      <c r="F548" s="11">
        <v>43506</v>
      </c>
      <c r="G548" s="2">
        <f>VLOOKUP(E548,Produtos!$A:$E,5,FALSE)</f>
        <v>65</v>
      </c>
      <c r="H548" s="2">
        <f>VLOOKUP(E548,Produtos!$A:$E,4,FALSE)</f>
        <v>30</v>
      </c>
      <c r="I548" s="2">
        <v>4</v>
      </c>
    </row>
    <row r="549" spans="1:9" x14ac:dyDescent="0.25">
      <c r="A549" s="2" t="str">
        <f>CONCATENATE(Códigos!S548,Códigos!T548,Códigos!U548)</f>
        <v>svv547v</v>
      </c>
      <c r="B549" t="s">
        <v>496</v>
      </c>
      <c r="C549" t="s">
        <v>362</v>
      </c>
      <c r="D549" s="2" t="s">
        <v>363</v>
      </c>
      <c r="E549" t="s">
        <v>534</v>
      </c>
      <c r="F549" s="11">
        <v>43507</v>
      </c>
      <c r="G549" s="2">
        <f>VLOOKUP(E549,Produtos!$A:$E,5,FALSE)</f>
        <v>65</v>
      </c>
      <c r="H549" s="2">
        <f>VLOOKUP(E549,Produtos!$A:$E,4,FALSE)</f>
        <v>30</v>
      </c>
      <c r="I549" s="2">
        <v>4</v>
      </c>
    </row>
    <row r="550" spans="1:9" x14ac:dyDescent="0.25">
      <c r="A550" s="2" t="str">
        <f>CONCATENATE(Códigos!S549,Códigos!T549,Códigos!U549)</f>
        <v>svv548v</v>
      </c>
      <c r="B550" t="s">
        <v>496</v>
      </c>
      <c r="C550" t="s">
        <v>362</v>
      </c>
      <c r="D550" s="2" t="s">
        <v>363</v>
      </c>
      <c r="E550" t="s">
        <v>534</v>
      </c>
      <c r="F550" s="11">
        <v>43508</v>
      </c>
      <c r="G550" s="2">
        <f>VLOOKUP(E550,Produtos!$A:$E,5,FALSE)</f>
        <v>65</v>
      </c>
      <c r="H550" s="2">
        <f>VLOOKUP(E550,Produtos!$A:$E,4,FALSE)</f>
        <v>30</v>
      </c>
      <c r="I550" s="2">
        <v>4</v>
      </c>
    </row>
    <row r="551" spans="1:9" x14ac:dyDescent="0.25">
      <c r="A551" s="2" t="str">
        <f>CONCATENATE(Códigos!S550,Códigos!T550,Códigos!U550)</f>
        <v>svv549v</v>
      </c>
      <c r="B551" t="s">
        <v>496</v>
      </c>
      <c r="C551" t="s">
        <v>362</v>
      </c>
      <c r="D551" s="2" t="s">
        <v>363</v>
      </c>
      <c r="E551" t="s">
        <v>534</v>
      </c>
      <c r="F551" s="11">
        <v>43509</v>
      </c>
      <c r="G551" s="2">
        <f>VLOOKUP(E551,Produtos!$A:$E,5,FALSE)</f>
        <v>65</v>
      </c>
      <c r="H551" s="2">
        <f>VLOOKUP(E551,Produtos!$A:$E,4,FALSE)</f>
        <v>30</v>
      </c>
      <c r="I551" s="2">
        <v>4</v>
      </c>
    </row>
    <row r="552" spans="1:9" x14ac:dyDescent="0.25">
      <c r="A552" s="2" t="str">
        <f>CONCATENATE(Códigos!S551,Códigos!T551,Códigos!U551)</f>
        <v>svv550v</v>
      </c>
      <c r="B552" t="s">
        <v>496</v>
      </c>
      <c r="C552" t="s">
        <v>362</v>
      </c>
      <c r="D552" s="2" t="s">
        <v>363</v>
      </c>
      <c r="E552" t="s">
        <v>534</v>
      </c>
      <c r="F552" s="11">
        <v>43510</v>
      </c>
      <c r="G552" s="2">
        <f>VLOOKUP(E552,Produtos!$A:$E,5,FALSE)</f>
        <v>65</v>
      </c>
      <c r="H552" s="2">
        <f>VLOOKUP(E552,Produtos!$A:$E,4,FALSE)</f>
        <v>30</v>
      </c>
      <c r="I552" s="2">
        <v>4</v>
      </c>
    </row>
    <row r="553" spans="1:9" x14ac:dyDescent="0.25">
      <c r="A553" s="2" t="str">
        <f>CONCATENATE(Códigos!S552,Códigos!T552,Códigos!U552)</f>
        <v>svv551v</v>
      </c>
      <c r="B553" t="s">
        <v>496</v>
      </c>
      <c r="C553" t="s">
        <v>362</v>
      </c>
      <c r="D553" s="2" t="s">
        <v>363</v>
      </c>
      <c r="E553" t="s">
        <v>534</v>
      </c>
      <c r="F553" s="11">
        <v>43511</v>
      </c>
      <c r="G553" s="2">
        <f>VLOOKUP(E553,Produtos!$A:$E,5,FALSE)</f>
        <v>65</v>
      </c>
      <c r="H553" s="2">
        <f>VLOOKUP(E553,Produtos!$A:$E,4,FALSE)</f>
        <v>30</v>
      </c>
      <c r="I553" s="2">
        <v>4</v>
      </c>
    </row>
    <row r="554" spans="1:9" x14ac:dyDescent="0.25">
      <c r="A554" s="2" t="str">
        <f>CONCATENATE(Códigos!S553,Códigos!T553,Códigos!U553)</f>
        <v>svv552v</v>
      </c>
      <c r="B554" t="s">
        <v>496</v>
      </c>
      <c r="C554" t="s">
        <v>362</v>
      </c>
      <c r="D554" s="2" t="s">
        <v>363</v>
      </c>
      <c r="E554" t="s">
        <v>534</v>
      </c>
      <c r="F554" s="11">
        <v>43512</v>
      </c>
      <c r="G554" s="2">
        <f>VLOOKUP(E554,Produtos!$A:$E,5,FALSE)</f>
        <v>65</v>
      </c>
      <c r="H554" s="2">
        <f>VLOOKUP(E554,Produtos!$A:$E,4,FALSE)</f>
        <v>30</v>
      </c>
      <c r="I554" s="2">
        <v>4</v>
      </c>
    </row>
    <row r="555" spans="1:9" x14ac:dyDescent="0.25">
      <c r="A555" s="2" t="str">
        <f>CONCATENATE(Códigos!S554,Códigos!T554,Códigos!U554)</f>
        <v>svv553v</v>
      </c>
      <c r="B555" t="s">
        <v>496</v>
      </c>
      <c r="C555" t="s">
        <v>362</v>
      </c>
      <c r="D555" s="2" t="s">
        <v>363</v>
      </c>
      <c r="E555" t="s">
        <v>534</v>
      </c>
      <c r="F555" s="11">
        <v>43513</v>
      </c>
      <c r="G555" s="2">
        <f>VLOOKUP(E555,Produtos!$A:$E,5,FALSE)</f>
        <v>65</v>
      </c>
      <c r="H555" s="2">
        <f>VLOOKUP(E555,Produtos!$A:$E,4,FALSE)</f>
        <v>30</v>
      </c>
      <c r="I555" s="2">
        <v>4</v>
      </c>
    </row>
    <row r="556" spans="1:9" x14ac:dyDescent="0.25">
      <c r="A556" s="2" t="str">
        <f>CONCATENATE(Códigos!S555,Códigos!T555,Códigos!U555)</f>
        <v>svv554v</v>
      </c>
      <c r="B556" t="s">
        <v>496</v>
      </c>
      <c r="C556" t="s">
        <v>362</v>
      </c>
      <c r="D556" s="2" t="s">
        <v>363</v>
      </c>
      <c r="E556" t="s">
        <v>534</v>
      </c>
      <c r="F556" s="11">
        <v>43514</v>
      </c>
      <c r="G556" s="2">
        <f>VLOOKUP(E556,Produtos!$A:$E,5,FALSE)</f>
        <v>65</v>
      </c>
      <c r="H556" s="2">
        <f>VLOOKUP(E556,Produtos!$A:$E,4,FALSE)</f>
        <v>30</v>
      </c>
      <c r="I556" s="2">
        <v>4</v>
      </c>
    </row>
    <row r="557" spans="1:9" x14ac:dyDescent="0.25">
      <c r="A557" s="2" t="str">
        <f>CONCATENATE(Códigos!S556,Códigos!T556,Códigos!U556)</f>
        <v>svv555v</v>
      </c>
      <c r="B557" t="s">
        <v>496</v>
      </c>
      <c r="C557" t="s">
        <v>362</v>
      </c>
      <c r="D557" s="2" t="s">
        <v>363</v>
      </c>
      <c r="E557" t="s">
        <v>534</v>
      </c>
      <c r="F557" s="11">
        <v>43515</v>
      </c>
      <c r="G557" s="2">
        <f>VLOOKUP(E557,Produtos!$A:$E,5,FALSE)</f>
        <v>65</v>
      </c>
      <c r="H557" s="2">
        <f>VLOOKUP(E557,Produtos!$A:$E,4,FALSE)</f>
        <v>30</v>
      </c>
      <c r="I557" s="2">
        <v>4</v>
      </c>
    </row>
    <row r="558" spans="1:9" x14ac:dyDescent="0.25">
      <c r="A558" s="2" t="str">
        <f>CONCATENATE(Códigos!S557,Códigos!T557,Códigos!U557)</f>
        <v>svv556v</v>
      </c>
      <c r="B558" t="s">
        <v>499</v>
      </c>
      <c r="C558" t="s">
        <v>362</v>
      </c>
      <c r="D558" s="2" t="s">
        <v>363</v>
      </c>
      <c r="E558" t="s">
        <v>348</v>
      </c>
      <c r="F558" s="11">
        <v>43516</v>
      </c>
      <c r="G558" s="2">
        <f>VLOOKUP(E558,Produtos!$A:$E,5,FALSE)</f>
        <v>2</v>
      </c>
      <c r="H558" s="2">
        <f>VLOOKUP(E558,Produtos!$A:$E,4,FALSE)</f>
        <v>1</v>
      </c>
      <c r="I558" s="2">
        <v>4</v>
      </c>
    </row>
    <row r="559" spans="1:9" x14ac:dyDescent="0.25">
      <c r="A559" s="2" t="str">
        <f>CONCATENATE(Códigos!S558,Códigos!T558,Códigos!U558)</f>
        <v>svv557v</v>
      </c>
      <c r="B559" t="s">
        <v>499</v>
      </c>
      <c r="C559" t="s">
        <v>362</v>
      </c>
      <c r="D559" s="2" t="s">
        <v>363</v>
      </c>
      <c r="E559" t="s">
        <v>348</v>
      </c>
      <c r="F559" s="11">
        <v>43517</v>
      </c>
      <c r="G559" s="2">
        <f>VLOOKUP(E559,Produtos!$A:$E,5,FALSE)</f>
        <v>2</v>
      </c>
      <c r="H559" s="2">
        <f>VLOOKUP(E559,Produtos!$A:$E,4,FALSE)</f>
        <v>1</v>
      </c>
      <c r="I559" s="2">
        <v>4</v>
      </c>
    </row>
    <row r="560" spans="1:9" x14ac:dyDescent="0.25">
      <c r="A560" s="2" t="str">
        <f>CONCATENATE(Códigos!S559,Códigos!T559,Códigos!U559)</f>
        <v>svv558v</v>
      </c>
      <c r="B560" t="s">
        <v>499</v>
      </c>
      <c r="C560" t="s">
        <v>362</v>
      </c>
      <c r="D560" s="2" t="s">
        <v>363</v>
      </c>
      <c r="E560" t="s">
        <v>348</v>
      </c>
      <c r="F560" s="11">
        <v>43518</v>
      </c>
      <c r="G560" s="2">
        <f>VLOOKUP(E560,Produtos!$A:$E,5,FALSE)</f>
        <v>2</v>
      </c>
      <c r="H560" s="2">
        <f>VLOOKUP(E560,Produtos!$A:$E,4,FALSE)</f>
        <v>1</v>
      </c>
      <c r="I560" s="2">
        <v>4</v>
      </c>
    </row>
    <row r="561" spans="1:9" x14ac:dyDescent="0.25">
      <c r="A561" s="2" t="str">
        <f>CONCATENATE(Códigos!S560,Códigos!T560,Códigos!U560)</f>
        <v>svv559v</v>
      </c>
      <c r="B561" t="s">
        <v>499</v>
      </c>
      <c r="C561" t="s">
        <v>362</v>
      </c>
      <c r="D561" s="2" t="s">
        <v>363</v>
      </c>
      <c r="E561" t="s">
        <v>348</v>
      </c>
      <c r="F561" s="11">
        <v>43519</v>
      </c>
      <c r="G561" s="2">
        <f>VLOOKUP(E561,Produtos!$A:$E,5,FALSE)</f>
        <v>2</v>
      </c>
      <c r="H561" s="2">
        <f>VLOOKUP(E561,Produtos!$A:$E,4,FALSE)</f>
        <v>1</v>
      </c>
      <c r="I561" s="2">
        <v>4</v>
      </c>
    </row>
    <row r="562" spans="1:9" x14ac:dyDescent="0.25">
      <c r="A562" s="2" t="str">
        <f>CONCATENATE(Códigos!S561,Códigos!T561,Códigos!U561)</f>
        <v>svv560v</v>
      </c>
      <c r="B562" t="s">
        <v>499</v>
      </c>
      <c r="C562" t="s">
        <v>362</v>
      </c>
      <c r="D562" s="2" t="s">
        <v>363</v>
      </c>
      <c r="E562" t="s">
        <v>348</v>
      </c>
      <c r="F562" s="11">
        <v>43520</v>
      </c>
      <c r="G562" s="2">
        <f>VLOOKUP(E562,Produtos!$A:$E,5,FALSE)</f>
        <v>2</v>
      </c>
      <c r="H562" s="2">
        <f>VLOOKUP(E562,Produtos!$A:$E,4,FALSE)</f>
        <v>1</v>
      </c>
      <c r="I562" s="2">
        <v>4</v>
      </c>
    </row>
    <row r="563" spans="1:9" x14ac:dyDescent="0.25">
      <c r="A563" s="2" t="str">
        <f>CONCATENATE(Códigos!S562,Códigos!T562,Códigos!U562)</f>
        <v>svv561v</v>
      </c>
      <c r="B563" t="s">
        <v>499</v>
      </c>
      <c r="C563" t="s">
        <v>362</v>
      </c>
      <c r="D563" s="2" t="s">
        <v>363</v>
      </c>
      <c r="E563" t="s">
        <v>348</v>
      </c>
      <c r="F563" s="11">
        <v>43521</v>
      </c>
      <c r="G563" s="2">
        <f>VLOOKUP(E563,Produtos!$A:$E,5,FALSE)</f>
        <v>2</v>
      </c>
      <c r="H563" s="2">
        <f>VLOOKUP(E563,Produtos!$A:$E,4,FALSE)</f>
        <v>1</v>
      </c>
      <c r="I563" s="2">
        <v>4</v>
      </c>
    </row>
    <row r="564" spans="1:9" x14ac:dyDescent="0.25">
      <c r="A564" s="2" t="str">
        <f>CONCATENATE(Códigos!S563,Códigos!T563,Códigos!U563)</f>
        <v>svv562v</v>
      </c>
      <c r="B564" t="s">
        <v>499</v>
      </c>
      <c r="C564" t="s">
        <v>362</v>
      </c>
      <c r="D564" s="2" t="s">
        <v>363</v>
      </c>
      <c r="E564" t="s">
        <v>348</v>
      </c>
      <c r="F564" s="11">
        <v>43522</v>
      </c>
      <c r="G564" s="2">
        <f>VLOOKUP(E564,Produtos!$A:$E,5,FALSE)</f>
        <v>2</v>
      </c>
      <c r="H564" s="2">
        <f>VLOOKUP(E564,Produtos!$A:$E,4,FALSE)</f>
        <v>1</v>
      </c>
      <c r="I564" s="2">
        <v>4</v>
      </c>
    </row>
    <row r="565" spans="1:9" x14ac:dyDescent="0.25">
      <c r="A565" s="2" t="str">
        <f>CONCATENATE(Códigos!S564,Códigos!T564,Códigos!U564)</f>
        <v>svv563v</v>
      </c>
      <c r="B565" t="s">
        <v>499</v>
      </c>
      <c r="C565" t="s">
        <v>362</v>
      </c>
      <c r="D565" s="2" t="s">
        <v>363</v>
      </c>
      <c r="E565" t="s">
        <v>348</v>
      </c>
      <c r="F565" s="11">
        <v>43523</v>
      </c>
      <c r="G565" s="2">
        <f>VLOOKUP(E565,Produtos!$A:$E,5,FALSE)</f>
        <v>2</v>
      </c>
      <c r="H565" s="2">
        <f>VLOOKUP(E565,Produtos!$A:$E,4,FALSE)</f>
        <v>1</v>
      </c>
      <c r="I565" s="2">
        <v>4</v>
      </c>
    </row>
    <row r="566" spans="1:9" x14ac:dyDescent="0.25">
      <c r="A566" s="2" t="str">
        <f>CONCATENATE(Códigos!S565,Códigos!T565,Códigos!U565)</f>
        <v>svv564v</v>
      </c>
      <c r="B566" t="s">
        <v>499</v>
      </c>
      <c r="C566" t="s">
        <v>362</v>
      </c>
      <c r="D566" s="2" t="s">
        <v>363</v>
      </c>
      <c r="E566" t="s">
        <v>348</v>
      </c>
      <c r="F566" s="11">
        <v>43524</v>
      </c>
      <c r="G566" s="2">
        <f>VLOOKUP(E566,Produtos!$A:$E,5,FALSE)</f>
        <v>2</v>
      </c>
      <c r="H566" s="2">
        <f>VLOOKUP(E566,Produtos!$A:$E,4,FALSE)</f>
        <v>1</v>
      </c>
      <c r="I566" s="2">
        <v>4</v>
      </c>
    </row>
    <row r="567" spans="1:9" x14ac:dyDescent="0.25">
      <c r="A567" s="2" t="str">
        <f>CONCATENATE(Códigos!S566,Códigos!T566,Códigos!U566)</f>
        <v>svv565v</v>
      </c>
      <c r="B567" t="s">
        <v>499</v>
      </c>
      <c r="C567" t="s">
        <v>362</v>
      </c>
      <c r="D567" s="2" t="s">
        <v>363</v>
      </c>
      <c r="E567" t="s">
        <v>348</v>
      </c>
      <c r="F567" s="11">
        <v>43525</v>
      </c>
      <c r="G567" s="2">
        <f>VLOOKUP(E567,Produtos!$A:$E,5,FALSE)</f>
        <v>2</v>
      </c>
      <c r="H567" s="2">
        <f>VLOOKUP(E567,Produtos!$A:$E,4,FALSE)</f>
        <v>1</v>
      </c>
      <c r="I567" s="2">
        <v>4</v>
      </c>
    </row>
    <row r="568" spans="1:9" x14ac:dyDescent="0.25">
      <c r="A568" s="2" t="str">
        <f>CONCATENATE(Códigos!S567,Códigos!T567,Códigos!U567)</f>
        <v>svv566v</v>
      </c>
      <c r="B568" t="s">
        <v>499</v>
      </c>
      <c r="C568" t="s">
        <v>362</v>
      </c>
      <c r="D568" s="2" t="s">
        <v>363</v>
      </c>
      <c r="E568" t="s">
        <v>348</v>
      </c>
      <c r="F568" s="11">
        <v>43526</v>
      </c>
      <c r="G568" s="2">
        <f>VLOOKUP(E568,Produtos!$A:$E,5,FALSE)</f>
        <v>2</v>
      </c>
      <c r="H568" s="2">
        <f>VLOOKUP(E568,Produtos!$A:$E,4,FALSE)</f>
        <v>1</v>
      </c>
      <c r="I568" s="2">
        <v>4</v>
      </c>
    </row>
    <row r="569" spans="1:9" x14ac:dyDescent="0.25">
      <c r="A569" s="2" t="str">
        <f>CONCATENATE(Códigos!S568,Códigos!T568,Códigos!U568)</f>
        <v>svv567v</v>
      </c>
      <c r="B569" t="s">
        <v>499</v>
      </c>
      <c r="C569" t="s">
        <v>362</v>
      </c>
      <c r="D569" s="2" t="s">
        <v>363</v>
      </c>
      <c r="E569" t="s">
        <v>348</v>
      </c>
      <c r="F569" s="11">
        <v>43527</v>
      </c>
      <c r="G569" s="2">
        <f>VLOOKUP(E569,Produtos!$A:$E,5,FALSE)</f>
        <v>2</v>
      </c>
      <c r="H569" s="2">
        <f>VLOOKUP(E569,Produtos!$A:$E,4,FALSE)</f>
        <v>1</v>
      </c>
      <c r="I569" s="2">
        <v>4</v>
      </c>
    </row>
    <row r="570" spans="1:9" x14ac:dyDescent="0.25">
      <c r="A570" s="2" t="str">
        <f>CONCATENATE(Códigos!S569,Códigos!T569,Códigos!U569)</f>
        <v>svv568v</v>
      </c>
      <c r="B570" t="s">
        <v>499</v>
      </c>
      <c r="C570" t="s">
        <v>362</v>
      </c>
      <c r="D570" s="2" t="s">
        <v>363</v>
      </c>
      <c r="E570" t="s">
        <v>348</v>
      </c>
      <c r="F570" s="11">
        <v>43528</v>
      </c>
      <c r="G570" s="2">
        <f>VLOOKUP(E570,Produtos!$A:$E,5,FALSE)</f>
        <v>2</v>
      </c>
      <c r="H570" s="2">
        <f>VLOOKUP(E570,Produtos!$A:$E,4,FALSE)</f>
        <v>1</v>
      </c>
      <c r="I570" s="2">
        <v>4</v>
      </c>
    </row>
    <row r="571" spans="1:9" x14ac:dyDescent="0.25">
      <c r="A571" s="2" t="str">
        <f>CONCATENATE(Códigos!S570,Códigos!T570,Códigos!U570)</f>
        <v>svv569v</v>
      </c>
      <c r="B571" t="s">
        <v>499</v>
      </c>
      <c r="C571" t="s">
        <v>533</v>
      </c>
      <c r="D571" s="2" t="s">
        <v>325</v>
      </c>
      <c r="E571" t="s">
        <v>348</v>
      </c>
      <c r="F571" s="11">
        <v>43529</v>
      </c>
      <c r="G571" s="2">
        <f>VLOOKUP(E571,Produtos!$A:$E,5,FALSE)</f>
        <v>2</v>
      </c>
      <c r="H571" s="2">
        <f>VLOOKUP(E571,Produtos!$A:$E,4,FALSE)</f>
        <v>1</v>
      </c>
      <c r="I571" s="2">
        <v>4</v>
      </c>
    </row>
    <row r="572" spans="1:9" x14ac:dyDescent="0.25">
      <c r="A572" s="2" t="str">
        <f>CONCATENATE(Códigos!S571,Códigos!T571,Códigos!U571)</f>
        <v>svv570v</v>
      </c>
      <c r="B572" t="s">
        <v>499</v>
      </c>
      <c r="C572" t="s">
        <v>533</v>
      </c>
      <c r="D572" s="2" t="s">
        <v>325</v>
      </c>
      <c r="E572" t="s">
        <v>348</v>
      </c>
      <c r="F572" s="11">
        <v>43530</v>
      </c>
      <c r="G572" s="2">
        <f>VLOOKUP(E572,Produtos!$A:$E,5,FALSE)</f>
        <v>2</v>
      </c>
      <c r="H572" s="2">
        <f>VLOOKUP(E572,Produtos!$A:$E,4,FALSE)</f>
        <v>1</v>
      </c>
      <c r="I572" s="2">
        <v>4</v>
      </c>
    </row>
    <row r="573" spans="1:9" x14ac:dyDescent="0.25">
      <c r="A573" s="2" t="str">
        <f>CONCATENATE(Códigos!S572,Códigos!T572,Códigos!U572)</f>
        <v>svv571v</v>
      </c>
      <c r="B573" t="s">
        <v>499</v>
      </c>
      <c r="C573" t="s">
        <v>533</v>
      </c>
      <c r="D573" s="2" t="s">
        <v>325</v>
      </c>
      <c r="E573" t="s">
        <v>348</v>
      </c>
      <c r="F573" s="11">
        <v>43531</v>
      </c>
      <c r="G573" s="2">
        <f>VLOOKUP(E573,Produtos!$A:$E,5,FALSE)</f>
        <v>2</v>
      </c>
      <c r="H573" s="2">
        <f>VLOOKUP(E573,Produtos!$A:$E,4,FALSE)</f>
        <v>1</v>
      </c>
      <c r="I573" s="2">
        <v>4</v>
      </c>
    </row>
    <row r="574" spans="1:9" x14ac:dyDescent="0.25">
      <c r="A574" s="2" t="str">
        <f>CONCATENATE(Códigos!S573,Códigos!T573,Códigos!U573)</f>
        <v>svv572v</v>
      </c>
      <c r="B574" t="s">
        <v>499</v>
      </c>
      <c r="C574" t="s">
        <v>533</v>
      </c>
      <c r="D574" s="2" t="s">
        <v>325</v>
      </c>
      <c r="E574" t="s">
        <v>348</v>
      </c>
      <c r="F574" s="11">
        <v>43532</v>
      </c>
      <c r="G574" s="2">
        <f>VLOOKUP(E574,Produtos!$A:$E,5,FALSE)</f>
        <v>2</v>
      </c>
      <c r="H574" s="2">
        <f>VLOOKUP(E574,Produtos!$A:$E,4,FALSE)</f>
        <v>1</v>
      </c>
      <c r="I574" s="2">
        <v>4</v>
      </c>
    </row>
    <row r="575" spans="1:9" x14ac:dyDescent="0.25">
      <c r="A575" s="2" t="str">
        <f>CONCATENATE(Códigos!S574,Códigos!T574,Códigos!U574)</f>
        <v>svv573v</v>
      </c>
      <c r="B575" t="s">
        <v>499</v>
      </c>
      <c r="C575" t="s">
        <v>533</v>
      </c>
      <c r="D575" s="2" t="s">
        <v>325</v>
      </c>
      <c r="E575" t="s">
        <v>348</v>
      </c>
      <c r="F575" s="11">
        <v>43533</v>
      </c>
      <c r="G575" s="2">
        <f>VLOOKUP(E575,Produtos!$A:$E,5,FALSE)</f>
        <v>2</v>
      </c>
      <c r="H575" s="2">
        <f>VLOOKUP(E575,Produtos!$A:$E,4,FALSE)</f>
        <v>1</v>
      </c>
      <c r="I575" s="2">
        <v>4</v>
      </c>
    </row>
    <row r="576" spans="1:9" x14ac:dyDescent="0.25">
      <c r="A576" s="2" t="str">
        <f>CONCATENATE(Códigos!S575,Códigos!T575,Códigos!U575)</f>
        <v>svv574v</v>
      </c>
      <c r="B576" t="s">
        <v>499</v>
      </c>
      <c r="C576" t="s">
        <v>533</v>
      </c>
      <c r="D576" s="2" t="s">
        <v>325</v>
      </c>
      <c r="E576" t="s">
        <v>348</v>
      </c>
      <c r="F576" s="11">
        <v>43534</v>
      </c>
      <c r="G576" s="2">
        <f>VLOOKUP(E576,Produtos!$A:$E,5,FALSE)</f>
        <v>2</v>
      </c>
      <c r="H576" s="2">
        <f>VLOOKUP(E576,Produtos!$A:$E,4,FALSE)</f>
        <v>1</v>
      </c>
      <c r="I576" s="2">
        <v>4</v>
      </c>
    </row>
    <row r="577" spans="1:9" x14ac:dyDescent="0.25">
      <c r="A577" s="2" t="str">
        <f>CONCATENATE(Códigos!S576,Códigos!T576,Códigos!U576)</f>
        <v>svv575v</v>
      </c>
      <c r="B577" t="s">
        <v>499</v>
      </c>
      <c r="C577" t="s">
        <v>533</v>
      </c>
      <c r="D577" s="2" t="s">
        <v>325</v>
      </c>
      <c r="E577" t="s">
        <v>348</v>
      </c>
      <c r="F577" s="11">
        <v>43535</v>
      </c>
      <c r="G577" s="2">
        <f>VLOOKUP(E577,Produtos!$A:$E,5,FALSE)</f>
        <v>2</v>
      </c>
      <c r="H577" s="2">
        <f>VLOOKUP(E577,Produtos!$A:$E,4,FALSE)</f>
        <v>1</v>
      </c>
      <c r="I577" s="2">
        <v>4</v>
      </c>
    </row>
    <row r="578" spans="1:9" x14ac:dyDescent="0.25">
      <c r="A578" s="2" t="str">
        <f>CONCATENATE(Códigos!S577,Códigos!T577,Códigos!U577)</f>
        <v>svv576v</v>
      </c>
      <c r="B578" t="s">
        <v>499</v>
      </c>
      <c r="C578" t="s">
        <v>533</v>
      </c>
      <c r="D578" s="2" t="s">
        <v>325</v>
      </c>
      <c r="E578" t="s">
        <v>348</v>
      </c>
      <c r="F578" s="11">
        <v>43536</v>
      </c>
      <c r="G578" s="2">
        <f>VLOOKUP(E578,Produtos!$A:$E,5,FALSE)</f>
        <v>2</v>
      </c>
      <c r="H578" s="2">
        <f>VLOOKUP(E578,Produtos!$A:$E,4,FALSE)</f>
        <v>1</v>
      </c>
      <c r="I578" s="2">
        <v>4</v>
      </c>
    </row>
    <row r="579" spans="1:9" x14ac:dyDescent="0.25">
      <c r="A579" s="2" t="str">
        <f>CONCATENATE(Códigos!S578,Códigos!T578,Códigos!U578)</f>
        <v>svv577v</v>
      </c>
      <c r="B579" t="s">
        <v>499</v>
      </c>
      <c r="C579" t="s">
        <v>533</v>
      </c>
      <c r="D579" s="2" t="s">
        <v>325</v>
      </c>
      <c r="E579" t="s">
        <v>348</v>
      </c>
      <c r="F579" s="11">
        <v>43537</v>
      </c>
      <c r="G579" s="2">
        <f>VLOOKUP(E579,Produtos!$A:$E,5,FALSE)</f>
        <v>2</v>
      </c>
      <c r="H579" s="2">
        <f>VLOOKUP(E579,Produtos!$A:$E,4,FALSE)</f>
        <v>1</v>
      </c>
      <c r="I579" s="2">
        <v>4</v>
      </c>
    </row>
    <row r="580" spans="1:9" x14ac:dyDescent="0.25">
      <c r="A580" s="2" t="str">
        <f>CONCATENATE(Códigos!S579,Códigos!T579,Códigos!U579)</f>
        <v>svv578v</v>
      </c>
      <c r="B580" t="s">
        <v>499</v>
      </c>
      <c r="C580" t="s">
        <v>533</v>
      </c>
      <c r="D580" s="2" t="s">
        <v>325</v>
      </c>
      <c r="E580" t="s">
        <v>348</v>
      </c>
      <c r="F580" s="11">
        <v>43538</v>
      </c>
      <c r="G580" s="2">
        <f>VLOOKUP(E580,Produtos!$A:$E,5,FALSE)</f>
        <v>2</v>
      </c>
      <c r="H580" s="2">
        <f>VLOOKUP(E580,Produtos!$A:$E,4,FALSE)</f>
        <v>1</v>
      </c>
      <c r="I580" s="2">
        <v>4</v>
      </c>
    </row>
    <row r="581" spans="1:9" x14ac:dyDescent="0.25">
      <c r="A581" s="2" t="str">
        <f>CONCATENATE(Códigos!S580,Códigos!T580,Códigos!U580)</f>
        <v>svv579v</v>
      </c>
      <c r="B581" t="s">
        <v>499</v>
      </c>
      <c r="C581" t="s">
        <v>533</v>
      </c>
      <c r="D581" s="2" t="s">
        <v>325</v>
      </c>
      <c r="E581" t="s">
        <v>348</v>
      </c>
      <c r="F581" s="11">
        <v>43539</v>
      </c>
      <c r="G581" s="2">
        <f>VLOOKUP(E581,Produtos!$A:$E,5,FALSE)</f>
        <v>2</v>
      </c>
      <c r="H581" s="2">
        <f>VLOOKUP(E581,Produtos!$A:$E,4,FALSE)</f>
        <v>1</v>
      </c>
      <c r="I581" s="2">
        <v>4</v>
      </c>
    </row>
    <row r="582" spans="1:9" x14ac:dyDescent="0.25">
      <c r="A582" s="2" t="str">
        <f>CONCATENATE(Códigos!S581,Códigos!T581,Códigos!U581)</f>
        <v>svv580v</v>
      </c>
      <c r="B582" t="s">
        <v>499</v>
      </c>
      <c r="C582" t="s">
        <v>533</v>
      </c>
      <c r="D582" s="2" t="s">
        <v>325</v>
      </c>
      <c r="E582" t="s">
        <v>348</v>
      </c>
      <c r="F582" s="11">
        <v>43540</v>
      </c>
      <c r="G582" s="2">
        <f>VLOOKUP(E582,Produtos!$A:$E,5,FALSE)</f>
        <v>2</v>
      </c>
      <c r="H582" s="2">
        <f>VLOOKUP(E582,Produtos!$A:$E,4,FALSE)</f>
        <v>1</v>
      </c>
      <c r="I582" s="2">
        <v>4</v>
      </c>
    </row>
    <row r="583" spans="1:9" x14ac:dyDescent="0.25">
      <c r="A583" s="2" t="str">
        <f>CONCATENATE(Códigos!S582,Códigos!T582,Códigos!U582)</f>
        <v>svv581v</v>
      </c>
      <c r="B583" t="s">
        <v>499</v>
      </c>
      <c r="C583" t="s">
        <v>533</v>
      </c>
      <c r="D583" s="2" t="s">
        <v>325</v>
      </c>
      <c r="E583" t="s">
        <v>348</v>
      </c>
      <c r="F583" s="11">
        <v>43541</v>
      </c>
      <c r="G583" s="2">
        <f>VLOOKUP(E583,Produtos!$A:$E,5,FALSE)</f>
        <v>2</v>
      </c>
      <c r="H583" s="2">
        <f>VLOOKUP(E583,Produtos!$A:$E,4,FALSE)</f>
        <v>1</v>
      </c>
      <c r="I583" s="2">
        <v>4</v>
      </c>
    </row>
    <row r="584" spans="1:9" x14ac:dyDescent="0.25">
      <c r="A584" s="2" t="str">
        <f>CONCATENATE(Códigos!S583,Códigos!T583,Códigos!U583)</f>
        <v>svv582v</v>
      </c>
      <c r="B584" t="s">
        <v>499</v>
      </c>
      <c r="C584" t="s">
        <v>533</v>
      </c>
      <c r="D584" s="2" t="s">
        <v>325</v>
      </c>
      <c r="E584" t="s">
        <v>348</v>
      </c>
      <c r="F584" s="11">
        <v>43542</v>
      </c>
      <c r="G584" s="2">
        <f>VLOOKUP(E584,Produtos!$A:$E,5,FALSE)</f>
        <v>2</v>
      </c>
      <c r="H584" s="2">
        <f>VLOOKUP(E584,Produtos!$A:$E,4,FALSE)</f>
        <v>1</v>
      </c>
      <c r="I584" s="2">
        <v>4</v>
      </c>
    </row>
    <row r="585" spans="1:9" x14ac:dyDescent="0.25">
      <c r="A585" s="2" t="str">
        <f>CONCATENATE(Códigos!S584,Códigos!T584,Códigos!U584)</f>
        <v>svv583v</v>
      </c>
      <c r="B585" t="s">
        <v>499</v>
      </c>
      <c r="C585" t="s">
        <v>533</v>
      </c>
      <c r="D585" s="2" t="s">
        <v>325</v>
      </c>
      <c r="E585" t="s">
        <v>348</v>
      </c>
      <c r="F585" s="11">
        <v>43543</v>
      </c>
      <c r="G585" s="2">
        <f>VLOOKUP(E585,Produtos!$A:$E,5,FALSE)</f>
        <v>2</v>
      </c>
      <c r="H585" s="2">
        <f>VLOOKUP(E585,Produtos!$A:$E,4,FALSE)</f>
        <v>1</v>
      </c>
      <c r="I585" s="2">
        <v>4</v>
      </c>
    </row>
    <row r="586" spans="1:9" x14ac:dyDescent="0.25">
      <c r="A586" s="2" t="str">
        <f>CONCATENATE(Códigos!S585,Códigos!T585,Códigos!U585)</f>
        <v>svv584v</v>
      </c>
      <c r="B586" t="s">
        <v>499</v>
      </c>
      <c r="C586" t="s">
        <v>533</v>
      </c>
      <c r="D586" s="2" t="s">
        <v>325</v>
      </c>
      <c r="E586" t="s">
        <v>348</v>
      </c>
      <c r="F586" s="11">
        <v>43565</v>
      </c>
      <c r="G586" s="2">
        <f>VLOOKUP(E586,Produtos!$A:$E,5,FALSE)</f>
        <v>2</v>
      </c>
      <c r="H586" s="2">
        <f>VLOOKUP(E586,Produtos!$A:$E,4,FALSE)</f>
        <v>1</v>
      </c>
      <c r="I586" s="2">
        <v>4</v>
      </c>
    </row>
    <row r="587" spans="1:9" x14ac:dyDescent="0.25">
      <c r="A587" s="2" t="str">
        <f>CONCATENATE(Códigos!S586,Códigos!T586,Códigos!U586)</f>
        <v>svv585v</v>
      </c>
      <c r="B587" t="s">
        <v>499</v>
      </c>
      <c r="C587" t="s">
        <v>533</v>
      </c>
      <c r="D587" s="2" t="s">
        <v>325</v>
      </c>
      <c r="E587" t="s">
        <v>348</v>
      </c>
      <c r="F587" s="11">
        <v>43566</v>
      </c>
      <c r="G587" s="2">
        <f>VLOOKUP(E587,Produtos!$A:$E,5,FALSE)</f>
        <v>2</v>
      </c>
      <c r="H587" s="2">
        <f>VLOOKUP(E587,Produtos!$A:$E,4,FALSE)</f>
        <v>1</v>
      </c>
      <c r="I587" s="2">
        <v>4</v>
      </c>
    </row>
    <row r="588" spans="1:9" x14ac:dyDescent="0.25">
      <c r="A588" s="2" t="str">
        <f>CONCATENATE(Códigos!S587,Códigos!T587,Códigos!U587)</f>
        <v>svv586v</v>
      </c>
      <c r="B588" t="s">
        <v>499</v>
      </c>
      <c r="C588" t="s">
        <v>533</v>
      </c>
      <c r="D588" s="2" t="s">
        <v>325</v>
      </c>
      <c r="E588" t="s">
        <v>348</v>
      </c>
      <c r="F588" s="11">
        <v>43567</v>
      </c>
      <c r="G588" s="2">
        <f>VLOOKUP(E588,Produtos!$A:$E,5,FALSE)</f>
        <v>2</v>
      </c>
      <c r="H588" s="2">
        <f>VLOOKUP(E588,Produtos!$A:$E,4,FALSE)</f>
        <v>1</v>
      </c>
      <c r="I588" s="2">
        <v>4</v>
      </c>
    </row>
    <row r="589" spans="1:9" x14ac:dyDescent="0.25">
      <c r="A589" s="2" t="str">
        <f>CONCATENATE(Códigos!S588,Códigos!T588,Códigos!U588)</f>
        <v>svv587v</v>
      </c>
      <c r="B589" t="s">
        <v>499</v>
      </c>
      <c r="C589" t="s">
        <v>533</v>
      </c>
      <c r="D589" s="2" t="s">
        <v>325</v>
      </c>
      <c r="E589" t="s">
        <v>348</v>
      </c>
      <c r="F589" s="11">
        <v>43568</v>
      </c>
      <c r="G589" s="2">
        <f>VLOOKUP(E589,Produtos!$A:$E,5,FALSE)</f>
        <v>2</v>
      </c>
      <c r="H589" s="2">
        <f>VLOOKUP(E589,Produtos!$A:$E,4,FALSE)</f>
        <v>1</v>
      </c>
      <c r="I589" s="2">
        <v>4</v>
      </c>
    </row>
    <row r="590" spans="1:9" x14ac:dyDescent="0.25">
      <c r="A590" s="2" t="str">
        <f>CONCATENATE(Códigos!S589,Códigos!T589,Códigos!U589)</f>
        <v>svv588v</v>
      </c>
      <c r="B590" t="s">
        <v>499</v>
      </c>
      <c r="C590" t="s">
        <v>533</v>
      </c>
      <c r="D590" s="2" t="s">
        <v>325</v>
      </c>
      <c r="E590" t="s">
        <v>348</v>
      </c>
      <c r="F590" s="11">
        <v>43569</v>
      </c>
      <c r="G590" s="2">
        <f>VLOOKUP(E590,Produtos!$A:$E,5,FALSE)</f>
        <v>2</v>
      </c>
      <c r="H590" s="2">
        <f>VLOOKUP(E590,Produtos!$A:$E,4,FALSE)</f>
        <v>1</v>
      </c>
      <c r="I590" s="2">
        <v>4</v>
      </c>
    </row>
    <row r="591" spans="1:9" x14ac:dyDescent="0.25">
      <c r="A591" s="2" t="str">
        <f>CONCATENATE(Códigos!S590,Códigos!T590,Códigos!U590)</f>
        <v>svv589v</v>
      </c>
      <c r="B591" t="s">
        <v>499</v>
      </c>
      <c r="C591" t="s">
        <v>533</v>
      </c>
      <c r="D591" s="2" t="s">
        <v>325</v>
      </c>
      <c r="E591" t="s">
        <v>348</v>
      </c>
      <c r="F591" s="11">
        <v>43570</v>
      </c>
      <c r="G591" s="2">
        <f>VLOOKUP(E591,Produtos!$A:$E,5,FALSE)</f>
        <v>2</v>
      </c>
      <c r="H591" s="2">
        <f>VLOOKUP(E591,Produtos!$A:$E,4,FALSE)</f>
        <v>1</v>
      </c>
      <c r="I591" s="2">
        <v>4</v>
      </c>
    </row>
    <row r="592" spans="1:9" x14ac:dyDescent="0.25">
      <c r="A592" s="2" t="str">
        <f>CONCATENATE(Códigos!S591,Códigos!T591,Códigos!U591)</f>
        <v>svv590v</v>
      </c>
      <c r="B592" t="s">
        <v>499</v>
      </c>
      <c r="C592" t="s">
        <v>533</v>
      </c>
      <c r="D592" s="2" t="s">
        <v>325</v>
      </c>
      <c r="E592" t="s">
        <v>348</v>
      </c>
      <c r="F592" s="11">
        <v>43571</v>
      </c>
      <c r="G592" s="2">
        <f>VLOOKUP(E592,Produtos!$A:$E,5,FALSE)</f>
        <v>2</v>
      </c>
      <c r="H592" s="2">
        <f>VLOOKUP(E592,Produtos!$A:$E,4,FALSE)</f>
        <v>1</v>
      </c>
      <c r="I592" s="2">
        <v>4</v>
      </c>
    </row>
    <row r="593" spans="1:9" x14ac:dyDescent="0.25">
      <c r="A593" s="2" t="str">
        <f>CONCATENATE(Códigos!S592,Códigos!T592,Códigos!U592)</f>
        <v>svv591v</v>
      </c>
      <c r="B593" t="s">
        <v>499</v>
      </c>
      <c r="C593" t="s">
        <v>533</v>
      </c>
      <c r="D593" s="2" t="s">
        <v>325</v>
      </c>
      <c r="E593" t="s">
        <v>348</v>
      </c>
      <c r="F593" s="11">
        <v>43572</v>
      </c>
      <c r="G593" s="2">
        <f>VLOOKUP(E593,Produtos!$A:$E,5,FALSE)</f>
        <v>2</v>
      </c>
      <c r="H593" s="2">
        <f>VLOOKUP(E593,Produtos!$A:$E,4,FALSE)</f>
        <v>1</v>
      </c>
      <c r="I593" s="2">
        <v>4</v>
      </c>
    </row>
    <row r="594" spans="1:9" x14ac:dyDescent="0.25">
      <c r="A594" s="2" t="str">
        <f>CONCATENATE(Códigos!S593,Códigos!T593,Códigos!U593)</f>
        <v>svv592v</v>
      </c>
      <c r="B594" t="s">
        <v>499</v>
      </c>
      <c r="C594" t="s">
        <v>533</v>
      </c>
      <c r="D594" s="2" t="s">
        <v>325</v>
      </c>
      <c r="E594" t="s">
        <v>348</v>
      </c>
      <c r="F594" s="11">
        <v>43573</v>
      </c>
      <c r="G594" s="2">
        <f>VLOOKUP(E594,Produtos!$A:$E,5,FALSE)</f>
        <v>2</v>
      </c>
      <c r="H594" s="2">
        <f>VLOOKUP(E594,Produtos!$A:$E,4,FALSE)</f>
        <v>1</v>
      </c>
      <c r="I594" s="2">
        <v>4</v>
      </c>
    </row>
    <row r="595" spans="1:9" x14ac:dyDescent="0.25">
      <c r="A595" s="2" t="str">
        <f>CONCATENATE(Códigos!S594,Códigos!T594,Códigos!U594)</f>
        <v>svv593v</v>
      </c>
      <c r="B595" t="s">
        <v>499</v>
      </c>
      <c r="C595" t="s">
        <v>533</v>
      </c>
      <c r="D595" s="2" t="s">
        <v>325</v>
      </c>
      <c r="E595" t="s">
        <v>502</v>
      </c>
      <c r="F595" s="11">
        <v>43574</v>
      </c>
      <c r="G595" s="2">
        <f>VLOOKUP(E595,Produtos!$A:$E,5,FALSE)</f>
        <v>1</v>
      </c>
      <c r="H595" s="2">
        <f>VLOOKUP(E595,Produtos!$A:$E,4,FALSE)</f>
        <v>0.5</v>
      </c>
      <c r="I595" s="2">
        <v>4</v>
      </c>
    </row>
    <row r="596" spans="1:9" x14ac:dyDescent="0.25">
      <c r="A596" s="2" t="str">
        <f>CONCATENATE(Códigos!S595,Códigos!T595,Códigos!U595)</f>
        <v>svv594v</v>
      </c>
      <c r="B596" t="s">
        <v>499</v>
      </c>
      <c r="C596" t="s">
        <v>533</v>
      </c>
      <c r="D596" s="2" t="s">
        <v>325</v>
      </c>
      <c r="E596" t="s">
        <v>502</v>
      </c>
      <c r="F596" s="11">
        <v>43575</v>
      </c>
      <c r="G596" s="2">
        <f>VLOOKUP(E596,Produtos!$A:$E,5,FALSE)</f>
        <v>1</v>
      </c>
      <c r="H596" s="2">
        <f>VLOOKUP(E596,Produtos!$A:$E,4,FALSE)</f>
        <v>0.5</v>
      </c>
      <c r="I596" s="2">
        <v>4</v>
      </c>
    </row>
    <row r="597" spans="1:9" x14ac:dyDescent="0.25">
      <c r="A597" s="2" t="str">
        <f>CONCATENATE(Códigos!S596,Códigos!T596,Códigos!U596)</f>
        <v>svv595v</v>
      </c>
      <c r="B597" t="s">
        <v>499</v>
      </c>
      <c r="C597" t="s">
        <v>533</v>
      </c>
      <c r="D597" s="2" t="s">
        <v>325</v>
      </c>
      <c r="E597" t="s">
        <v>502</v>
      </c>
      <c r="F597" s="11">
        <v>43576</v>
      </c>
      <c r="G597" s="2">
        <f>VLOOKUP(E597,Produtos!$A:$E,5,FALSE)</f>
        <v>1</v>
      </c>
      <c r="H597" s="2">
        <f>VLOOKUP(E597,Produtos!$A:$E,4,FALSE)</f>
        <v>0.5</v>
      </c>
      <c r="I597" s="2">
        <v>4</v>
      </c>
    </row>
    <row r="598" spans="1:9" x14ac:dyDescent="0.25">
      <c r="A598" s="2" t="str">
        <f>CONCATENATE(Códigos!S597,Códigos!T597,Códigos!U597)</f>
        <v>svv596v</v>
      </c>
      <c r="B598" t="s">
        <v>499</v>
      </c>
      <c r="C598" t="s">
        <v>533</v>
      </c>
      <c r="D598" s="2" t="s">
        <v>325</v>
      </c>
      <c r="E598" t="s">
        <v>502</v>
      </c>
      <c r="F598" s="11">
        <v>43577</v>
      </c>
      <c r="G598" s="2">
        <f>VLOOKUP(E598,Produtos!$A:$E,5,FALSE)</f>
        <v>1</v>
      </c>
      <c r="H598" s="2">
        <f>VLOOKUP(E598,Produtos!$A:$E,4,FALSE)</f>
        <v>0.5</v>
      </c>
      <c r="I598" s="2">
        <v>4</v>
      </c>
    </row>
    <row r="599" spans="1:9" x14ac:dyDescent="0.25">
      <c r="A599" s="2" t="str">
        <f>CONCATENATE(Códigos!S598,Códigos!T598,Códigos!U598)</f>
        <v>svv597v</v>
      </c>
      <c r="B599" t="s">
        <v>499</v>
      </c>
      <c r="C599" t="s">
        <v>533</v>
      </c>
      <c r="D599" s="2" t="s">
        <v>325</v>
      </c>
      <c r="E599" t="s">
        <v>502</v>
      </c>
      <c r="F599" s="11">
        <v>43578</v>
      </c>
      <c r="G599" s="2">
        <f>VLOOKUP(E599,Produtos!$A:$E,5,FALSE)</f>
        <v>1</v>
      </c>
      <c r="H599" s="2">
        <f>VLOOKUP(E599,Produtos!$A:$E,4,FALSE)</f>
        <v>0.5</v>
      </c>
      <c r="I599" s="2">
        <v>4</v>
      </c>
    </row>
    <row r="600" spans="1:9" x14ac:dyDescent="0.25">
      <c r="A600" s="2" t="str">
        <f>CONCATENATE(Códigos!S599,Códigos!T599,Códigos!U599)</f>
        <v>svv598v</v>
      </c>
      <c r="B600" t="s">
        <v>499</v>
      </c>
      <c r="C600" t="s">
        <v>533</v>
      </c>
      <c r="D600" s="2" t="s">
        <v>325</v>
      </c>
      <c r="E600" t="s">
        <v>502</v>
      </c>
      <c r="F600" s="11">
        <v>43579</v>
      </c>
      <c r="G600" s="2">
        <f>VLOOKUP(E600,Produtos!$A:$E,5,FALSE)</f>
        <v>1</v>
      </c>
      <c r="H600" s="2">
        <f>VLOOKUP(E600,Produtos!$A:$E,4,FALSE)</f>
        <v>0.5</v>
      </c>
      <c r="I600" s="2">
        <v>4</v>
      </c>
    </row>
    <row r="601" spans="1:9" x14ac:dyDescent="0.25">
      <c r="A601" s="2" t="str">
        <f>CONCATENATE(Códigos!S600,Códigos!T600,Códigos!U600)</f>
        <v>svv599v</v>
      </c>
      <c r="B601" t="s">
        <v>499</v>
      </c>
      <c r="C601" t="s">
        <v>533</v>
      </c>
      <c r="D601" s="2" t="s">
        <v>325</v>
      </c>
      <c r="E601" t="s">
        <v>502</v>
      </c>
      <c r="F601" s="11">
        <v>43580</v>
      </c>
      <c r="G601" s="2">
        <f>VLOOKUP(E601,Produtos!$A:$E,5,FALSE)</f>
        <v>1</v>
      </c>
      <c r="H601" s="2">
        <f>VLOOKUP(E601,Produtos!$A:$E,4,FALSE)</f>
        <v>0.5</v>
      </c>
      <c r="I601" s="2">
        <v>4</v>
      </c>
    </row>
    <row r="602" spans="1:9" x14ac:dyDescent="0.25">
      <c r="A602" s="2" t="str">
        <f>CONCATENATE(Códigos!S601,Códigos!T601,Códigos!U601)</f>
        <v>svv600v</v>
      </c>
      <c r="B602" t="s">
        <v>499</v>
      </c>
      <c r="C602" t="s">
        <v>533</v>
      </c>
      <c r="D602" s="2" t="s">
        <v>325</v>
      </c>
      <c r="E602" t="s">
        <v>502</v>
      </c>
      <c r="F602" s="11">
        <v>43581</v>
      </c>
      <c r="G602" s="2">
        <f>VLOOKUP(E602,Produtos!$A:$E,5,FALSE)</f>
        <v>1</v>
      </c>
      <c r="H602" s="2">
        <f>VLOOKUP(E602,Produtos!$A:$E,4,FALSE)</f>
        <v>0.5</v>
      </c>
      <c r="I602" s="2">
        <v>4</v>
      </c>
    </row>
    <row r="603" spans="1:9" x14ac:dyDescent="0.25">
      <c r="A603" s="2" t="str">
        <f>CONCATENATE(Códigos!S602,Códigos!T602,Códigos!U602)</f>
        <v>svv601v</v>
      </c>
      <c r="B603" t="s">
        <v>499</v>
      </c>
      <c r="C603" t="s">
        <v>533</v>
      </c>
      <c r="D603" s="2" t="s">
        <v>325</v>
      </c>
      <c r="E603" t="s">
        <v>502</v>
      </c>
      <c r="F603" s="11">
        <v>43582</v>
      </c>
      <c r="G603" s="2">
        <f>VLOOKUP(E603,Produtos!$A:$E,5,FALSE)</f>
        <v>1</v>
      </c>
      <c r="H603" s="2">
        <f>VLOOKUP(E603,Produtos!$A:$E,4,FALSE)</f>
        <v>0.5</v>
      </c>
      <c r="I603" s="2">
        <v>4</v>
      </c>
    </row>
    <row r="604" spans="1:9" x14ac:dyDescent="0.25">
      <c r="A604" s="2" t="str">
        <f>CONCATENATE(Códigos!S603,Códigos!T603,Códigos!U603)</f>
        <v>svv602v</v>
      </c>
      <c r="B604" t="s">
        <v>499</v>
      </c>
      <c r="C604" t="s">
        <v>533</v>
      </c>
      <c r="D604" s="2" t="s">
        <v>325</v>
      </c>
      <c r="E604" t="s">
        <v>502</v>
      </c>
      <c r="F604" s="11">
        <v>43583</v>
      </c>
      <c r="G604" s="2">
        <f>VLOOKUP(E604,Produtos!$A:$E,5,FALSE)</f>
        <v>1</v>
      </c>
      <c r="H604" s="2">
        <f>VLOOKUP(E604,Produtos!$A:$E,4,FALSE)</f>
        <v>0.5</v>
      </c>
      <c r="I604" s="2">
        <v>4</v>
      </c>
    </row>
    <row r="605" spans="1:9" x14ac:dyDescent="0.25">
      <c r="A605" s="2" t="str">
        <f>CONCATENATE(Códigos!S604,Códigos!T604,Códigos!U604)</f>
        <v>svv603v</v>
      </c>
      <c r="B605" t="s">
        <v>499</v>
      </c>
      <c r="C605" t="s">
        <v>533</v>
      </c>
      <c r="D605" s="2" t="s">
        <v>325</v>
      </c>
      <c r="E605" t="s">
        <v>502</v>
      </c>
      <c r="F605" s="11">
        <v>43584</v>
      </c>
      <c r="G605" s="2">
        <f>VLOOKUP(E605,Produtos!$A:$E,5,FALSE)</f>
        <v>1</v>
      </c>
      <c r="H605" s="2">
        <f>VLOOKUP(E605,Produtos!$A:$E,4,FALSE)</f>
        <v>0.5</v>
      </c>
      <c r="I605" s="2">
        <v>4</v>
      </c>
    </row>
    <row r="606" spans="1:9" x14ac:dyDescent="0.25">
      <c r="A606" s="2" t="str">
        <f>CONCATENATE(Códigos!S605,Códigos!T605,Códigos!U605)</f>
        <v>svv604v</v>
      </c>
      <c r="B606" t="s">
        <v>499</v>
      </c>
      <c r="C606" t="s">
        <v>533</v>
      </c>
      <c r="D606" s="2" t="s">
        <v>325</v>
      </c>
      <c r="E606" t="s">
        <v>502</v>
      </c>
      <c r="F606" s="11">
        <v>43585</v>
      </c>
      <c r="G606" s="2">
        <f>VLOOKUP(E606,Produtos!$A:$E,5,FALSE)</f>
        <v>1</v>
      </c>
      <c r="H606" s="2">
        <f>VLOOKUP(E606,Produtos!$A:$E,4,FALSE)</f>
        <v>0.5</v>
      </c>
      <c r="I606" s="2">
        <v>4</v>
      </c>
    </row>
    <row r="607" spans="1:9" x14ac:dyDescent="0.25">
      <c r="A607" s="2" t="str">
        <f>CONCATENATE(Códigos!S606,Códigos!T606,Códigos!U606)</f>
        <v>svv605v</v>
      </c>
      <c r="B607" t="s">
        <v>499</v>
      </c>
      <c r="C607" t="s">
        <v>533</v>
      </c>
      <c r="D607" s="2" t="s">
        <v>325</v>
      </c>
      <c r="E607" t="s">
        <v>502</v>
      </c>
      <c r="F607" s="11">
        <v>43586</v>
      </c>
      <c r="G607" s="2">
        <f>VLOOKUP(E607,Produtos!$A:$E,5,FALSE)</f>
        <v>1</v>
      </c>
      <c r="H607" s="2">
        <f>VLOOKUP(E607,Produtos!$A:$E,4,FALSE)</f>
        <v>0.5</v>
      </c>
      <c r="I607" s="2">
        <v>4</v>
      </c>
    </row>
    <row r="608" spans="1:9" x14ac:dyDescent="0.25">
      <c r="A608" s="2" t="str">
        <f>CONCATENATE(Códigos!S607,Códigos!T607,Códigos!U607)</f>
        <v>svv606v</v>
      </c>
      <c r="B608" t="s">
        <v>499</v>
      </c>
      <c r="C608" t="s">
        <v>533</v>
      </c>
      <c r="D608" s="2" t="s">
        <v>325</v>
      </c>
      <c r="E608" t="s">
        <v>502</v>
      </c>
      <c r="F608" s="11">
        <v>43587</v>
      </c>
      <c r="G608" s="2">
        <f>VLOOKUP(E608,Produtos!$A:$E,5,FALSE)</f>
        <v>1</v>
      </c>
      <c r="H608" s="2">
        <f>VLOOKUP(E608,Produtos!$A:$E,4,FALSE)</f>
        <v>0.5</v>
      </c>
      <c r="I608" s="2">
        <v>4</v>
      </c>
    </row>
    <row r="609" spans="1:9" x14ac:dyDescent="0.25">
      <c r="A609" s="2" t="str">
        <f>CONCATENATE(Códigos!S608,Códigos!T608,Códigos!U608)</f>
        <v>svv607v</v>
      </c>
      <c r="B609" t="s">
        <v>499</v>
      </c>
      <c r="C609" t="s">
        <v>533</v>
      </c>
      <c r="D609" s="2" t="s">
        <v>325</v>
      </c>
      <c r="E609" t="s">
        <v>502</v>
      </c>
      <c r="F609" s="11">
        <v>43588</v>
      </c>
      <c r="G609" s="2">
        <f>VLOOKUP(E609,Produtos!$A:$E,5,FALSE)</f>
        <v>1</v>
      </c>
      <c r="H609" s="2">
        <f>VLOOKUP(E609,Produtos!$A:$E,4,FALSE)</f>
        <v>0.5</v>
      </c>
      <c r="I609" s="2">
        <v>4</v>
      </c>
    </row>
    <row r="610" spans="1:9" x14ac:dyDescent="0.25">
      <c r="A610" s="2" t="str">
        <f>CONCATENATE(Códigos!S609,Códigos!T609,Códigos!U609)</f>
        <v>svv608v</v>
      </c>
      <c r="B610" t="s">
        <v>499</v>
      </c>
      <c r="C610" t="s">
        <v>533</v>
      </c>
      <c r="D610" s="2" t="s">
        <v>325</v>
      </c>
      <c r="E610" t="s">
        <v>502</v>
      </c>
      <c r="F610" s="11">
        <v>43589</v>
      </c>
      <c r="G610" s="2">
        <f>VLOOKUP(E610,Produtos!$A:$E,5,FALSE)</f>
        <v>1</v>
      </c>
      <c r="H610" s="2">
        <f>VLOOKUP(E610,Produtos!$A:$E,4,FALSE)</f>
        <v>0.5</v>
      </c>
      <c r="I610" s="2">
        <v>4</v>
      </c>
    </row>
    <row r="611" spans="1:9" x14ac:dyDescent="0.25">
      <c r="A611" s="2" t="str">
        <f>CONCATENATE(Códigos!S610,Códigos!T610,Códigos!U610)</f>
        <v>svv609v</v>
      </c>
      <c r="B611" t="s">
        <v>499</v>
      </c>
      <c r="C611" t="s">
        <v>533</v>
      </c>
      <c r="D611" s="2" t="s">
        <v>325</v>
      </c>
      <c r="E611" t="s">
        <v>502</v>
      </c>
      <c r="F611" s="11">
        <v>43590</v>
      </c>
      <c r="G611" s="2">
        <f>VLOOKUP(E611,Produtos!$A:$E,5,FALSE)</f>
        <v>1</v>
      </c>
      <c r="H611" s="2">
        <f>VLOOKUP(E611,Produtos!$A:$E,4,FALSE)</f>
        <v>0.5</v>
      </c>
      <c r="I611" s="2">
        <v>4</v>
      </c>
    </row>
    <row r="612" spans="1:9" x14ac:dyDescent="0.25">
      <c r="A612" s="2" t="str">
        <f>CONCATENATE(Códigos!S611,Códigos!T611,Códigos!U611)</f>
        <v>svv610v</v>
      </c>
      <c r="B612" t="s">
        <v>499</v>
      </c>
      <c r="C612" t="s">
        <v>533</v>
      </c>
      <c r="D612" s="2" t="s">
        <v>325</v>
      </c>
      <c r="E612" t="s">
        <v>502</v>
      </c>
      <c r="F612" s="11">
        <v>43591</v>
      </c>
      <c r="G612" s="2">
        <f>VLOOKUP(E612,Produtos!$A:$E,5,FALSE)</f>
        <v>1</v>
      </c>
      <c r="H612" s="2">
        <f>VLOOKUP(E612,Produtos!$A:$E,4,FALSE)</f>
        <v>0.5</v>
      </c>
      <c r="I612" s="2">
        <v>4</v>
      </c>
    </row>
    <row r="613" spans="1:9" x14ac:dyDescent="0.25">
      <c r="A613" s="2" t="str">
        <f>CONCATENATE(Códigos!S612,Códigos!T612,Códigos!U612)</f>
        <v>svv611v</v>
      </c>
      <c r="B613" t="s">
        <v>499</v>
      </c>
      <c r="C613" t="s">
        <v>533</v>
      </c>
      <c r="D613" s="2" t="s">
        <v>325</v>
      </c>
      <c r="E613" t="s">
        <v>502</v>
      </c>
      <c r="F613" s="11">
        <v>43592</v>
      </c>
      <c r="G613" s="2">
        <f>VLOOKUP(E613,Produtos!$A:$E,5,FALSE)</f>
        <v>1</v>
      </c>
      <c r="H613" s="2">
        <f>VLOOKUP(E613,Produtos!$A:$E,4,FALSE)</f>
        <v>0.5</v>
      </c>
      <c r="I613" s="2">
        <v>4</v>
      </c>
    </row>
    <row r="614" spans="1:9" x14ac:dyDescent="0.25">
      <c r="A614" s="2" t="str">
        <f>CONCATENATE(Códigos!S613,Códigos!T613,Códigos!U613)</f>
        <v>svv612v</v>
      </c>
      <c r="B614" t="s">
        <v>499</v>
      </c>
      <c r="C614" t="s">
        <v>533</v>
      </c>
      <c r="D614" s="2" t="s">
        <v>325</v>
      </c>
      <c r="E614" t="s">
        <v>502</v>
      </c>
      <c r="F614" s="11">
        <v>43593</v>
      </c>
      <c r="G614" s="2">
        <f>VLOOKUP(E614,Produtos!$A:$E,5,FALSE)</f>
        <v>1</v>
      </c>
      <c r="H614" s="2">
        <f>VLOOKUP(E614,Produtos!$A:$E,4,FALSE)</f>
        <v>0.5</v>
      </c>
      <c r="I614" s="2">
        <v>4</v>
      </c>
    </row>
    <row r="615" spans="1:9" x14ac:dyDescent="0.25">
      <c r="A615" s="2" t="str">
        <f>CONCATENATE(Códigos!S614,Códigos!T614,Códigos!U614)</f>
        <v>svv613v</v>
      </c>
      <c r="B615" t="s">
        <v>499</v>
      </c>
      <c r="C615" t="s">
        <v>533</v>
      </c>
      <c r="D615" s="2" t="s">
        <v>325</v>
      </c>
      <c r="E615" t="s">
        <v>502</v>
      </c>
      <c r="F615" s="11">
        <v>43594</v>
      </c>
      <c r="G615" s="2">
        <f>VLOOKUP(E615,Produtos!$A:$E,5,FALSE)</f>
        <v>1</v>
      </c>
      <c r="H615" s="2">
        <f>VLOOKUP(E615,Produtos!$A:$E,4,FALSE)</f>
        <v>0.5</v>
      </c>
      <c r="I615" s="2">
        <v>4</v>
      </c>
    </row>
    <row r="616" spans="1:9" x14ac:dyDescent="0.25">
      <c r="A616" s="2" t="str">
        <f>CONCATENATE(Códigos!S615,Códigos!T615,Códigos!U615)</f>
        <v>svv614v</v>
      </c>
      <c r="B616" t="s">
        <v>499</v>
      </c>
      <c r="C616" t="s">
        <v>533</v>
      </c>
      <c r="D616" s="2" t="s">
        <v>325</v>
      </c>
      <c r="E616" t="s">
        <v>502</v>
      </c>
      <c r="F616" s="11">
        <v>43595</v>
      </c>
      <c r="G616" s="2">
        <f>VLOOKUP(E616,Produtos!$A:$E,5,FALSE)</f>
        <v>1</v>
      </c>
      <c r="H616" s="2">
        <f>VLOOKUP(E616,Produtos!$A:$E,4,FALSE)</f>
        <v>0.5</v>
      </c>
      <c r="I616" s="2">
        <v>4</v>
      </c>
    </row>
    <row r="617" spans="1:9" x14ac:dyDescent="0.25">
      <c r="A617" s="2" t="str">
        <f>CONCATENATE(Códigos!S616,Códigos!T616,Códigos!U616)</f>
        <v>svv615v</v>
      </c>
      <c r="B617" t="s">
        <v>499</v>
      </c>
      <c r="C617" t="s">
        <v>533</v>
      </c>
      <c r="D617" s="2" t="s">
        <v>325</v>
      </c>
      <c r="E617" t="s">
        <v>502</v>
      </c>
      <c r="F617" s="11">
        <v>43596</v>
      </c>
      <c r="G617" s="2">
        <f>VLOOKUP(E617,Produtos!$A:$E,5,FALSE)</f>
        <v>1</v>
      </c>
      <c r="H617" s="2">
        <f>VLOOKUP(E617,Produtos!$A:$E,4,FALSE)</f>
        <v>0.5</v>
      </c>
      <c r="I617" s="2">
        <v>4</v>
      </c>
    </row>
    <row r="618" spans="1:9" x14ac:dyDescent="0.25">
      <c r="A618" s="2" t="str">
        <f>CONCATENATE(Códigos!S617,Códigos!T617,Códigos!U617)</f>
        <v>svv616v</v>
      </c>
      <c r="B618" t="s">
        <v>499</v>
      </c>
      <c r="C618" t="s">
        <v>533</v>
      </c>
      <c r="D618" s="2" t="s">
        <v>325</v>
      </c>
      <c r="E618" t="s">
        <v>502</v>
      </c>
      <c r="F618" s="11">
        <v>43597</v>
      </c>
      <c r="G618" s="2">
        <f>VLOOKUP(E618,Produtos!$A:$E,5,FALSE)</f>
        <v>1</v>
      </c>
      <c r="H618" s="2">
        <f>VLOOKUP(E618,Produtos!$A:$E,4,FALSE)</f>
        <v>0.5</v>
      </c>
      <c r="I618" s="2">
        <v>4</v>
      </c>
    </row>
    <row r="619" spans="1:9" x14ac:dyDescent="0.25">
      <c r="A619" s="2" t="str">
        <f>CONCATENATE(Códigos!S618,Códigos!T618,Códigos!U618)</f>
        <v>svv617v</v>
      </c>
      <c r="B619" t="s">
        <v>499</v>
      </c>
      <c r="C619" t="s">
        <v>533</v>
      </c>
      <c r="D619" s="2" t="s">
        <v>325</v>
      </c>
      <c r="E619" t="s">
        <v>502</v>
      </c>
      <c r="F619" s="11">
        <v>43598</v>
      </c>
      <c r="G619" s="2">
        <f>VLOOKUP(E619,Produtos!$A:$E,5,FALSE)</f>
        <v>1</v>
      </c>
      <c r="H619" s="2">
        <f>VLOOKUP(E619,Produtos!$A:$E,4,FALSE)</f>
        <v>0.5</v>
      </c>
      <c r="I619" s="2">
        <v>4</v>
      </c>
    </row>
    <row r="620" spans="1:9" x14ac:dyDescent="0.25">
      <c r="A620" s="2" t="str">
        <f>CONCATENATE(Códigos!S619,Códigos!T619,Códigos!U619)</f>
        <v>svv618v</v>
      </c>
      <c r="B620" t="s">
        <v>499</v>
      </c>
      <c r="C620" t="s">
        <v>533</v>
      </c>
      <c r="D620" s="2" t="s">
        <v>325</v>
      </c>
      <c r="E620" t="s">
        <v>502</v>
      </c>
      <c r="F620" s="11">
        <v>43599</v>
      </c>
      <c r="G620" s="2">
        <f>VLOOKUP(E620,Produtos!$A:$E,5,FALSE)</f>
        <v>1</v>
      </c>
      <c r="H620" s="2">
        <f>VLOOKUP(E620,Produtos!$A:$E,4,FALSE)</f>
        <v>0.5</v>
      </c>
      <c r="I620" s="2">
        <v>4</v>
      </c>
    </row>
    <row r="621" spans="1:9" x14ac:dyDescent="0.25">
      <c r="A621" s="2" t="str">
        <f>CONCATENATE(Códigos!S620,Códigos!T620,Códigos!U620)</f>
        <v>svv619v</v>
      </c>
      <c r="B621" t="s">
        <v>499</v>
      </c>
      <c r="C621" t="s">
        <v>360</v>
      </c>
      <c r="D621" s="2" t="s">
        <v>361</v>
      </c>
      <c r="E621" t="s">
        <v>502</v>
      </c>
      <c r="F621" s="11">
        <v>43600</v>
      </c>
      <c r="G621" s="2">
        <f>VLOOKUP(E621,Produtos!$A:$E,5,FALSE)</f>
        <v>1</v>
      </c>
      <c r="H621" s="2">
        <f>VLOOKUP(E621,Produtos!$A:$E,4,FALSE)</f>
        <v>0.5</v>
      </c>
      <c r="I621" s="2">
        <v>4</v>
      </c>
    </row>
    <row r="622" spans="1:9" x14ac:dyDescent="0.25">
      <c r="A622" s="2" t="str">
        <f>CONCATENATE(Códigos!S621,Códigos!T621,Códigos!U621)</f>
        <v>svv620v</v>
      </c>
      <c r="B622" t="s">
        <v>499</v>
      </c>
      <c r="C622" t="s">
        <v>360</v>
      </c>
      <c r="D622" s="2" t="s">
        <v>361</v>
      </c>
      <c r="E622" t="s">
        <v>502</v>
      </c>
      <c r="F622" s="11">
        <v>43601</v>
      </c>
      <c r="G622" s="2">
        <f>VLOOKUP(E622,Produtos!$A:$E,5,FALSE)</f>
        <v>1</v>
      </c>
      <c r="H622" s="2">
        <f>VLOOKUP(E622,Produtos!$A:$E,4,FALSE)</f>
        <v>0.5</v>
      </c>
      <c r="I622" s="2">
        <v>4</v>
      </c>
    </row>
    <row r="623" spans="1:9" x14ac:dyDescent="0.25">
      <c r="A623" s="2" t="str">
        <f>CONCATENATE(Códigos!S622,Códigos!T622,Códigos!U622)</f>
        <v>svv621v</v>
      </c>
      <c r="B623" t="s">
        <v>499</v>
      </c>
      <c r="C623" t="s">
        <v>360</v>
      </c>
      <c r="D623" s="2" t="s">
        <v>361</v>
      </c>
      <c r="E623" t="s">
        <v>502</v>
      </c>
      <c r="F623" s="11">
        <v>43602</v>
      </c>
      <c r="G623" s="2">
        <f>VLOOKUP(E623,Produtos!$A:$E,5,FALSE)</f>
        <v>1</v>
      </c>
      <c r="H623" s="2">
        <f>VLOOKUP(E623,Produtos!$A:$E,4,FALSE)</f>
        <v>0.5</v>
      </c>
      <c r="I623" s="2">
        <v>4</v>
      </c>
    </row>
    <row r="624" spans="1:9" x14ac:dyDescent="0.25">
      <c r="A624" s="2" t="str">
        <f>CONCATENATE(Códigos!S623,Códigos!T623,Códigos!U623)</f>
        <v>svv622v</v>
      </c>
      <c r="B624" t="s">
        <v>499</v>
      </c>
      <c r="C624" t="s">
        <v>360</v>
      </c>
      <c r="D624" s="2" t="s">
        <v>361</v>
      </c>
      <c r="E624" t="s">
        <v>502</v>
      </c>
      <c r="F624" s="11">
        <v>43603</v>
      </c>
      <c r="G624" s="2">
        <f>VLOOKUP(E624,Produtos!$A:$E,5,FALSE)</f>
        <v>1</v>
      </c>
      <c r="H624" s="2">
        <f>VLOOKUP(E624,Produtos!$A:$E,4,FALSE)</f>
        <v>0.5</v>
      </c>
      <c r="I624" s="2">
        <v>4</v>
      </c>
    </row>
    <row r="625" spans="1:9" x14ac:dyDescent="0.25">
      <c r="A625" s="2" t="str">
        <f>CONCATENATE(Códigos!S624,Códigos!T624,Códigos!U624)</f>
        <v>svv623v</v>
      </c>
      <c r="B625" t="s">
        <v>499</v>
      </c>
      <c r="C625" t="s">
        <v>360</v>
      </c>
      <c r="D625" s="2" t="s">
        <v>361</v>
      </c>
      <c r="E625" t="s">
        <v>502</v>
      </c>
      <c r="F625" s="11">
        <v>43604</v>
      </c>
      <c r="G625" s="2">
        <f>VLOOKUP(E625,Produtos!$A:$E,5,FALSE)</f>
        <v>1</v>
      </c>
      <c r="H625" s="2">
        <f>VLOOKUP(E625,Produtos!$A:$E,4,FALSE)</f>
        <v>0.5</v>
      </c>
      <c r="I625" s="2">
        <v>4</v>
      </c>
    </row>
    <row r="626" spans="1:9" x14ac:dyDescent="0.25">
      <c r="A626" s="2" t="str">
        <f>CONCATENATE(Códigos!S625,Códigos!T625,Códigos!U625)</f>
        <v>svv624v</v>
      </c>
      <c r="B626" t="s">
        <v>499</v>
      </c>
      <c r="C626" t="s">
        <v>360</v>
      </c>
      <c r="D626" s="2" t="s">
        <v>361</v>
      </c>
      <c r="E626" t="s">
        <v>502</v>
      </c>
      <c r="F626" s="11">
        <v>43605</v>
      </c>
      <c r="G626" s="2">
        <f>VLOOKUP(E626,Produtos!$A:$E,5,FALSE)</f>
        <v>1</v>
      </c>
      <c r="H626" s="2">
        <f>VLOOKUP(E626,Produtos!$A:$E,4,FALSE)</f>
        <v>0.5</v>
      </c>
      <c r="I626" s="2">
        <v>4</v>
      </c>
    </row>
    <row r="627" spans="1:9" x14ac:dyDescent="0.25">
      <c r="A627" s="2" t="str">
        <f>CONCATENATE(Códigos!S626,Códigos!T626,Códigos!U626)</f>
        <v>svv625v</v>
      </c>
      <c r="B627" t="s">
        <v>499</v>
      </c>
      <c r="C627" t="s">
        <v>360</v>
      </c>
      <c r="D627" s="2" t="s">
        <v>361</v>
      </c>
      <c r="E627" t="s">
        <v>502</v>
      </c>
      <c r="F627" s="11">
        <v>43606</v>
      </c>
      <c r="G627" s="2">
        <f>VLOOKUP(E627,Produtos!$A:$E,5,FALSE)</f>
        <v>1</v>
      </c>
      <c r="H627" s="2">
        <f>VLOOKUP(E627,Produtos!$A:$E,4,FALSE)</f>
        <v>0.5</v>
      </c>
      <c r="I627" s="2">
        <v>4</v>
      </c>
    </row>
    <row r="628" spans="1:9" x14ac:dyDescent="0.25">
      <c r="A628" s="2" t="str">
        <f>CONCATENATE(Códigos!S627,Códigos!T627,Códigos!U627)</f>
        <v>svv626v</v>
      </c>
      <c r="B628" t="s">
        <v>499</v>
      </c>
      <c r="C628" t="s">
        <v>360</v>
      </c>
      <c r="D628" s="2" t="s">
        <v>361</v>
      </c>
      <c r="E628" t="s">
        <v>502</v>
      </c>
      <c r="F628" s="11">
        <v>43607</v>
      </c>
      <c r="G628" s="2">
        <f>VLOOKUP(E628,Produtos!$A:$E,5,FALSE)</f>
        <v>1</v>
      </c>
      <c r="H628" s="2">
        <f>VLOOKUP(E628,Produtos!$A:$E,4,FALSE)</f>
        <v>0.5</v>
      </c>
      <c r="I628" s="2">
        <v>4</v>
      </c>
    </row>
    <row r="629" spans="1:9" x14ac:dyDescent="0.25">
      <c r="A629" s="2" t="str">
        <f>CONCATENATE(Códigos!S628,Códigos!T628,Códigos!U628)</f>
        <v>svv627v</v>
      </c>
      <c r="B629" t="s">
        <v>499</v>
      </c>
      <c r="C629" t="s">
        <v>360</v>
      </c>
      <c r="D629" s="2" t="s">
        <v>361</v>
      </c>
      <c r="E629" t="s">
        <v>502</v>
      </c>
      <c r="F629" s="11">
        <v>43608</v>
      </c>
      <c r="G629" s="2">
        <f>VLOOKUP(E629,Produtos!$A:$E,5,FALSE)</f>
        <v>1</v>
      </c>
      <c r="H629" s="2">
        <f>VLOOKUP(E629,Produtos!$A:$E,4,FALSE)</f>
        <v>0.5</v>
      </c>
      <c r="I629" s="2">
        <v>4</v>
      </c>
    </row>
    <row r="630" spans="1:9" x14ac:dyDescent="0.25">
      <c r="A630" s="2" t="str">
        <f>CONCATENATE(Códigos!S629,Códigos!T629,Códigos!U629)</f>
        <v>svv628v</v>
      </c>
      <c r="B630" t="s">
        <v>499</v>
      </c>
      <c r="C630" t="s">
        <v>360</v>
      </c>
      <c r="D630" s="2" t="s">
        <v>361</v>
      </c>
      <c r="E630" t="s">
        <v>502</v>
      </c>
      <c r="F630" s="11">
        <v>43609</v>
      </c>
      <c r="G630" s="2">
        <f>VLOOKUP(E630,Produtos!$A:$E,5,FALSE)</f>
        <v>1</v>
      </c>
      <c r="H630" s="2">
        <f>VLOOKUP(E630,Produtos!$A:$E,4,FALSE)</f>
        <v>0.5</v>
      </c>
      <c r="I630" s="2">
        <v>4</v>
      </c>
    </row>
    <row r="631" spans="1:9" x14ac:dyDescent="0.25">
      <c r="A631" s="2" t="str">
        <f>CONCATENATE(Códigos!S630,Códigos!T630,Códigos!U630)</f>
        <v>svv629v</v>
      </c>
      <c r="B631" t="s">
        <v>499</v>
      </c>
      <c r="C631" t="s">
        <v>360</v>
      </c>
      <c r="D631" s="2" t="s">
        <v>361</v>
      </c>
      <c r="E631" t="s">
        <v>502</v>
      </c>
      <c r="F631" s="11">
        <v>43610</v>
      </c>
      <c r="G631" s="2">
        <f>VLOOKUP(E631,Produtos!$A:$E,5,FALSE)</f>
        <v>1</v>
      </c>
      <c r="H631" s="2">
        <f>VLOOKUP(E631,Produtos!$A:$E,4,FALSE)</f>
        <v>0.5</v>
      </c>
      <c r="I631" s="2">
        <v>4</v>
      </c>
    </row>
    <row r="632" spans="1:9" x14ac:dyDescent="0.25">
      <c r="A632" s="2" t="str">
        <f>CONCATENATE(Códigos!S631,Códigos!T631,Códigos!U631)</f>
        <v>svv630v</v>
      </c>
      <c r="B632" t="s">
        <v>499</v>
      </c>
      <c r="C632" t="s">
        <v>360</v>
      </c>
      <c r="D632" s="2" t="s">
        <v>361</v>
      </c>
      <c r="E632" t="s">
        <v>502</v>
      </c>
      <c r="F632" s="11">
        <v>43611</v>
      </c>
      <c r="G632" s="2">
        <f>VLOOKUP(E632,Produtos!$A:$E,5,FALSE)</f>
        <v>1</v>
      </c>
      <c r="H632" s="2">
        <f>VLOOKUP(E632,Produtos!$A:$E,4,FALSE)</f>
        <v>0.5</v>
      </c>
      <c r="I632" s="2">
        <v>4</v>
      </c>
    </row>
    <row r="633" spans="1:9" x14ac:dyDescent="0.25">
      <c r="A633" s="2" t="str">
        <f>CONCATENATE(Códigos!S632,Códigos!T632,Códigos!U632)</f>
        <v>svv631v</v>
      </c>
      <c r="B633" t="s">
        <v>499</v>
      </c>
      <c r="C633" t="s">
        <v>360</v>
      </c>
      <c r="D633" s="2" t="s">
        <v>361</v>
      </c>
      <c r="E633" t="s">
        <v>502</v>
      </c>
      <c r="F633" s="11">
        <v>43612</v>
      </c>
      <c r="G633" s="2">
        <f>VLOOKUP(E633,Produtos!$A:$E,5,FALSE)</f>
        <v>1</v>
      </c>
      <c r="H633" s="2">
        <f>VLOOKUP(E633,Produtos!$A:$E,4,FALSE)</f>
        <v>0.5</v>
      </c>
      <c r="I633" s="2">
        <v>4</v>
      </c>
    </row>
    <row r="634" spans="1:9" x14ac:dyDescent="0.25">
      <c r="A634" s="2" t="str">
        <f>CONCATENATE(Códigos!S633,Códigos!T633,Códigos!U633)</f>
        <v>svv632v</v>
      </c>
      <c r="B634" t="s">
        <v>499</v>
      </c>
      <c r="C634" t="s">
        <v>360</v>
      </c>
      <c r="D634" s="2" t="s">
        <v>361</v>
      </c>
      <c r="E634" t="s">
        <v>502</v>
      </c>
      <c r="F634" s="11">
        <v>43613</v>
      </c>
      <c r="G634" s="2">
        <f>VLOOKUP(E634,Produtos!$A:$E,5,FALSE)</f>
        <v>1</v>
      </c>
      <c r="H634" s="2">
        <f>VLOOKUP(E634,Produtos!$A:$E,4,FALSE)</f>
        <v>0.5</v>
      </c>
      <c r="I634" s="2">
        <v>4</v>
      </c>
    </row>
    <row r="635" spans="1:9" x14ac:dyDescent="0.25">
      <c r="A635" s="2" t="str">
        <f>CONCATENATE(Códigos!S634,Códigos!T634,Códigos!U634)</f>
        <v>svv633v</v>
      </c>
      <c r="B635" t="s">
        <v>499</v>
      </c>
      <c r="C635" t="s">
        <v>360</v>
      </c>
      <c r="D635" s="2" t="s">
        <v>361</v>
      </c>
      <c r="E635" t="s">
        <v>502</v>
      </c>
      <c r="F635" s="11">
        <v>43614</v>
      </c>
      <c r="G635" s="2">
        <f>VLOOKUP(E635,Produtos!$A:$E,5,FALSE)</f>
        <v>1</v>
      </c>
      <c r="H635" s="2">
        <f>VLOOKUP(E635,Produtos!$A:$E,4,FALSE)</f>
        <v>0.5</v>
      </c>
      <c r="I635" s="2">
        <v>4</v>
      </c>
    </row>
    <row r="636" spans="1:9" x14ac:dyDescent="0.25">
      <c r="A636" s="2" t="str">
        <f>CONCATENATE(Códigos!S635,Códigos!T635,Códigos!U635)</f>
        <v>svv634v</v>
      </c>
      <c r="B636" t="s">
        <v>499</v>
      </c>
      <c r="C636" t="s">
        <v>360</v>
      </c>
      <c r="D636" s="2" t="s">
        <v>361</v>
      </c>
      <c r="E636" t="s">
        <v>502</v>
      </c>
      <c r="F636" s="11">
        <v>43615</v>
      </c>
      <c r="G636" s="2">
        <f>VLOOKUP(E636,Produtos!$A:$E,5,FALSE)</f>
        <v>1</v>
      </c>
      <c r="H636" s="2">
        <f>VLOOKUP(E636,Produtos!$A:$E,4,FALSE)</f>
        <v>0.5</v>
      </c>
      <c r="I636" s="2">
        <v>4</v>
      </c>
    </row>
    <row r="637" spans="1:9" x14ac:dyDescent="0.25">
      <c r="A637" s="2" t="str">
        <f>CONCATENATE(Códigos!S636,Códigos!T636,Códigos!U636)</f>
        <v>svv635v</v>
      </c>
      <c r="B637" t="s">
        <v>499</v>
      </c>
      <c r="C637" t="s">
        <v>360</v>
      </c>
      <c r="D637" s="2" t="s">
        <v>361</v>
      </c>
      <c r="E637" t="s">
        <v>502</v>
      </c>
      <c r="F637" s="11">
        <v>43616</v>
      </c>
      <c r="G637" s="2">
        <f>VLOOKUP(E637,Produtos!$A:$E,5,FALSE)</f>
        <v>1</v>
      </c>
      <c r="H637" s="2">
        <f>VLOOKUP(E637,Produtos!$A:$E,4,FALSE)</f>
        <v>0.5</v>
      </c>
      <c r="I637" s="2">
        <v>4</v>
      </c>
    </row>
    <row r="638" spans="1:9" x14ac:dyDescent="0.25">
      <c r="A638" s="2" t="str">
        <f>CONCATENATE(Códigos!S637,Códigos!T637,Códigos!U637)</f>
        <v>svv636v</v>
      </c>
      <c r="B638" t="s">
        <v>499</v>
      </c>
      <c r="C638" t="s">
        <v>360</v>
      </c>
      <c r="D638" s="2" t="s">
        <v>361</v>
      </c>
      <c r="E638" t="s">
        <v>502</v>
      </c>
      <c r="F638" s="11">
        <v>43617</v>
      </c>
      <c r="G638" s="2">
        <f>VLOOKUP(E638,Produtos!$A:$E,5,FALSE)</f>
        <v>1</v>
      </c>
      <c r="H638" s="2">
        <f>VLOOKUP(E638,Produtos!$A:$E,4,FALSE)</f>
        <v>0.5</v>
      </c>
      <c r="I638" s="2">
        <v>4</v>
      </c>
    </row>
    <row r="639" spans="1:9" x14ac:dyDescent="0.25">
      <c r="A639" s="2" t="str">
        <f>CONCATENATE(Códigos!S638,Códigos!T638,Códigos!U638)</f>
        <v>svv637v</v>
      </c>
      <c r="B639" t="s">
        <v>499</v>
      </c>
      <c r="C639" t="s">
        <v>360</v>
      </c>
      <c r="D639" s="2" t="s">
        <v>361</v>
      </c>
      <c r="E639" t="s">
        <v>502</v>
      </c>
      <c r="F639" s="11">
        <v>43618</v>
      </c>
      <c r="G639" s="2">
        <f>VLOOKUP(E639,Produtos!$A:$E,5,FALSE)</f>
        <v>1</v>
      </c>
      <c r="H639" s="2">
        <f>VLOOKUP(E639,Produtos!$A:$E,4,FALSE)</f>
        <v>0.5</v>
      </c>
      <c r="I639" s="2">
        <v>4</v>
      </c>
    </row>
    <row r="640" spans="1:9" x14ac:dyDescent="0.25">
      <c r="A640" s="2" t="str">
        <f>CONCATENATE(Códigos!S639,Códigos!T639,Códigos!U639)</f>
        <v>svv638v</v>
      </c>
      <c r="B640" t="s">
        <v>499</v>
      </c>
      <c r="C640" t="s">
        <v>360</v>
      </c>
      <c r="D640" s="2" t="s">
        <v>361</v>
      </c>
      <c r="E640" t="s">
        <v>502</v>
      </c>
      <c r="F640" s="11">
        <v>43619</v>
      </c>
      <c r="G640" s="2">
        <f>VLOOKUP(E640,Produtos!$A:$E,5,FALSE)</f>
        <v>1</v>
      </c>
      <c r="H640" s="2">
        <f>VLOOKUP(E640,Produtos!$A:$E,4,FALSE)</f>
        <v>0.5</v>
      </c>
      <c r="I640" s="2">
        <v>4</v>
      </c>
    </row>
    <row r="641" spans="1:9" x14ac:dyDescent="0.25">
      <c r="A641" s="2" t="str">
        <f>CONCATENATE(Códigos!S640,Códigos!T640,Códigos!U640)</f>
        <v>svv639v</v>
      </c>
      <c r="B641" t="s">
        <v>499</v>
      </c>
      <c r="C641" t="s">
        <v>360</v>
      </c>
      <c r="D641" s="2" t="s">
        <v>361</v>
      </c>
      <c r="E641" t="s">
        <v>502</v>
      </c>
      <c r="F641" s="11">
        <v>43620</v>
      </c>
      <c r="G641" s="2">
        <f>VLOOKUP(E641,Produtos!$A:$E,5,FALSE)</f>
        <v>1</v>
      </c>
      <c r="H641" s="2">
        <f>VLOOKUP(E641,Produtos!$A:$E,4,FALSE)</f>
        <v>0.5</v>
      </c>
      <c r="I641" s="2">
        <v>4</v>
      </c>
    </row>
    <row r="642" spans="1:9" x14ac:dyDescent="0.25">
      <c r="A642" s="2" t="str">
        <f>CONCATENATE(Códigos!S641,Códigos!T641,Códigos!U641)</f>
        <v>svv640v</v>
      </c>
      <c r="B642" t="s">
        <v>499</v>
      </c>
      <c r="C642" t="s">
        <v>360</v>
      </c>
      <c r="D642" s="2" t="s">
        <v>361</v>
      </c>
      <c r="E642" t="s">
        <v>502</v>
      </c>
      <c r="F642" s="11">
        <v>43621</v>
      </c>
      <c r="G642" s="2">
        <f>VLOOKUP(E642,Produtos!$A:$E,5,FALSE)</f>
        <v>1</v>
      </c>
      <c r="H642" s="2">
        <f>VLOOKUP(E642,Produtos!$A:$E,4,FALSE)</f>
        <v>0.5</v>
      </c>
      <c r="I642" s="2">
        <v>4</v>
      </c>
    </row>
    <row r="643" spans="1:9" x14ac:dyDescent="0.25">
      <c r="A643" s="2" t="str">
        <f>CONCATENATE(Códigos!S642,Códigos!T642,Códigos!U642)</f>
        <v>svv641v</v>
      </c>
      <c r="B643" t="s">
        <v>499</v>
      </c>
      <c r="C643" t="s">
        <v>360</v>
      </c>
      <c r="D643" s="2" t="s">
        <v>361</v>
      </c>
      <c r="E643" t="s">
        <v>502</v>
      </c>
      <c r="F643" s="11">
        <v>43622</v>
      </c>
      <c r="G643" s="2">
        <f>VLOOKUP(E643,Produtos!$A:$E,5,FALSE)</f>
        <v>1</v>
      </c>
      <c r="H643" s="2">
        <f>VLOOKUP(E643,Produtos!$A:$E,4,FALSE)</f>
        <v>0.5</v>
      </c>
      <c r="I643" s="2">
        <v>4</v>
      </c>
    </row>
    <row r="644" spans="1:9" x14ac:dyDescent="0.25">
      <c r="A644" s="2" t="str">
        <f>CONCATENATE(Códigos!S643,Códigos!T643,Códigos!U643)</f>
        <v>svv642v</v>
      </c>
      <c r="B644" t="s">
        <v>499</v>
      </c>
      <c r="C644" t="s">
        <v>360</v>
      </c>
      <c r="D644" s="2" t="s">
        <v>361</v>
      </c>
      <c r="E644" t="s">
        <v>502</v>
      </c>
      <c r="F644" s="11">
        <v>43623</v>
      </c>
      <c r="G644" s="2">
        <f>VLOOKUP(E644,Produtos!$A:$E,5,FALSE)</f>
        <v>1</v>
      </c>
      <c r="H644" s="2">
        <f>VLOOKUP(E644,Produtos!$A:$E,4,FALSE)</f>
        <v>0.5</v>
      </c>
      <c r="I644" s="2">
        <v>4</v>
      </c>
    </row>
    <row r="645" spans="1:9" x14ac:dyDescent="0.25">
      <c r="A645" s="2" t="str">
        <f>CONCATENATE(Códigos!S644,Códigos!T644,Códigos!U644)</f>
        <v>svv643v</v>
      </c>
      <c r="B645" t="s">
        <v>499</v>
      </c>
      <c r="C645" t="s">
        <v>360</v>
      </c>
      <c r="D645" s="2" t="s">
        <v>361</v>
      </c>
      <c r="E645" t="s">
        <v>502</v>
      </c>
      <c r="F645" s="11">
        <v>43624</v>
      </c>
      <c r="G645" s="2">
        <f>VLOOKUP(E645,Produtos!$A:$E,5,FALSE)</f>
        <v>1</v>
      </c>
      <c r="H645" s="2">
        <f>VLOOKUP(E645,Produtos!$A:$E,4,FALSE)</f>
        <v>0.5</v>
      </c>
      <c r="I645" s="2">
        <v>4</v>
      </c>
    </row>
    <row r="646" spans="1:9" x14ac:dyDescent="0.25">
      <c r="A646" s="2" t="str">
        <f>CONCATENATE(Códigos!S645,Códigos!T645,Códigos!U645)</f>
        <v>svv644v</v>
      </c>
      <c r="B646" t="s">
        <v>499</v>
      </c>
      <c r="C646" t="s">
        <v>360</v>
      </c>
      <c r="D646" s="2" t="s">
        <v>361</v>
      </c>
      <c r="E646" t="s">
        <v>502</v>
      </c>
      <c r="F646" s="11">
        <v>43625</v>
      </c>
      <c r="G646" s="2">
        <f>VLOOKUP(E646,Produtos!$A:$E,5,FALSE)</f>
        <v>1</v>
      </c>
      <c r="H646" s="2">
        <f>VLOOKUP(E646,Produtos!$A:$E,4,FALSE)</f>
        <v>0.5</v>
      </c>
      <c r="I646" s="2">
        <v>4</v>
      </c>
    </row>
    <row r="647" spans="1:9" x14ac:dyDescent="0.25">
      <c r="A647" s="2" t="str">
        <f>CONCATENATE(Códigos!S646,Códigos!T646,Códigos!U646)</f>
        <v>svv645v</v>
      </c>
      <c r="B647" t="s">
        <v>499</v>
      </c>
      <c r="C647" t="s">
        <v>360</v>
      </c>
      <c r="D647" s="2" t="s">
        <v>361</v>
      </c>
      <c r="E647" t="s">
        <v>502</v>
      </c>
      <c r="F647" s="11">
        <v>43626</v>
      </c>
      <c r="G647" s="2">
        <f>VLOOKUP(E647,Produtos!$A:$E,5,FALSE)</f>
        <v>1</v>
      </c>
      <c r="H647" s="2">
        <f>VLOOKUP(E647,Produtos!$A:$E,4,FALSE)</f>
        <v>0.5</v>
      </c>
      <c r="I647" s="2">
        <v>4</v>
      </c>
    </row>
    <row r="648" spans="1:9" x14ac:dyDescent="0.25">
      <c r="A648" s="2" t="str">
        <f>CONCATENATE(Códigos!S647,Códigos!T647,Códigos!U647)</f>
        <v>svv646v</v>
      </c>
      <c r="B648" t="s">
        <v>499</v>
      </c>
      <c r="C648" t="s">
        <v>360</v>
      </c>
      <c r="D648" s="2" t="s">
        <v>361</v>
      </c>
      <c r="E648" t="s">
        <v>502</v>
      </c>
      <c r="F648" s="11">
        <v>43627</v>
      </c>
      <c r="G648" s="2">
        <f>VLOOKUP(E648,Produtos!$A:$E,5,FALSE)</f>
        <v>1</v>
      </c>
      <c r="H648" s="2">
        <f>VLOOKUP(E648,Produtos!$A:$E,4,FALSE)</f>
        <v>0.5</v>
      </c>
      <c r="I648" s="2">
        <v>4</v>
      </c>
    </row>
    <row r="649" spans="1:9" x14ac:dyDescent="0.25">
      <c r="A649" s="2" t="str">
        <f>CONCATENATE(Códigos!S648,Códigos!T648,Códigos!U648)</f>
        <v>svv647v</v>
      </c>
      <c r="B649" t="s">
        <v>499</v>
      </c>
      <c r="C649" t="s">
        <v>360</v>
      </c>
      <c r="D649" s="2" t="s">
        <v>361</v>
      </c>
      <c r="E649" t="s">
        <v>502</v>
      </c>
      <c r="F649" s="11">
        <v>43628</v>
      </c>
      <c r="G649" s="2">
        <f>VLOOKUP(E649,Produtos!$A:$E,5,FALSE)</f>
        <v>1</v>
      </c>
      <c r="H649" s="2">
        <f>VLOOKUP(E649,Produtos!$A:$E,4,FALSE)</f>
        <v>0.5</v>
      </c>
      <c r="I649" s="2">
        <v>4</v>
      </c>
    </row>
    <row r="650" spans="1:9" x14ac:dyDescent="0.25">
      <c r="A650" s="2" t="str">
        <f>CONCATENATE(Códigos!S649,Códigos!T649,Códigos!U649)</f>
        <v>svv648v</v>
      </c>
      <c r="B650" t="s">
        <v>499</v>
      </c>
      <c r="C650" t="s">
        <v>360</v>
      </c>
      <c r="D650" s="2" t="s">
        <v>361</v>
      </c>
      <c r="E650" t="s">
        <v>502</v>
      </c>
      <c r="F650" s="11">
        <v>43629</v>
      </c>
      <c r="G650" s="2">
        <f>VLOOKUP(E650,Produtos!$A:$E,5,FALSE)</f>
        <v>1</v>
      </c>
      <c r="H650" s="2">
        <f>VLOOKUP(E650,Produtos!$A:$E,4,FALSE)</f>
        <v>0.5</v>
      </c>
      <c r="I650" s="2">
        <v>4</v>
      </c>
    </row>
    <row r="651" spans="1:9" x14ac:dyDescent="0.25">
      <c r="A651" s="2" t="str">
        <f>CONCATENATE(Códigos!S650,Códigos!T650,Códigos!U650)</f>
        <v>svv649v</v>
      </c>
      <c r="B651" t="s">
        <v>499</v>
      </c>
      <c r="C651" t="s">
        <v>360</v>
      </c>
      <c r="D651" s="2" t="s">
        <v>361</v>
      </c>
      <c r="E651" t="s">
        <v>502</v>
      </c>
      <c r="F651" s="11">
        <v>43630</v>
      </c>
      <c r="G651" s="2">
        <f>VLOOKUP(E651,Produtos!$A:$E,5,FALSE)</f>
        <v>1</v>
      </c>
      <c r="H651" s="2">
        <f>VLOOKUP(E651,Produtos!$A:$E,4,FALSE)</f>
        <v>0.5</v>
      </c>
      <c r="I651" s="2">
        <v>4</v>
      </c>
    </row>
    <row r="652" spans="1:9" x14ac:dyDescent="0.25">
      <c r="A652" s="2" t="str">
        <f>CONCATENATE(Códigos!S651,Códigos!T651,Códigos!U651)</f>
        <v>svv650v</v>
      </c>
      <c r="B652" t="s">
        <v>499</v>
      </c>
      <c r="C652" t="s">
        <v>360</v>
      </c>
      <c r="D652" s="2" t="s">
        <v>361</v>
      </c>
      <c r="E652" t="s">
        <v>502</v>
      </c>
      <c r="F652" s="11">
        <v>43631</v>
      </c>
      <c r="G652" s="2">
        <f>VLOOKUP(E652,Produtos!$A:$E,5,FALSE)</f>
        <v>1</v>
      </c>
      <c r="H652" s="2">
        <f>VLOOKUP(E652,Produtos!$A:$E,4,FALSE)</f>
        <v>0.5</v>
      </c>
      <c r="I652" s="2">
        <v>4</v>
      </c>
    </row>
    <row r="653" spans="1:9" x14ac:dyDescent="0.25">
      <c r="A653" s="2" t="str">
        <f>CONCATENATE(Códigos!S652,Códigos!T652,Códigos!U652)</f>
        <v>svv651v</v>
      </c>
      <c r="B653" t="s">
        <v>499</v>
      </c>
      <c r="C653" t="s">
        <v>360</v>
      </c>
      <c r="D653" s="2" t="s">
        <v>361</v>
      </c>
      <c r="E653" t="s">
        <v>502</v>
      </c>
      <c r="F653" s="11">
        <v>43632</v>
      </c>
      <c r="G653" s="2">
        <f>VLOOKUP(E653,Produtos!$A:$E,5,FALSE)</f>
        <v>1</v>
      </c>
      <c r="H653" s="2">
        <f>VLOOKUP(E653,Produtos!$A:$E,4,FALSE)</f>
        <v>0.5</v>
      </c>
      <c r="I653" s="2">
        <v>4</v>
      </c>
    </row>
    <row r="654" spans="1:9" x14ac:dyDescent="0.25">
      <c r="A654" s="2" t="str">
        <f>CONCATENATE(Códigos!S653,Códigos!T653,Códigos!U653)</f>
        <v>svv652v</v>
      </c>
      <c r="B654" t="s">
        <v>499</v>
      </c>
      <c r="C654" t="s">
        <v>360</v>
      </c>
      <c r="D654" s="2" t="s">
        <v>361</v>
      </c>
      <c r="E654" t="s">
        <v>502</v>
      </c>
      <c r="F654" s="11">
        <v>43633</v>
      </c>
      <c r="G654" s="2">
        <f>VLOOKUP(E654,Produtos!$A:$E,5,FALSE)</f>
        <v>1</v>
      </c>
      <c r="H654" s="2">
        <f>VLOOKUP(E654,Produtos!$A:$E,4,FALSE)</f>
        <v>0.5</v>
      </c>
      <c r="I654" s="2">
        <v>4</v>
      </c>
    </row>
    <row r="655" spans="1:9" x14ac:dyDescent="0.25">
      <c r="A655" s="2" t="str">
        <f>CONCATENATE(Códigos!S654,Códigos!T654,Códigos!U654)</f>
        <v>svv653v</v>
      </c>
      <c r="B655" t="s">
        <v>499</v>
      </c>
      <c r="C655" t="s">
        <v>360</v>
      </c>
      <c r="D655" s="2" t="s">
        <v>361</v>
      </c>
      <c r="E655" t="s">
        <v>502</v>
      </c>
      <c r="F655" s="11">
        <v>43634</v>
      </c>
      <c r="G655" s="2">
        <f>VLOOKUP(E655,Produtos!$A:$E,5,FALSE)</f>
        <v>1</v>
      </c>
      <c r="H655" s="2">
        <f>VLOOKUP(E655,Produtos!$A:$E,4,FALSE)</f>
        <v>0.5</v>
      </c>
      <c r="I655" s="2">
        <v>4</v>
      </c>
    </row>
    <row r="656" spans="1:9" x14ac:dyDescent="0.25">
      <c r="A656" s="2" t="str">
        <f>CONCATENATE(Códigos!S655,Códigos!T655,Códigos!U655)</f>
        <v>svv654v</v>
      </c>
      <c r="B656" t="s">
        <v>499</v>
      </c>
      <c r="C656" t="s">
        <v>360</v>
      </c>
      <c r="D656" s="2" t="s">
        <v>361</v>
      </c>
      <c r="E656" t="s">
        <v>502</v>
      </c>
      <c r="F656" s="11">
        <v>43635</v>
      </c>
      <c r="G656" s="2">
        <f>VLOOKUP(E656,Produtos!$A:$E,5,FALSE)</f>
        <v>1</v>
      </c>
      <c r="H656" s="2">
        <f>VLOOKUP(E656,Produtos!$A:$E,4,FALSE)</f>
        <v>0.5</v>
      </c>
      <c r="I656" s="2">
        <v>4</v>
      </c>
    </row>
    <row r="657" spans="1:9" x14ac:dyDescent="0.25">
      <c r="A657" s="2" t="str">
        <f>CONCATENATE(Códigos!S656,Códigos!T656,Códigos!U656)</f>
        <v>svv655v</v>
      </c>
      <c r="B657" t="s">
        <v>499</v>
      </c>
      <c r="C657" t="s">
        <v>360</v>
      </c>
      <c r="D657" s="2" t="s">
        <v>361</v>
      </c>
      <c r="E657" t="s">
        <v>502</v>
      </c>
      <c r="F657" s="11">
        <v>43636</v>
      </c>
      <c r="G657" s="2">
        <f>VLOOKUP(E657,Produtos!$A:$E,5,FALSE)</f>
        <v>1</v>
      </c>
      <c r="H657" s="2">
        <f>VLOOKUP(E657,Produtos!$A:$E,4,FALSE)</f>
        <v>0.5</v>
      </c>
      <c r="I657" s="2">
        <v>4</v>
      </c>
    </row>
    <row r="658" spans="1:9" x14ac:dyDescent="0.25">
      <c r="A658" s="2" t="str">
        <f>CONCATENATE(Códigos!S657,Códigos!T657,Códigos!U657)</f>
        <v>svv656v</v>
      </c>
      <c r="B658" t="s">
        <v>499</v>
      </c>
      <c r="C658" t="s">
        <v>360</v>
      </c>
      <c r="D658" s="2" t="s">
        <v>361</v>
      </c>
      <c r="E658" t="s">
        <v>502</v>
      </c>
      <c r="F658" s="11">
        <v>43637</v>
      </c>
      <c r="G658" s="2">
        <f>VLOOKUP(E658,Produtos!$A:$E,5,FALSE)</f>
        <v>1</v>
      </c>
      <c r="H658" s="2">
        <f>VLOOKUP(E658,Produtos!$A:$E,4,FALSE)</f>
        <v>0.5</v>
      </c>
      <c r="I658" s="2">
        <v>4</v>
      </c>
    </row>
    <row r="659" spans="1:9" x14ac:dyDescent="0.25">
      <c r="A659" s="2" t="str">
        <f>CONCATENATE(Códigos!S658,Códigos!T658,Códigos!U658)</f>
        <v>svv657v</v>
      </c>
      <c r="B659" t="s">
        <v>499</v>
      </c>
      <c r="C659" t="s">
        <v>360</v>
      </c>
      <c r="D659" s="2" t="s">
        <v>361</v>
      </c>
      <c r="E659" t="s">
        <v>502</v>
      </c>
      <c r="F659" s="11">
        <v>43638</v>
      </c>
      <c r="G659" s="2">
        <f>VLOOKUP(E659,Produtos!$A:$E,5,FALSE)</f>
        <v>1</v>
      </c>
      <c r="H659" s="2">
        <f>VLOOKUP(E659,Produtos!$A:$E,4,FALSE)</f>
        <v>0.5</v>
      </c>
      <c r="I659" s="2">
        <v>4</v>
      </c>
    </row>
    <row r="660" spans="1:9" x14ac:dyDescent="0.25">
      <c r="A660" s="2" t="str">
        <f>CONCATENATE(Códigos!S659,Códigos!T659,Códigos!U659)</f>
        <v>svv658v</v>
      </c>
      <c r="B660" t="s">
        <v>499</v>
      </c>
      <c r="C660" t="s">
        <v>360</v>
      </c>
      <c r="D660" s="2" t="s">
        <v>361</v>
      </c>
      <c r="E660" t="s">
        <v>502</v>
      </c>
      <c r="F660" s="11">
        <v>43639</v>
      </c>
      <c r="G660" s="2">
        <f>VLOOKUP(E660,Produtos!$A:$E,5,FALSE)</f>
        <v>1</v>
      </c>
      <c r="H660" s="2">
        <f>VLOOKUP(E660,Produtos!$A:$E,4,FALSE)</f>
        <v>0.5</v>
      </c>
      <c r="I660" s="2">
        <v>4</v>
      </c>
    </row>
    <row r="661" spans="1:9" x14ac:dyDescent="0.25">
      <c r="A661" s="2" t="str">
        <f>CONCATENATE(Códigos!S660,Códigos!T660,Códigos!U660)</f>
        <v>svv659v</v>
      </c>
      <c r="B661" t="s">
        <v>499</v>
      </c>
      <c r="C661" t="s">
        <v>360</v>
      </c>
      <c r="D661" s="2" t="s">
        <v>361</v>
      </c>
      <c r="E661" t="s">
        <v>502</v>
      </c>
      <c r="F661" s="11">
        <v>43640</v>
      </c>
      <c r="G661" s="2">
        <f>VLOOKUP(E661,Produtos!$A:$E,5,FALSE)</f>
        <v>1</v>
      </c>
      <c r="H661" s="2">
        <f>VLOOKUP(E661,Produtos!$A:$E,4,FALSE)</f>
        <v>0.5</v>
      </c>
      <c r="I661" s="2">
        <v>4</v>
      </c>
    </row>
    <row r="662" spans="1:9" x14ac:dyDescent="0.25">
      <c r="A662" s="2" t="str">
        <f>CONCATENATE(Códigos!S661,Códigos!T661,Códigos!U661)</f>
        <v>svv660v</v>
      </c>
      <c r="B662" t="s">
        <v>499</v>
      </c>
      <c r="C662" t="s">
        <v>360</v>
      </c>
      <c r="D662" s="2" t="s">
        <v>361</v>
      </c>
      <c r="E662" t="s">
        <v>502</v>
      </c>
      <c r="F662" s="11">
        <v>43641</v>
      </c>
      <c r="G662" s="2">
        <f>VLOOKUP(E662,Produtos!$A:$E,5,FALSE)</f>
        <v>1</v>
      </c>
      <c r="H662" s="2">
        <f>VLOOKUP(E662,Produtos!$A:$E,4,FALSE)</f>
        <v>0.5</v>
      </c>
      <c r="I662" s="2">
        <v>4</v>
      </c>
    </row>
    <row r="663" spans="1:9" x14ac:dyDescent="0.25">
      <c r="A663" s="2" t="str">
        <f>CONCATENATE(Códigos!S662,Códigos!T662,Códigos!U662)</f>
        <v>svv661v</v>
      </c>
      <c r="B663" t="s">
        <v>499</v>
      </c>
      <c r="C663" t="s">
        <v>360</v>
      </c>
      <c r="D663" s="2" t="s">
        <v>361</v>
      </c>
      <c r="E663" t="s">
        <v>502</v>
      </c>
      <c r="F663" s="11">
        <v>43642</v>
      </c>
      <c r="G663" s="2">
        <f>VLOOKUP(E663,Produtos!$A:$E,5,FALSE)</f>
        <v>1</v>
      </c>
      <c r="H663" s="2">
        <f>VLOOKUP(E663,Produtos!$A:$E,4,FALSE)</f>
        <v>0.5</v>
      </c>
      <c r="I663" s="2">
        <v>4</v>
      </c>
    </row>
    <row r="664" spans="1:9" x14ac:dyDescent="0.25">
      <c r="A664" s="2" t="str">
        <f>CONCATENATE(Códigos!S663,Códigos!T663,Códigos!U663)</f>
        <v>svv662v</v>
      </c>
      <c r="B664" t="s">
        <v>499</v>
      </c>
      <c r="C664" t="s">
        <v>360</v>
      </c>
      <c r="D664" s="2" t="s">
        <v>361</v>
      </c>
      <c r="E664" t="s">
        <v>502</v>
      </c>
      <c r="F664" s="11">
        <v>43643</v>
      </c>
      <c r="G664" s="2">
        <f>VLOOKUP(E664,Produtos!$A:$E,5,FALSE)</f>
        <v>1</v>
      </c>
      <c r="H664" s="2">
        <f>VLOOKUP(E664,Produtos!$A:$E,4,FALSE)</f>
        <v>0.5</v>
      </c>
      <c r="I664" s="2">
        <v>4</v>
      </c>
    </row>
    <row r="665" spans="1:9" x14ac:dyDescent="0.25">
      <c r="A665" s="2" t="str">
        <f>CONCATENATE(Códigos!S664,Códigos!T664,Códigos!U664)</f>
        <v>svv663v</v>
      </c>
      <c r="B665" t="s">
        <v>499</v>
      </c>
      <c r="C665" t="s">
        <v>360</v>
      </c>
      <c r="D665" s="2" t="s">
        <v>361</v>
      </c>
      <c r="E665" t="s">
        <v>502</v>
      </c>
      <c r="F665" s="11">
        <v>43644</v>
      </c>
      <c r="G665" s="2">
        <f>VLOOKUP(E665,Produtos!$A:$E,5,FALSE)</f>
        <v>1</v>
      </c>
      <c r="H665" s="2">
        <f>VLOOKUP(E665,Produtos!$A:$E,4,FALSE)</f>
        <v>0.5</v>
      </c>
      <c r="I665" s="2">
        <v>4</v>
      </c>
    </row>
    <row r="666" spans="1:9" x14ac:dyDescent="0.25">
      <c r="A666" s="2" t="str">
        <f>CONCATENATE(Códigos!S665,Códigos!T665,Códigos!U665)</f>
        <v>svv664v</v>
      </c>
      <c r="B666" t="s">
        <v>409</v>
      </c>
      <c r="C666" t="s">
        <v>360</v>
      </c>
      <c r="D666" s="2" t="s">
        <v>361</v>
      </c>
      <c r="E666" t="s">
        <v>523</v>
      </c>
      <c r="F666" s="11">
        <v>43645</v>
      </c>
      <c r="G666" s="2">
        <f>VLOOKUP(E666,Produtos!$A:$E,5,FALSE)</f>
        <v>500</v>
      </c>
      <c r="H666" s="2">
        <f>VLOOKUP(E666,Produtos!$A:$E,4,FALSE)</f>
        <v>200</v>
      </c>
      <c r="I666" s="2">
        <v>4</v>
      </c>
    </row>
    <row r="667" spans="1:9" x14ac:dyDescent="0.25">
      <c r="A667" s="2" t="str">
        <f>CONCATENATE(Códigos!S666,Códigos!T666,Códigos!U666)</f>
        <v>svv665v</v>
      </c>
      <c r="B667" t="s">
        <v>409</v>
      </c>
      <c r="C667" t="s">
        <v>360</v>
      </c>
      <c r="D667" s="2" t="s">
        <v>361</v>
      </c>
      <c r="E667" t="s">
        <v>523</v>
      </c>
      <c r="F667" s="11">
        <v>43646</v>
      </c>
      <c r="G667" s="2">
        <f>VLOOKUP(E667,Produtos!$A:$E,5,FALSE)</f>
        <v>500</v>
      </c>
      <c r="H667" s="2">
        <f>VLOOKUP(E667,Produtos!$A:$E,4,FALSE)</f>
        <v>200</v>
      </c>
      <c r="I667" s="2">
        <v>4</v>
      </c>
    </row>
    <row r="668" spans="1:9" x14ac:dyDescent="0.25">
      <c r="A668" s="2" t="str">
        <f>CONCATENATE(Códigos!S667,Códigos!T667,Códigos!U667)</f>
        <v>svv666v</v>
      </c>
      <c r="B668" t="s">
        <v>409</v>
      </c>
      <c r="C668" t="s">
        <v>360</v>
      </c>
      <c r="D668" s="2" t="s">
        <v>361</v>
      </c>
      <c r="E668" t="s">
        <v>523</v>
      </c>
      <c r="F668" s="11">
        <v>43647</v>
      </c>
      <c r="G668" s="2">
        <f>VLOOKUP(E668,Produtos!$A:$E,5,FALSE)</f>
        <v>500</v>
      </c>
      <c r="H668" s="2">
        <f>VLOOKUP(E668,Produtos!$A:$E,4,FALSE)</f>
        <v>200</v>
      </c>
      <c r="I668" s="2">
        <v>4</v>
      </c>
    </row>
    <row r="669" spans="1:9" x14ac:dyDescent="0.25">
      <c r="A669" s="2" t="str">
        <f>CONCATENATE(Códigos!S668,Códigos!T668,Códigos!U668)</f>
        <v>svv667v</v>
      </c>
      <c r="B669" t="s">
        <v>409</v>
      </c>
      <c r="C669" t="s">
        <v>360</v>
      </c>
      <c r="D669" s="2" t="s">
        <v>361</v>
      </c>
      <c r="E669" t="s">
        <v>523</v>
      </c>
      <c r="F669" s="11">
        <v>43648</v>
      </c>
      <c r="G669" s="2">
        <f>VLOOKUP(E669,Produtos!$A:$E,5,FALSE)</f>
        <v>500</v>
      </c>
      <c r="H669" s="2">
        <f>VLOOKUP(E669,Produtos!$A:$E,4,FALSE)</f>
        <v>200</v>
      </c>
      <c r="I669" s="2">
        <v>4</v>
      </c>
    </row>
    <row r="670" spans="1:9" x14ac:dyDescent="0.25">
      <c r="A670" s="2" t="str">
        <f>CONCATENATE(Códigos!S669,Códigos!T669,Códigos!U669)</f>
        <v>svv668v</v>
      </c>
      <c r="B670" t="s">
        <v>409</v>
      </c>
      <c r="C670" t="s">
        <v>360</v>
      </c>
      <c r="D670" s="2" t="s">
        <v>361</v>
      </c>
      <c r="E670" t="s">
        <v>523</v>
      </c>
      <c r="F670" s="11">
        <v>43649</v>
      </c>
      <c r="G670" s="2">
        <f>VLOOKUP(E670,Produtos!$A:$E,5,FALSE)</f>
        <v>500</v>
      </c>
      <c r="H670" s="2">
        <f>VLOOKUP(E670,Produtos!$A:$E,4,FALSE)</f>
        <v>200</v>
      </c>
      <c r="I670" s="2">
        <v>4</v>
      </c>
    </row>
    <row r="671" spans="1:9" x14ac:dyDescent="0.25">
      <c r="A671" s="2" t="str">
        <f>CONCATENATE(Códigos!S670,Códigos!T670,Códigos!U670)</f>
        <v>svv669v</v>
      </c>
      <c r="B671" t="s">
        <v>409</v>
      </c>
      <c r="C671" t="s">
        <v>360</v>
      </c>
      <c r="D671" s="2" t="s">
        <v>361</v>
      </c>
      <c r="E671" t="s">
        <v>523</v>
      </c>
      <c r="F671" s="11">
        <v>43650</v>
      </c>
      <c r="G671" s="2">
        <f>VLOOKUP(E671,Produtos!$A:$E,5,FALSE)</f>
        <v>500</v>
      </c>
      <c r="H671" s="2">
        <f>VLOOKUP(E671,Produtos!$A:$E,4,FALSE)</f>
        <v>200</v>
      </c>
      <c r="I671" s="2">
        <v>4</v>
      </c>
    </row>
    <row r="672" spans="1:9" x14ac:dyDescent="0.25">
      <c r="A672" s="2" t="str">
        <f>CONCATENATE(Códigos!S671,Códigos!T671,Códigos!U671)</f>
        <v>svv670v</v>
      </c>
      <c r="B672" t="s">
        <v>409</v>
      </c>
      <c r="C672" t="s">
        <v>360</v>
      </c>
      <c r="D672" s="2" t="s">
        <v>361</v>
      </c>
      <c r="E672" t="s">
        <v>523</v>
      </c>
      <c r="F672" s="11">
        <v>43651</v>
      </c>
      <c r="G672" s="2">
        <f>VLOOKUP(E672,Produtos!$A:$E,5,FALSE)</f>
        <v>500</v>
      </c>
      <c r="H672" s="2">
        <f>VLOOKUP(E672,Produtos!$A:$E,4,FALSE)</f>
        <v>200</v>
      </c>
      <c r="I672" s="2">
        <v>4</v>
      </c>
    </row>
    <row r="673" spans="1:9" x14ac:dyDescent="0.25">
      <c r="A673" s="2" t="str">
        <f>CONCATENATE(Códigos!S672,Códigos!T672,Códigos!U672)</f>
        <v>svv671v</v>
      </c>
      <c r="B673" t="s">
        <v>409</v>
      </c>
      <c r="C673" t="s">
        <v>360</v>
      </c>
      <c r="D673" s="2" t="s">
        <v>361</v>
      </c>
      <c r="E673" t="s">
        <v>523</v>
      </c>
      <c r="F673" s="11">
        <v>43652</v>
      </c>
      <c r="G673" s="2">
        <f>VLOOKUP(E673,Produtos!$A:$E,5,FALSE)</f>
        <v>500</v>
      </c>
      <c r="H673" s="2">
        <f>VLOOKUP(E673,Produtos!$A:$E,4,FALSE)</f>
        <v>200</v>
      </c>
      <c r="I673" s="2">
        <v>4</v>
      </c>
    </row>
    <row r="674" spans="1:9" x14ac:dyDescent="0.25">
      <c r="A674" s="2" t="str">
        <f>CONCATENATE(Códigos!S673,Códigos!T673,Códigos!U673)</f>
        <v>svv672v</v>
      </c>
      <c r="B674" t="s">
        <v>409</v>
      </c>
      <c r="C674" t="s">
        <v>360</v>
      </c>
      <c r="D674" s="2" t="s">
        <v>361</v>
      </c>
      <c r="E674" t="s">
        <v>523</v>
      </c>
      <c r="F674" s="11">
        <v>43653</v>
      </c>
      <c r="G674" s="2">
        <f>VLOOKUP(E674,Produtos!$A:$E,5,FALSE)</f>
        <v>500</v>
      </c>
      <c r="H674" s="2">
        <f>VLOOKUP(E674,Produtos!$A:$E,4,FALSE)</f>
        <v>200</v>
      </c>
      <c r="I674" s="2">
        <v>4</v>
      </c>
    </row>
    <row r="675" spans="1:9" x14ac:dyDescent="0.25">
      <c r="A675" s="2" t="str">
        <f>CONCATENATE(Códigos!S674,Códigos!T674,Códigos!U674)</f>
        <v>svv673v</v>
      </c>
      <c r="B675" t="s">
        <v>409</v>
      </c>
      <c r="C675" t="s">
        <v>360</v>
      </c>
      <c r="D675" s="2" t="s">
        <v>361</v>
      </c>
      <c r="E675" t="s">
        <v>523</v>
      </c>
      <c r="F675" s="11">
        <v>43654</v>
      </c>
      <c r="G675" s="2">
        <f>VLOOKUP(E675,Produtos!$A:$E,5,FALSE)</f>
        <v>500</v>
      </c>
      <c r="H675" s="2">
        <f>VLOOKUP(E675,Produtos!$A:$E,4,FALSE)</f>
        <v>200</v>
      </c>
      <c r="I675" s="2">
        <v>4</v>
      </c>
    </row>
    <row r="676" spans="1:9" x14ac:dyDescent="0.25">
      <c r="A676" s="2" t="str">
        <f>CONCATENATE(Códigos!S675,Códigos!T675,Códigos!U675)</f>
        <v>svv674v</v>
      </c>
      <c r="B676" t="s">
        <v>409</v>
      </c>
      <c r="C676" t="s">
        <v>360</v>
      </c>
      <c r="D676" s="2" t="s">
        <v>361</v>
      </c>
      <c r="E676" t="s">
        <v>523</v>
      </c>
      <c r="F676" s="11">
        <v>43655</v>
      </c>
      <c r="G676" s="2">
        <f>VLOOKUP(E676,Produtos!$A:$E,5,FALSE)</f>
        <v>500</v>
      </c>
      <c r="H676" s="2">
        <f>VLOOKUP(E676,Produtos!$A:$E,4,FALSE)</f>
        <v>200</v>
      </c>
      <c r="I676" s="2">
        <v>4</v>
      </c>
    </row>
    <row r="677" spans="1:9" x14ac:dyDescent="0.25">
      <c r="A677" s="2" t="str">
        <f>CONCATENATE(Códigos!S676,Códigos!T676,Códigos!U676)</f>
        <v>svv675v</v>
      </c>
      <c r="B677" t="s">
        <v>409</v>
      </c>
      <c r="C677" t="s">
        <v>360</v>
      </c>
      <c r="D677" s="2" t="s">
        <v>361</v>
      </c>
      <c r="E677" t="s">
        <v>523</v>
      </c>
      <c r="F677" s="11">
        <v>43656</v>
      </c>
      <c r="G677" s="2">
        <f>VLOOKUP(E677,Produtos!$A:$E,5,FALSE)</f>
        <v>500</v>
      </c>
      <c r="H677" s="2">
        <f>VLOOKUP(E677,Produtos!$A:$E,4,FALSE)</f>
        <v>200</v>
      </c>
      <c r="I677" s="2">
        <v>4</v>
      </c>
    </row>
    <row r="678" spans="1:9" x14ac:dyDescent="0.25">
      <c r="A678" s="2" t="str">
        <f>CONCATENATE(Códigos!S677,Códigos!T677,Códigos!U677)</f>
        <v>svv676v</v>
      </c>
      <c r="B678" t="s">
        <v>409</v>
      </c>
      <c r="C678" t="s">
        <v>360</v>
      </c>
      <c r="D678" s="2" t="s">
        <v>361</v>
      </c>
      <c r="E678" t="s">
        <v>523</v>
      </c>
      <c r="F678" s="11">
        <v>43657</v>
      </c>
      <c r="G678" s="2">
        <f>VLOOKUP(E678,Produtos!$A:$E,5,FALSE)</f>
        <v>500</v>
      </c>
      <c r="H678" s="2">
        <f>VLOOKUP(E678,Produtos!$A:$E,4,FALSE)</f>
        <v>200</v>
      </c>
      <c r="I678" s="2">
        <v>4</v>
      </c>
    </row>
    <row r="679" spans="1:9" x14ac:dyDescent="0.25">
      <c r="A679" s="2" t="str">
        <f>CONCATENATE(Códigos!S678,Códigos!T678,Códigos!U678)</f>
        <v>svv677v</v>
      </c>
      <c r="B679" t="s">
        <v>409</v>
      </c>
      <c r="C679" t="s">
        <v>360</v>
      </c>
      <c r="D679" s="2" t="s">
        <v>361</v>
      </c>
      <c r="E679" t="s">
        <v>523</v>
      </c>
      <c r="F679" s="11">
        <v>43658</v>
      </c>
      <c r="G679" s="2">
        <f>VLOOKUP(E679,Produtos!$A:$E,5,FALSE)</f>
        <v>500</v>
      </c>
      <c r="H679" s="2">
        <f>VLOOKUP(E679,Produtos!$A:$E,4,FALSE)</f>
        <v>200</v>
      </c>
      <c r="I679" s="2">
        <v>4</v>
      </c>
    </row>
    <row r="680" spans="1:9" x14ac:dyDescent="0.25">
      <c r="A680" s="2" t="str">
        <f>CONCATENATE(Códigos!S679,Códigos!T679,Códigos!U679)</f>
        <v>svv678v</v>
      </c>
      <c r="B680" t="s">
        <v>409</v>
      </c>
      <c r="C680" t="s">
        <v>372</v>
      </c>
      <c r="D680" s="2" t="s">
        <v>373</v>
      </c>
      <c r="E680" t="s">
        <v>523</v>
      </c>
      <c r="F680" s="11">
        <v>43659</v>
      </c>
      <c r="G680" s="2">
        <f>VLOOKUP(E680,Produtos!$A:$E,5,FALSE)</f>
        <v>500</v>
      </c>
      <c r="H680" s="2">
        <f>VLOOKUP(E680,Produtos!$A:$E,4,FALSE)</f>
        <v>200</v>
      </c>
      <c r="I680" s="2">
        <v>4</v>
      </c>
    </row>
    <row r="681" spans="1:9" x14ac:dyDescent="0.25">
      <c r="A681" s="2" t="str">
        <f>CONCATENATE(Códigos!S680,Códigos!T680,Códigos!U680)</f>
        <v>svv679v</v>
      </c>
      <c r="B681" t="s">
        <v>409</v>
      </c>
      <c r="C681" t="s">
        <v>372</v>
      </c>
      <c r="D681" s="2" t="s">
        <v>373</v>
      </c>
      <c r="E681" t="s">
        <v>523</v>
      </c>
      <c r="F681" s="11">
        <v>43660</v>
      </c>
      <c r="G681" s="2">
        <f>VLOOKUP(E681,Produtos!$A:$E,5,FALSE)</f>
        <v>500</v>
      </c>
      <c r="H681" s="2">
        <f>VLOOKUP(E681,Produtos!$A:$E,4,FALSE)</f>
        <v>200</v>
      </c>
      <c r="I681" s="2">
        <v>4</v>
      </c>
    </row>
    <row r="682" spans="1:9" x14ac:dyDescent="0.25">
      <c r="A682" s="2" t="str">
        <f>CONCATENATE(Códigos!S681,Códigos!T681,Códigos!U681)</f>
        <v>svv680v</v>
      </c>
      <c r="B682" t="s">
        <v>409</v>
      </c>
      <c r="C682" t="s">
        <v>372</v>
      </c>
      <c r="D682" s="2" t="s">
        <v>373</v>
      </c>
      <c r="E682" t="s">
        <v>523</v>
      </c>
      <c r="F682" s="11">
        <v>43661</v>
      </c>
      <c r="G682" s="2">
        <f>VLOOKUP(E682,Produtos!$A:$E,5,FALSE)</f>
        <v>500</v>
      </c>
      <c r="H682" s="2">
        <f>VLOOKUP(E682,Produtos!$A:$E,4,FALSE)</f>
        <v>200</v>
      </c>
      <c r="I682" s="2">
        <v>4</v>
      </c>
    </row>
    <row r="683" spans="1:9" x14ac:dyDescent="0.25">
      <c r="A683" s="2" t="str">
        <f>CONCATENATE(Códigos!S682,Códigos!T682,Códigos!U682)</f>
        <v>svv681v</v>
      </c>
      <c r="B683" t="s">
        <v>409</v>
      </c>
      <c r="C683" t="s">
        <v>372</v>
      </c>
      <c r="D683" s="2" t="s">
        <v>373</v>
      </c>
      <c r="E683" t="s">
        <v>523</v>
      </c>
      <c r="F683" s="11">
        <v>43662</v>
      </c>
      <c r="G683" s="2">
        <f>VLOOKUP(E683,Produtos!$A:$E,5,FALSE)</f>
        <v>500</v>
      </c>
      <c r="H683" s="2">
        <f>VLOOKUP(E683,Produtos!$A:$E,4,FALSE)</f>
        <v>200</v>
      </c>
      <c r="I683" s="2">
        <v>4</v>
      </c>
    </row>
    <row r="684" spans="1:9" x14ac:dyDescent="0.25">
      <c r="A684" s="2" t="str">
        <f>CONCATENATE(Códigos!S683,Códigos!T683,Códigos!U683)</f>
        <v>svv682v</v>
      </c>
      <c r="B684" t="s">
        <v>409</v>
      </c>
      <c r="C684" t="s">
        <v>372</v>
      </c>
      <c r="D684" s="2" t="s">
        <v>373</v>
      </c>
      <c r="E684" t="s">
        <v>523</v>
      </c>
      <c r="F684" s="11">
        <v>43663</v>
      </c>
      <c r="G684" s="2">
        <f>VLOOKUP(E684,Produtos!$A:$E,5,FALSE)</f>
        <v>500</v>
      </c>
      <c r="H684" s="2">
        <f>VLOOKUP(E684,Produtos!$A:$E,4,FALSE)</f>
        <v>200</v>
      </c>
      <c r="I684" s="2">
        <v>4</v>
      </c>
    </row>
    <row r="685" spans="1:9" x14ac:dyDescent="0.25">
      <c r="A685" s="2" t="str">
        <f>CONCATENATE(Códigos!S684,Códigos!T684,Códigos!U684)</f>
        <v>svv683v</v>
      </c>
      <c r="B685" t="s">
        <v>409</v>
      </c>
      <c r="C685" t="s">
        <v>372</v>
      </c>
      <c r="D685" s="2" t="s">
        <v>373</v>
      </c>
      <c r="E685" t="s">
        <v>523</v>
      </c>
      <c r="F685" s="11">
        <v>43664</v>
      </c>
      <c r="G685" s="2">
        <f>VLOOKUP(E685,Produtos!$A:$E,5,FALSE)</f>
        <v>500</v>
      </c>
      <c r="H685" s="2">
        <f>VLOOKUP(E685,Produtos!$A:$E,4,FALSE)</f>
        <v>200</v>
      </c>
      <c r="I685" s="2">
        <v>4</v>
      </c>
    </row>
    <row r="686" spans="1:9" x14ac:dyDescent="0.25">
      <c r="A686" s="2" t="str">
        <f>CONCATENATE(Códigos!S685,Códigos!T685,Códigos!U685)</f>
        <v>svv684v</v>
      </c>
      <c r="B686" t="s">
        <v>409</v>
      </c>
      <c r="C686" t="s">
        <v>372</v>
      </c>
      <c r="D686" s="2" t="s">
        <v>373</v>
      </c>
      <c r="E686" t="s">
        <v>523</v>
      </c>
      <c r="F686" s="11">
        <v>43665</v>
      </c>
      <c r="G686" s="2">
        <f>VLOOKUP(E686,Produtos!$A:$E,5,FALSE)</f>
        <v>500</v>
      </c>
      <c r="H686" s="2">
        <f>VLOOKUP(E686,Produtos!$A:$E,4,FALSE)</f>
        <v>200</v>
      </c>
      <c r="I686" s="2">
        <v>4</v>
      </c>
    </row>
    <row r="687" spans="1:9" x14ac:dyDescent="0.25">
      <c r="A687" s="2" t="str">
        <f>CONCATENATE(Códigos!S686,Códigos!T686,Códigos!U686)</f>
        <v>svv685v</v>
      </c>
      <c r="B687" t="s">
        <v>409</v>
      </c>
      <c r="C687" t="s">
        <v>372</v>
      </c>
      <c r="D687" s="2" t="s">
        <v>373</v>
      </c>
      <c r="E687" t="s">
        <v>523</v>
      </c>
      <c r="F687" s="11">
        <v>43666</v>
      </c>
      <c r="G687" s="2">
        <f>VLOOKUP(E687,Produtos!$A:$E,5,FALSE)</f>
        <v>500</v>
      </c>
      <c r="H687" s="2">
        <f>VLOOKUP(E687,Produtos!$A:$E,4,FALSE)</f>
        <v>200</v>
      </c>
      <c r="I687" s="2">
        <v>4</v>
      </c>
    </row>
    <row r="688" spans="1:9" x14ac:dyDescent="0.25">
      <c r="A688" s="2" t="str">
        <f>CONCATENATE(Códigos!S687,Códigos!T687,Códigos!U687)</f>
        <v>svv686v</v>
      </c>
      <c r="B688" t="s">
        <v>409</v>
      </c>
      <c r="C688" t="s">
        <v>372</v>
      </c>
      <c r="D688" s="2" t="s">
        <v>373</v>
      </c>
      <c r="E688" t="s">
        <v>523</v>
      </c>
      <c r="F688" s="11">
        <v>43667</v>
      </c>
      <c r="G688" s="2">
        <f>VLOOKUP(E688,Produtos!$A:$E,5,FALSE)</f>
        <v>500</v>
      </c>
      <c r="H688" s="2">
        <f>VLOOKUP(E688,Produtos!$A:$E,4,FALSE)</f>
        <v>200</v>
      </c>
      <c r="I688" s="2">
        <v>4</v>
      </c>
    </row>
    <row r="689" spans="1:9" x14ac:dyDescent="0.25">
      <c r="A689" s="2" t="str">
        <f>CONCATENATE(Códigos!S688,Códigos!T688,Códigos!U688)</f>
        <v>svv687v</v>
      </c>
      <c r="B689" t="s">
        <v>409</v>
      </c>
      <c r="C689" t="s">
        <v>372</v>
      </c>
      <c r="D689" s="2" t="s">
        <v>373</v>
      </c>
      <c r="E689" t="s">
        <v>523</v>
      </c>
      <c r="F689" s="11">
        <v>43668</v>
      </c>
      <c r="G689" s="2">
        <f>VLOOKUP(E689,Produtos!$A:$E,5,FALSE)</f>
        <v>500</v>
      </c>
      <c r="H689" s="2">
        <f>VLOOKUP(E689,Produtos!$A:$E,4,FALSE)</f>
        <v>200</v>
      </c>
      <c r="I689" s="2">
        <v>4</v>
      </c>
    </row>
    <row r="690" spans="1:9" x14ac:dyDescent="0.25">
      <c r="A690" s="2" t="str">
        <f>CONCATENATE(Códigos!S689,Códigos!T689,Códigos!U689)</f>
        <v>svv688v</v>
      </c>
      <c r="B690" t="s">
        <v>409</v>
      </c>
      <c r="C690" t="s">
        <v>372</v>
      </c>
      <c r="D690" s="2" t="s">
        <v>373</v>
      </c>
      <c r="E690" t="s">
        <v>523</v>
      </c>
      <c r="F690" s="11">
        <v>43669</v>
      </c>
      <c r="G690" s="2">
        <f>VLOOKUP(E690,Produtos!$A:$E,5,FALSE)</f>
        <v>500</v>
      </c>
      <c r="H690" s="2">
        <f>VLOOKUP(E690,Produtos!$A:$E,4,FALSE)</f>
        <v>200</v>
      </c>
      <c r="I690" s="2">
        <v>4</v>
      </c>
    </row>
    <row r="691" spans="1:9" x14ac:dyDescent="0.25">
      <c r="A691" s="2" t="str">
        <f>CONCATENATE(Códigos!S690,Códigos!T690,Códigos!U690)</f>
        <v>svv689v</v>
      </c>
      <c r="B691" t="s">
        <v>409</v>
      </c>
      <c r="C691" t="s">
        <v>372</v>
      </c>
      <c r="D691" s="2" t="s">
        <v>373</v>
      </c>
      <c r="E691" t="s">
        <v>523</v>
      </c>
      <c r="F691" s="11">
        <v>43670</v>
      </c>
      <c r="G691" s="2">
        <f>VLOOKUP(E691,Produtos!$A:$E,5,FALSE)</f>
        <v>500</v>
      </c>
      <c r="H691" s="2">
        <f>VLOOKUP(E691,Produtos!$A:$E,4,FALSE)</f>
        <v>200</v>
      </c>
      <c r="I691" s="2">
        <v>4</v>
      </c>
    </row>
    <row r="692" spans="1:9" x14ac:dyDescent="0.25">
      <c r="A692" s="2" t="str">
        <f>CONCATENATE(Códigos!S691,Códigos!T691,Códigos!U691)</f>
        <v>svv690v</v>
      </c>
      <c r="B692" t="s">
        <v>409</v>
      </c>
      <c r="C692" t="s">
        <v>372</v>
      </c>
      <c r="D692" s="2" t="s">
        <v>373</v>
      </c>
      <c r="E692" t="s">
        <v>523</v>
      </c>
      <c r="F692" s="11">
        <v>43671</v>
      </c>
      <c r="G692" s="2">
        <f>VLOOKUP(E692,Produtos!$A:$E,5,FALSE)</f>
        <v>500</v>
      </c>
      <c r="H692" s="2">
        <f>VLOOKUP(E692,Produtos!$A:$E,4,FALSE)</f>
        <v>200</v>
      </c>
      <c r="I692" s="2">
        <v>4</v>
      </c>
    </row>
    <row r="693" spans="1:9" x14ac:dyDescent="0.25">
      <c r="A693" s="2" t="str">
        <f>CONCATENATE(Códigos!S692,Códigos!T692,Códigos!U692)</f>
        <v>svv691v</v>
      </c>
      <c r="B693" t="s">
        <v>409</v>
      </c>
      <c r="C693" t="s">
        <v>372</v>
      </c>
      <c r="D693" s="2" t="s">
        <v>373</v>
      </c>
      <c r="E693" t="s">
        <v>523</v>
      </c>
      <c r="F693" s="11">
        <v>43672</v>
      </c>
      <c r="G693" s="2">
        <f>VLOOKUP(E693,Produtos!$A:$E,5,FALSE)</f>
        <v>500</v>
      </c>
      <c r="H693" s="2">
        <f>VLOOKUP(E693,Produtos!$A:$E,4,FALSE)</f>
        <v>200</v>
      </c>
      <c r="I693" s="2">
        <v>4</v>
      </c>
    </row>
    <row r="694" spans="1:9" x14ac:dyDescent="0.25">
      <c r="A694" s="2" t="str">
        <f>CONCATENATE(Códigos!S693,Códigos!T693,Códigos!U693)</f>
        <v>svv692v</v>
      </c>
      <c r="B694" t="s">
        <v>409</v>
      </c>
      <c r="C694" t="s">
        <v>372</v>
      </c>
      <c r="D694" s="2" t="s">
        <v>373</v>
      </c>
      <c r="E694" t="s">
        <v>523</v>
      </c>
      <c r="F694" s="11">
        <v>43673</v>
      </c>
      <c r="G694" s="2">
        <f>VLOOKUP(E694,Produtos!$A:$E,5,FALSE)</f>
        <v>500</v>
      </c>
      <c r="H694" s="2">
        <f>VLOOKUP(E694,Produtos!$A:$E,4,FALSE)</f>
        <v>200</v>
      </c>
      <c r="I694" s="2">
        <v>4</v>
      </c>
    </row>
    <row r="695" spans="1:9" x14ac:dyDescent="0.25">
      <c r="A695" s="2" t="str">
        <f>CONCATENATE(Códigos!S694,Códigos!T694,Códigos!U694)</f>
        <v>svv693v</v>
      </c>
      <c r="B695" t="s">
        <v>409</v>
      </c>
      <c r="C695" t="s">
        <v>372</v>
      </c>
      <c r="D695" s="2" t="s">
        <v>373</v>
      </c>
      <c r="E695" t="s">
        <v>523</v>
      </c>
      <c r="F695" s="11">
        <v>43674</v>
      </c>
      <c r="G695" s="2">
        <f>VLOOKUP(E695,Produtos!$A:$E,5,FALSE)</f>
        <v>500</v>
      </c>
      <c r="H695" s="2">
        <f>VLOOKUP(E695,Produtos!$A:$E,4,FALSE)</f>
        <v>200</v>
      </c>
      <c r="I695" s="2">
        <v>4</v>
      </c>
    </row>
    <row r="696" spans="1:9" x14ac:dyDescent="0.25">
      <c r="A696" s="2" t="str">
        <f>CONCATENATE(Códigos!S695,Códigos!T695,Códigos!U695)</f>
        <v>svv694v</v>
      </c>
      <c r="B696" t="s">
        <v>409</v>
      </c>
      <c r="C696" t="s">
        <v>372</v>
      </c>
      <c r="D696" s="2" t="s">
        <v>373</v>
      </c>
      <c r="E696" t="s">
        <v>523</v>
      </c>
      <c r="F696" s="11">
        <v>43675</v>
      </c>
      <c r="G696" s="2">
        <f>VLOOKUP(E696,Produtos!$A:$E,5,FALSE)</f>
        <v>500</v>
      </c>
      <c r="H696" s="2">
        <f>VLOOKUP(E696,Produtos!$A:$E,4,FALSE)</f>
        <v>200</v>
      </c>
      <c r="I696" s="2">
        <v>4</v>
      </c>
    </row>
    <row r="697" spans="1:9" x14ac:dyDescent="0.25">
      <c r="A697" s="2" t="str">
        <f>CONCATENATE(Códigos!S696,Códigos!T696,Códigos!U696)</f>
        <v>svv695v</v>
      </c>
      <c r="B697" t="s">
        <v>409</v>
      </c>
      <c r="C697" t="s">
        <v>372</v>
      </c>
      <c r="D697" s="2" t="s">
        <v>373</v>
      </c>
      <c r="E697" t="s">
        <v>523</v>
      </c>
      <c r="F697" s="11">
        <v>43676</v>
      </c>
      <c r="G697" s="2">
        <f>VLOOKUP(E697,Produtos!$A:$E,5,FALSE)</f>
        <v>500</v>
      </c>
      <c r="H697" s="2">
        <f>VLOOKUP(E697,Produtos!$A:$E,4,FALSE)</f>
        <v>200</v>
      </c>
      <c r="I697" s="2">
        <v>4</v>
      </c>
    </row>
    <row r="698" spans="1:9" x14ac:dyDescent="0.25">
      <c r="A698" s="2" t="str">
        <f>CONCATENATE(Códigos!S697,Códigos!T697,Códigos!U697)</f>
        <v>svv696v</v>
      </c>
      <c r="B698" t="s">
        <v>409</v>
      </c>
      <c r="C698" t="s">
        <v>372</v>
      </c>
      <c r="D698" s="2" t="s">
        <v>373</v>
      </c>
      <c r="E698" t="s">
        <v>523</v>
      </c>
      <c r="F698" s="11">
        <v>43677</v>
      </c>
      <c r="G698" s="2">
        <f>VLOOKUP(E698,Produtos!$A:$E,5,FALSE)</f>
        <v>500</v>
      </c>
      <c r="H698" s="2">
        <f>VLOOKUP(E698,Produtos!$A:$E,4,FALSE)</f>
        <v>200</v>
      </c>
      <c r="I698" s="2">
        <v>4</v>
      </c>
    </row>
    <row r="699" spans="1:9" x14ac:dyDescent="0.25">
      <c r="A699" s="2" t="str">
        <f>CONCATENATE(Códigos!S698,Códigos!T698,Códigos!U698)</f>
        <v>svv697v</v>
      </c>
      <c r="B699" t="s">
        <v>409</v>
      </c>
      <c r="C699" t="s">
        <v>372</v>
      </c>
      <c r="D699" s="2" t="s">
        <v>373</v>
      </c>
      <c r="E699" t="s">
        <v>523</v>
      </c>
      <c r="F699" s="11">
        <v>43678</v>
      </c>
      <c r="G699" s="2">
        <f>VLOOKUP(E699,Produtos!$A:$E,5,FALSE)</f>
        <v>500</v>
      </c>
      <c r="H699" s="2">
        <f>VLOOKUP(E699,Produtos!$A:$E,4,FALSE)</f>
        <v>200</v>
      </c>
      <c r="I699" s="2">
        <v>4</v>
      </c>
    </row>
    <row r="700" spans="1:9" x14ac:dyDescent="0.25">
      <c r="A700" s="2" t="str">
        <f>CONCATENATE(Códigos!S699,Códigos!T699,Códigos!U699)</f>
        <v>svv698v</v>
      </c>
      <c r="B700" t="s">
        <v>409</v>
      </c>
      <c r="C700" t="s">
        <v>372</v>
      </c>
      <c r="D700" s="2" t="s">
        <v>373</v>
      </c>
      <c r="E700" t="s">
        <v>523</v>
      </c>
      <c r="F700" s="11">
        <v>43679</v>
      </c>
      <c r="G700" s="2">
        <f>VLOOKUP(E700,Produtos!$A:$E,5,FALSE)</f>
        <v>500</v>
      </c>
      <c r="H700" s="2">
        <f>VLOOKUP(E700,Produtos!$A:$E,4,FALSE)</f>
        <v>200</v>
      </c>
      <c r="I700" s="2">
        <v>4</v>
      </c>
    </row>
    <row r="701" spans="1:9" x14ac:dyDescent="0.25">
      <c r="A701" s="2" t="str">
        <f>CONCATENATE(Códigos!S700,Códigos!T700,Códigos!U700)</f>
        <v>svv699v</v>
      </c>
      <c r="B701" t="s">
        <v>409</v>
      </c>
      <c r="C701" t="s">
        <v>372</v>
      </c>
      <c r="D701" s="2" t="s">
        <v>373</v>
      </c>
      <c r="E701" t="s">
        <v>523</v>
      </c>
      <c r="F701" s="11">
        <v>43680</v>
      </c>
      <c r="G701" s="2">
        <f>VLOOKUP(E701,Produtos!$A:$E,5,FALSE)</f>
        <v>500</v>
      </c>
      <c r="H701" s="2">
        <f>VLOOKUP(E701,Produtos!$A:$E,4,FALSE)</f>
        <v>200</v>
      </c>
      <c r="I701" s="2">
        <v>4</v>
      </c>
    </row>
    <row r="702" spans="1:9" x14ac:dyDescent="0.25">
      <c r="A702" s="2" t="str">
        <f>CONCATENATE(Códigos!S701,Códigos!T701,Códigos!U701)</f>
        <v>svv700v</v>
      </c>
      <c r="B702" t="s">
        <v>409</v>
      </c>
      <c r="C702" t="s">
        <v>372</v>
      </c>
      <c r="D702" s="2" t="s">
        <v>373</v>
      </c>
      <c r="E702" t="s">
        <v>523</v>
      </c>
      <c r="F702" s="11">
        <v>43681</v>
      </c>
      <c r="G702" s="2">
        <f>VLOOKUP(E702,Produtos!$A:$E,5,FALSE)</f>
        <v>500</v>
      </c>
      <c r="H702" s="2">
        <f>VLOOKUP(E702,Produtos!$A:$E,4,FALSE)</f>
        <v>200</v>
      </c>
      <c r="I702" s="2">
        <v>4</v>
      </c>
    </row>
    <row r="703" spans="1:9" x14ac:dyDescent="0.25">
      <c r="A703" s="2" t="str">
        <f>CONCATENATE(Códigos!S702,Códigos!T702,Códigos!U702)</f>
        <v>svv701v</v>
      </c>
      <c r="B703" t="s">
        <v>409</v>
      </c>
      <c r="C703" t="s">
        <v>372</v>
      </c>
      <c r="D703" s="2" t="s">
        <v>373</v>
      </c>
      <c r="E703" t="s">
        <v>522</v>
      </c>
      <c r="F703" s="11">
        <v>43682</v>
      </c>
      <c r="G703" s="2">
        <f>VLOOKUP(E703,Produtos!$A:$E,5,FALSE)</f>
        <v>800</v>
      </c>
      <c r="H703" s="2">
        <f>VLOOKUP(E703,Produtos!$A:$E,4,FALSE)</f>
        <v>350</v>
      </c>
      <c r="I703" s="2">
        <v>4</v>
      </c>
    </row>
    <row r="704" spans="1:9" x14ac:dyDescent="0.25">
      <c r="A704" s="2" t="str">
        <f>CONCATENATE(Códigos!S703,Códigos!T703,Códigos!U703)</f>
        <v>svv702v</v>
      </c>
      <c r="B704" t="s">
        <v>409</v>
      </c>
      <c r="C704" t="s">
        <v>372</v>
      </c>
      <c r="D704" s="2" t="s">
        <v>373</v>
      </c>
      <c r="E704" t="s">
        <v>522</v>
      </c>
      <c r="F704" s="11">
        <v>43683</v>
      </c>
      <c r="G704" s="2">
        <f>VLOOKUP(E704,Produtos!$A:$E,5,FALSE)</f>
        <v>800</v>
      </c>
      <c r="H704" s="2">
        <f>VLOOKUP(E704,Produtos!$A:$E,4,FALSE)</f>
        <v>350</v>
      </c>
      <c r="I704" s="2">
        <v>4</v>
      </c>
    </row>
    <row r="705" spans="1:9" x14ac:dyDescent="0.25">
      <c r="A705" s="2" t="str">
        <f>CONCATENATE(Códigos!S704,Códigos!T704,Códigos!U704)</f>
        <v>svv703v</v>
      </c>
      <c r="B705" t="s">
        <v>409</v>
      </c>
      <c r="C705" t="s">
        <v>372</v>
      </c>
      <c r="D705" s="2" t="s">
        <v>373</v>
      </c>
      <c r="E705" t="s">
        <v>522</v>
      </c>
      <c r="F705" s="11">
        <v>43684</v>
      </c>
      <c r="G705" s="2">
        <f>VLOOKUP(E705,Produtos!$A:$E,5,FALSE)</f>
        <v>800</v>
      </c>
      <c r="H705" s="2">
        <f>VLOOKUP(E705,Produtos!$A:$E,4,FALSE)</f>
        <v>350</v>
      </c>
      <c r="I705" s="2">
        <v>4</v>
      </c>
    </row>
    <row r="706" spans="1:9" x14ac:dyDescent="0.25">
      <c r="A706" s="2" t="str">
        <f>CONCATENATE(Códigos!S705,Códigos!T705,Códigos!U705)</f>
        <v>svv704v</v>
      </c>
      <c r="B706" t="s">
        <v>409</v>
      </c>
      <c r="C706" t="s">
        <v>372</v>
      </c>
      <c r="D706" s="2" t="s">
        <v>373</v>
      </c>
      <c r="E706" t="s">
        <v>522</v>
      </c>
      <c r="F706" s="11">
        <v>43685</v>
      </c>
      <c r="G706" s="2">
        <f>VLOOKUP(E706,Produtos!$A:$E,5,FALSE)</f>
        <v>800</v>
      </c>
      <c r="H706" s="2">
        <f>VLOOKUP(E706,Produtos!$A:$E,4,FALSE)</f>
        <v>350</v>
      </c>
      <c r="I706" s="2">
        <v>4</v>
      </c>
    </row>
    <row r="707" spans="1:9" x14ac:dyDescent="0.25">
      <c r="A707" s="2" t="str">
        <f>CONCATENATE(Códigos!S706,Códigos!T706,Códigos!U706)</f>
        <v>svv705v</v>
      </c>
      <c r="B707" t="s">
        <v>409</v>
      </c>
      <c r="C707" t="s">
        <v>372</v>
      </c>
      <c r="D707" s="2" t="s">
        <v>373</v>
      </c>
      <c r="E707" t="s">
        <v>522</v>
      </c>
      <c r="F707" s="11">
        <v>43686</v>
      </c>
      <c r="G707" s="2">
        <f>VLOOKUP(E707,Produtos!$A:$E,5,FALSE)</f>
        <v>800</v>
      </c>
      <c r="H707" s="2">
        <f>VLOOKUP(E707,Produtos!$A:$E,4,FALSE)</f>
        <v>350</v>
      </c>
      <c r="I707" s="2">
        <v>4</v>
      </c>
    </row>
    <row r="708" spans="1:9" x14ac:dyDescent="0.25">
      <c r="A708" s="2" t="str">
        <f>CONCATENATE(Códigos!S707,Códigos!T707,Códigos!U707)</f>
        <v>svv706v</v>
      </c>
      <c r="B708" t="s">
        <v>409</v>
      </c>
      <c r="C708" t="s">
        <v>372</v>
      </c>
      <c r="D708" s="2" t="s">
        <v>373</v>
      </c>
      <c r="E708" t="s">
        <v>522</v>
      </c>
      <c r="F708" s="11">
        <v>43687</v>
      </c>
      <c r="G708" s="2">
        <f>VLOOKUP(E708,Produtos!$A:$E,5,FALSE)</f>
        <v>800</v>
      </c>
      <c r="H708" s="2">
        <f>VLOOKUP(E708,Produtos!$A:$E,4,FALSE)</f>
        <v>350</v>
      </c>
      <c r="I708" s="2">
        <v>4</v>
      </c>
    </row>
    <row r="709" spans="1:9" x14ac:dyDescent="0.25">
      <c r="A709" s="2" t="str">
        <f>CONCATENATE(Códigos!S708,Códigos!T708,Códigos!U708)</f>
        <v>svv707v</v>
      </c>
      <c r="B709" t="s">
        <v>409</v>
      </c>
      <c r="C709" t="s">
        <v>372</v>
      </c>
      <c r="D709" s="2" t="s">
        <v>373</v>
      </c>
      <c r="E709" t="s">
        <v>522</v>
      </c>
      <c r="F709" s="11">
        <v>43688</v>
      </c>
      <c r="G709" s="2">
        <f>VLOOKUP(E709,Produtos!$A:$E,5,FALSE)</f>
        <v>800</v>
      </c>
      <c r="H709" s="2">
        <f>VLOOKUP(E709,Produtos!$A:$E,4,FALSE)</f>
        <v>350</v>
      </c>
      <c r="I709" s="2">
        <v>4</v>
      </c>
    </row>
    <row r="710" spans="1:9" x14ac:dyDescent="0.25">
      <c r="A710" s="2" t="str">
        <f>CONCATENATE(Códigos!S709,Códigos!T709,Códigos!U709)</f>
        <v>svv708v</v>
      </c>
      <c r="B710" t="s">
        <v>409</v>
      </c>
      <c r="C710" t="s">
        <v>372</v>
      </c>
      <c r="D710" s="2" t="s">
        <v>373</v>
      </c>
      <c r="E710" t="s">
        <v>522</v>
      </c>
      <c r="F710" s="11">
        <v>43689</v>
      </c>
      <c r="G710" s="2">
        <f>VLOOKUP(E710,Produtos!$A:$E,5,FALSE)</f>
        <v>800</v>
      </c>
      <c r="H710" s="2">
        <f>VLOOKUP(E710,Produtos!$A:$E,4,FALSE)</f>
        <v>350</v>
      </c>
      <c r="I710" s="2">
        <v>4</v>
      </c>
    </row>
    <row r="711" spans="1:9" x14ac:dyDescent="0.25">
      <c r="A711" s="2" t="str">
        <f>CONCATENATE(Códigos!S710,Códigos!T710,Códigos!U710)</f>
        <v>svv709v</v>
      </c>
      <c r="B711" t="s">
        <v>409</v>
      </c>
      <c r="C711" t="s">
        <v>372</v>
      </c>
      <c r="D711" s="2" t="s">
        <v>373</v>
      </c>
      <c r="E711" t="s">
        <v>522</v>
      </c>
      <c r="F711" s="11">
        <v>43690</v>
      </c>
      <c r="G711" s="2">
        <f>VLOOKUP(E711,Produtos!$A:$E,5,FALSE)</f>
        <v>800</v>
      </c>
      <c r="H711" s="2">
        <f>VLOOKUP(E711,Produtos!$A:$E,4,FALSE)</f>
        <v>350</v>
      </c>
      <c r="I711" s="2">
        <v>4</v>
      </c>
    </row>
    <row r="712" spans="1:9" x14ac:dyDescent="0.25">
      <c r="A712" s="2" t="str">
        <f>CONCATENATE(Códigos!S711,Códigos!T711,Códigos!U711)</f>
        <v>svv710v</v>
      </c>
      <c r="B712" t="s">
        <v>409</v>
      </c>
      <c r="C712" t="s">
        <v>372</v>
      </c>
      <c r="D712" s="2" t="s">
        <v>373</v>
      </c>
      <c r="E712" t="s">
        <v>522</v>
      </c>
      <c r="F712" s="11">
        <v>43691</v>
      </c>
      <c r="G712" s="2">
        <f>VLOOKUP(E712,Produtos!$A:$E,5,FALSE)</f>
        <v>800</v>
      </c>
      <c r="H712" s="2">
        <f>VLOOKUP(E712,Produtos!$A:$E,4,FALSE)</f>
        <v>350</v>
      </c>
      <c r="I712" s="2">
        <v>4</v>
      </c>
    </row>
    <row r="713" spans="1:9" x14ac:dyDescent="0.25">
      <c r="A713" s="2" t="str">
        <f>CONCATENATE(Códigos!S712,Códigos!T712,Códigos!U712)</f>
        <v>svv711v</v>
      </c>
      <c r="B713" t="s">
        <v>409</v>
      </c>
      <c r="C713" t="s">
        <v>372</v>
      </c>
      <c r="D713" s="2" t="s">
        <v>373</v>
      </c>
      <c r="E713" t="s">
        <v>522</v>
      </c>
      <c r="F713" s="11">
        <v>43692</v>
      </c>
      <c r="G713" s="2">
        <f>VLOOKUP(E713,Produtos!$A:$E,5,FALSE)</f>
        <v>800</v>
      </c>
      <c r="H713" s="2">
        <f>VLOOKUP(E713,Produtos!$A:$E,4,FALSE)</f>
        <v>350</v>
      </c>
      <c r="I713" s="2">
        <v>4</v>
      </c>
    </row>
    <row r="714" spans="1:9" x14ac:dyDescent="0.25">
      <c r="A714" s="2" t="str">
        <f>CONCATENATE(Códigos!S713,Códigos!T713,Códigos!U713)</f>
        <v>svv712v</v>
      </c>
      <c r="B714" t="s">
        <v>409</v>
      </c>
      <c r="C714" t="s">
        <v>372</v>
      </c>
      <c r="D714" s="2" t="s">
        <v>373</v>
      </c>
      <c r="E714" t="s">
        <v>522</v>
      </c>
      <c r="F714" s="11">
        <v>43693</v>
      </c>
      <c r="G714" s="2">
        <f>VLOOKUP(E714,Produtos!$A:$E,5,FALSE)</f>
        <v>800</v>
      </c>
      <c r="H714" s="2">
        <f>VLOOKUP(E714,Produtos!$A:$E,4,FALSE)</f>
        <v>350</v>
      </c>
      <c r="I714" s="2">
        <v>4</v>
      </c>
    </row>
    <row r="715" spans="1:9" x14ac:dyDescent="0.25">
      <c r="A715" s="2" t="str">
        <f>CONCATENATE(Códigos!S714,Códigos!T714,Códigos!U714)</f>
        <v>svv713v</v>
      </c>
      <c r="B715" t="s">
        <v>409</v>
      </c>
      <c r="C715" t="s">
        <v>372</v>
      </c>
      <c r="D715" s="2" t="s">
        <v>373</v>
      </c>
      <c r="E715" t="s">
        <v>522</v>
      </c>
      <c r="F715" s="11">
        <v>43694</v>
      </c>
      <c r="G715" s="2">
        <f>VLOOKUP(E715,Produtos!$A:$E,5,FALSE)</f>
        <v>800</v>
      </c>
      <c r="H715" s="2">
        <f>VLOOKUP(E715,Produtos!$A:$E,4,FALSE)</f>
        <v>350</v>
      </c>
      <c r="I715" s="2">
        <v>4</v>
      </c>
    </row>
    <row r="716" spans="1:9" x14ac:dyDescent="0.25">
      <c r="A716" s="2" t="str">
        <f>CONCATENATE(Códigos!S715,Códigos!T715,Códigos!U715)</f>
        <v>svv714v</v>
      </c>
      <c r="B716" t="s">
        <v>409</v>
      </c>
      <c r="C716" t="s">
        <v>372</v>
      </c>
      <c r="D716" s="2" t="s">
        <v>373</v>
      </c>
      <c r="E716" t="s">
        <v>522</v>
      </c>
      <c r="F716" s="11">
        <v>43695</v>
      </c>
      <c r="G716" s="2">
        <f>VLOOKUP(E716,Produtos!$A:$E,5,FALSE)</f>
        <v>800</v>
      </c>
      <c r="H716" s="2">
        <f>VLOOKUP(E716,Produtos!$A:$E,4,FALSE)</f>
        <v>350</v>
      </c>
      <c r="I716" s="2">
        <v>4</v>
      </c>
    </row>
    <row r="717" spans="1:9" x14ac:dyDescent="0.25">
      <c r="A717" s="2" t="str">
        <f>CONCATENATE(Códigos!S716,Códigos!T716,Códigos!U716)</f>
        <v>svv715v</v>
      </c>
      <c r="B717" t="s">
        <v>409</v>
      </c>
      <c r="C717" t="s">
        <v>372</v>
      </c>
      <c r="D717" s="2" t="s">
        <v>373</v>
      </c>
      <c r="E717" t="s">
        <v>522</v>
      </c>
      <c r="F717" s="11">
        <v>43696</v>
      </c>
      <c r="G717" s="2">
        <f>VLOOKUP(E717,Produtos!$A:$E,5,FALSE)</f>
        <v>800</v>
      </c>
      <c r="H717" s="2">
        <f>VLOOKUP(E717,Produtos!$A:$E,4,FALSE)</f>
        <v>350</v>
      </c>
      <c r="I717" s="2">
        <v>4</v>
      </c>
    </row>
    <row r="718" spans="1:9" x14ac:dyDescent="0.25">
      <c r="A718" s="2" t="str">
        <f>CONCATENATE(Códigos!S717,Códigos!T717,Códigos!U717)</f>
        <v>svv716v</v>
      </c>
      <c r="B718" t="s">
        <v>409</v>
      </c>
      <c r="C718" t="s">
        <v>372</v>
      </c>
      <c r="D718" s="2" t="s">
        <v>373</v>
      </c>
      <c r="E718" t="s">
        <v>522</v>
      </c>
      <c r="F718" s="11">
        <v>43697</v>
      </c>
      <c r="G718" s="2">
        <f>VLOOKUP(E718,Produtos!$A:$E,5,FALSE)</f>
        <v>800</v>
      </c>
      <c r="H718" s="2">
        <f>VLOOKUP(E718,Produtos!$A:$E,4,FALSE)</f>
        <v>350</v>
      </c>
      <c r="I718" s="2">
        <v>4</v>
      </c>
    </row>
    <row r="719" spans="1:9" x14ac:dyDescent="0.25">
      <c r="A719" s="2" t="str">
        <f>CONCATENATE(Códigos!S718,Códigos!T718,Códigos!U718)</f>
        <v>svv717v</v>
      </c>
      <c r="B719" t="s">
        <v>409</v>
      </c>
      <c r="C719" t="s">
        <v>372</v>
      </c>
      <c r="D719" s="2" t="s">
        <v>373</v>
      </c>
      <c r="E719" t="s">
        <v>522</v>
      </c>
      <c r="F719" s="11">
        <v>43698</v>
      </c>
      <c r="G719" s="2">
        <f>VLOOKUP(E719,Produtos!$A:$E,5,FALSE)</f>
        <v>800</v>
      </c>
      <c r="H719" s="2">
        <f>VLOOKUP(E719,Produtos!$A:$E,4,FALSE)</f>
        <v>350</v>
      </c>
      <c r="I719" s="2">
        <v>4</v>
      </c>
    </row>
    <row r="720" spans="1:9" x14ac:dyDescent="0.25">
      <c r="A720" s="2" t="str">
        <f>CONCATENATE(Códigos!S719,Códigos!T719,Códigos!U719)</f>
        <v>svv718v</v>
      </c>
      <c r="B720" t="s">
        <v>409</v>
      </c>
      <c r="C720" t="s">
        <v>372</v>
      </c>
      <c r="D720" s="2" t="s">
        <v>373</v>
      </c>
      <c r="E720" t="s">
        <v>522</v>
      </c>
      <c r="F720" s="11">
        <v>43699</v>
      </c>
      <c r="G720" s="2">
        <f>VLOOKUP(E720,Produtos!$A:$E,5,FALSE)</f>
        <v>800</v>
      </c>
      <c r="H720" s="2">
        <f>VLOOKUP(E720,Produtos!$A:$E,4,FALSE)</f>
        <v>350</v>
      </c>
      <c r="I720" s="2">
        <v>4</v>
      </c>
    </row>
    <row r="721" spans="1:9" x14ac:dyDescent="0.25">
      <c r="A721" s="2" t="str">
        <f>CONCATENATE(Códigos!S720,Códigos!T720,Códigos!U720)</f>
        <v>svv719v</v>
      </c>
      <c r="B721" t="s">
        <v>407</v>
      </c>
      <c r="C721" t="s">
        <v>372</v>
      </c>
      <c r="D721" s="2" t="s">
        <v>373</v>
      </c>
      <c r="E721" t="s">
        <v>522</v>
      </c>
      <c r="F721" s="11">
        <v>43700</v>
      </c>
      <c r="G721" s="2">
        <f>VLOOKUP(E721,Produtos!$A:$E,5,FALSE)</f>
        <v>800</v>
      </c>
      <c r="H721" s="2">
        <f>VLOOKUP(E721,Produtos!$A:$E,4,FALSE)</f>
        <v>350</v>
      </c>
      <c r="I721" s="2">
        <v>4</v>
      </c>
    </row>
    <row r="722" spans="1:9" x14ac:dyDescent="0.25">
      <c r="A722" s="2" t="str">
        <f>CONCATENATE(Códigos!S721,Códigos!T721,Códigos!U721)</f>
        <v>svv720v</v>
      </c>
      <c r="B722" t="s">
        <v>407</v>
      </c>
      <c r="C722" t="s">
        <v>372</v>
      </c>
      <c r="D722" s="2" t="s">
        <v>373</v>
      </c>
      <c r="E722" t="s">
        <v>522</v>
      </c>
      <c r="F722" s="11">
        <v>43701</v>
      </c>
      <c r="G722" s="2">
        <f>VLOOKUP(E722,Produtos!$A:$E,5,FALSE)</f>
        <v>800</v>
      </c>
      <c r="H722" s="2">
        <f>VLOOKUP(E722,Produtos!$A:$E,4,FALSE)</f>
        <v>350</v>
      </c>
      <c r="I722" s="2">
        <v>4</v>
      </c>
    </row>
    <row r="723" spans="1:9" x14ac:dyDescent="0.25">
      <c r="A723" s="2" t="str">
        <f>CONCATENATE(Códigos!S722,Códigos!T722,Códigos!U722)</f>
        <v>svv721v</v>
      </c>
      <c r="B723" t="s">
        <v>407</v>
      </c>
      <c r="C723" t="s">
        <v>372</v>
      </c>
      <c r="D723" s="2" t="s">
        <v>373</v>
      </c>
      <c r="E723" t="s">
        <v>522</v>
      </c>
      <c r="F723" s="11">
        <v>43702</v>
      </c>
      <c r="G723" s="2">
        <f>VLOOKUP(E723,Produtos!$A:$E,5,FALSE)</f>
        <v>800</v>
      </c>
      <c r="H723" s="2">
        <f>VLOOKUP(E723,Produtos!$A:$E,4,FALSE)</f>
        <v>350</v>
      </c>
      <c r="I723" s="2">
        <v>4</v>
      </c>
    </row>
    <row r="724" spans="1:9" x14ac:dyDescent="0.25">
      <c r="A724" s="2" t="str">
        <f>CONCATENATE(Códigos!S723,Códigos!T723,Códigos!U723)</f>
        <v>svv722v</v>
      </c>
      <c r="B724" t="s">
        <v>407</v>
      </c>
      <c r="C724" t="s">
        <v>372</v>
      </c>
      <c r="D724" s="2" t="s">
        <v>373</v>
      </c>
      <c r="E724" t="s">
        <v>522</v>
      </c>
      <c r="F724" s="11">
        <v>43703</v>
      </c>
      <c r="G724" s="2">
        <f>VLOOKUP(E724,Produtos!$A:$E,5,FALSE)</f>
        <v>800</v>
      </c>
      <c r="H724" s="2">
        <f>VLOOKUP(E724,Produtos!$A:$E,4,FALSE)</f>
        <v>350</v>
      </c>
      <c r="I724" s="2">
        <v>4</v>
      </c>
    </row>
    <row r="725" spans="1:9" x14ac:dyDescent="0.25">
      <c r="A725" s="2" t="str">
        <f>CONCATENATE(Códigos!S724,Códigos!T724,Códigos!U724)</f>
        <v>svv723v</v>
      </c>
      <c r="B725" t="s">
        <v>407</v>
      </c>
      <c r="C725" t="s">
        <v>372</v>
      </c>
      <c r="D725" s="2" t="s">
        <v>373</v>
      </c>
      <c r="E725" t="s">
        <v>522</v>
      </c>
      <c r="F725" s="11">
        <v>43704</v>
      </c>
      <c r="G725" s="2">
        <f>VLOOKUP(E725,Produtos!$A:$E,5,FALSE)</f>
        <v>800</v>
      </c>
      <c r="H725" s="2">
        <f>VLOOKUP(E725,Produtos!$A:$E,4,FALSE)</f>
        <v>350</v>
      </c>
      <c r="I725" s="2">
        <v>4</v>
      </c>
    </row>
    <row r="726" spans="1:9" x14ac:dyDescent="0.25">
      <c r="A726" s="2" t="str">
        <f>CONCATENATE(Códigos!S725,Códigos!T725,Códigos!U725)</f>
        <v>svv724v</v>
      </c>
      <c r="B726" t="s">
        <v>407</v>
      </c>
      <c r="C726" t="s">
        <v>372</v>
      </c>
      <c r="D726" s="2" t="s">
        <v>373</v>
      </c>
      <c r="E726" t="s">
        <v>522</v>
      </c>
      <c r="F726" s="11">
        <v>43705</v>
      </c>
      <c r="G726" s="2">
        <f>VLOOKUP(E726,Produtos!$A:$E,5,FALSE)</f>
        <v>800</v>
      </c>
      <c r="H726" s="2">
        <f>VLOOKUP(E726,Produtos!$A:$E,4,FALSE)</f>
        <v>350</v>
      </c>
      <c r="I726" s="2">
        <v>4</v>
      </c>
    </row>
    <row r="727" spans="1:9" x14ac:dyDescent="0.25">
      <c r="A727" s="2" t="str">
        <f>CONCATENATE(Códigos!S726,Códigos!T726,Códigos!U726)</f>
        <v>svv725v</v>
      </c>
      <c r="B727" t="s">
        <v>407</v>
      </c>
      <c r="C727" t="s">
        <v>372</v>
      </c>
      <c r="D727" s="2" t="s">
        <v>373</v>
      </c>
      <c r="E727" t="s">
        <v>522</v>
      </c>
      <c r="F727" s="11">
        <v>43706</v>
      </c>
      <c r="G727" s="2">
        <f>VLOOKUP(E727,Produtos!$A:$E,5,FALSE)</f>
        <v>800</v>
      </c>
      <c r="H727" s="2">
        <f>VLOOKUP(E727,Produtos!$A:$E,4,FALSE)</f>
        <v>350</v>
      </c>
      <c r="I727" s="2">
        <v>4</v>
      </c>
    </row>
    <row r="728" spans="1:9" x14ac:dyDescent="0.25">
      <c r="A728" s="2" t="str">
        <f>CONCATENATE(Códigos!S727,Códigos!T727,Códigos!U727)</f>
        <v>svv726v</v>
      </c>
      <c r="B728" t="s">
        <v>407</v>
      </c>
      <c r="C728" t="s">
        <v>372</v>
      </c>
      <c r="D728" s="2" t="s">
        <v>373</v>
      </c>
      <c r="E728" t="s">
        <v>522</v>
      </c>
      <c r="F728" s="11">
        <v>43707</v>
      </c>
      <c r="G728" s="2">
        <f>VLOOKUP(E728,Produtos!$A:$E,5,FALSE)</f>
        <v>800</v>
      </c>
      <c r="H728" s="2">
        <f>VLOOKUP(E728,Produtos!$A:$E,4,FALSE)</f>
        <v>350</v>
      </c>
      <c r="I728" s="2">
        <v>4</v>
      </c>
    </row>
    <row r="729" spans="1:9" x14ac:dyDescent="0.25">
      <c r="A729" s="2" t="str">
        <f>CONCATENATE(Códigos!S728,Códigos!T728,Códigos!U728)</f>
        <v>svv727v</v>
      </c>
      <c r="B729" t="s">
        <v>407</v>
      </c>
      <c r="C729" t="s">
        <v>372</v>
      </c>
      <c r="D729" s="2" t="s">
        <v>373</v>
      </c>
      <c r="E729" t="s">
        <v>522</v>
      </c>
      <c r="F729" s="11">
        <v>43708</v>
      </c>
      <c r="G729" s="2">
        <f>VLOOKUP(E729,Produtos!$A:$E,5,FALSE)</f>
        <v>800</v>
      </c>
      <c r="H729" s="2">
        <f>VLOOKUP(E729,Produtos!$A:$E,4,FALSE)</f>
        <v>350</v>
      </c>
      <c r="I729" s="2">
        <v>4</v>
      </c>
    </row>
    <row r="730" spans="1:9" x14ac:dyDescent="0.25">
      <c r="A730" s="2" t="str">
        <f>CONCATENATE(Códigos!S729,Códigos!T729,Códigos!U729)</f>
        <v>svv728v</v>
      </c>
      <c r="B730" t="s">
        <v>407</v>
      </c>
      <c r="C730" t="s">
        <v>372</v>
      </c>
      <c r="D730" s="2" t="s">
        <v>373</v>
      </c>
      <c r="E730" t="s">
        <v>522</v>
      </c>
      <c r="F730" s="11">
        <v>43709</v>
      </c>
      <c r="G730" s="2">
        <f>VLOOKUP(E730,Produtos!$A:$E,5,FALSE)</f>
        <v>800</v>
      </c>
      <c r="H730" s="2">
        <f>VLOOKUP(E730,Produtos!$A:$E,4,FALSE)</f>
        <v>350</v>
      </c>
      <c r="I730" s="2">
        <v>4</v>
      </c>
    </row>
    <row r="731" spans="1:9" x14ac:dyDescent="0.25">
      <c r="A731" s="2" t="str">
        <f>CONCATENATE(Códigos!S730,Códigos!T730,Códigos!U730)</f>
        <v>svv729v</v>
      </c>
      <c r="B731" t="s">
        <v>407</v>
      </c>
      <c r="C731" t="s">
        <v>372</v>
      </c>
      <c r="D731" s="2" t="s">
        <v>373</v>
      </c>
      <c r="E731" t="s">
        <v>522</v>
      </c>
      <c r="F731" s="11">
        <v>43710</v>
      </c>
      <c r="G731" s="2">
        <f>VLOOKUP(E731,Produtos!$A:$E,5,FALSE)</f>
        <v>800</v>
      </c>
      <c r="H731" s="2">
        <f>VLOOKUP(E731,Produtos!$A:$E,4,FALSE)</f>
        <v>350</v>
      </c>
      <c r="I731" s="2">
        <v>4</v>
      </c>
    </row>
    <row r="732" spans="1:9" x14ac:dyDescent="0.25">
      <c r="A732" s="2" t="str">
        <f>CONCATENATE(Códigos!S731,Códigos!T731,Códigos!U731)</f>
        <v>svv730v</v>
      </c>
      <c r="B732" t="s">
        <v>407</v>
      </c>
      <c r="C732" t="s">
        <v>372</v>
      </c>
      <c r="D732" s="2" t="s">
        <v>373</v>
      </c>
      <c r="E732" t="s">
        <v>522</v>
      </c>
      <c r="F732" s="11">
        <v>43711</v>
      </c>
      <c r="G732" s="2">
        <f>VLOOKUP(E732,Produtos!$A:$E,5,FALSE)</f>
        <v>800</v>
      </c>
      <c r="H732" s="2">
        <f>VLOOKUP(E732,Produtos!$A:$E,4,FALSE)</f>
        <v>350</v>
      </c>
      <c r="I732" s="2">
        <v>4</v>
      </c>
    </row>
    <row r="733" spans="1:9" x14ac:dyDescent="0.25">
      <c r="A733" s="2" t="str">
        <f>CONCATENATE(Códigos!S732,Códigos!T732,Códigos!U732)</f>
        <v>svv731v</v>
      </c>
      <c r="B733" t="s">
        <v>407</v>
      </c>
      <c r="C733" t="s">
        <v>372</v>
      </c>
      <c r="D733" s="2" t="s">
        <v>373</v>
      </c>
      <c r="E733" t="s">
        <v>522</v>
      </c>
      <c r="F733" s="11">
        <v>43712</v>
      </c>
      <c r="G733" s="2">
        <f>VLOOKUP(E733,Produtos!$A:$E,5,FALSE)</f>
        <v>800</v>
      </c>
      <c r="H733" s="2">
        <f>VLOOKUP(E733,Produtos!$A:$E,4,FALSE)</f>
        <v>350</v>
      </c>
      <c r="I733" s="2">
        <v>4</v>
      </c>
    </row>
    <row r="734" spans="1:9" x14ac:dyDescent="0.25">
      <c r="A734" s="2" t="str">
        <f>CONCATENATE(Códigos!S733,Códigos!T733,Códigos!U733)</f>
        <v>svv732v</v>
      </c>
      <c r="B734" t="s">
        <v>407</v>
      </c>
      <c r="C734" t="s">
        <v>372</v>
      </c>
      <c r="D734" s="2" t="s">
        <v>373</v>
      </c>
      <c r="E734" t="s">
        <v>522</v>
      </c>
      <c r="F734" s="11">
        <v>43713</v>
      </c>
      <c r="G734" s="2">
        <f>VLOOKUP(E734,Produtos!$A:$E,5,FALSE)</f>
        <v>800</v>
      </c>
      <c r="H734" s="2">
        <f>VLOOKUP(E734,Produtos!$A:$E,4,FALSE)</f>
        <v>350</v>
      </c>
      <c r="I734" s="2">
        <v>4</v>
      </c>
    </row>
    <row r="735" spans="1:9" x14ac:dyDescent="0.25">
      <c r="A735" s="2" t="str">
        <f>CONCATENATE(Códigos!S734,Códigos!T734,Códigos!U734)</f>
        <v>svv733v</v>
      </c>
      <c r="B735" t="s">
        <v>407</v>
      </c>
      <c r="C735" t="s">
        <v>372</v>
      </c>
      <c r="D735" s="2" t="s">
        <v>373</v>
      </c>
      <c r="E735" t="s">
        <v>522</v>
      </c>
      <c r="F735" s="11">
        <v>43714</v>
      </c>
      <c r="G735" s="2">
        <f>VLOOKUP(E735,Produtos!$A:$E,5,FALSE)</f>
        <v>800</v>
      </c>
      <c r="H735" s="2">
        <f>VLOOKUP(E735,Produtos!$A:$E,4,FALSE)</f>
        <v>350</v>
      </c>
      <c r="I735" s="2">
        <v>4</v>
      </c>
    </row>
    <row r="736" spans="1:9" x14ac:dyDescent="0.25">
      <c r="A736" s="2" t="str">
        <f>CONCATENATE(Códigos!S735,Códigos!T735,Códigos!U735)</f>
        <v>svv734v</v>
      </c>
      <c r="B736" t="s">
        <v>407</v>
      </c>
      <c r="C736" t="s">
        <v>372</v>
      </c>
      <c r="D736" s="2" t="s">
        <v>373</v>
      </c>
      <c r="E736" t="s">
        <v>522</v>
      </c>
      <c r="F736" s="11">
        <v>43715</v>
      </c>
      <c r="G736" s="2">
        <f>VLOOKUP(E736,Produtos!$A:$E,5,FALSE)</f>
        <v>800</v>
      </c>
      <c r="H736" s="2">
        <f>VLOOKUP(E736,Produtos!$A:$E,4,FALSE)</f>
        <v>350</v>
      </c>
      <c r="I736" s="2">
        <v>4</v>
      </c>
    </row>
    <row r="737" spans="1:9" x14ac:dyDescent="0.25">
      <c r="A737" s="2" t="str">
        <f>CONCATENATE(Códigos!S736,Códigos!T736,Códigos!U736)</f>
        <v>svv735v</v>
      </c>
      <c r="B737" t="s">
        <v>407</v>
      </c>
      <c r="C737" t="s">
        <v>372</v>
      </c>
      <c r="D737" s="2" t="s">
        <v>373</v>
      </c>
      <c r="E737" t="s">
        <v>522</v>
      </c>
      <c r="F737" s="11">
        <v>43716</v>
      </c>
      <c r="G737" s="2">
        <f>VLOOKUP(E737,Produtos!$A:$E,5,FALSE)</f>
        <v>800</v>
      </c>
      <c r="H737" s="2">
        <f>VLOOKUP(E737,Produtos!$A:$E,4,FALSE)</f>
        <v>350</v>
      </c>
      <c r="I737" s="2">
        <v>4</v>
      </c>
    </row>
    <row r="738" spans="1:9" x14ac:dyDescent="0.25">
      <c r="A738" s="2" t="str">
        <f>CONCATENATE(Códigos!S737,Códigos!T737,Códigos!U737)</f>
        <v>svv736v</v>
      </c>
      <c r="B738" t="s">
        <v>407</v>
      </c>
      <c r="C738" t="s">
        <v>372</v>
      </c>
      <c r="D738" s="2" t="s">
        <v>373</v>
      </c>
      <c r="E738" t="s">
        <v>522</v>
      </c>
      <c r="F738" s="11">
        <v>43717</v>
      </c>
      <c r="G738" s="2">
        <f>VLOOKUP(E738,Produtos!$A:$E,5,FALSE)</f>
        <v>800</v>
      </c>
      <c r="H738" s="2">
        <f>VLOOKUP(E738,Produtos!$A:$E,4,FALSE)</f>
        <v>350</v>
      </c>
      <c r="I738" s="2">
        <v>4</v>
      </c>
    </row>
    <row r="739" spans="1:9" x14ac:dyDescent="0.25">
      <c r="A739" s="2" t="str">
        <f>CONCATENATE(Códigos!S738,Códigos!T738,Códigos!U738)</f>
        <v>svv737v</v>
      </c>
      <c r="B739" t="s">
        <v>407</v>
      </c>
      <c r="C739" t="s">
        <v>372</v>
      </c>
      <c r="D739" s="2" t="s">
        <v>373</v>
      </c>
      <c r="E739" t="s">
        <v>522</v>
      </c>
      <c r="F739" s="11">
        <v>43718</v>
      </c>
      <c r="G739" s="2">
        <f>VLOOKUP(E739,Produtos!$A:$E,5,FALSE)</f>
        <v>800</v>
      </c>
      <c r="H739" s="2">
        <f>VLOOKUP(E739,Produtos!$A:$E,4,FALSE)</f>
        <v>350</v>
      </c>
      <c r="I739" s="2">
        <v>4</v>
      </c>
    </row>
    <row r="740" spans="1:9" x14ac:dyDescent="0.25">
      <c r="A740" s="2" t="str">
        <f>CONCATENATE(Códigos!S739,Códigos!T739,Códigos!U739)</f>
        <v>svv738v</v>
      </c>
      <c r="B740" t="s">
        <v>407</v>
      </c>
      <c r="C740" t="s">
        <v>372</v>
      </c>
      <c r="D740" s="2" t="s">
        <v>373</v>
      </c>
      <c r="E740" t="s">
        <v>522</v>
      </c>
      <c r="F740" s="11">
        <v>43719</v>
      </c>
      <c r="G740" s="2">
        <f>VLOOKUP(E740,Produtos!$A:$E,5,FALSE)</f>
        <v>800</v>
      </c>
      <c r="H740" s="2">
        <f>VLOOKUP(E740,Produtos!$A:$E,4,FALSE)</f>
        <v>350</v>
      </c>
      <c r="I740" s="2">
        <v>4</v>
      </c>
    </row>
    <row r="741" spans="1:9" x14ac:dyDescent="0.25">
      <c r="A741" s="2" t="str">
        <f>CONCATENATE(Códigos!S740,Códigos!T740,Códigos!U740)</f>
        <v>svv739v</v>
      </c>
      <c r="B741" t="s">
        <v>407</v>
      </c>
      <c r="C741" t="s">
        <v>372</v>
      </c>
      <c r="D741" s="2" t="s">
        <v>373</v>
      </c>
      <c r="E741" t="s">
        <v>522</v>
      </c>
      <c r="F741" s="11">
        <v>43720</v>
      </c>
      <c r="G741" s="2">
        <f>VLOOKUP(E741,Produtos!$A:$E,5,FALSE)</f>
        <v>800</v>
      </c>
      <c r="H741" s="2">
        <f>VLOOKUP(E741,Produtos!$A:$E,4,FALSE)</f>
        <v>350</v>
      </c>
      <c r="I741" s="2">
        <v>4</v>
      </c>
    </row>
    <row r="742" spans="1:9" x14ac:dyDescent="0.25">
      <c r="A742" s="2" t="str">
        <f>CONCATENATE(Códigos!S741,Códigos!T741,Códigos!U741)</f>
        <v>svv740v</v>
      </c>
      <c r="B742" t="s">
        <v>407</v>
      </c>
      <c r="C742" t="s">
        <v>372</v>
      </c>
      <c r="D742" s="2" t="s">
        <v>373</v>
      </c>
      <c r="E742" t="s">
        <v>522</v>
      </c>
      <c r="F742" s="11">
        <v>43721</v>
      </c>
      <c r="G742" s="2">
        <f>VLOOKUP(E742,Produtos!$A:$E,5,FALSE)</f>
        <v>800</v>
      </c>
      <c r="H742" s="2">
        <f>VLOOKUP(E742,Produtos!$A:$E,4,FALSE)</f>
        <v>350</v>
      </c>
      <c r="I742" s="2">
        <v>4</v>
      </c>
    </row>
    <row r="743" spans="1:9" x14ac:dyDescent="0.25">
      <c r="A743" s="2" t="str">
        <f>CONCATENATE(Códigos!S742,Códigos!T742,Códigos!U742)</f>
        <v>svv741v</v>
      </c>
      <c r="B743" t="s">
        <v>407</v>
      </c>
      <c r="C743" t="s">
        <v>372</v>
      </c>
      <c r="D743" s="2" t="s">
        <v>373</v>
      </c>
      <c r="E743" t="s">
        <v>522</v>
      </c>
      <c r="F743" s="11">
        <v>43722</v>
      </c>
      <c r="G743" s="2">
        <f>VLOOKUP(E743,Produtos!$A:$E,5,FALSE)</f>
        <v>800</v>
      </c>
      <c r="H743" s="2">
        <f>VLOOKUP(E743,Produtos!$A:$E,4,FALSE)</f>
        <v>350</v>
      </c>
      <c r="I743" s="2">
        <v>4</v>
      </c>
    </row>
    <row r="744" spans="1:9" x14ac:dyDescent="0.25">
      <c r="A744" s="2" t="str">
        <f>CONCATENATE(Códigos!S743,Códigos!T743,Códigos!U743)</f>
        <v>svv742v</v>
      </c>
      <c r="B744" t="s">
        <v>407</v>
      </c>
      <c r="C744" t="s">
        <v>372</v>
      </c>
      <c r="D744" s="2" t="s">
        <v>373</v>
      </c>
      <c r="E744" t="s">
        <v>522</v>
      </c>
      <c r="F744" s="11">
        <v>43723</v>
      </c>
      <c r="G744" s="2">
        <f>VLOOKUP(E744,Produtos!$A:$E,5,FALSE)</f>
        <v>800</v>
      </c>
      <c r="H744" s="2">
        <f>VLOOKUP(E744,Produtos!$A:$E,4,FALSE)</f>
        <v>350</v>
      </c>
      <c r="I744" s="2">
        <v>4</v>
      </c>
    </row>
    <row r="745" spans="1:9" x14ac:dyDescent="0.25">
      <c r="A745" s="2" t="str">
        <f>CONCATENATE(Códigos!S744,Códigos!T744,Códigos!U744)</f>
        <v>svv743v</v>
      </c>
      <c r="B745" t="s">
        <v>407</v>
      </c>
      <c r="C745" t="s">
        <v>372</v>
      </c>
      <c r="D745" s="2" t="s">
        <v>373</v>
      </c>
      <c r="E745" t="s">
        <v>522</v>
      </c>
      <c r="F745" s="11">
        <v>43724</v>
      </c>
      <c r="G745" s="2">
        <f>VLOOKUP(E745,Produtos!$A:$E,5,FALSE)</f>
        <v>800</v>
      </c>
      <c r="H745" s="2">
        <f>VLOOKUP(E745,Produtos!$A:$E,4,FALSE)</f>
        <v>350</v>
      </c>
      <c r="I745" s="2">
        <v>4</v>
      </c>
    </row>
    <row r="746" spans="1:9" x14ac:dyDescent="0.25">
      <c r="A746" s="2" t="str">
        <f>CONCATENATE(Códigos!S745,Códigos!T745,Códigos!U745)</f>
        <v>svv744v</v>
      </c>
      <c r="B746" t="s">
        <v>407</v>
      </c>
      <c r="C746" t="s">
        <v>372</v>
      </c>
      <c r="D746" s="2" t="s">
        <v>373</v>
      </c>
      <c r="E746" t="s">
        <v>522</v>
      </c>
      <c r="F746" s="11">
        <v>43725</v>
      </c>
      <c r="G746" s="2">
        <f>VLOOKUP(E746,Produtos!$A:$E,5,FALSE)</f>
        <v>800</v>
      </c>
      <c r="H746" s="2">
        <f>VLOOKUP(E746,Produtos!$A:$E,4,FALSE)</f>
        <v>350</v>
      </c>
      <c r="I746" s="2">
        <v>4</v>
      </c>
    </row>
    <row r="747" spans="1:9" x14ac:dyDescent="0.25">
      <c r="A747" s="2" t="str">
        <f>CONCATENATE(Códigos!S746,Códigos!T746,Códigos!U746)</f>
        <v>svv745v</v>
      </c>
      <c r="B747" t="s">
        <v>407</v>
      </c>
      <c r="C747" t="s">
        <v>372</v>
      </c>
      <c r="D747" s="2" t="s">
        <v>373</v>
      </c>
      <c r="E747" t="s">
        <v>522</v>
      </c>
      <c r="F747" s="11">
        <v>43726</v>
      </c>
      <c r="G747" s="2">
        <f>VLOOKUP(E747,Produtos!$A:$E,5,FALSE)</f>
        <v>800</v>
      </c>
      <c r="H747" s="2">
        <f>VLOOKUP(E747,Produtos!$A:$E,4,FALSE)</f>
        <v>350</v>
      </c>
      <c r="I747" s="2">
        <v>4</v>
      </c>
    </row>
    <row r="748" spans="1:9" x14ac:dyDescent="0.25">
      <c r="A748" s="2" t="str">
        <f>CONCATENATE(Códigos!S747,Códigos!T747,Códigos!U747)</f>
        <v>svv746v</v>
      </c>
      <c r="B748" t="s">
        <v>407</v>
      </c>
      <c r="C748" t="s">
        <v>372</v>
      </c>
      <c r="D748" s="2" t="s">
        <v>373</v>
      </c>
      <c r="E748" t="s">
        <v>522</v>
      </c>
      <c r="F748" s="11">
        <v>43727</v>
      </c>
      <c r="G748" s="2">
        <f>VLOOKUP(E748,Produtos!$A:$E,5,FALSE)</f>
        <v>800</v>
      </c>
      <c r="H748" s="2">
        <f>VLOOKUP(E748,Produtos!$A:$E,4,FALSE)</f>
        <v>350</v>
      </c>
      <c r="I748" s="2">
        <v>4</v>
      </c>
    </row>
    <row r="749" spans="1:9" x14ac:dyDescent="0.25">
      <c r="A749" s="2" t="str">
        <f>CONCATENATE(Códigos!S748,Códigos!T748,Códigos!U748)</f>
        <v>svv747v</v>
      </c>
      <c r="B749" t="s">
        <v>407</v>
      </c>
      <c r="C749" t="s">
        <v>372</v>
      </c>
      <c r="D749" s="2" t="s">
        <v>373</v>
      </c>
      <c r="E749" t="s">
        <v>522</v>
      </c>
      <c r="F749" s="11">
        <v>43728</v>
      </c>
      <c r="G749" s="2">
        <f>VLOOKUP(E749,Produtos!$A:$E,5,FALSE)</f>
        <v>800</v>
      </c>
      <c r="H749" s="2">
        <f>VLOOKUP(E749,Produtos!$A:$E,4,FALSE)</f>
        <v>350</v>
      </c>
      <c r="I749" s="2">
        <v>4</v>
      </c>
    </row>
    <row r="750" spans="1:9" x14ac:dyDescent="0.25">
      <c r="A750" s="2" t="str">
        <f>CONCATENATE(Códigos!S749,Códigos!T749,Códigos!U749)</f>
        <v>svv748v</v>
      </c>
      <c r="B750" t="s">
        <v>407</v>
      </c>
      <c r="C750" t="s">
        <v>510</v>
      </c>
      <c r="D750" s="2" t="s">
        <v>448</v>
      </c>
      <c r="E750" t="s">
        <v>522</v>
      </c>
      <c r="F750" s="11">
        <v>43729</v>
      </c>
      <c r="G750" s="2">
        <f>VLOOKUP(E750,Produtos!$A:$E,5,FALSE)</f>
        <v>800</v>
      </c>
      <c r="H750" s="2">
        <f>VLOOKUP(E750,Produtos!$A:$E,4,FALSE)</f>
        <v>350</v>
      </c>
      <c r="I750" s="2">
        <v>4</v>
      </c>
    </row>
    <row r="751" spans="1:9" x14ac:dyDescent="0.25">
      <c r="A751" s="2" t="str">
        <f>CONCATENATE(Códigos!S750,Códigos!T750,Códigos!U750)</f>
        <v>svv749v</v>
      </c>
      <c r="B751" t="s">
        <v>407</v>
      </c>
      <c r="C751" t="s">
        <v>510</v>
      </c>
      <c r="D751" s="2" t="s">
        <v>448</v>
      </c>
      <c r="E751" t="s">
        <v>513</v>
      </c>
      <c r="F751" s="11">
        <v>43730</v>
      </c>
      <c r="G751" s="2">
        <f>VLOOKUP(E751,Produtos!$A:$E,5,FALSE)</f>
        <v>700</v>
      </c>
      <c r="H751" s="2">
        <f>VLOOKUP(E751,Produtos!$A:$E,4,FALSE)</f>
        <v>350</v>
      </c>
      <c r="I751" s="2">
        <v>4</v>
      </c>
    </row>
    <row r="752" spans="1:9" x14ac:dyDescent="0.25">
      <c r="A752" s="2" t="str">
        <f>CONCATENATE(Códigos!S751,Códigos!T751,Códigos!U751)</f>
        <v>svv750v</v>
      </c>
      <c r="B752" t="s">
        <v>407</v>
      </c>
      <c r="C752" t="s">
        <v>510</v>
      </c>
      <c r="D752" s="2" t="s">
        <v>448</v>
      </c>
      <c r="E752" t="s">
        <v>513</v>
      </c>
      <c r="F752" s="11">
        <v>43731</v>
      </c>
      <c r="G752" s="2">
        <f>VLOOKUP(E752,Produtos!$A:$E,5,FALSE)</f>
        <v>700</v>
      </c>
      <c r="H752" s="2">
        <f>VLOOKUP(E752,Produtos!$A:$E,4,FALSE)</f>
        <v>350</v>
      </c>
      <c r="I752" s="2">
        <v>4</v>
      </c>
    </row>
    <row r="753" spans="1:9" x14ac:dyDescent="0.25">
      <c r="A753" s="2" t="str">
        <f>CONCATENATE(Códigos!S752,Códigos!T752,Códigos!U752)</f>
        <v>svv751v</v>
      </c>
      <c r="B753" t="s">
        <v>407</v>
      </c>
      <c r="C753" t="s">
        <v>510</v>
      </c>
      <c r="D753" s="2" t="s">
        <v>448</v>
      </c>
      <c r="E753" t="s">
        <v>513</v>
      </c>
      <c r="F753" s="11">
        <v>43732</v>
      </c>
      <c r="G753" s="2">
        <f>VLOOKUP(E753,Produtos!$A:$E,5,FALSE)</f>
        <v>700</v>
      </c>
      <c r="H753" s="2">
        <f>VLOOKUP(E753,Produtos!$A:$E,4,FALSE)</f>
        <v>350</v>
      </c>
      <c r="I753" s="2">
        <v>4</v>
      </c>
    </row>
    <row r="754" spans="1:9" x14ac:dyDescent="0.25">
      <c r="A754" s="2" t="str">
        <f>CONCATENATE(Códigos!S753,Códigos!T753,Códigos!U753)</f>
        <v>svv752v</v>
      </c>
      <c r="B754" t="s">
        <v>407</v>
      </c>
      <c r="C754" t="s">
        <v>510</v>
      </c>
      <c r="D754" s="2" t="s">
        <v>448</v>
      </c>
      <c r="E754" t="s">
        <v>513</v>
      </c>
      <c r="F754" s="11">
        <v>43733</v>
      </c>
      <c r="G754" s="2">
        <f>VLOOKUP(E754,Produtos!$A:$E,5,FALSE)</f>
        <v>700</v>
      </c>
      <c r="H754" s="2">
        <f>VLOOKUP(E754,Produtos!$A:$E,4,FALSE)</f>
        <v>350</v>
      </c>
      <c r="I754" s="2">
        <v>4</v>
      </c>
    </row>
    <row r="755" spans="1:9" x14ac:dyDescent="0.25">
      <c r="A755" s="2" t="str">
        <f>CONCATENATE(Códigos!S754,Códigos!T754,Códigos!U754)</f>
        <v>svv753v</v>
      </c>
      <c r="B755" t="s">
        <v>407</v>
      </c>
      <c r="C755" t="s">
        <v>510</v>
      </c>
      <c r="D755" s="2" t="s">
        <v>448</v>
      </c>
      <c r="E755" t="s">
        <v>513</v>
      </c>
      <c r="F755" s="11">
        <v>43734</v>
      </c>
      <c r="G755" s="2">
        <f>VLOOKUP(E755,Produtos!$A:$E,5,FALSE)</f>
        <v>700</v>
      </c>
      <c r="H755" s="2">
        <f>VLOOKUP(E755,Produtos!$A:$E,4,FALSE)</f>
        <v>350</v>
      </c>
      <c r="I755" s="2">
        <v>4</v>
      </c>
    </row>
    <row r="756" spans="1:9" x14ac:dyDescent="0.25">
      <c r="A756" s="2" t="str">
        <f>CONCATENATE(Códigos!S755,Códigos!T755,Códigos!U755)</f>
        <v>svv754v</v>
      </c>
      <c r="B756" t="s">
        <v>407</v>
      </c>
      <c r="C756" t="s">
        <v>510</v>
      </c>
      <c r="D756" s="2" t="s">
        <v>448</v>
      </c>
      <c r="E756" t="s">
        <v>513</v>
      </c>
      <c r="F756" s="11">
        <v>43735</v>
      </c>
      <c r="G756" s="2">
        <f>VLOOKUP(E756,Produtos!$A:$E,5,FALSE)</f>
        <v>700</v>
      </c>
      <c r="H756" s="2">
        <f>VLOOKUP(E756,Produtos!$A:$E,4,FALSE)</f>
        <v>350</v>
      </c>
      <c r="I756" s="2">
        <v>4</v>
      </c>
    </row>
    <row r="757" spans="1:9" x14ac:dyDescent="0.25">
      <c r="A757" s="2" t="str">
        <f>CONCATENATE(Códigos!S756,Códigos!T756,Códigos!U756)</f>
        <v>svv755v</v>
      </c>
      <c r="B757" t="s">
        <v>407</v>
      </c>
      <c r="C757" t="s">
        <v>510</v>
      </c>
      <c r="D757" s="2" t="s">
        <v>448</v>
      </c>
      <c r="E757" t="s">
        <v>513</v>
      </c>
      <c r="F757" s="11">
        <v>43736</v>
      </c>
      <c r="G757" s="2">
        <f>VLOOKUP(E757,Produtos!$A:$E,5,FALSE)</f>
        <v>700</v>
      </c>
      <c r="H757" s="2">
        <f>VLOOKUP(E757,Produtos!$A:$E,4,FALSE)</f>
        <v>350</v>
      </c>
      <c r="I757" s="2">
        <v>4</v>
      </c>
    </row>
    <row r="758" spans="1:9" x14ac:dyDescent="0.25">
      <c r="A758" s="2" t="str">
        <f>CONCATENATE(Códigos!S757,Códigos!T757,Códigos!U757)</f>
        <v>svv756v</v>
      </c>
      <c r="B758" t="s">
        <v>407</v>
      </c>
      <c r="C758" t="s">
        <v>510</v>
      </c>
      <c r="D758" s="2" t="s">
        <v>448</v>
      </c>
      <c r="E758" t="s">
        <v>513</v>
      </c>
      <c r="F758" s="11">
        <v>43737</v>
      </c>
      <c r="G758" s="2">
        <f>VLOOKUP(E758,Produtos!$A:$E,5,FALSE)</f>
        <v>700</v>
      </c>
      <c r="H758" s="2">
        <f>VLOOKUP(E758,Produtos!$A:$E,4,FALSE)</f>
        <v>350</v>
      </c>
      <c r="I758" s="2">
        <v>4</v>
      </c>
    </row>
    <row r="759" spans="1:9" x14ac:dyDescent="0.25">
      <c r="A759" s="2" t="str">
        <f>CONCATENATE(Códigos!S758,Códigos!T758,Códigos!U758)</f>
        <v>svv757v</v>
      </c>
      <c r="B759" t="s">
        <v>407</v>
      </c>
      <c r="C759" t="s">
        <v>510</v>
      </c>
      <c r="D759" s="2" t="s">
        <v>448</v>
      </c>
      <c r="E759" t="s">
        <v>513</v>
      </c>
      <c r="F759" s="11">
        <v>43738</v>
      </c>
      <c r="G759" s="2">
        <f>VLOOKUP(E759,Produtos!$A:$E,5,FALSE)</f>
        <v>700</v>
      </c>
      <c r="H759" s="2">
        <f>VLOOKUP(E759,Produtos!$A:$E,4,FALSE)</f>
        <v>350</v>
      </c>
      <c r="I759" s="2">
        <v>4</v>
      </c>
    </row>
    <row r="760" spans="1:9" x14ac:dyDescent="0.25">
      <c r="A760" s="2" t="str">
        <f>CONCATENATE(Códigos!S759,Códigos!T759,Códigos!U759)</f>
        <v>svv758v</v>
      </c>
      <c r="B760" t="s">
        <v>407</v>
      </c>
      <c r="C760" t="s">
        <v>510</v>
      </c>
      <c r="D760" s="2" t="s">
        <v>448</v>
      </c>
      <c r="E760" t="s">
        <v>513</v>
      </c>
      <c r="F760" s="11">
        <v>43739</v>
      </c>
      <c r="G760" s="2">
        <f>VLOOKUP(E760,Produtos!$A:$E,5,FALSE)</f>
        <v>700</v>
      </c>
      <c r="H760" s="2">
        <f>VLOOKUP(E760,Produtos!$A:$E,4,FALSE)</f>
        <v>350</v>
      </c>
      <c r="I760" s="2">
        <v>4</v>
      </c>
    </row>
    <row r="761" spans="1:9" x14ac:dyDescent="0.25">
      <c r="A761" s="2" t="str">
        <f>CONCATENATE(Códigos!S760,Códigos!T760,Códigos!U760)</f>
        <v>svv759v</v>
      </c>
      <c r="B761" t="s">
        <v>407</v>
      </c>
      <c r="C761" t="s">
        <v>510</v>
      </c>
      <c r="D761" s="2" t="s">
        <v>448</v>
      </c>
      <c r="E761" t="s">
        <v>513</v>
      </c>
      <c r="F761" s="11">
        <v>43740</v>
      </c>
      <c r="G761" s="2">
        <f>VLOOKUP(E761,Produtos!$A:$E,5,FALSE)</f>
        <v>700</v>
      </c>
      <c r="H761" s="2">
        <f>VLOOKUP(E761,Produtos!$A:$E,4,FALSE)</f>
        <v>350</v>
      </c>
      <c r="I761" s="2">
        <v>4</v>
      </c>
    </row>
    <row r="762" spans="1:9" x14ac:dyDescent="0.25">
      <c r="A762" s="2" t="str">
        <f>CONCATENATE(Códigos!S761,Códigos!T761,Códigos!U761)</f>
        <v>svv760v</v>
      </c>
      <c r="B762" t="s">
        <v>407</v>
      </c>
      <c r="C762" t="s">
        <v>510</v>
      </c>
      <c r="D762" s="2" t="s">
        <v>448</v>
      </c>
      <c r="E762" t="s">
        <v>513</v>
      </c>
      <c r="F762" s="11">
        <v>43741</v>
      </c>
      <c r="G762" s="2">
        <f>VLOOKUP(E762,Produtos!$A:$E,5,FALSE)</f>
        <v>700</v>
      </c>
      <c r="H762" s="2">
        <f>VLOOKUP(E762,Produtos!$A:$E,4,FALSE)</f>
        <v>350</v>
      </c>
      <c r="I762" s="2">
        <v>4</v>
      </c>
    </row>
    <row r="763" spans="1:9" x14ac:dyDescent="0.25">
      <c r="A763" s="2" t="str">
        <f>CONCATENATE(Códigos!S762,Códigos!T762,Códigos!U762)</f>
        <v>svv761v</v>
      </c>
      <c r="B763" t="s">
        <v>407</v>
      </c>
      <c r="C763" t="s">
        <v>510</v>
      </c>
      <c r="D763" s="2" t="s">
        <v>448</v>
      </c>
      <c r="E763" t="s">
        <v>513</v>
      </c>
      <c r="F763" s="11">
        <v>43742</v>
      </c>
      <c r="G763" s="2">
        <f>VLOOKUP(E763,Produtos!$A:$E,5,FALSE)</f>
        <v>700</v>
      </c>
      <c r="H763" s="2">
        <f>VLOOKUP(E763,Produtos!$A:$E,4,FALSE)</f>
        <v>350</v>
      </c>
      <c r="I763" s="2">
        <v>4</v>
      </c>
    </row>
    <row r="764" spans="1:9" x14ac:dyDescent="0.25">
      <c r="A764" s="2" t="str">
        <f>CONCATENATE(Códigos!S763,Códigos!T763,Códigos!U763)</f>
        <v>svv762v</v>
      </c>
      <c r="B764" t="s">
        <v>407</v>
      </c>
      <c r="C764" t="s">
        <v>510</v>
      </c>
      <c r="D764" s="2" t="s">
        <v>448</v>
      </c>
      <c r="E764" t="s">
        <v>513</v>
      </c>
      <c r="F764" s="11">
        <v>43743</v>
      </c>
      <c r="G764" s="2">
        <f>VLOOKUP(E764,Produtos!$A:$E,5,FALSE)</f>
        <v>700</v>
      </c>
      <c r="H764" s="2">
        <f>VLOOKUP(E764,Produtos!$A:$E,4,FALSE)</f>
        <v>350</v>
      </c>
      <c r="I764" s="2">
        <v>4</v>
      </c>
    </row>
    <row r="765" spans="1:9" x14ac:dyDescent="0.25">
      <c r="A765" s="2" t="str">
        <f>CONCATENATE(Códigos!S764,Códigos!T764,Códigos!U764)</f>
        <v>svv763v</v>
      </c>
      <c r="B765" t="s">
        <v>407</v>
      </c>
      <c r="C765" t="s">
        <v>510</v>
      </c>
      <c r="D765" s="2" t="s">
        <v>448</v>
      </c>
      <c r="E765" t="s">
        <v>522</v>
      </c>
      <c r="F765" s="11">
        <v>43744</v>
      </c>
      <c r="G765" s="2">
        <f>VLOOKUP(E765,Produtos!$A:$E,5,FALSE)</f>
        <v>800</v>
      </c>
      <c r="H765" s="2">
        <f>VLOOKUP(E765,Produtos!$A:$E,4,FALSE)</f>
        <v>350</v>
      </c>
      <c r="I765" s="2">
        <v>4</v>
      </c>
    </row>
    <row r="766" spans="1:9" x14ac:dyDescent="0.25">
      <c r="A766" s="2" t="str">
        <f>CONCATENATE(Códigos!S765,Códigos!T765,Códigos!U765)</f>
        <v>svv764v</v>
      </c>
      <c r="B766" t="s">
        <v>407</v>
      </c>
      <c r="C766" t="s">
        <v>510</v>
      </c>
      <c r="D766" s="2" t="s">
        <v>448</v>
      </c>
      <c r="E766" t="s">
        <v>522</v>
      </c>
      <c r="F766" s="11">
        <v>43745</v>
      </c>
      <c r="G766" s="2">
        <f>VLOOKUP(E766,Produtos!$A:$E,5,FALSE)</f>
        <v>800</v>
      </c>
      <c r="H766" s="2">
        <f>VLOOKUP(E766,Produtos!$A:$E,4,FALSE)</f>
        <v>350</v>
      </c>
      <c r="I766" s="2">
        <v>4</v>
      </c>
    </row>
    <row r="767" spans="1:9" x14ac:dyDescent="0.25">
      <c r="A767" s="2" t="str">
        <f>CONCATENATE(Códigos!S766,Códigos!T766,Códigos!U766)</f>
        <v>svv765v</v>
      </c>
      <c r="B767" t="s">
        <v>407</v>
      </c>
      <c r="C767" t="s">
        <v>510</v>
      </c>
      <c r="D767" s="2" t="s">
        <v>448</v>
      </c>
      <c r="E767" t="s">
        <v>522</v>
      </c>
      <c r="F767" s="11">
        <v>43746</v>
      </c>
      <c r="G767" s="2">
        <f>VLOOKUP(E767,Produtos!$A:$E,5,FALSE)</f>
        <v>800</v>
      </c>
      <c r="H767" s="2">
        <f>VLOOKUP(E767,Produtos!$A:$E,4,FALSE)</f>
        <v>350</v>
      </c>
      <c r="I767" s="2">
        <v>4</v>
      </c>
    </row>
    <row r="768" spans="1:9" x14ac:dyDescent="0.25">
      <c r="A768" s="2" t="str">
        <f>CONCATENATE(Códigos!S767,Códigos!T767,Códigos!U767)</f>
        <v>svv766v</v>
      </c>
      <c r="B768" t="s">
        <v>407</v>
      </c>
      <c r="C768" t="s">
        <v>510</v>
      </c>
      <c r="D768" s="2" t="s">
        <v>448</v>
      </c>
      <c r="E768" t="s">
        <v>522</v>
      </c>
      <c r="F768" s="11">
        <v>43747</v>
      </c>
      <c r="G768" s="2">
        <f>VLOOKUP(E768,Produtos!$A:$E,5,FALSE)</f>
        <v>800</v>
      </c>
      <c r="H768" s="2">
        <f>VLOOKUP(E768,Produtos!$A:$E,4,FALSE)</f>
        <v>350</v>
      </c>
      <c r="I768" s="2">
        <v>4</v>
      </c>
    </row>
    <row r="769" spans="1:9" x14ac:dyDescent="0.25">
      <c r="A769" s="2" t="str">
        <f>CONCATENATE(Códigos!S768,Códigos!T768,Códigos!U768)</f>
        <v>svv767v</v>
      </c>
      <c r="B769" t="s">
        <v>407</v>
      </c>
      <c r="C769" t="s">
        <v>510</v>
      </c>
      <c r="D769" s="2" t="s">
        <v>448</v>
      </c>
      <c r="E769" t="s">
        <v>522</v>
      </c>
      <c r="F769" s="11">
        <v>43748</v>
      </c>
      <c r="G769" s="2">
        <f>VLOOKUP(E769,Produtos!$A:$E,5,FALSE)</f>
        <v>800</v>
      </c>
      <c r="H769" s="2">
        <f>VLOOKUP(E769,Produtos!$A:$E,4,FALSE)</f>
        <v>350</v>
      </c>
      <c r="I769" s="2">
        <v>4</v>
      </c>
    </row>
    <row r="770" spans="1:9" x14ac:dyDescent="0.25">
      <c r="A770" s="2" t="str">
        <f>CONCATENATE(Códigos!S769,Códigos!T769,Códigos!U769)</f>
        <v>svv768v</v>
      </c>
      <c r="B770" t="s">
        <v>407</v>
      </c>
      <c r="C770" t="s">
        <v>510</v>
      </c>
      <c r="D770" s="2" t="s">
        <v>448</v>
      </c>
      <c r="E770" t="s">
        <v>522</v>
      </c>
      <c r="F770" s="11">
        <v>43749</v>
      </c>
      <c r="G770" s="2">
        <f>VLOOKUP(E770,Produtos!$A:$E,5,FALSE)</f>
        <v>800</v>
      </c>
      <c r="H770" s="2">
        <f>VLOOKUP(E770,Produtos!$A:$E,4,FALSE)</f>
        <v>350</v>
      </c>
      <c r="I770" s="2">
        <v>4</v>
      </c>
    </row>
    <row r="771" spans="1:9" x14ac:dyDescent="0.25">
      <c r="A771" s="2" t="str">
        <f>CONCATENATE(Códigos!S770,Códigos!T770,Códigos!U770)</f>
        <v>svv769v</v>
      </c>
      <c r="B771" t="s">
        <v>407</v>
      </c>
      <c r="C771" t="s">
        <v>510</v>
      </c>
      <c r="D771" s="2" t="s">
        <v>448</v>
      </c>
      <c r="E771" t="s">
        <v>522</v>
      </c>
      <c r="F771" s="11">
        <v>43750</v>
      </c>
      <c r="G771" s="2">
        <f>VLOOKUP(E771,Produtos!$A:$E,5,FALSE)</f>
        <v>800</v>
      </c>
      <c r="H771" s="2">
        <f>VLOOKUP(E771,Produtos!$A:$E,4,FALSE)</f>
        <v>350</v>
      </c>
      <c r="I771" s="2">
        <v>4</v>
      </c>
    </row>
    <row r="772" spans="1:9" x14ac:dyDescent="0.25">
      <c r="A772" s="2" t="str">
        <f>CONCATENATE(Códigos!S771,Códigos!T771,Códigos!U771)</f>
        <v>svv770v</v>
      </c>
      <c r="B772" t="s">
        <v>407</v>
      </c>
      <c r="C772" t="s">
        <v>510</v>
      </c>
      <c r="D772" s="2" t="s">
        <v>448</v>
      </c>
      <c r="E772" t="s">
        <v>522</v>
      </c>
      <c r="F772" s="11">
        <v>43751</v>
      </c>
      <c r="G772" s="2">
        <f>VLOOKUP(E772,Produtos!$A:$E,5,FALSE)</f>
        <v>800</v>
      </c>
      <c r="H772" s="2">
        <f>VLOOKUP(E772,Produtos!$A:$E,4,FALSE)</f>
        <v>350</v>
      </c>
      <c r="I772" s="2">
        <v>4</v>
      </c>
    </row>
    <row r="773" spans="1:9" x14ac:dyDescent="0.25">
      <c r="A773" s="2" t="str">
        <f>CONCATENATE(Códigos!S772,Códigos!T772,Códigos!U772)</f>
        <v>svv771v</v>
      </c>
      <c r="B773" t="s">
        <v>407</v>
      </c>
      <c r="C773" t="s">
        <v>510</v>
      </c>
      <c r="D773" s="2" t="s">
        <v>448</v>
      </c>
      <c r="E773" t="s">
        <v>522</v>
      </c>
      <c r="F773" s="11">
        <v>43752</v>
      </c>
      <c r="G773" s="2">
        <f>VLOOKUP(E773,Produtos!$A:$E,5,FALSE)</f>
        <v>800</v>
      </c>
      <c r="H773" s="2">
        <f>VLOOKUP(E773,Produtos!$A:$E,4,FALSE)</f>
        <v>350</v>
      </c>
      <c r="I773" s="2">
        <v>4</v>
      </c>
    </row>
    <row r="774" spans="1:9" x14ac:dyDescent="0.25">
      <c r="A774" s="2" t="str">
        <f>CONCATENATE(Códigos!S773,Códigos!T773,Códigos!U773)</f>
        <v>svv772v</v>
      </c>
      <c r="B774" t="s">
        <v>407</v>
      </c>
      <c r="C774" t="s">
        <v>510</v>
      </c>
      <c r="D774" s="2" t="s">
        <v>448</v>
      </c>
      <c r="E774" t="s">
        <v>522</v>
      </c>
      <c r="F774" s="11">
        <v>43753</v>
      </c>
      <c r="G774" s="2">
        <f>VLOOKUP(E774,Produtos!$A:$E,5,FALSE)</f>
        <v>800</v>
      </c>
      <c r="H774" s="2">
        <f>VLOOKUP(E774,Produtos!$A:$E,4,FALSE)</f>
        <v>350</v>
      </c>
      <c r="I774" s="2">
        <v>4</v>
      </c>
    </row>
    <row r="775" spans="1:9" x14ac:dyDescent="0.25">
      <c r="A775" s="2" t="str">
        <f>CONCATENATE(Códigos!S774,Códigos!T774,Códigos!U774)</f>
        <v>svv773v</v>
      </c>
      <c r="B775" t="s">
        <v>407</v>
      </c>
      <c r="C775" t="s">
        <v>510</v>
      </c>
      <c r="D775" s="2" t="s">
        <v>448</v>
      </c>
      <c r="E775" t="s">
        <v>522</v>
      </c>
      <c r="F775" s="11">
        <v>43754</v>
      </c>
      <c r="G775" s="2">
        <f>VLOOKUP(E775,Produtos!$A:$E,5,FALSE)</f>
        <v>800</v>
      </c>
      <c r="H775" s="2">
        <f>VLOOKUP(E775,Produtos!$A:$E,4,FALSE)</f>
        <v>350</v>
      </c>
      <c r="I775" s="2">
        <v>4</v>
      </c>
    </row>
    <row r="776" spans="1:9" x14ac:dyDescent="0.25">
      <c r="A776" s="2" t="str">
        <f>CONCATENATE(Códigos!S775,Códigos!T775,Códigos!U775)</f>
        <v>svv774v</v>
      </c>
      <c r="B776" t="s">
        <v>407</v>
      </c>
      <c r="C776" t="s">
        <v>510</v>
      </c>
      <c r="D776" s="2" t="s">
        <v>448</v>
      </c>
      <c r="E776" t="s">
        <v>522</v>
      </c>
      <c r="F776" s="11">
        <v>43755</v>
      </c>
      <c r="G776" s="2">
        <f>VLOOKUP(E776,Produtos!$A:$E,5,FALSE)</f>
        <v>800</v>
      </c>
      <c r="H776" s="2">
        <f>VLOOKUP(E776,Produtos!$A:$E,4,FALSE)</f>
        <v>350</v>
      </c>
      <c r="I776" s="2">
        <v>4</v>
      </c>
    </row>
    <row r="777" spans="1:9" x14ac:dyDescent="0.25">
      <c r="A777" s="2" t="str">
        <f>CONCATENATE(Códigos!S776,Códigos!T776,Códigos!U776)</f>
        <v>svv775v</v>
      </c>
      <c r="B777" t="s">
        <v>407</v>
      </c>
      <c r="C777" t="s">
        <v>510</v>
      </c>
      <c r="D777" s="2" t="s">
        <v>448</v>
      </c>
      <c r="E777" t="s">
        <v>522</v>
      </c>
      <c r="F777" s="11">
        <v>43756</v>
      </c>
      <c r="G777" s="2">
        <f>VLOOKUP(E777,Produtos!$A:$E,5,FALSE)</f>
        <v>800</v>
      </c>
      <c r="H777" s="2">
        <f>VLOOKUP(E777,Produtos!$A:$E,4,FALSE)</f>
        <v>350</v>
      </c>
      <c r="I777" s="2">
        <v>4</v>
      </c>
    </row>
    <row r="778" spans="1:9" x14ac:dyDescent="0.25">
      <c r="A778" s="2" t="str">
        <f>CONCATENATE(Códigos!S777,Códigos!T777,Códigos!U777)</f>
        <v>svv776v</v>
      </c>
      <c r="B778" t="s">
        <v>407</v>
      </c>
      <c r="C778" t="s">
        <v>510</v>
      </c>
      <c r="D778" s="2" t="s">
        <v>448</v>
      </c>
      <c r="E778" t="s">
        <v>522</v>
      </c>
      <c r="F778" s="11">
        <v>43757</v>
      </c>
      <c r="G778" s="2">
        <f>VLOOKUP(E778,Produtos!$A:$E,5,FALSE)</f>
        <v>800</v>
      </c>
      <c r="H778" s="2">
        <f>VLOOKUP(E778,Produtos!$A:$E,4,FALSE)</f>
        <v>350</v>
      </c>
      <c r="I778" s="2">
        <v>4</v>
      </c>
    </row>
    <row r="779" spans="1:9" x14ac:dyDescent="0.25">
      <c r="A779" s="2" t="str">
        <f>CONCATENATE(Códigos!S778,Códigos!T778,Códigos!U778)</f>
        <v>svv777v</v>
      </c>
      <c r="B779" t="s">
        <v>407</v>
      </c>
      <c r="C779" t="s">
        <v>510</v>
      </c>
      <c r="D779" s="2" t="s">
        <v>448</v>
      </c>
      <c r="E779" t="s">
        <v>522</v>
      </c>
      <c r="F779" s="11">
        <v>43758</v>
      </c>
      <c r="G779" s="2">
        <f>VLOOKUP(E779,Produtos!$A:$E,5,FALSE)</f>
        <v>800</v>
      </c>
      <c r="H779" s="2">
        <f>VLOOKUP(E779,Produtos!$A:$E,4,FALSE)</f>
        <v>350</v>
      </c>
      <c r="I779" s="2">
        <v>4</v>
      </c>
    </row>
    <row r="780" spans="1:9" x14ac:dyDescent="0.25">
      <c r="A780" s="2" t="str">
        <f>CONCATENATE(Códigos!S779,Códigos!T779,Códigos!U779)</f>
        <v>svv778v</v>
      </c>
      <c r="B780" t="s">
        <v>407</v>
      </c>
      <c r="C780" t="s">
        <v>510</v>
      </c>
      <c r="D780" s="2" t="s">
        <v>448</v>
      </c>
      <c r="E780" t="s">
        <v>522</v>
      </c>
      <c r="F780" s="11">
        <v>43759</v>
      </c>
      <c r="G780" s="2">
        <f>VLOOKUP(E780,Produtos!$A:$E,5,FALSE)</f>
        <v>800</v>
      </c>
      <c r="H780" s="2">
        <f>VLOOKUP(E780,Produtos!$A:$E,4,FALSE)</f>
        <v>350</v>
      </c>
      <c r="I780" s="2">
        <v>4</v>
      </c>
    </row>
    <row r="781" spans="1:9" x14ac:dyDescent="0.25">
      <c r="A781" s="2" t="str">
        <f>CONCATENATE(Códigos!S780,Códigos!T780,Códigos!U780)</f>
        <v>svv779v</v>
      </c>
      <c r="B781" t="s">
        <v>407</v>
      </c>
      <c r="C781" t="s">
        <v>510</v>
      </c>
      <c r="D781" s="2" t="s">
        <v>448</v>
      </c>
      <c r="E781" t="s">
        <v>522</v>
      </c>
      <c r="F781" s="11">
        <v>43760</v>
      </c>
      <c r="G781" s="2">
        <f>VLOOKUP(E781,Produtos!$A:$E,5,FALSE)</f>
        <v>800</v>
      </c>
      <c r="H781" s="2">
        <f>VLOOKUP(E781,Produtos!$A:$E,4,FALSE)</f>
        <v>350</v>
      </c>
      <c r="I781" s="2">
        <v>4</v>
      </c>
    </row>
    <row r="782" spans="1:9" x14ac:dyDescent="0.25">
      <c r="A782" s="2" t="str">
        <f>CONCATENATE(Códigos!S781,Códigos!T781,Códigos!U781)</f>
        <v>svv780v</v>
      </c>
      <c r="B782" t="s">
        <v>407</v>
      </c>
      <c r="C782" t="s">
        <v>510</v>
      </c>
      <c r="D782" s="2" t="s">
        <v>448</v>
      </c>
      <c r="E782" t="s">
        <v>522</v>
      </c>
      <c r="F782" s="11">
        <v>43761</v>
      </c>
      <c r="G782" s="2">
        <f>VLOOKUP(E782,Produtos!$A:$E,5,FALSE)</f>
        <v>800</v>
      </c>
      <c r="H782" s="2">
        <f>VLOOKUP(E782,Produtos!$A:$E,4,FALSE)</f>
        <v>350</v>
      </c>
      <c r="I782" s="2">
        <v>4</v>
      </c>
    </row>
    <row r="783" spans="1:9" x14ac:dyDescent="0.25">
      <c r="A783" s="2" t="str">
        <f>CONCATENATE(Códigos!S782,Códigos!T782,Códigos!U782)</f>
        <v>svv781v</v>
      </c>
      <c r="B783" t="s">
        <v>407</v>
      </c>
      <c r="C783" t="s">
        <v>510</v>
      </c>
      <c r="D783" s="2" t="s">
        <v>448</v>
      </c>
      <c r="E783" t="s">
        <v>522</v>
      </c>
      <c r="F783" s="11">
        <v>43762</v>
      </c>
      <c r="G783" s="2">
        <f>VLOOKUP(E783,Produtos!$A:$E,5,FALSE)</f>
        <v>800</v>
      </c>
      <c r="H783" s="2">
        <f>VLOOKUP(E783,Produtos!$A:$E,4,FALSE)</f>
        <v>350</v>
      </c>
      <c r="I783" s="2">
        <v>4</v>
      </c>
    </row>
    <row r="784" spans="1:9" x14ac:dyDescent="0.25">
      <c r="A784" s="2" t="str">
        <f>CONCATENATE(Códigos!S783,Códigos!T783,Códigos!U783)</f>
        <v>svv782v</v>
      </c>
      <c r="B784" t="s">
        <v>407</v>
      </c>
      <c r="C784" t="s">
        <v>510</v>
      </c>
      <c r="D784" s="2" t="s">
        <v>448</v>
      </c>
      <c r="E784" t="s">
        <v>522</v>
      </c>
      <c r="F784" s="11">
        <v>43763</v>
      </c>
      <c r="G784" s="2">
        <f>VLOOKUP(E784,Produtos!$A:$E,5,FALSE)</f>
        <v>800</v>
      </c>
      <c r="H784" s="2">
        <f>VLOOKUP(E784,Produtos!$A:$E,4,FALSE)</f>
        <v>350</v>
      </c>
      <c r="I784" s="2">
        <v>4</v>
      </c>
    </row>
    <row r="785" spans="1:9" x14ac:dyDescent="0.25">
      <c r="A785" s="2" t="str">
        <f>CONCATENATE(Códigos!S784,Códigos!T784,Códigos!U784)</f>
        <v>svv783v</v>
      </c>
      <c r="B785" t="s">
        <v>407</v>
      </c>
      <c r="C785" t="s">
        <v>510</v>
      </c>
      <c r="D785" s="2" t="s">
        <v>448</v>
      </c>
      <c r="E785" t="s">
        <v>522</v>
      </c>
      <c r="F785" s="11">
        <v>43764</v>
      </c>
      <c r="G785" s="2">
        <f>VLOOKUP(E785,Produtos!$A:$E,5,FALSE)</f>
        <v>800</v>
      </c>
      <c r="H785" s="2">
        <f>VLOOKUP(E785,Produtos!$A:$E,4,FALSE)</f>
        <v>350</v>
      </c>
      <c r="I785" s="2">
        <v>4</v>
      </c>
    </row>
    <row r="786" spans="1:9" x14ac:dyDescent="0.25">
      <c r="A786" s="2" t="str">
        <f>CONCATENATE(Códigos!S785,Códigos!T785,Códigos!U785)</f>
        <v>svv784v</v>
      </c>
      <c r="B786" t="s">
        <v>407</v>
      </c>
      <c r="C786" t="s">
        <v>510</v>
      </c>
      <c r="D786" s="2" t="s">
        <v>448</v>
      </c>
      <c r="E786" t="s">
        <v>522</v>
      </c>
      <c r="F786" s="11">
        <v>43765</v>
      </c>
      <c r="G786" s="2">
        <f>VLOOKUP(E786,Produtos!$A:$E,5,FALSE)</f>
        <v>800</v>
      </c>
      <c r="H786" s="2">
        <f>VLOOKUP(E786,Produtos!$A:$E,4,FALSE)</f>
        <v>350</v>
      </c>
      <c r="I786" s="2">
        <v>4</v>
      </c>
    </row>
    <row r="787" spans="1:9" x14ac:dyDescent="0.25">
      <c r="A787" s="2" t="str">
        <f>CONCATENATE(Códigos!S786,Códigos!T786,Códigos!U786)</f>
        <v>svv785v</v>
      </c>
      <c r="B787" t="s">
        <v>407</v>
      </c>
      <c r="C787" t="s">
        <v>510</v>
      </c>
      <c r="D787" s="2" t="s">
        <v>448</v>
      </c>
      <c r="E787" t="s">
        <v>522</v>
      </c>
      <c r="F787" s="11">
        <v>43766</v>
      </c>
      <c r="G787" s="2">
        <f>VLOOKUP(E787,Produtos!$A:$E,5,FALSE)</f>
        <v>800</v>
      </c>
      <c r="H787" s="2">
        <f>VLOOKUP(E787,Produtos!$A:$E,4,FALSE)</f>
        <v>350</v>
      </c>
      <c r="I787" s="2">
        <v>4</v>
      </c>
    </row>
    <row r="788" spans="1:9" x14ac:dyDescent="0.25">
      <c r="A788" s="2" t="str">
        <f>CONCATENATE(Códigos!S787,Códigos!T787,Códigos!U787)</f>
        <v>svv786v</v>
      </c>
      <c r="B788" t="s">
        <v>407</v>
      </c>
      <c r="C788" t="s">
        <v>510</v>
      </c>
      <c r="D788" s="2" t="s">
        <v>448</v>
      </c>
      <c r="E788" t="s">
        <v>522</v>
      </c>
      <c r="F788" s="11">
        <v>43767</v>
      </c>
      <c r="G788" s="2">
        <f>VLOOKUP(E788,Produtos!$A:$E,5,FALSE)</f>
        <v>800</v>
      </c>
      <c r="H788" s="2">
        <f>VLOOKUP(E788,Produtos!$A:$E,4,FALSE)</f>
        <v>350</v>
      </c>
      <c r="I788" s="2">
        <v>4</v>
      </c>
    </row>
    <row r="789" spans="1:9" x14ac:dyDescent="0.25">
      <c r="A789" s="2" t="str">
        <f>CONCATENATE(Códigos!S788,Códigos!T788,Códigos!U788)</f>
        <v>svv787v</v>
      </c>
      <c r="B789" t="s">
        <v>407</v>
      </c>
      <c r="C789" t="s">
        <v>510</v>
      </c>
      <c r="D789" s="2" t="s">
        <v>448</v>
      </c>
      <c r="E789" t="s">
        <v>522</v>
      </c>
      <c r="F789" s="11">
        <v>43768</v>
      </c>
      <c r="G789" s="2">
        <f>VLOOKUP(E789,Produtos!$A:$E,5,FALSE)</f>
        <v>800</v>
      </c>
      <c r="H789" s="2">
        <f>VLOOKUP(E789,Produtos!$A:$E,4,FALSE)</f>
        <v>350</v>
      </c>
      <c r="I789" s="2">
        <v>4</v>
      </c>
    </row>
    <row r="790" spans="1:9" x14ac:dyDescent="0.25">
      <c r="A790" s="2" t="str">
        <f>CONCATENATE(Códigos!S789,Códigos!T789,Códigos!U789)</f>
        <v>svv788v</v>
      </c>
      <c r="B790" t="s">
        <v>407</v>
      </c>
      <c r="C790" t="s">
        <v>510</v>
      </c>
      <c r="D790" s="2" t="s">
        <v>448</v>
      </c>
      <c r="E790" t="s">
        <v>522</v>
      </c>
      <c r="F790" s="11">
        <v>43769</v>
      </c>
      <c r="G790" s="2">
        <f>VLOOKUP(E790,Produtos!$A:$E,5,FALSE)</f>
        <v>800</v>
      </c>
      <c r="H790" s="2">
        <f>VLOOKUP(E790,Produtos!$A:$E,4,FALSE)</f>
        <v>350</v>
      </c>
      <c r="I790" s="2">
        <v>4</v>
      </c>
    </row>
    <row r="791" spans="1:9" x14ac:dyDescent="0.25">
      <c r="A791" s="2" t="str">
        <f>CONCATENATE(Códigos!S790,Códigos!T790,Códigos!U790)</f>
        <v>svv789v</v>
      </c>
      <c r="B791" t="s">
        <v>407</v>
      </c>
      <c r="C791" t="s">
        <v>510</v>
      </c>
      <c r="D791" s="2" t="s">
        <v>448</v>
      </c>
      <c r="E791" t="s">
        <v>522</v>
      </c>
      <c r="F791" s="11">
        <v>43770</v>
      </c>
      <c r="G791" s="2">
        <f>VLOOKUP(E791,Produtos!$A:$E,5,FALSE)</f>
        <v>800</v>
      </c>
      <c r="H791" s="2">
        <f>VLOOKUP(E791,Produtos!$A:$E,4,FALSE)</f>
        <v>350</v>
      </c>
      <c r="I791" s="2">
        <v>4</v>
      </c>
    </row>
    <row r="792" spans="1:9" x14ac:dyDescent="0.25">
      <c r="A792" s="2" t="str">
        <f>CONCATENATE(Códigos!S791,Códigos!T791,Códigos!U791)</f>
        <v>svv790v</v>
      </c>
      <c r="B792" t="s">
        <v>407</v>
      </c>
      <c r="C792" t="s">
        <v>510</v>
      </c>
      <c r="D792" s="2" t="s">
        <v>448</v>
      </c>
      <c r="E792" t="s">
        <v>522</v>
      </c>
      <c r="F792" s="11">
        <v>43771</v>
      </c>
      <c r="G792" s="2">
        <f>VLOOKUP(E792,Produtos!$A:$E,5,FALSE)</f>
        <v>800</v>
      </c>
      <c r="H792" s="2">
        <f>VLOOKUP(E792,Produtos!$A:$E,4,FALSE)</f>
        <v>350</v>
      </c>
      <c r="I792" s="2">
        <v>4</v>
      </c>
    </row>
    <row r="793" spans="1:9" x14ac:dyDescent="0.25">
      <c r="A793" s="2" t="str">
        <f>CONCATENATE(Códigos!S792,Códigos!T792,Códigos!U792)</f>
        <v>svv791v</v>
      </c>
      <c r="B793" t="s">
        <v>407</v>
      </c>
      <c r="C793" t="s">
        <v>510</v>
      </c>
      <c r="D793" s="2" t="s">
        <v>448</v>
      </c>
      <c r="E793" t="s">
        <v>522</v>
      </c>
      <c r="F793" s="11">
        <v>43772</v>
      </c>
      <c r="G793" s="2">
        <f>VLOOKUP(E793,Produtos!$A:$E,5,FALSE)</f>
        <v>800</v>
      </c>
      <c r="H793" s="2">
        <f>VLOOKUP(E793,Produtos!$A:$E,4,FALSE)</f>
        <v>350</v>
      </c>
      <c r="I793" s="2">
        <v>4</v>
      </c>
    </row>
    <row r="794" spans="1:9" x14ac:dyDescent="0.25">
      <c r="A794" s="2" t="str">
        <f>CONCATENATE(Códigos!S793,Códigos!T793,Códigos!U793)</f>
        <v>svv792v</v>
      </c>
      <c r="B794" t="s">
        <v>407</v>
      </c>
      <c r="C794" t="s">
        <v>510</v>
      </c>
      <c r="D794" s="2" t="s">
        <v>448</v>
      </c>
      <c r="E794" t="s">
        <v>522</v>
      </c>
      <c r="F794" s="11">
        <v>43773</v>
      </c>
      <c r="G794" s="2">
        <f>VLOOKUP(E794,Produtos!$A:$E,5,FALSE)</f>
        <v>800</v>
      </c>
      <c r="H794" s="2">
        <f>VLOOKUP(E794,Produtos!$A:$E,4,FALSE)</f>
        <v>350</v>
      </c>
      <c r="I794" s="2">
        <v>4</v>
      </c>
    </row>
    <row r="795" spans="1:9" x14ac:dyDescent="0.25">
      <c r="A795" s="2" t="str">
        <f>CONCATENATE(Códigos!S794,Códigos!T794,Códigos!U794)</f>
        <v>svv793v</v>
      </c>
      <c r="B795" t="s">
        <v>407</v>
      </c>
      <c r="C795" t="s">
        <v>510</v>
      </c>
      <c r="D795" s="2" t="s">
        <v>448</v>
      </c>
      <c r="E795" t="s">
        <v>522</v>
      </c>
      <c r="F795" s="11">
        <v>43774</v>
      </c>
      <c r="G795" s="2">
        <f>VLOOKUP(E795,Produtos!$A:$E,5,FALSE)</f>
        <v>800</v>
      </c>
      <c r="H795" s="2">
        <f>VLOOKUP(E795,Produtos!$A:$E,4,FALSE)</f>
        <v>350</v>
      </c>
      <c r="I795" s="2">
        <v>4</v>
      </c>
    </row>
    <row r="796" spans="1:9" x14ac:dyDescent="0.25">
      <c r="A796" s="2" t="str">
        <f>CONCATENATE(Códigos!S795,Códigos!T795,Códigos!U795)</f>
        <v>svv794v</v>
      </c>
      <c r="B796" t="s">
        <v>407</v>
      </c>
      <c r="C796" t="s">
        <v>510</v>
      </c>
      <c r="D796" s="2" t="s">
        <v>448</v>
      </c>
      <c r="E796" t="s">
        <v>522</v>
      </c>
      <c r="F796" s="11">
        <v>43775</v>
      </c>
      <c r="G796" s="2">
        <f>VLOOKUP(E796,Produtos!$A:$E,5,FALSE)</f>
        <v>800</v>
      </c>
      <c r="H796" s="2">
        <f>VLOOKUP(E796,Produtos!$A:$E,4,FALSE)</f>
        <v>350</v>
      </c>
      <c r="I796" s="2">
        <v>4</v>
      </c>
    </row>
    <row r="797" spans="1:9" x14ac:dyDescent="0.25">
      <c r="A797" s="2" t="str">
        <f>CONCATENATE(Códigos!S796,Códigos!T796,Códigos!U796)</f>
        <v>svv795v</v>
      </c>
      <c r="B797" t="s">
        <v>407</v>
      </c>
      <c r="C797" t="s">
        <v>510</v>
      </c>
      <c r="D797" s="2" t="s">
        <v>448</v>
      </c>
      <c r="E797" t="s">
        <v>522</v>
      </c>
      <c r="F797" s="11">
        <v>43776</v>
      </c>
      <c r="G797" s="2">
        <f>VLOOKUP(E797,Produtos!$A:$E,5,FALSE)</f>
        <v>800</v>
      </c>
      <c r="H797" s="2">
        <f>VLOOKUP(E797,Produtos!$A:$E,4,FALSE)</f>
        <v>350</v>
      </c>
      <c r="I797" s="2">
        <v>4</v>
      </c>
    </row>
    <row r="798" spans="1:9" x14ac:dyDescent="0.25">
      <c r="A798" s="2" t="str">
        <f>CONCATENATE(Códigos!S797,Códigos!T797,Códigos!U797)</f>
        <v>svv796v</v>
      </c>
      <c r="B798" t="s">
        <v>407</v>
      </c>
      <c r="C798" t="s">
        <v>510</v>
      </c>
      <c r="D798" s="2" t="s">
        <v>448</v>
      </c>
      <c r="E798" t="s">
        <v>522</v>
      </c>
      <c r="F798" s="11">
        <v>43777</v>
      </c>
      <c r="G798" s="2">
        <f>VLOOKUP(E798,Produtos!$A:$E,5,FALSE)</f>
        <v>800</v>
      </c>
      <c r="H798" s="2">
        <f>VLOOKUP(E798,Produtos!$A:$E,4,FALSE)</f>
        <v>350</v>
      </c>
      <c r="I798" s="2">
        <v>4</v>
      </c>
    </row>
    <row r="799" spans="1:9" x14ac:dyDescent="0.25">
      <c r="A799" s="2" t="str">
        <f>CONCATENATE(Códigos!S798,Códigos!T798,Códigos!U798)</f>
        <v>svv797v</v>
      </c>
      <c r="B799" t="s">
        <v>407</v>
      </c>
      <c r="C799" t="s">
        <v>510</v>
      </c>
      <c r="D799" s="2" t="s">
        <v>448</v>
      </c>
      <c r="E799" t="s">
        <v>519</v>
      </c>
      <c r="F799" s="11">
        <v>43778</v>
      </c>
      <c r="G799" s="2">
        <f>VLOOKUP(E799,Produtos!$A:$E,5,FALSE)</f>
        <v>1800</v>
      </c>
      <c r="H799" s="2">
        <f>VLOOKUP(E799,Produtos!$A:$E,4,FALSE)</f>
        <v>1000</v>
      </c>
      <c r="I799" s="2">
        <v>4</v>
      </c>
    </row>
    <row r="800" spans="1:9" x14ac:dyDescent="0.25">
      <c r="A800" s="2" t="str">
        <f>CONCATENATE(Códigos!S799,Códigos!T799,Códigos!U799)</f>
        <v>svv798v</v>
      </c>
      <c r="B800" t="s">
        <v>407</v>
      </c>
      <c r="C800" t="s">
        <v>510</v>
      </c>
      <c r="D800" s="2" t="s">
        <v>448</v>
      </c>
      <c r="E800" t="s">
        <v>519</v>
      </c>
      <c r="F800" s="11">
        <v>43779</v>
      </c>
      <c r="G800" s="2">
        <f>VLOOKUP(E800,Produtos!$A:$E,5,FALSE)</f>
        <v>1800</v>
      </c>
      <c r="H800" s="2">
        <f>VLOOKUP(E800,Produtos!$A:$E,4,FALSE)</f>
        <v>1000</v>
      </c>
      <c r="I800" s="2">
        <v>4</v>
      </c>
    </row>
    <row r="801" spans="1:9" x14ac:dyDescent="0.25">
      <c r="A801" s="2" t="str">
        <f>CONCATENATE(Códigos!S800,Códigos!T800,Códigos!U800)</f>
        <v>svv799v</v>
      </c>
      <c r="B801" t="s">
        <v>407</v>
      </c>
      <c r="C801" t="s">
        <v>510</v>
      </c>
      <c r="D801" s="2" t="s">
        <v>448</v>
      </c>
      <c r="E801" t="s">
        <v>519</v>
      </c>
      <c r="F801" s="11">
        <v>43780</v>
      </c>
      <c r="G801" s="2">
        <f>VLOOKUP(E801,Produtos!$A:$E,5,FALSE)</f>
        <v>1800</v>
      </c>
      <c r="H801" s="2">
        <f>VLOOKUP(E801,Produtos!$A:$E,4,FALSE)</f>
        <v>1000</v>
      </c>
      <c r="I801" s="2">
        <v>4</v>
      </c>
    </row>
    <row r="802" spans="1:9" x14ac:dyDescent="0.25">
      <c r="A802" s="2" t="str">
        <f>CONCATENATE(Códigos!S801,Códigos!T801,Códigos!U801)</f>
        <v>svv800v</v>
      </c>
      <c r="B802" t="s">
        <v>407</v>
      </c>
      <c r="C802" t="s">
        <v>510</v>
      </c>
      <c r="D802" s="2" t="s">
        <v>448</v>
      </c>
      <c r="E802" t="s">
        <v>519</v>
      </c>
      <c r="F802" s="11">
        <v>43781</v>
      </c>
      <c r="G802" s="2">
        <f>VLOOKUP(E802,Produtos!$A:$E,5,FALSE)</f>
        <v>1800</v>
      </c>
      <c r="H802" s="2">
        <f>VLOOKUP(E802,Produtos!$A:$E,4,FALSE)</f>
        <v>1000</v>
      </c>
      <c r="I802" s="2">
        <v>4</v>
      </c>
    </row>
    <row r="803" spans="1:9" x14ac:dyDescent="0.25">
      <c r="A803" s="2" t="str">
        <f>CONCATENATE(Códigos!S802,Códigos!T802,Códigos!U802)</f>
        <v>svv801v</v>
      </c>
      <c r="B803" t="s">
        <v>407</v>
      </c>
      <c r="C803" t="s">
        <v>510</v>
      </c>
      <c r="D803" s="2" t="s">
        <v>448</v>
      </c>
      <c r="E803" t="s">
        <v>519</v>
      </c>
      <c r="F803" s="11">
        <v>43782</v>
      </c>
      <c r="G803" s="2">
        <f>VLOOKUP(E803,Produtos!$A:$E,5,FALSE)</f>
        <v>1800</v>
      </c>
      <c r="H803" s="2">
        <f>VLOOKUP(E803,Produtos!$A:$E,4,FALSE)</f>
        <v>1000</v>
      </c>
      <c r="I803" s="2">
        <v>4</v>
      </c>
    </row>
    <row r="804" spans="1:9" x14ac:dyDescent="0.25">
      <c r="A804" s="2" t="str">
        <f>CONCATENATE(Códigos!S803,Códigos!T803,Códigos!U803)</f>
        <v>svv802v</v>
      </c>
      <c r="B804" t="s">
        <v>407</v>
      </c>
      <c r="C804" t="s">
        <v>510</v>
      </c>
      <c r="D804" s="2" t="s">
        <v>448</v>
      </c>
      <c r="E804" t="s">
        <v>519</v>
      </c>
      <c r="F804" s="11">
        <v>43783</v>
      </c>
      <c r="G804" s="2">
        <f>VLOOKUP(E804,Produtos!$A:$E,5,FALSE)</f>
        <v>1800</v>
      </c>
      <c r="H804" s="2">
        <f>VLOOKUP(E804,Produtos!$A:$E,4,FALSE)</f>
        <v>1000</v>
      </c>
      <c r="I804" s="2">
        <v>4</v>
      </c>
    </row>
    <row r="805" spans="1:9" x14ac:dyDescent="0.25">
      <c r="A805" s="2" t="str">
        <f>CONCATENATE(Códigos!S804,Códigos!T804,Códigos!U804)</f>
        <v>svv803v</v>
      </c>
      <c r="B805" t="s">
        <v>407</v>
      </c>
      <c r="C805" t="s">
        <v>510</v>
      </c>
      <c r="D805" s="2" t="s">
        <v>448</v>
      </c>
      <c r="E805" t="s">
        <v>519</v>
      </c>
      <c r="F805" s="11">
        <v>43784</v>
      </c>
      <c r="G805" s="2">
        <f>VLOOKUP(E805,Produtos!$A:$E,5,FALSE)</f>
        <v>1800</v>
      </c>
      <c r="H805" s="2">
        <f>VLOOKUP(E805,Produtos!$A:$E,4,FALSE)</f>
        <v>1000</v>
      </c>
      <c r="I805" s="2">
        <v>4</v>
      </c>
    </row>
    <row r="806" spans="1:9" x14ac:dyDescent="0.25">
      <c r="A806" s="2" t="str">
        <f>CONCATENATE(Códigos!S805,Códigos!T805,Códigos!U805)</f>
        <v>svv804v</v>
      </c>
      <c r="B806" t="s">
        <v>407</v>
      </c>
      <c r="C806" t="s">
        <v>510</v>
      </c>
      <c r="D806" s="2" t="s">
        <v>448</v>
      </c>
      <c r="E806" t="s">
        <v>519</v>
      </c>
      <c r="F806" s="11">
        <v>43785</v>
      </c>
      <c r="G806" s="2">
        <f>VLOOKUP(E806,Produtos!$A:$E,5,FALSE)</f>
        <v>1800</v>
      </c>
      <c r="H806" s="2">
        <f>VLOOKUP(E806,Produtos!$A:$E,4,FALSE)</f>
        <v>1000</v>
      </c>
      <c r="I806" s="2">
        <v>4</v>
      </c>
    </row>
    <row r="807" spans="1:9" x14ac:dyDescent="0.25">
      <c r="A807" s="2" t="str">
        <f>CONCATENATE(Códigos!S806,Códigos!T806,Códigos!U806)</f>
        <v>svv805v</v>
      </c>
      <c r="B807" t="s">
        <v>407</v>
      </c>
      <c r="C807" t="s">
        <v>510</v>
      </c>
      <c r="D807" s="2" t="s">
        <v>448</v>
      </c>
      <c r="E807" t="s">
        <v>519</v>
      </c>
      <c r="F807" s="11">
        <v>43786</v>
      </c>
      <c r="G807" s="2">
        <f>VLOOKUP(E807,Produtos!$A:$E,5,FALSE)</f>
        <v>1800</v>
      </c>
      <c r="H807" s="2">
        <f>VLOOKUP(E807,Produtos!$A:$E,4,FALSE)</f>
        <v>1000</v>
      </c>
      <c r="I807" s="2">
        <v>4</v>
      </c>
    </row>
    <row r="808" spans="1:9" x14ac:dyDescent="0.25">
      <c r="A808" s="2" t="str">
        <f>CONCATENATE(Códigos!S807,Códigos!T807,Códigos!U807)</f>
        <v>svv806v</v>
      </c>
      <c r="B808" t="s">
        <v>407</v>
      </c>
      <c r="C808" t="s">
        <v>510</v>
      </c>
      <c r="D808" s="2" t="s">
        <v>448</v>
      </c>
      <c r="E808" t="s">
        <v>519</v>
      </c>
      <c r="F808" s="11">
        <v>43787</v>
      </c>
      <c r="G808" s="2">
        <f>VLOOKUP(E808,Produtos!$A:$E,5,FALSE)</f>
        <v>1800</v>
      </c>
      <c r="H808" s="2">
        <f>VLOOKUP(E808,Produtos!$A:$E,4,FALSE)</f>
        <v>1000</v>
      </c>
      <c r="I808" s="2">
        <v>4</v>
      </c>
    </row>
    <row r="809" spans="1:9" x14ac:dyDescent="0.25">
      <c r="A809" s="2" t="str">
        <f>CONCATENATE(Códigos!S808,Códigos!T808,Códigos!U808)</f>
        <v>svv807v</v>
      </c>
      <c r="B809" t="s">
        <v>407</v>
      </c>
      <c r="C809" t="s">
        <v>510</v>
      </c>
      <c r="D809" s="2" t="s">
        <v>448</v>
      </c>
      <c r="E809" t="s">
        <v>519</v>
      </c>
      <c r="F809" s="11">
        <v>43788</v>
      </c>
      <c r="G809" s="2">
        <f>VLOOKUP(E809,Produtos!$A:$E,5,FALSE)</f>
        <v>1800</v>
      </c>
      <c r="H809" s="2">
        <f>VLOOKUP(E809,Produtos!$A:$E,4,FALSE)</f>
        <v>1000</v>
      </c>
      <c r="I809" s="2">
        <v>4</v>
      </c>
    </row>
    <row r="810" spans="1:9" x14ac:dyDescent="0.25">
      <c r="A810" s="2" t="str">
        <f>CONCATENATE(Códigos!S809,Códigos!T809,Códigos!U809)</f>
        <v>svv808v</v>
      </c>
      <c r="B810" t="s">
        <v>407</v>
      </c>
      <c r="C810" t="s">
        <v>510</v>
      </c>
      <c r="D810" s="2" t="s">
        <v>448</v>
      </c>
      <c r="E810" t="s">
        <v>519</v>
      </c>
      <c r="F810" s="11">
        <v>43789</v>
      </c>
      <c r="G810" s="2">
        <f>VLOOKUP(E810,Produtos!$A:$E,5,FALSE)</f>
        <v>1800</v>
      </c>
      <c r="H810" s="2">
        <f>VLOOKUP(E810,Produtos!$A:$E,4,FALSE)</f>
        <v>1000</v>
      </c>
      <c r="I810" s="2">
        <v>4</v>
      </c>
    </row>
    <row r="811" spans="1:9" x14ac:dyDescent="0.25">
      <c r="A811" s="2" t="str">
        <f>CONCATENATE(Códigos!S810,Códigos!T810,Códigos!U810)</f>
        <v>svv809v</v>
      </c>
      <c r="B811" t="s">
        <v>407</v>
      </c>
      <c r="C811" t="s">
        <v>510</v>
      </c>
      <c r="D811" s="2" t="s">
        <v>448</v>
      </c>
      <c r="E811" t="s">
        <v>519</v>
      </c>
      <c r="F811" s="11">
        <v>43790</v>
      </c>
      <c r="G811" s="2">
        <f>VLOOKUP(E811,Produtos!$A:$E,5,FALSE)</f>
        <v>1800</v>
      </c>
      <c r="H811" s="2">
        <f>VLOOKUP(E811,Produtos!$A:$E,4,FALSE)</f>
        <v>1000</v>
      </c>
      <c r="I811" s="2">
        <v>4</v>
      </c>
    </row>
    <row r="812" spans="1:9" x14ac:dyDescent="0.25">
      <c r="A812" s="2" t="str">
        <f>CONCATENATE(Códigos!S811,Códigos!T811,Códigos!U811)</f>
        <v>svv810v</v>
      </c>
      <c r="B812" t="s">
        <v>407</v>
      </c>
      <c r="C812" t="s">
        <v>510</v>
      </c>
      <c r="D812" s="2" t="s">
        <v>448</v>
      </c>
      <c r="E812" t="s">
        <v>519</v>
      </c>
      <c r="F812" s="11">
        <v>43791</v>
      </c>
      <c r="G812" s="2">
        <f>VLOOKUP(E812,Produtos!$A:$E,5,FALSE)</f>
        <v>1800</v>
      </c>
      <c r="H812" s="2">
        <f>VLOOKUP(E812,Produtos!$A:$E,4,FALSE)</f>
        <v>1000</v>
      </c>
      <c r="I812" s="2">
        <v>4</v>
      </c>
    </row>
    <row r="813" spans="1:9" x14ac:dyDescent="0.25">
      <c r="A813" s="2" t="str">
        <f>CONCATENATE(Códigos!S812,Códigos!T812,Códigos!U812)</f>
        <v>svv811v</v>
      </c>
      <c r="B813" t="s">
        <v>407</v>
      </c>
      <c r="C813" t="s">
        <v>510</v>
      </c>
      <c r="D813" s="2" t="s">
        <v>448</v>
      </c>
      <c r="E813" t="s">
        <v>519</v>
      </c>
      <c r="F813" s="11">
        <v>43792</v>
      </c>
      <c r="G813" s="2">
        <f>VLOOKUP(E813,Produtos!$A:$E,5,FALSE)</f>
        <v>1800</v>
      </c>
      <c r="H813" s="2">
        <f>VLOOKUP(E813,Produtos!$A:$E,4,FALSE)</f>
        <v>1000</v>
      </c>
      <c r="I813" s="2">
        <v>4</v>
      </c>
    </row>
    <row r="814" spans="1:9" x14ac:dyDescent="0.25">
      <c r="A814" s="2" t="str">
        <f>CONCATENATE(Códigos!S813,Códigos!T813,Códigos!U813)</f>
        <v>svv812v</v>
      </c>
      <c r="B814" t="s">
        <v>407</v>
      </c>
      <c r="C814" t="s">
        <v>510</v>
      </c>
      <c r="D814" s="2" t="s">
        <v>448</v>
      </c>
      <c r="E814" t="s">
        <v>519</v>
      </c>
      <c r="F814" s="11">
        <v>43793</v>
      </c>
      <c r="G814" s="2">
        <f>VLOOKUP(E814,Produtos!$A:$E,5,FALSE)</f>
        <v>1800</v>
      </c>
      <c r="H814" s="2">
        <f>VLOOKUP(E814,Produtos!$A:$E,4,FALSE)</f>
        <v>1000</v>
      </c>
      <c r="I814" s="2">
        <v>4</v>
      </c>
    </row>
    <row r="815" spans="1:9" x14ac:dyDescent="0.25">
      <c r="A815" s="2" t="str">
        <f>CONCATENATE(Códigos!S814,Códigos!T814,Códigos!U814)</f>
        <v>svv813v</v>
      </c>
      <c r="B815" t="s">
        <v>407</v>
      </c>
      <c r="C815" t="s">
        <v>510</v>
      </c>
      <c r="D815" s="2" t="s">
        <v>448</v>
      </c>
      <c r="E815" t="s">
        <v>519</v>
      </c>
      <c r="F815" s="11">
        <v>43794</v>
      </c>
      <c r="G815" s="2">
        <f>VLOOKUP(E815,Produtos!$A:$E,5,FALSE)</f>
        <v>1800</v>
      </c>
      <c r="H815" s="2">
        <f>VLOOKUP(E815,Produtos!$A:$E,4,FALSE)</f>
        <v>1000</v>
      </c>
      <c r="I815" s="2">
        <v>4</v>
      </c>
    </row>
    <row r="816" spans="1:9" x14ac:dyDescent="0.25">
      <c r="A816" s="2" t="str">
        <f>CONCATENATE(Códigos!S815,Códigos!T815,Códigos!U815)</f>
        <v>svv814v</v>
      </c>
      <c r="B816" t="s">
        <v>407</v>
      </c>
      <c r="C816" t="s">
        <v>510</v>
      </c>
      <c r="D816" s="2" t="s">
        <v>448</v>
      </c>
      <c r="E816" t="s">
        <v>519</v>
      </c>
      <c r="F816" s="11">
        <v>43795</v>
      </c>
      <c r="G816" s="2">
        <f>VLOOKUP(E816,Produtos!$A:$E,5,FALSE)</f>
        <v>1800</v>
      </c>
      <c r="H816" s="2">
        <f>VLOOKUP(E816,Produtos!$A:$E,4,FALSE)</f>
        <v>1000</v>
      </c>
      <c r="I816" s="2">
        <v>4</v>
      </c>
    </row>
    <row r="817" spans="1:9" x14ac:dyDescent="0.25">
      <c r="A817" s="2" t="str">
        <f>CONCATENATE(Códigos!S816,Códigos!T816,Códigos!U816)</f>
        <v>svv815v</v>
      </c>
      <c r="B817" t="s">
        <v>407</v>
      </c>
      <c r="C817" t="s">
        <v>510</v>
      </c>
      <c r="D817" s="2" t="s">
        <v>448</v>
      </c>
      <c r="E817" t="s">
        <v>519</v>
      </c>
      <c r="F817" s="11">
        <v>43796</v>
      </c>
      <c r="G817" s="2">
        <f>VLOOKUP(E817,Produtos!$A:$E,5,FALSE)</f>
        <v>1800</v>
      </c>
      <c r="H817" s="2">
        <f>VLOOKUP(E817,Produtos!$A:$E,4,FALSE)</f>
        <v>1000</v>
      </c>
      <c r="I817" s="2">
        <v>4</v>
      </c>
    </row>
    <row r="818" spans="1:9" x14ac:dyDescent="0.25">
      <c r="A818" s="2" t="str">
        <f>CONCATENATE(Códigos!S817,Códigos!T817,Códigos!U817)</f>
        <v>svv816v</v>
      </c>
      <c r="B818" t="s">
        <v>407</v>
      </c>
      <c r="C818" t="s">
        <v>510</v>
      </c>
      <c r="D818" s="2" t="s">
        <v>448</v>
      </c>
      <c r="E818" t="s">
        <v>519</v>
      </c>
      <c r="F818" s="11">
        <v>43797</v>
      </c>
      <c r="G818" s="2">
        <f>VLOOKUP(E818,Produtos!$A:$E,5,FALSE)</f>
        <v>1800</v>
      </c>
      <c r="H818" s="2">
        <f>VLOOKUP(E818,Produtos!$A:$E,4,FALSE)</f>
        <v>1000</v>
      </c>
      <c r="I818" s="2">
        <v>4</v>
      </c>
    </row>
    <row r="819" spans="1:9" x14ac:dyDescent="0.25">
      <c r="A819" s="2" t="str">
        <f>CONCATENATE(Códigos!S818,Códigos!T818,Códigos!U818)</f>
        <v>svv817v</v>
      </c>
      <c r="B819" t="s">
        <v>407</v>
      </c>
      <c r="C819" t="s">
        <v>510</v>
      </c>
      <c r="D819" s="2" t="s">
        <v>448</v>
      </c>
      <c r="E819" t="s">
        <v>519</v>
      </c>
      <c r="F819" s="11">
        <v>43798</v>
      </c>
      <c r="G819" s="2">
        <f>VLOOKUP(E819,Produtos!$A:$E,5,FALSE)</f>
        <v>1800</v>
      </c>
      <c r="H819" s="2">
        <f>VLOOKUP(E819,Produtos!$A:$E,4,FALSE)</f>
        <v>1000</v>
      </c>
      <c r="I819" s="2">
        <v>4</v>
      </c>
    </row>
    <row r="820" spans="1:9" x14ac:dyDescent="0.25">
      <c r="A820" s="2" t="str">
        <f>CONCATENATE(Códigos!S819,Códigos!T819,Códigos!U819)</f>
        <v>svv818v</v>
      </c>
      <c r="B820" t="s">
        <v>407</v>
      </c>
      <c r="C820" t="s">
        <v>510</v>
      </c>
      <c r="D820" s="2" t="s">
        <v>448</v>
      </c>
      <c r="E820" t="s">
        <v>519</v>
      </c>
      <c r="F820" s="11">
        <v>43799</v>
      </c>
      <c r="G820" s="2">
        <f>VLOOKUP(E820,Produtos!$A:$E,5,FALSE)</f>
        <v>1800</v>
      </c>
      <c r="H820" s="2">
        <f>VLOOKUP(E820,Produtos!$A:$E,4,FALSE)</f>
        <v>1000</v>
      </c>
      <c r="I820" s="2">
        <v>4</v>
      </c>
    </row>
    <row r="821" spans="1:9" x14ac:dyDescent="0.25">
      <c r="A821" s="2" t="str">
        <f>CONCATENATE(Códigos!S820,Códigos!T820,Códigos!U820)</f>
        <v>svv819v</v>
      </c>
      <c r="B821" t="s">
        <v>407</v>
      </c>
      <c r="C821" t="s">
        <v>510</v>
      </c>
      <c r="D821" s="2" t="s">
        <v>448</v>
      </c>
      <c r="E821" t="s">
        <v>519</v>
      </c>
      <c r="F821" s="11">
        <v>43800</v>
      </c>
      <c r="G821" s="2">
        <f>VLOOKUP(E821,Produtos!$A:$E,5,FALSE)</f>
        <v>1800</v>
      </c>
      <c r="H821" s="2">
        <f>VLOOKUP(E821,Produtos!$A:$E,4,FALSE)</f>
        <v>1000</v>
      </c>
      <c r="I821" s="2">
        <v>4</v>
      </c>
    </row>
    <row r="822" spans="1:9" x14ac:dyDescent="0.25">
      <c r="A822" s="2" t="str">
        <f>CONCATENATE(Códigos!S821,Códigos!T821,Códigos!U821)</f>
        <v>svv820v</v>
      </c>
      <c r="B822" t="s">
        <v>407</v>
      </c>
      <c r="C822" t="s">
        <v>510</v>
      </c>
      <c r="D822" s="2" t="s">
        <v>448</v>
      </c>
      <c r="E822" t="s">
        <v>519</v>
      </c>
      <c r="F822" s="11">
        <v>43801</v>
      </c>
      <c r="G822" s="2">
        <f>VLOOKUP(E822,Produtos!$A:$E,5,FALSE)</f>
        <v>1800</v>
      </c>
      <c r="H822" s="2">
        <f>VLOOKUP(E822,Produtos!$A:$E,4,FALSE)</f>
        <v>1000</v>
      </c>
      <c r="I822" s="2">
        <v>4</v>
      </c>
    </row>
    <row r="823" spans="1:9" x14ac:dyDescent="0.25">
      <c r="A823" s="2" t="str">
        <f>CONCATENATE(Códigos!S822,Códigos!T822,Códigos!U822)</f>
        <v>svv821v</v>
      </c>
      <c r="B823" t="s">
        <v>407</v>
      </c>
      <c r="C823" t="s">
        <v>510</v>
      </c>
      <c r="D823" s="2" t="s">
        <v>448</v>
      </c>
      <c r="E823" t="s">
        <v>519</v>
      </c>
      <c r="F823" s="11">
        <v>43802</v>
      </c>
      <c r="G823" s="2">
        <f>VLOOKUP(E823,Produtos!$A:$E,5,FALSE)</f>
        <v>1800</v>
      </c>
      <c r="H823" s="2">
        <f>VLOOKUP(E823,Produtos!$A:$E,4,FALSE)</f>
        <v>1000</v>
      </c>
      <c r="I823" s="2">
        <v>4</v>
      </c>
    </row>
    <row r="824" spans="1:9" x14ac:dyDescent="0.25">
      <c r="A824" s="2" t="str">
        <f>CONCATENATE(Códigos!S823,Códigos!T823,Códigos!U823)</f>
        <v>svv822v</v>
      </c>
      <c r="B824" t="s">
        <v>407</v>
      </c>
      <c r="C824" t="s">
        <v>510</v>
      </c>
      <c r="D824" s="2" t="s">
        <v>448</v>
      </c>
      <c r="E824" t="s">
        <v>519</v>
      </c>
      <c r="F824" s="11">
        <v>43803</v>
      </c>
      <c r="G824" s="2">
        <f>VLOOKUP(E824,Produtos!$A:$E,5,FALSE)</f>
        <v>1800</v>
      </c>
      <c r="H824" s="2">
        <f>VLOOKUP(E824,Produtos!$A:$E,4,FALSE)</f>
        <v>1000</v>
      </c>
      <c r="I824" s="2">
        <v>4</v>
      </c>
    </row>
    <row r="825" spans="1:9" x14ac:dyDescent="0.25">
      <c r="A825" s="2" t="str">
        <f>CONCATENATE(Códigos!S824,Códigos!T824,Códigos!U824)</f>
        <v>svv823v</v>
      </c>
      <c r="B825" t="s">
        <v>407</v>
      </c>
      <c r="C825" t="s">
        <v>510</v>
      </c>
      <c r="D825" s="2" t="s">
        <v>448</v>
      </c>
      <c r="E825" t="s">
        <v>519</v>
      </c>
      <c r="F825" s="11">
        <v>43804</v>
      </c>
      <c r="G825" s="2">
        <f>VLOOKUP(E825,Produtos!$A:$E,5,FALSE)</f>
        <v>1800</v>
      </c>
      <c r="H825" s="2">
        <f>VLOOKUP(E825,Produtos!$A:$E,4,FALSE)</f>
        <v>1000</v>
      </c>
      <c r="I825" s="2">
        <v>4</v>
      </c>
    </row>
    <row r="826" spans="1:9" x14ac:dyDescent="0.25">
      <c r="A826" s="2" t="str">
        <f>CONCATENATE(Códigos!S825,Códigos!T825,Códigos!U825)</f>
        <v>svv824v</v>
      </c>
      <c r="B826" t="s">
        <v>407</v>
      </c>
      <c r="C826" t="s">
        <v>510</v>
      </c>
      <c r="D826" s="2" t="s">
        <v>448</v>
      </c>
      <c r="E826" t="s">
        <v>519</v>
      </c>
      <c r="F826" s="11">
        <v>43805</v>
      </c>
      <c r="G826" s="2">
        <f>VLOOKUP(E826,Produtos!$A:$E,5,FALSE)</f>
        <v>1800</v>
      </c>
      <c r="H826" s="2">
        <f>VLOOKUP(E826,Produtos!$A:$E,4,FALSE)</f>
        <v>1000</v>
      </c>
      <c r="I826" s="2">
        <v>4</v>
      </c>
    </row>
    <row r="827" spans="1:9" x14ac:dyDescent="0.25">
      <c r="A827" s="2" t="str">
        <f>CONCATENATE(Códigos!S826,Códigos!T826,Códigos!U826)</f>
        <v>svv825v</v>
      </c>
      <c r="B827" t="s">
        <v>407</v>
      </c>
      <c r="C827" t="s">
        <v>510</v>
      </c>
      <c r="D827" s="2" t="s">
        <v>448</v>
      </c>
      <c r="E827" t="s">
        <v>519</v>
      </c>
      <c r="F827" s="11">
        <v>43806</v>
      </c>
      <c r="G827" s="2">
        <f>VLOOKUP(E827,Produtos!$A:$E,5,FALSE)</f>
        <v>1800</v>
      </c>
      <c r="H827" s="2">
        <f>VLOOKUP(E827,Produtos!$A:$E,4,FALSE)</f>
        <v>1000</v>
      </c>
      <c r="I827" s="2">
        <v>4</v>
      </c>
    </row>
    <row r="828" spans="1:9" x14ac:dyDescent="0.25">
      <c r="A828" s="2" t="str">
        <f>CONCATENATE(Códigos!S827,Códigos!T827,Códigos!U827)</f>
        <v>svv826v</v>
      </c>
      <c r="B828" t="s">
        <v>407</v>
      </c>
      <c r="C828" t="s">
        <v>510</v>
      </c>
      <c r="D828" s="2" t="s">
        <v>448</v>
      </c>
      <c r="E828" t="s">
        <v>519</v>
      </c>
      <c r="F828" s="11">
        <v>43807</v>
      </c>
      <c r="G828" s="2">
        <f>VLOOKUP(E828,Produtos!$A:$E,5,FALSE)</f>
        <v>1800</v>
      </c>
      <c r="H828" s="2">
        <f>VLOOKUP(E828,Produtos!$A:$E,4,FALSE)</f>
        <v>1000</v>
      </c>
      <c r="I828" s="2">
        <v>4</v>
      </c>
    </row>
    <row r="829" spans="1:9" x14ac:dyDescent="0.25">
      <c r="A829" s="2" t="str">
        <f>CONCATENATE(Códigos!S828,Códigos!T828,Códigos!U828)</f>
        <v>svv827v</v>
      </c>
      <c r="B829" t="s">
        <v>407</v>
      </c>
      <c r="C829" t="s">
        <v>510</v>
      </c>
      <c r="D829" s="2" t="s">
        <v>448</v>
      </c>
      <c r="E829" t="s">
        <v>519</v>
      </c>
      <c r="F829" s="11">
        <v>43808</v>
      </c>
      <c r="G829" s="2">
        <f>VLOOKUP(E829,Produtos!$A:$E,5,FALSE)</f>
        <v>1800</v>
      </c>
      <c r="H829" s="2">
        <f>VLOOKUP(E829,Produtos!$A:$E,4,FALSE)</f>
        <v>1000</v>
      </c>
      <c r="I829" s="2">
        <v>4</v>
      </c>
    </row>
    <row r="830" spans="1:9" x14ac:dyDescent="0.25">
      <c r="A830" s="2" t="str">
        <f>CONCATENATE(Códigos!S829,Códigos!T829,Códigos!U829)</f>
        <v>svv828v</v>
      </c>
      <c r="B830" t="s">
        <v>406</v>
      </c>
      <c r="C830" t="s">
        <v>531</v>
      </c>
      <c r="D830" s="2" t="s">
        <v>532</v>
      </c>
      <c r="E830" t="s">
        <v>519</v>
      </c>
      <c r="F830" s="11">
        <v>43809</v>
      </c>
      <c r="G830" s="2">
        <f>VLOOKUP(E830,Produtos!$A:$E,5,FALSE)</f>
        <v>1800</v>
      </c>
      <c r="H830" s="2">
        <f>VLOOKUP(E830,Produtos!$A:$E,4,FALSE)</f>
        <v>1000</v>
      </c>
      <c r="I830" s="2">
        <v>4</v>
      </c>
    </row>
    <row r="831" spans="1:9" x14ac:dyDescent="0.25">
      <c r="A831" s="2" t="str">
        <f>CONCATENATE(Códigos!S830,Códigos!T830,Códigos!U830)</f>
        <v>svv829v</v>
      </c>
      <c r="B831" t="s">
        <v>406</v>
      </c>
      <c r="C831" t="s">
        <v>531</v>
      </c>
      <c r="D831" s="2" t="s">
        <v>532</v>
      </c>
      <c r="E831" t="s">
        <v>519</v>
      </c>
      <c r="F831" s="11">
        <v>43810</v>
      </c>
      <c r="G831" s="2">
        <f>VLOOKUP(E831,Produtos!$A:$E,5,FALSE)</f>
        <v>1800</v>
      </c>
      <c r="H831" s="2">
        <f>VLOOKUP(E831,Produtos!$A:$E,4,FALSE)</f>
        <v>1000</v>
      </c>
      <c r="I831" s="2">
        <v>4</v>
      </c>
    </row>
    <row r="832" spans="1:9" x14ac:dyDescent="0.25">
      <c r="A832" s="2" t="str">
        <f>CONCATENATE(Códigos!S831,Códigos!T831,Códigos!U831)</f>
        <v>svv830v</v>
      </c>
      <c r="B832" t="s">
        <v>406</v>
      </c>
      <c r="C832" t="s">
        <v>531</v>
      </c>
      <c r="D832" s="2" t="s">
        <v>532</v>
      </c>
      <c r="E832" t="s">
        <v>519</v>
      </c>
      <c r="F832" s="11">
        <v>43811</v>
      </c>
      <c r="G832" s="2">
        <f>VLOOKUP(E832,Produtos!$A:$E,5,FALSE)</f>
        <v>1800</v>
      </c>
      <c r="H832" s="2">
        <f>VLOOKUP(E832,Produtos!$A:$E,4,FALSE)</f>
        <v>1000</v>
      </c>
      <c r="I832" s="2">
        <v>4</v>
      </c>
    </row>
    <row r="833" spans="1:9" x14ac:dyDescent="0.25">
      <c r="A833" s="2" t="str">
        <f>CONCATENATE(Códigos!S832,Códigos!T832,Códigos!U832)</f>
        <v>svv831v</v>
      </c>
      <c r="B833" t="s">
        <v>406</v>
      </c>
      <c r="C833" t="s">
        <v>531</v>
      </c>
      <c r="D833" s="2" t="s">
        <v>532</v>
      </c>
      <c r="E833" t="s">
        <v>519</v>
      </c>
      <c r="F833" s="11">
        <v>43812</v>
      </c>
      <c r="G833" s="2">
        <f>VLOOKUP(E833,Produtos!$A:$E,5,FALSE)</f>
        <v>1800</v>
      </c>
      <c r="H833" s="2">
        <f>VLOOKUP(E833,Produtos!$A:$E,4,FALSE)</f>
        <v>1000</v>
      </c>
      <c r="I833" s="2">
        <v>4</v>
      </c>
    </row>
    <row r="834" spans="1:9" x14ac:dyDescent="0.25">
      <c r="A834" s="2" t="str">
        <f>CONCATENATE(Códigos!S833,Códigos!T833,Códigos!U833)</f>
        <v>svv832v</v>
      </c>
      <c r="B834" t="s">
        <v>406</v>
      </c>
      <c r="C834" t="s">
        <v>531</v>
      </c>
      <c r="D834" s="2" t="s">
        <v>532</v>
      </c>
      <c r="E834" t="s">
        <v>519</v>
      </c>
      <c r="F834" s="11">
        <v>43813</v>
      </c>
      <c r="G834" s="2">
        <f>VLOOKUP(E834,Produtos!$A:$E,5,FALSE)</f>
        <v>1800</v>
      </c>
      <c r="H834" s="2">
        <f>VLOOKUP(E834,Produtos!$A:$E,4,FALSE)</f>
        <v>1000</v>
      </c>
      <c r="I834" s="2">
        <v>4</v>
      </c>
    </row>
    <row r="835" spans="1:9" x14ac:dyDescent="0.25">
      <c r="A835" s="2" t="str">
        <f>CONCATENATE(Códigos!S834,Códigos!T834,Códigos!U834)</f>
        <v>svv833v</v>
      </c>
      <c r="B835" t="s">
        <v>406</v>
      </c>
      <c r="C835" t="s">
        <v>531</v>
      </c>
      <c r="D835" s="2" t="s">
        <v>532</v>
      </c>
      <c r="E835" t="s">
        <v>519</v>
      </c>
      <c r="F835" s="11">
        <v>43814</v>
      </c>
      <c r="G835" s="2">
        <f>VLOOKUP(E835,Produtos!$A:$E,5,FALSE)</f>
        <v>1800</v>
      </c>
      <c r="H835" s="2">
        <f>VLOOKUP(E835,Produtos!$A:$E,4,FALSE)</f>
        <v>1000</v>
      </c>
      <c r="I835" s="2">
        <v>4</v>
      </c>
    </row>
    <row r="836" spans="1:9" x14ac:dyDescent="0.25">
      <c r="A836" s="2" t="str">
        <f>CONCATENATE(Códigos!S835,Códigos!T835,Códigos!U835)</f>
        <v>svv834v</v>
      </c>
      <c r="B836" t="s">
        <v>406</v>
      </c>
      <c r="C836" t="s">
        <v>531</v>
      </c>
      <c r="D836" s="2" t="s">
        <v>532</v>
      </c>
      <c r="E836" t="s">
        <v>519</v>
      </c>
      <c r="F836" s="11">
        <v>43815</v>
      </c>
      <c r="G836" s="2">
        <f>VLOOKUP(E836,Produtos!$A:$E,5,FALSE)</f>
        <v>1800</v>
      </c>
      <c r="H836" s="2">
        <f>VLOOKUP(E836,Produtos!$A:$E,4,FALSE)</f>
        <v>1000</v>
      </c>
      <c r="I836" s="2">
        <v>4</v>
      </c>
    </row>
    <row r="837" spans="1:9" x14ac:dyDescent="0.25">
      <c r="A837" s="2" t="str">
        <f>CONCATENATE(Códigos!S836,Códigos!T836,Códigos!U836)</f>
        <v>svv835v</v>
      </c>
      <c r="B837" t="s">
        <v>406</v>
      </c>
      <c r="C837" t="s">
        <v>531</v>
      </c>
      <c r="D837" s="2" t="s">
        <v>532</v>
      </c>
      <c r="E837" t="s">
        <v>519</v>
      </c>
      <c r="F837" s="11">
        <v>43816</v>
      </c>
      <c r="G837" s="2">
        <f>VLOOKUP(E837,Produtos!$A:$E,5,FALSE)</f>
        <v>1800</v>
      </c>
      <c r="H837" s="2">
        <f>VLOOKUP(E837,Produtos!$A:$E,4,FALSE)</f>
        <v>1000</v>
      </c>
      <c r="I837" s="2">
        <v>4</v>
      </c>
    </row>
    <row r="838" spans="1:9" x14ac:dyDescent="0.25">
      <c r="A838" s="2" t="str">
        <f>CONCATENATE(Códigos!S837,Códigos!T837,Códigos!U837)</f>
        <v>svv836v</v>
      </c>
      <c r="B838" t="s">
        <v>406</v>
      </c>
      <c r="C838" t="s">
        <v>531</v>
      </c>
      <c r="D838" s="2" t="s">
        <v>532</v>
      </c>
      <c r="E838" t="s">
        <v>519</v>
      </c>
      <c r="F838" s="11">
        <v>43817</v>
      </c>
      <c r="G838" s="2">
        <f>VLOOKUP(E838,Produtos!$A:$E,5,FALSE)</f>
        <v>1800</v>
      </c>
      <c r="H838" s="2">
        <f>VLOOKUP(E838,Produtos!$A:$E,4,FALSE)</f>
        <v>1000</v>
      </c>
      <c r="I838" s="2">
        <v>4</v>
      </c>
    </row>
    <row r="839" spans="1:9" x14ac:dyDescent="0.25">
      <c r="A839" s="2" t="str">
        <f>CONCATENATE(Códigos!S838,Códigos!T838,Códigos!U838)</f>
        <v>svv837v</v>
      </c>
      <c r="B839" t="s">
        <v>406</v>
      </c>
      <c r="C839" t="s">
        <v>531</v>
      </c>
      <c r="D839" s="2" t="s">
        <v>532</v>
      </c>
      <c r="E839" t="s">
        <v>519</v>
      </c>
      <c r="F839" s="11">
        <v>43818</v>
      </c>
      <c r="G839" s="2">
        <f>VLOOKUP(E839,Produtos!$A:$E,5,FALSE)</f>
        <v>1800</v>
      </c>
      <c r="H839" s="2">
        <f>VLOOKUP(E839,Produtos!$A:$E,4,FALSE)</f>
        <v>1000</v>
      </c>
      <c r="I839" s="2">
        <v>4</v>
      </c>
    </row>
    <row r="840" spans="1:9" x14ac:dyDescent="0.25">
      <c r="A840" s="2" t="str">
        <f>CONCATENATE(Códigos!S839,Códigos!T839,Códigos!U839)</f>
        <v>svv838v</v>
      </c>
      <c r="B840" t="s">
        <v>406</v>
      </c>
      <c r="C840" t="s">
        <v>531</v>
      </c>
      <c r="D840" s="2" t="s">
        <v>532</v>
      </c>
      <c r="E840" t="s">
        <v>519</v>
      </c>
      <c r="F840" s="11">
        <v>43819</v>
      </c>
      <c r="G840" s="2">
        <f>VLOOKUP(E840,Produtos!$A:$E,5,FALSE)</f>
        <v>1800</v>
      </c>
      <c r="H840" s="2">
        <f>VLOOKUP(E840,Produtos!$A:$E,4,FALSE)</f>
        <v>1000</v>
      </c>
      <c r="I840" s="2">
        <v>4</v>
      </c>
    </row>
    <row r="841" spans="1:9" x14ac:dyDescent="0.25">
      <c r="A841" s="2" t="str">
        <f>CONCATENATE(Códigos!S840,Códigos!T840,Códigos!U840)</f>
        <v>svv839v</v>
      </c>
      <c r="B841" t="s">
        <v>406</v>
      </c>
      <c r="C841" t="s">
        <v>531</v>
      </c>
      <c r="D841" s="2" t="s">
        <v>532</v>
      </c>
      <c r="E841" t="s">
        <v>519</v>
      </c>
      <c r="F841" s="11">
        <v>43820</v>
      </c>
      <c r="G841" s="2">
        <f>VLOOKUP(E841,Produtos!$A:$E,5,FALSE)</f>
        <v>1800</v>
      </c>
      <c r="H841" s="2">
        <f>VLOOKUP(E841,Produtos!$A:$E,4,FALSE)</f>
        <v>1000</v>
      </c>
      <c r="I841" s="2">
        <v>4</v>
      </c>
    </row>
    <row r="842" spans="1:9" x14ac:dyDescent="0.25">
      <c r="A842" s="2" t="str">
        <f>CONCATENATE(Códigos!S841,Códigos!T841,Códigos!U841)</f>
        <v>svv840v</v>
      </c>
      <c r="B842" t="s">
        <v>406</v>
      </c>
      <c r="C842" t="s">
        <v>531</v>
      </c>
      <c r="D842" s="2" t="s">
        <v>532</v>
      </c>
      <c r="E842" t="s">
        <v>519</v>
      </c>
      <c r="F842" s="11">
        <v>43821</v>
      </c>
      <c r="G842" s="2">
        <f>VLOOKUP(E842,Produtos!$A:$E,5,FALSE)</f>
        <v>1800</v>
      </c>
      <c r="H842" s="2">
        <f>VLOOKUP(E842,Produtos!$A:$E,4,FALSE)</f>
        <v>1000</v>
      </c>
      <c r="I842" s="2">
        <v>4</v>
      </c>
    </row>
    <row r="843" spans="1:9" x14ac:dyDescent="0.25">
      <c r="A843" s="2" t="str">
        <f>CONCATENATE(Códigos!S842,Códigos!T842,Códigos!U842)</f>
        <v>svv841v</v>
      </c>
      <c r="B843" t="s">
        <v>406</v>
      </c>
      <c r="C843" t="s">
        <v>531</v>
      </c>
      <c r="D843" s="2" t="s">
        <v>532</v>
      </c>
      <c r="E843" t="s">
        <v>519</v>
      </c>
      <c r="F843" s="11">
        <v>43822</v>
      </c>
      <c r="G843" s="2">
        <f>VLOOKUP(E843,Produtos!$A:$E,5,FALSE)</f>
        <v>1800</v>
      </c>
      <c r="H843" s="2">
        <f>VLOOKUP(E843,Produtos!$A:$E,4,FALSE)</f>
        <v>1000</v>
      </c>
      <c r="I843" s="2">
        <v>4</v>
      </c>
    </row>
    <row r="844" spans="1:9" x14ac:dyDescent="0.25">
      <c r="A844" s="2" t="str">
        <f>CONCATENATE(Códigos!S843,Códigos!T843,Códigos!U843)</f>
        <v>svv842v</v>
      </c>
      <c r="B844" t="s">
        <v>406</v>
      </c>
      <c r="C844" t="s">
        <v>531</v>
      </c>
      <c r="D844" s="2" t="s">
        <v>532</v>
      </c>
      <c r="E844" t="s">
        <v>519</v>
      </c>
      <c r="F844" s="11">
        <v>43823</v>
      </c>
      <c r="G844" s="2">
        <f>VLOOKUP(E844,Produtos!$A:$E,5,FALSE)</f>
        <v>1800</v>
      </c>
      <c r="H844" s="2">
        <f>VLOOKUP(E844,Produtos!$A:$E,4,FALSE)</f>
        <v>1000</v>
      </c>
      <c r="I844" s="2">
        <v>4</v>
      </c>
    </row>
    <row r="845" spans="1:9" x14ac:dyDescent="0.25">
      <c r="A845" s="2" t="str">
        <f>CONCATENATE(Códigos!S844,Códigos!T844,Códigos!U844)</f>
        <v>svv843v</v>
      </c>
      <c r="B845" t="s">
        <v>406</v>
      </c>
      <c r="C845" t="s">
        <v>531</v>
      </c>
      <c r="D845" s="2" t="s">
        <v>532</v>
      </c>
      <c r="E845" t="s">
        <v>519</v>
      </c>
      <c r="F845" s="11">
        <v>43824</v>
      </c>
      <c r="G845" s="2">
        <f>VLOOKUP(E845,Produtos!$A:$E,5,FALSE)</f>
        <v>1800</v>
      </c>
      <c r="H845" s="2">
        <f>VLOOKUP(E845,Produtos!$A:$E,4,FALSE)</f>
        <v>1000</v>
      </c>
      <c r="I845" s="2">
        <v>4</v>
      </c>
    </row>
    <row r="846" spans="1:9" x14ac:dyDescent="0.25">
      <c r="A846" s="2" t="str">
        <f>CONCATENATE(Códigos!S845,Códigos!T845,Códigos!U845)</f>
        <v>svv844v</v>
      </c>
      <c r="B846" t="s">
        <v>406</v>
      </c>
      <c r="C846" t="s">
        <v>531</v>
      </c>
      <c r="D846" s="2" t="s">
        <v>532</v>
      </c>
      <c r="E846" t="s">
        <v>519</v>
      </c>
      <c r="F846" s="11">
        <v>43825</v>
      </c>
      <c r="G846" s="2">
        <f>VLOOKUP(E846,Produtos!$A:$E,5,FALSE)</f>
        <v>1800</v>
      </c>
      <c r="H846" s="2">
        <f>VLOOKUP(E846,Produtos!$A:$E,4,FALSE)</f>
        <v>1000</v>
      </c>
      <c r="I846" s="2">
        <v>4</v>
      </c>
    </row>
    <row r="847" spans="1:9" x14ac:dyDescent="0.25">
      <c r="A847" s="2" t="str">
        <f>CONCATENATE(Códigos!S846,Códigos!T846,Códigos!U846)</f>
        <v>svv845v</v>
      </c>
      <c r="B847" t="s">
        <v>406</v>
      </c>
      <c r="C847" t="s">
        <v>531</v>
      </c>
      <c r="D847" s="2" t="s">
        <v>532</v>
      </c>
      <c r="E847" t="s">
        <v>519</v>
      </c>
      <c r="F847" s="11">
        <v>43826</v>
      </c>
      <c r="G847" s="2">
        <f>VLOOKUP(E847,Produtos!$A:$E,5,FALSE)</f>
        <v>1800</v>
      </c>
      <c r="H847" s="2">
        <f>VLOOKUP(E847,Produtos!$A:$E,4,FALSE)</f>
        <v>1000</v>
      </c>
      <c r="I847" s="2">
        <v>4</v>
      </c>
    </row>
    <row r="848" spans="1:9" x14ac:dyDescent="0.25">
      <c r="A848" s="2" t="str">
        <f>CONCATENATE(Códigos!S847,Códigos!T847,Códigos!U847)</f>
        <v>svv846v</v>
      </c>
      <c r="B848" t="s">
        <v>406</v>
      </c>
      <c r="C848" t="s">
        <v>531</v>
      </c>
      <c r="D848" s="2" t="s">
        <v>532</v>
      </c>
      <c r="E848" t="s">
        <v>519</v>
      </c>
      <c r="F848" s="11">
        <v>43827</v>
      </c>
      <c r="G848" s="2">
        <f>VLOOKUP(E848,Produtos!$A:$E,5,FALSE)</f>
        <v>1800</v>
      </c>
      <c r="H848" s="2">
        <f>VLOOKUP(E848,Produtos!$A:$E,4,FALSE)</f>
        <v>1000</v>
      </c>
      <c r="I848" s="2">
        <v>4</v>
      </c>
    </row>
    <row r="849" spans="1:9" x14ac:dyDescent="0.25">
      <c r="A849" s="2" t="str">
        <f>CONCATENATE(Códigos!S848,Códigos!T848,Códigos!U848)</f>
        <v>svv847v</v>
      </c>
      <c r="B849" t="s">
        <v>406</v>
      </c>
      <c r="C849" t="s">
        <v>531</v>
      </c>
      <c r="D849" s="2" t="s">
        <v>532</v>
      </c>
      <c r="E849" t="s">
        <v>519</v>
      </c>
      <c r="F849" s="11">
        <v>43828</v>
      </c>
      <c r="G849" s="2">
        <f>VLOOKUP(E849,Produtos!$A:$E,5,FALSE)</f>
        <v>1800</v>
      </c>
      <c r="H849" s="2">
        <f>VLOOKUP(E849,Produtos!$A:$E,4,FALSE)</f>
        <v>1000</v>
      </c>
      <c r="I849" s="2">
        <v>4</v>
      </c>
    </row>
    <row r="850" spans="1:9" x14ac:dyDescent="0.25">
      <c r="A850" s="2" t="str">
        <f>CONCATENATE(Códigos!S849,Códigos!T849,Códigos!U849)</f>
        <v>svv848v</v>
      </c>
      <c r="B850" t="s">
        <v>406</v>
      </c>
      <c r="C850" t="s">
        <v>531</v>
      </c>
      <c r="D850" s="2" t="s">
        <v>532</v>
      </c>
      <c r="E850" t="s">
        <v>519</v>
      </c>
      <c r="F850" s="11">
        <v>43829</v>
      </c>
      <c r="G850" s="2">
        <f>VLOOKUP(E850,Produtos!$A:$E,5,FALSE)</f>
        <v>1800</v>
      </c>
      <c r="H850" s="2">
        <f>VLOOKUP(E850,Produtos!$A:$E,4,FALSE)</f>
        <v>1000</v>
      </c>
      <c r="I850" s="2">
        <v>4</v>
      </c>
    </row>
    <row r="851" spans="1:9" x14ac:dyDescent="0.25">
      <c r="A851" s="2" t="str">
        <f>CONCATENATE(Códigos!S850,Códigos!T850,Códigos!U850)</f>
        <v>svv849v</v>
      </c>
      <c r="B851" t="s">
        <v>406</v>
      </c>
      <c r="C851" t="s">
        <v>531</v>
      </c>
      <c r="D851" s="2" t="s">
        <v>532</v>
      </c>
      <c r="E851" t="s">
        <v>519</v>
      </c>
      <c r="F851" s="11">
        <v>43830</v>
      </c>
      <c r="G851" s="2">
        <f>VLOOKUP(E851,Produtos!$A:$E,5,FALSE)</f>
        <v>1800</v>
      </c>
      <c r="H851" s="2">
        <f>VLOOKUP(E851,Produtos!$A:$E,4,FALSE)</f>
        <v>1000</v>
      </c>
      <c r="I851" s="2">
        <v>4</v>
      </c>
    </row>
    <row r="852" spans="1:9" x14ac:dyDescent="0.25">
      <c r="A852" s="2" t="str">
        <f>CONCATENATE(Códigos!S851,Códigos!T851,Códigos!U851)</f>
        <v>svv850v</v>
      </c>
      <c r="B852" t="s">
        <v>406</v>
      </c>
      <c r="C852" t="s">
        <v>531</v>
      </c>
      <c r="D852" s="2" t="s">
        <v>532</v>
      </c>
      <c r="E852" t="s">
        <v>519</v>
      </c>
      <c r="F852" s="11">
        <v>43831</v>
      </c>
      <c r="G852" s="2">
        <f>VLOOKUP(E852,Produtos!$A:$E,5,FALSE)</f>
        <v>1800</v>
      </c>
      <c r="H852" s="2">
        <f>VLOOKUP(E852,Produtos!$A:$E,4,FALSE)</f>
        <v>1000</v>
      </c>
      <c r="I852" s="2">
        <v>4</v>
      </c>
    </row>
    <row r="853" spans="1:9" x14ac:dyDescent="0.25">
      <c r="A853" s="2" t="str">
        <f>CONCATENATE(Códigos!S852,Códigos!T852,Códigos!U852)</f>
        <v>svv851v</v>
      </c>
      <c r="B853" t="s">
        <v>406</v>
      </c>
      <c r="C853" t="s">
        <v>531</v>
      </c>
      <c r="D853" s="2" t="s">
        <v>532</v>
      </c>
      <c r="E853" t="s">
        <v>519</v>
      </c>
      <c r="F853" s="11">
        <v>43832</v>
      </c>
      <c r="G853" s="2">
        <f>VLOOKUP(E853,Produtos!$A:$E,5,FALSE)</f>
        <v>1800</v>
      </c>
      <c r="H853" s="2">
        <f>VLOOKUP(E853,Produtos!$A:$E,4,FALSE)</f>
        <v>1000</v>
      </c>
      <c r="I853" s="2">
        <v>4</v>
      </c>
    </row>
    <row r="854" spans="1:9" x14ac:dyDescent="0.25">
      <c r="A854" s="2" t="str">
        <f>CONCATENATE(Códigos!S853,Códigos!T853,Códigos!U853)</f>
        <v>svv852v</v>
      </c>
      <c r="B854" t="s">
        <v>406</v>
      </c>
      <c r="C854" t="s">
        <v>531</v>
      </c>
      <c r="D854" s="2" t="s">
        <v>532</v>
      </c>
      <c r="E854" t="s">
        <v>519</v>
      </c>
      <c r="F854" s="11">
        <v>43833</v>
      </c>
      <c r="G854" s="2">
        <f>VLOOKUP(E854,Produtos!$A:$E,5,FALSE)</f>
        <v>1800</v>
      </c>
      <c r="H854" s="2">
        <f>VLOOKUP(E854,Produtos!$A:$E,4,FALSE)</f>
        <v>1000</v>
      </c>
      <c r="I854" s="2">
        <v>4</v>
      </c>
    </row>
    <row r="855" spans="1:9" x14ac:dyDescent="0.25">
      <c r="A855" s="2" t="str">
        <f>CONCATENATE(Códigos!S854,Códigos!T854,Códigos!U854)</f>
        <v>svv853v</v>
      </c>
      <c r="B855" t="s">
        <v>406</v>
      </c>
      <c r="C855" t="s">
        <v>531</v>
      </c>
      <c r="D855" s="2" t="s">
        <v>532</v>
      </c>
      <c r="E855" t="s">
        <v>519</v>
      </c>
      <c r="F855" s="11">
        <v>43834</v>
      </c>
      <c r="G855" s="2">
        <f>VLOOKUP(E855,Produtos!$A:$E,5,FALSE)</f>
        <v>1800</v>
      </c>
      <c r="H855" s="2">
        <f>VLOOKUP(E855,Produtos!$A:$E,4,FALSE)</f>
        <v>1000</v>
      </c>
      <c r="I855" s="2">
        <v>4</v>
      </c>
    </row>
    <row r="856" spans="1:9" x14ac:dyDescent="0.25">
      <c r="A856" s="2" t="str">
        <f>CONCATENATE(Códigos!S855,Códigos!T855,Códigos!U855)</f>
        <v>svv854v</v>
      </c>
      <c r="B856" t="s">
        <v>406</v>
      </c>
      <c r="C856" t="s">
        <v>531</v>
      </c>
      <c r="D856" s="2" t="s">
        <v>532</v>
      </c>
      <c r="E856" t="s">
        <v>519</v>
      </c>
      <c r="F856" s="11">
        <v>43835</v>
      </c>
      <c r="G856" s="2">
        <f>VLOOKUP(E856,Produtos!$A:$E,5,FALSE)</f>
        <v>1800</v>
      </c>
      <c r="H856" s="2">
        <f>VLOOKUP(E856,Produtos!$A:$E,4,FALSE)</f>
        <v>1000</v>
      </c>
      <c r="I856" s="2">
        <v>4</v>
      </c>
    </row>
    <row r="857" spans="1:9" x14ac:dyDescent="0.25">
      <c r="A857" s="2" t="str">
        <f>CONCATENATE(Códigos!S856,Códigos!T856,Códigos!U856)</f>
        <v>svv855v</v>
      </c>
      <c r="B857" t="s">
        <v>406</v>
      </c>
      <c r="C857" t="s">
        <v>531</v>
      </c>
      <c r="D857" s="2" t="s">
        <v>532</v>
      </c>
      <c r="E857" t="s">
        <v>519</v>
      </c>
      <c r="F857" s="11">
        <v>43836</v>
      </c>
      <c r="G857" s="2">
        <f>VLOOKUP(E857,Produtos!$A:$E,5,FALSE)</f>
        <v>1800</v>
      </c>
      <c r="H857" s="2">
        <f>VLOOKUP(E857,Produtos!$A:$E,4,FALSE)</f>
        <v>1000</v>
      </c>
      <c r="I857" s="2">
        <v>4</v>
      </c>
    </row>
    <row r="858" spans="1:9" x14ac:dyDescent="0.25">
      <c r="A858" s="2" t="str">
        <f>CONCATENATE(Códigos!S857,Códigos!T857,Códigos!U857)</f>
        <v>svv856v</v>
      </c>
      <c r="B858" t="s">
        <v>406</v>
      </c>
      <c r="C858" t="s">
        <v>531</v>
      </c>
      <c r="D858" s="2" t="s">
        <v>532</v>
      </c>
      <c r="E858" t="s">
        <v>519</v>
      </c>
      <c r="F858" s="11">
        <v>43837</v>
      </c>
      <c r="G858" s="2">
        <f>VLOOKUP(E858,Produtos!$A:$E,5,FALSE)</f>
        <v>1800</v>
      </c>
      <c r="H858" s="2">
        <f>VLOOKUP(E858,Produtos!$A:$E,4,FALSE)</f>
        <v>1000</v>
      </c>
      <c r="I858" s="2">
        <v>4</v>
      </c>
    </row>
    <row r="859" spans="1:9" x14ac:dyDescent="0.25">
      <c r="A859" s="2" t="str">
        <f>CONCATENATE(Códigos!S858,Códigos!T858,Códigos!U858)</f>
        <v>svv857v</v>
      </c>
      <c r="B859" t="s">
        <v>406</v>
      </c>
      <c r="C859" t="s">
        <v>531</v>
      </c>
      <c r="D859" s="2" t="s">
        <v>532</v>
      </c>
      <c r="E859" t="s">
        <v>519</v>
      </c>
      <c r="F859" s="11">
        <v>43838</v>
      </c>
      <c r="G859" s="2">
        <f>VLOOKUP(E859,Produtos!$A:$E,5,FALSE)</f>
        <v>1800</v>
      </c>
      <c r="H859" s="2">
        <f>VLOOKUP(E859,Produtos!$A:$E,4,FALSE)</f>
        <v>1000</v>
      </c>
      <c r="I859" s="2">
        <v>4</v>
      </c>
    </row>
    <row r="860" spans="1:9" x14ac:dyDescent="0.25">
      <c r="A860" s="2" t="str">
        <f>CONCATENATE(Códigos!S859,Códigos!T859,Códigos!U859)</f>
        <v>svv858v</v>
      </c>
      <c r="B860" t="s">
        <v>406</v>
      </c>
      <c r="C860" t="s">
        <v>531</v>
      </c>
      <c r="D860" s="2" t="s">
        <v>532</v>
      </c>
      <c r="E860" t="s">
        <v>519</v>
      </c>
      <c r="F860" s="11">
        <v>43839</v>
      </c>
      <c r="G860" s="2">
        <f>VLOOKUP(E860,Produtos!$A:$E,5,FALSE)</f>
        <v>1800</v>
      </c>
      <c r="H860" s="2">
        <f>VLOOKUP(E860,Produtos!$A:$E,4,FALSE)</f>
        <v>1000</v>
      </c>
      <c r="I860" s="2">
        <v>4</v>
      </c>
    </row>
    <row r="861" spans="1:9" x14ac:dyDescent="0.25">
      <c r="A861" s="2" t="str">
        <f>CONCATENATE(Códigos!S860,Códigos!T860,Códigos!U860)</f>
        <v>svv859v</v>
      </c>
      <c r="B861" t="s">
        <v>406</v>
      </c>
      <c r="C861" t="s">
        <v>531</v>
      </c>
      <c r="D861" s="2" t="s">
        <v>532</v>
      </c>
      <c r="E861" t="s">
        <v>519</v>
      </c>
      <c r="F861" s="11">
        <v>43840</v>
      </c>
      <c r="G861" s="2">
        <f>VLOOKUP(E861,Produtos!$A:$E,5,FALSE)</f>
        <v>1800</v>
      </c>
      <c r="H861" s="2">
        <f>VLOOKUP(E861,Produtos!$A:$E,4,FALSE)</f>
        <v>1000</v>
      </c>
      <c r="I861" s="2">
        <v>4</v>
      </c>
    </row>
    <row r="862" spans="1:9" x14ac:dyDescent="0.25">
      <c r="A862" s="2" t="str">
        <f>CONCATENATE(Códigos!S861,Códigos!T861,Códigos!U861)</f>
        <v>svv860v</v>
      </c>
      <c r="B862" t="s">
        <v>406</v>
      </c>
      <c r="C862" t="s">
        <v>531</v>
      </c>
      <c r="D862" s="2" t="s">
        <v>532</v>
      </c>
      <c r="E862" t="s">
        <v>519</v>
      </c>
      <c r="F862" s="11">
        <v>43841</v>
      </c>
      <c r="G862" s="2">
        <f>VLOOKUP(E862,Produtos!$A:$E,5,FALSE)</f>
        <v>1800</v>
      </c>
      <c r="H862" s="2">
        <f>VLOOKUP(E862,Produtos!$A:$E,4,FALSE)</f>
        <v>1000</v>
      </c>
      <c r="I862" s="2">
        <v>4</v>
      </c>
    </row>
    <row r="863" spans="1:9" x14ac:dyDescent="0.25">
      <c r="A863" s="2" t="str">
        <f>CONCATENATE(Códigos!S862,Códigos!T862,Códigos!U862)</f>
        <v>svv861v</v>
      </c>
      <c r="B863" t="s">
        <v>406</v>
      </c>
      <c r="C863" t="s">
        <v>531</v>
      </c>
      <c r="D863" s="2" t="s">
        <v>532</v>
      </c>
      <c r="E863" t="s">
        <v>521</v>
      </c>
      <c r="F863" s="11">
        <v>43842</v>
      </c>
      <c r="G863" s="2">
        <f>VLOOKUP(E863,Produtos!$A:$E,5,FALSE)</f>
        <v>70</v>
      </c>
      <c r="H863" s="2">
        <f>VLOOKUP(E863,Produtos!$A:$E,4,FALSE)</f>
        <v>30</v>
      </c>
      <c r="I863" s="2">
        <v>4</v>
      </c>
    </row>
    <row r="864" spans="1:9" x14ac:dyDescent="0.25">
      <c r="A864" s="2" t="str">
        <f>CONCATENATE(Códigos!S863,Códigos!T863,Códigos!U863)</f>
        <v>svv862v</v>
      </c>
      <c r="B864" t="s">
        <v>406</v>
      </c>
      <c r="C864" t="s">
        <v>531</v>
      </c>
      <c r="D864" s="2" t="s">
        <v>532</v>
      </c>
      <c r="E864" t="s">
        <v>521</v>
      </c>
      <c r="F864" s="11">
        <v>43843</v>
      </c>
      <c r="G864" s="2">
        <f>VLOOKUP(E864,Produtos!$A:$E,5,FALSE)</f>
        <v>70</v>
      </c>
      <c r="H864" s="2">
        <f>VLOOKUP(E864,Produtos!$A:$E,4,FALSE)</f>
        <v>30</v>
      </c>
      <c r="I864" s="2">
        <v>4</v>
      </c>
    </row>
    <row r="865" spans="1:9" x14ac:dyDescent="0.25">
      <c r="A865" s="2" t="str">
        <f>CONCATENATE(Códigos!S864,Códigos!T864,Códigos!U864)</f>
        <v>svv863v</v>
      </c>
      <c r="B865" t="s">
        <v>406</v>
      </c>
      <c r="C865" t="s">
        <v>531</v>
      </c>
      <c r="D865" s="2" t="s">
        <v>532</v>
      </c>
      <c r="E865" t="s">
        <v>521</v>
      </c>
      <c r="F865" s="11">
        <v>43844</v>
      </c>
      <c r="G865" s="2">
        <f>VLOOKUP(E865,Produtos!$A:$E,5,FALSE)</f>
        <v>70</v>
      </c>
      <c r="H865" s="2">
        <f>VLOOKUP(E865,Produtos!$A:$E,4,FALSE)</f>
        <v>30</v>
      </c>
      <c r="I865" s="2">
        <v>4</v>
      </c>
    </row>
    <row r="866" spans="1:9" x14ac:dyDescent="0.25">
      <c r="A866" s="2" t="str">
        <f>CONCATENATE(Códigos!S865,Códigos!T865,Códigos!U865)</f>
        <v>svv864v</v>
      </c>
      <c r="B866" t="s">
        <v>406</v>
      </c>
      <c r="C866" t="s">
        <v>531</v>
      </c>
      <c r="D866" s="2" t="s">
        <v>532</v>
      </c>
      <c r="E866" t="s">
        <v>521</v>
      </c>
      <c r="F866" s="11">
        <v>43845</v>
      </c>
      <c r="G866" s="2">
        <f>VLOOKUP(E866,Produtos!$A:$E,5,FALSE)</f>
        <v>70</v>
      </c>
      <c r="H866" s="2">
        <f>VLOOKUP(E866,Produtos!$A:$E,4,FALSE)</f>
        <v>30</v>
      </c>
      <c r="I866" s="2">
        <v>4</v>
      </c>
    </row>
    <row r="867" spans="1:9" x14ac:dyDescent="0.25">
      <c r="A867" s="2" t="str">
        <f>CONCATENATE(Códigos!S866,Códigos!T866,Códigos!U866)</f>
        <v>svv865v</v>
      </c>
      <c r="B867" t="s">
        <v>406</v>
      </c>
      <c r="C867" t="s">
        <v>531</v>
      </c>
      <c r="D867" s="2" t="s">
        <v>532</v>
      </c>
      <c r="E867" t="s">
        <v>521</v>
      </c>
      <c r="F867" s="11">
        <v>43846</v>
      </c>
      <c r="G867" s="2">
        <f>VLOOKUP(E867,Produtos!$A:$E,5,FALSE)</f>
        <v>70</v>
      </c>
      <c r="H867" s="2">
        <f>VLOOKUP(E867,Produtos!$A:$E,4,FALSE)</f>
        <v>30</v>
      </c>
      <c r="I867" s="2">
        <v>4</v>
      </c>
    </row>
    <row r="868" spans="1:9" x14ac:dyDescent="0.25">
      <c r="A868" s="2" t="str">
        <f>CONCATENATE(Códigos!S867,Códigos!T867,Códigos!U867)</f>
        <v>svv866v</v>
      </c>
      <c r="B868" t="s">
        <v>406</v>
      </c>
      <c r="C868" t="s">
        <v>531</v>
      </c>
      <c r="D868" s="2" t="s">
        <v>532</v>
      </c>
      <c r="E868" t="s">
        <v>521</v>
      </c>
      <c r="F868" s="11">
        <v>43847</v>
      </c>
      <c r="G868" s="2">
        <f>VLOOKUP(E868,Produtos!$A:$E,5,FALSE)</f>
        <v>70</v>
      </c>
      <c r="H868" s="2">
        <f>VLOOKUP(E868,Produtos!$A:$E,4,FALSE)</f>
        <v>30</v>
      </c>
      <c r="I868" s="2">
        <v>4</v>
      </c>
    </row>
    <row r="869" spans="1:9" x14ac:dyDescent="0.25">
      <c r="A869" s="2" t="str">
        <f>CONCATENATE(Códigos!S868,Códigos!T868,Códigos!U868)</f>
        <v>svv867v</v>
      </c>
      <c r="B869" t="s">
        <v>406</v>
      </c>
      <c r="C869" t="s">
        <v>531</v>
      </c>
      <c r="D869" s="2" t="s">
        <v>532</v>
      </c>
      <c r="E869" t="s">
        <v>521</v>
      </c>
      <c r="F869" s="11">
        <v>43848</v>
      </c>
      <c r="G869" s="2">
        <f>VLOOKUP(E869,Produtos!$A:$E,5,FALSE)</f>
        <v>70</v>
      </c>
      <c r="H869" s="2">
        <f>VLOOKUP(E869,Produtos!$A:$E,4,FALSE)</f>
        <v>30</v>
      </c>
      <c r="I869" s="2">
        <v>4</v>
      </c>
    </row>
    <row r="870" spans="1:9" x14ac:dyDescent="0.25">
      <c r="A870" s="2" t="str">
        <f>CONCATENATE(Códigos!S869,Códigos!T869,Códigos!U869)</f>
        <v>svv868v</v>
      </c>
      <c r="B870" t="s">
        <v>406</v>
      </c>
      <c r="C870" t="s">
        <v>531</v>
      </c>
      <c r="D870" s="2" t="s">
        <v>532</v>
      </c>
      <c r="E870" t="s">
        <v>521</v>
      </c>
      <c r="F870" s="11">
        <v>43849</v>
      </c>
      <c r="G870" s="2">
        <f>VLOOKUP(E870,Produtos!$A:$E,5,FALSE)</f>
        <v>70</v>
      </c>
      <c r="H870" s="2">
        <f>VLOOKUP(E870,Produtos!$A:$E,4,FALSE)</f>
        <v>30</v>
      </c>
      <c r="I870" s="2">
        <v>4</v>
      </c>
    </row>
    <row r="871" spans="1:9" x14ac:dyDescent="0.25">
      <c r="A871" s="2" t="str">
        <f>CONCATENATE(Códigos!S870,Códigos!T870,Códigos!U870)</f>
        <v>svv869v</v>
      </c>
      <c r="B871" t="s">
        <v>406</v>
      </c>
      <c r="C871" t="s">
        <v>531</v>
      </c>
      <c r="D871" s="2" t="s">
        <v>532</v>
      </c>
      <c r="E871" t="s">
        <v>521</v>
      </c>
      <c r="F871" s="11">
        <v>43850</v>
      </c>
      <c r="G871" s="2">
        <f>VLOOKUP(E871,Produtos!$A:$E,5,FALSE)</f>
        <v>70</v>
      </c>
      <c r="H871" s="2">
        <f>VLOOKUP(E871,Produtos!$A:$E,4,FALSE)</f>
        <v>30</v>
      </c>
      <c r="I871" s="2">
        <v>4</v>
      </c>
    </row>
    <row r="872" spans="1:9" x14ac:dyDescent="0.25">
      <c r="A872" s="2" t="str">
        <f>CONCATENATE(Códigos!S871,Códigos!T871,Códigos!U871)</f>
        <v>svv870v</v>
      </c>
      <c r="B872" t="s">
        <v>406</v>
      </c>
      <c r="C872" t="s">
        <v>531</v>
      </c>
      <c r="D872" s="2" t="s">
        <v>532</v>
      </c>
      <c r="E872" t="s">
        <v>521</v>
      </c>
      <c r="F872" s="11">
        <v>43851</v>
      </c>
      <c r="G872" s="2">
        <f>VLOOKUP(E872,Produtos!$A:$E,5,FALSE)</f>
        <v>70</v>
      </c>
      <c r="H872" s="2">
        <f>VLOOKUP(E872,Produtos!$A:$E,4,FALSE)</f>
        <v>30</v>
      </c>
      <c r="I872" s="2">
        <v>4</v>
      </c>
    </row>
    <row r="873" spans="1:9" x14ac:dyDescent="0.25">
      <c r="A873" s="2" t="str">
        <f>CONCATENATE(Códigos!S872,Códigos!T872,Códigos!U872)</f>
        <v>svv871v</v>
      </c>
      <c r="B873" t="s">
        <v>406</v>
      </c>
      <c r="C873" t="s">
        <v>531</v>
      </c>
      <c r="D873" s="2" t="s">
        <v>532</v>
      </c>
      <c r="E873" t="s">
        <v>521</v>
      </c>
      <c r="F873" s="11">
        <v>43852</v>
      </c>
      <c r="G873" s="2">
        <f>VLOOKUP(E873,Produtos!$A:$E,5,FALSE)</f>
        <v>70</v>
      </c>
      <c r="H873" s="2">
        <f>VLOOKUP(E873,Produtos!$A:$E,4,FALSE)</f>
        <v>30</v>
      </c>
      <c r="I873" s="2">
        <v>4</v>
      </c>
    </row>
    <row r="874" spans="1:9" x14ac:dyDescent="0.25">
      <c r="A874" s="2" t="str">
        <f>CONCATENATE(Códigos!S873,Códigos!T873,Códigos!U873)</f>
        <v>svv872v</v>
      </c>
      <c r="B874" t="s">
        <v>406</v>
      </c>
      <c r="C874" t="s">
        <v>531</v>
      </c>
      <c r="D874" s="2" t="s">
        <v>532</v>
      </c>
      <c r="E874" t="s">
        <v>521</v>
      </c>
      <c r="F874" s="11">
        <v>43853</v>
      </c>
      <c r="G874" s="2">
        <f>VLOOKUP(E874,Produtos!$A:$E,5,FALSE)</f>
        <v>70</v>
      </c>
      <c r="H874" s="2">
        <f>VLOOKUP(E874,Produtos!$A:$E,4,FALSE)</f>
        <v>30</v>
      </c>
      <c r="I874" s="2">
        <v>4</v>
      </c>
    </row>
    <row r="875" spans="1:9" x14ac:dyDescent="0.25">
      <c r="A875" s="2" t="str">
        <f>CONCATENATE(Códigos!S874,Códigos!T874,Códigos!U874)</f>
        <v>svv873v</v>
      </c>
      <c r="B875" t="s">
        <v>406</v>
      </c>
      <c r="C875" t="s">
        <v>531</v>
      </c>
      <c r="D875" s="2" t="s">
        <v>532</v>
      </c>
      <c r="E875" t="s">
        <v>521</v>
      </c>
      <c r="F875" s="11">
        <v>43854</v>
      </c>
      <c r="G875" s="2">
        <f>VLOOKUP(E875,Produtos!$A:$E,5,FALSE)</f>
        <v>70</v>
      </c>
      <c r="H875" s="2">
        <f>VLOOKUP(E875,Produtos!$A:$E,4,FALSE)</f>
        <v>30</v>
      </c>
      <c r="I875" s="2">
        <v>4</v>
      </c>
    </row>
    <row r="876" spans="1:9" x14ac:dyDescent="0.25">
      <c r="A876" s="2" t="str">
        <f>CONCATENATE(Códigos!S875,Códigos!T875,Códigos!U875)</f>
        <v>svv874v</v>
      </c>
      <c r="B876" t="s">
        <v>406</v>
      </c>
      <c r="C876" t="s">
        <v>531</v>
      </c>
      <c r="D876" s="2" t="s">
        <v>532</v>
      </c>
      <c r="E876" t="s">
        <v>521</v>
      </c>
      <c r="F876" s="11">
        <v>43855</v>
      </c>
      <c r="G876" s="2">
        <f>VLOOKUP(E876,Produtos!$A:$E,5,FALSE)</f>
        <v>70</v>
      </c>
      <c r="H876" s="2">
        <f>VLOOKUP(E876,Produtos!$A:$E,4,FALSE)</f>
        <v>30</v>
      </c>
      <c r="I876" s="2">
        <v>4</v>
      </c>
    </row>
    <row r="877" spans="1:9" x14ac:dyDescent="0.25">
      <c r="A877" s="2" t="str">
        <f>CONCATENATE(Códigos!S876,Códigos!T876,Códigos!U876)</f>
        <v>svv875v</v>
      </c>
      <c r="B877" t="s">
        <v>406</v>
      </c>
      <c r="C877" t="s">
        <v>531</v>
      </c>
      <c r="D877" s="2" t="s">
        <v>532</v>
      </c>
      <c r="E877" t="s">
        <v>521</v>
      </c>
      <c r="F877" s="11">
        <v>43856</v>
      </c>
      <c r="G877" s="2">
        <f>VLOOKUP(E877,Produtos!$A:$E,5,FALSE)</f>
        <v>70</v>
      </c>
      <c r="H877" s="2">
        <f>VLOOKUP(E877,Produtos!$A:$E,4,FALSE)</f>
        <v>30</v>
      </c>
      <c r="I877" s="2">
        <v>4</v>
      </c>
    </row>
    <row r="878" spans="1:9" x14ac:dyDescent="0.25">
      <c r="A878" s="2" t="str">
        <f>CONCATENATE(Códigos!S877,Códigos!T877,Códigos!U877)</f>
        <v>svv876v</v>
      </c>
      <c r="B878" t="s">
        <v>406</v>
      </c>
      <c r="C878" t="s">
        <v>531</v>
      </c>
      <c r="D878" s="2" t="s">
        <v>532</v>
      </c>
      <c r="E878" t="s">
        <v>521</v>
      </c>
      <c r="F878" s="11">
        <v>43857</v>
      </c>
      <c r="G878" s="2">
        <f>VLOOKUP(E878,Produtos!$A:$E,5,FALSE)</f>
        <v>70</v>
      </c>
      <c r="H878" s="2">
        <f>VLOOKUP(E878,Produtos!$A:$E,4,FALSE)</f>
        <v>30</v>
      </c>
      <c r="I878" s="2">
        <v>4</v>
      </c>
    </row>
    <row r="879" spans="1:9" x14ac:dyDescent="0.25">
      <c r="A879" s="2" t="str">
        <f>CONCATENATE(Códigos!S878,Códigos!T878,Códigos!U878)</f>
        <v>svv877v</v>
      </c>
      <c r="B879" t="s">
        <v>406</v>
      </c>
      <c r="C879" t="s">
        <v>531</v>
      </c>
      <c r="D879" s="2" t="s">
        <v>532</v>
      </c>
      <c r="E879" t="s">
        <v>521</v>
      </c>
      <c r="F879" s="11">
        <v>43858</v>
      </c>
      <c r="G879" s="2">
        <f>VLOOKUP(E879,Produtos!$A:$E,5,FALSE)</f>
        <v>70</v>
      </c>
      <c r="H879" s="2">
        <f>VLOOKUP(E879,Produtos!$A:$E,4,FALSE)</f>
        <v>30</v>
      </c>
      <c r="I879" s="2">
        <v>4</v>
      </c>
    </row>
    <row r="880" spans="1:9" x14ac:dyDescent="0.25">
      <c r="A880" s="2" t="str">
        <f>CONCATENATE(Códigos!S879,Códigos!T879,Códigos!U879)</f>
        <v>svv878v</v>
      </c>
      <c r="B880" t="s">
        <v>406</v>
      </c>
      <c r="C880" t="s">
        <v>531</v>
      </c>
      <c r="D880" s="2" t="s">
        <v>532</v>
      </c>
      <c r="E880" t="s">
        <v>521</v>
      </c>
      <c r="F880" s="11">
        <v>43859</v>
      </c>
      <c r="G880" s="2">
        <f>VLOOKUP(E880,Produtos!$A:$E,5,FALSE)</f>
        <v>70</v>
      </c>
      <c r="H880" s="2">
        <f>VLOOKUP(E880,Produtos!$A:$E,4,FALSE)</f>
        <v>30</v>
      </c>
      <c r="I880" s="2">
        <v>4</v>
      </c>
    </row>
    <row r="881" spans="1:9" x14ac:dyDescent="0.25">
      <c r="A881" s="2" t="str">
        <f>CONCATENATE(Códigos!S880,Códigos!T880,Códigos!U880)</f>
        <v>svv879v</v>
      </c>
      <c r="B881" t="s">
        <v>410</v>
      </c>
      <c r="C881" t="s">
        <v>531</v>
      </c>
      <c r="D881" s="2" t="s">
        <v>532</v>
      </c>
      <c r="E881" t="s">
        <v>521</v>
      </c>
      <c r="F881" s="11">
        <v>43860</v>
      </c>
      <c r="G881" s="2">
        <f>VLOOKUP(E881,Produtos!$A:$E,5,FALSE)</f>
        <v>70</v>
      </c>
      <c r="H881" s="2">
        <f>VLOOKUP(E881,Produtos!$A:$E,4,FALSE)</f>
        <v>30</v>
      </c>
      <c r="I881" s="2">
        <v>4</v>
      </c>
    </row>
    <row r="882" spans="1:9" x14ac:dyDescent="0.25">
      <c r="A882" s="2" t="str">
        <f>CONCATENATE(Códigos!S881,Códigos!T881,Códigos!U881)</f>
        <v>svv880v</v>
      </c>
      <c r="B882" t="s">
        <v>410</v>
      </c>
      <c r="C882" t="s">
        <v>531</v>
      </c>
      <c r="D882" s="2" t="s">
        <v>532</v>
      </c>
      <c r="E882" t="s">
        <v>521</v>
      </c>
      <c r="F882" s="11">
        <v>43861</v>
      </c>
      <c r="G882" s="2">
        <f>VLOOKUP(E882,Produtos!$A:$E,5,FALSE)</f>
        <v>70</v>
      </c>
      <c r="H882" s="2">
        <f>VLOOKUP(E882,Produtos!$A:$E,4,FALSE)</f>
        <v>30</v>
      </c>
      <c r="I882" s="2">
        <v>4</v>
      </c>
    </row>
    <row r="883" spans="1:9" x14ac:dyDescent="0.25">
      <c r="A883" s="2" t="str">
        <f>CONCATENATE(Códigos!S882,Códigos!T882,Códigos!U882)</f>
        <v>svv881v</v>
      </c>
      <c r="B883" t="s">
        <v>410</v>
      </c>
      <c r="C883" t="s">
        <v>531</v>
      </c>
      <c r="D883" s="2" t="s">
        <v>532</v>
      </c>
      <c r="E883" t="s">
        <v>521</v>
      </c>
      <c r="F883" s="11">
        <v>43862</v>
      </c>
      <c r="G883" s="2">
        <f>VLOOKUP(E883,Produtos!$A:$E,5,FALSE)</f>
        <v>70</v>
      </c>
      <c r="H883" s="2">
        <f>VLOOKUP(E883,Produtos!$A:$E,4,FALSE)</f>
        <v>30</v>
      </c>
      <c r="I883" s="2">
        <v>4</v>
      </c>
    </row>
    <row r="884" spans="1:9" x14ac:dyDescent="0.25">
      <c r="A884" s="2" t="str">
        <f>CONCATENATE(Códigos!S883,Códigos!T883,Códigos!U883)</f>
        <v>svv882v</v>
      </c>
      <c r="B884" t="s">
        <v>410</v>
      </c>
      <c r="C884" t="s">
        <v>531</v>
      </c>
      <c r="D884" s="2" t="s">
        <v>532</v>
      </c>
      <c r="E884" t="s">
        <v>521</v>
      </c>
      <c r="F884" s="11">
        <v>43863</v>
      </c>
      <c r="G884" s="2">
        <f>VLOOKUP(E884,Produtos!$A:$E,5,FALSE)</f>
        <v>70</v>
      </c>
      <c r="H884" s="2">
        <f>VLOOKUP(E884,Produtos!$A:$E,4,FALSE)</f>
        <v>30</v>
      </c>
      <c r="I884" s="2">
        <v>4</v>
      </c>
    </row>
    <row r="885" spans="1:9" x14ac:dyDescent="0.25">
      <c r="A885" s="2" t="str">
        <f>CONCATENATE(Códigos!S884,Códigos!T884,Códigos!U884)</f>
        <v>svv883v</v>
      </c>
      <c r="B885" t="s">
        <v>410</v>
      </c>
      <c r="C885" t="s">
        <v>531</v>
      </c>
      <c r="D885" s="2" t="s">
        <v>532</v>
      </c>
      <c r="E885" t="s">
        <v>521</v>
      </c>
      <c r="F885" s="11">
        <v>43864</v>
      </c>
      <c r="G885" s="2">
        <f>VLOOKUP(E885,Produtos!$A:$E,5,FALSE)</f>
        <v>70</v>
      </c>
      <c r="H885" s="2">
        <f>VLOOKUP(E885,Produtos!$A:$E,4,FALSE)</f>
        <v>30</v>
      </c>
      <c r="I885" s="2">
        <v>4</v>
      </c>
    </row>
    <row r="886" spans="1:9" x14ac:dyDescent="0.25">
      <c r="A886" s="2" t="str">
        <f>CONCATENATE(Códigos!S885,Códigos!T885,Códigos!U885)</f>
        <v>svv884v</v>
      </c>
      <c r="B886" t="s">
        <v>410</v>
      </c>
      <c r="C886" t="s">
        <v>531</v>
      </c>
      <c r="D886" s="2" t="s">
        <v>532</v>
      </c>
      <c r="E886" t="s">
        <v>521</v>
      </c>
      <c r="F886" s="11">
        <v>43865</v>
      </c>
      <c r="G886" s="2">
        <f>VLOOKUP(E886,Produtos!$A:$E,5,FALSE)</f>
        <v>70</v>
      </c>
      <c r="H886" s="2">
        <f>VLOOKUP(E886,Produtos!$A:$E,4,FALSE)</f>
        <v>30</v>
      </c>
      <c r="I886" s="2">
        <v>4</v>
      </c>
    </row>
    <row r="887" spans="1:9" x14ac:dyDescent="0.25">
      <c r="A887" s="2" t="str">
        <f>CONCATENATE(Códigos!S886,Códigos!T886,Códigos!U886)</f>
        <v>svv885v</v>
      </c>
      <c r="B887" t="s">
        <v>410</v>
      </c>
      <c r="C887" t="s">
        <v>531</v>
      </c>
      <c r="D887" s="2" t="s">
        <v>532</v>
      </c>
      <c r="E887" t="s">
        <v>521</v>
      </c>
      <c r="F887" s="11">
        <v>43866</v>
      </c>
      <c r="G887" s="2">
        <f>VLOOKUP(E887,Produtos!$A:$E,5,FALSE)</f>
        <v>70</v>
      </c>
      <c r="H887" s="2">
        <f>VLOOKUP(E887,Produtos!$A:$E,4,FALSE)</f>
        <v>30</v>
      </c>
      <c r="I887" s="2">
        <v>4</v>
      </c>
    </row>
    <row r="888" spans="1:9" x14ac:dyDescent="0.25">
      <c r="A888" s="2" t="str">
        <f>CONCATENATE(Códigos!S887,Códigos!T887,Códigos!U887)</f>
        <v>svv886v</v>
      </c>
      <c r="B888" t="s">
        <v>410</v>
      </c>
      <c r="C888" t="s">
        <v>531</v>
      </c>
      <c r="D888" s="2" t="s">
        <v>532</v>
      </c>
      <c r="E888" t="s">
        <v>521</v>
      </c>
      <c r="F888" s="11">
        <v>43867</v>
      </c>
      <c r="G888" s="2">
        <f>VLOOKUP(E888,Produtos!$A:$E,5,FALSE)</f>
        <v>70</v>
      </c>
      <c r="H888" s="2">
        <f>VLOOKUP(E888,Produtos!$A:$E,4,FALSE)</f>
        <v>30</v>
      </c>
      <c r="I888" s="2">
        <v>4</v>
      </c>
    </row>
    <row r="889" spans="1:9" x14ac:dyDescent="0.25">
      <c r="A889" s="2" t="str">
        <f>CONCATENATE(Códigos!S888,Códigos!T888,Códigos!U888)</f>
        <v>svv887v</v>
      </c>
      <c r="B889" t="s">
        <v>410</v>
      </c>
      <c r="C889" t="s">
        <v>531</v>
      </c>
      <c r="D889" s="2" t="s">
        <v>532</v>
      </c>
      <c r="E889" t="s">
        <v>521</v>
      </c>
      <c r="F889" s="11">
        <v>43868</v>
      </c>
      <c r="G889" s="2">
        <f>VLOOKUP(E889,Produtos!$A:$E,5,FALSE)</f>
        <v>70</v>
      </c>
      <c r="H889" s="2">
        <f>VLOOKUP(E889,Produtos!$A:$E,4,FALSE)</f>
        <v>30</v>
      </c>
      <c r="I889" s="2">
        <v>4</v>
      </c>
    </row>
    <row r="890" spans="1:9" x14ac:dyDescent="0.25">
      <c r="A890" s="2" t="str">
        <f>CONCATENATE(Códigos!S889,Códigos!T889,Códigos!U889)</f>
        <v>svv888v</v>
      </c>
      <c r="B890" t="s">
        <v>410</v>
      </c>
      <c r="C890" t="s">
        <v>531</v>
      </c>
      <c r="D890" s="2" t="s">
        <v>532</v>
      </c>
      <c r="E890" t="s">
        <v>521</v>
      </c>
      <c r="F890" s="11">
        <v>43869</v>
      </c>
      <c r="G890" s="2">
        <f>VLOOKUP(E890,Produtos!$A:$E,5,FALSE)</f>
        <v>70</v>
      </c>
      <c r="H890" s="2">
        <f>VLOOKUP(E890,Produtos!$A:$E,4,FALSE)</f>
        <v>30</v>
      </c>
      <c r="I890" s="2">
        <v>4</v>
      </c>
    </row>
    <row r="891" spans="1:9" x14ac:dyDescent="0.25">
      <c r="A891" s="2" t="str">
        <f>CONCATENATE(Códigos!S890,Códigos!T890,Códigos!U890)</f>
        <v>svv889v</v>
      </c>
      <c r="B891" t="s">
        <v>410</v>
      </c>
      <c r="C891" t="s">
        <v>531</v>
      </c>
      <c r="D891" s="2" t="s">
        <v>532</v>
      </c>
      <c r="E891" t="s">
        <v>521</v>
      </c>
      <c r="F891" s="11">
        <v>43870</v>
      </c>
      <c r="G891" s="2">
        <f>VLOOKUP(E891,Produtos!$A:$E,5,FALSE)</f>
        <v>70</v>
      </c>
      <c r="H891" s="2">
        <f>VLOOKUP(E891,Produtos!$A:$E,4,FALSE)</f>
        <v>30</v>
      </c>
      <c r="I891" s="2">
        <v>4</v>
      </c>
    </row>
    <row r="892" spans="1:9" x14ac:dyDescent="0.25">
      <c r="A892" s="2" t="str">
        <f>CONCATENATE(Códigos!S891,Códigos!T891,Códigos!U891)</f>
        <v>svv890v</v>
      </c>
      <c r="B892" t="s">
        <v>410</v>
      </c>
      <c r="C892" t="s">
        <v>531</v>
      </c>
      <c r="D892" s="2" t="s">
        <v>532</v>
      </c>
      <c r="E892" t="s">
        <v>521</v>
      </c>
      <c r="F892" s="11">
        <v>43871</v>
      </c>
      <c r="G892" s="2">
        <f>VLOOKUP(E892,Produtos!$A:$E,5,FALSE)</f>
        <v>70</v>
      </c>
      <c r="H892" s="2">
        <f>VLOOKUP(E892,Produtos!$A:$E,4,FALSE)</f>
        <v>30</v>
      </c>
      <c r="I892" s="2">
        <v>4</v>
      </c>
    </row>
    <row r="893" spans="1:9" x14ac:dyDescent="0.25">
      <c r="A893" s="2" t="str">
        <f>CONCATENATE(Códigos!S892,Códigos!T892,Códigos!U892)</f>
        <v>svv891v</v>
      </c>
      <c r="B893" t="s">
        <v>410</v>
      </c>
      <c r="C893" t="s">
        <v>531</v>
      </c>
      <c r="D893" s="2" t="s">
        <v>532</v>
      </c>
      <c r="E893" t="s">
        <v>521</v>
      </c>
      <c r="F893" s="11">
        <v>43872</v>
      </c>
      <c r="G893" s="2">
        <f>VLOOKUP(E893,Produtos!$A:$E,5,FALSE)</f>
        <v>70</v>
      </c>
      <c r="H893" s="2">
        <f>VLOOKUP(E893,Produtos!$A:$E,4,FALSE)</f>
        <v>30</v>
      </c>
      <c r="I893" s="2">
        <v>4</v>
      </c>
    </row>
    <row r="894" spans="1:9" x14ac:dyDescent="0.25">
      <c r="A894" s="2" t="str">
        <f>CONCATENATE(Códigos!S893,Códigos!T893,Códigos!U893)</f>
        <v>svv892v</v>
      </c>
      <c r="B894" t="s">
        <v>410</v>
      </c>
      <c r="C894" t="s">
        <v>531</v>
      </c>
      <c r="D894" s="2" t="s">
        <v>532</v>
      </c>
      <c r="E894" t="s">
        <v>521</v>
      </c>
      <c r="F894" s="11">
        <v>43873</v>
      </c>
      <c r="G894" s="2">
        <f>VLOOKUP(E894,Produtos!$A:$E,5,FALSE)</f>
        <v>70</v>
      </c>
      <c r="H894" s="2">
        <f>VLOOKUP(E894,Produtos!$A:$E,4,FALSE)</f>
        <v>30</v>
      </c>
      <c r="I894" s="2">
        <v>4</v>
      </c>
    </row>
    <row r="895" spans="1:9" x14ac:dyDescent="0.25">
      <c r="A895" s="2" t="str">
        <f>CONCATENATE(Códigos!S894,Códigos!T894,Códigos!U894)</f>
        <v>svv893v</v>
      </c>
      <c r="B895" t="s">
        <v>410</v>
      </c>
      <c r="C895" t="s">
        <v>531</v>
      </c>
      <c r="D895" s="2" t="s">
        <v>532</v>
      </c>
      <c r="E895" t="s">
        <v>521</v>
      </c>
      <c r="F895" s="11">
        <v>43874</v>
      </c>
      <c r="G895" s="2">
        <f>VLOOKUP(E895,Produtos!$A:$E,5,FALSE)</f>
        <v>70</v>
      </c>
      <c r="H895" s="2">
        <f>VLOOKUP(E895,Produtos!$A:$E,4,FALSE)</f>
        <v>30</v>
      </c>
      <c r="I895" s="2">
        <v>4</v>
      </c>
    </row>
    <row r="896" spans="1:9" x14ac:dyDescent="0.25">
      <c r="A896" s="2" t="str">
        <f>CONCATENATE(Códigos!S895,Códigos!T895,Códigos!U895)</f>
        <v>svv894v</v>
      </c>
      <c r="B896" t="s">
        <v>410</v>
      </c>
      <c r="C896" t="s">
        <v>531</v>
      </c>
      <c r="D896" s="2" t="s">
        <v>532</v>
      </c>
      <c r="E896" t="s">
        <v>521</v>
      </c>
      <c r="F896" s="11">
        <v>43875</v>
      </c>
      <c r="G896" s="2">
        <f>VLOOKUP(E896,Produtos!$A:$E,5,FALSE)</f>
        <v>70</v>
      </c>
      <c r="H896" s="2">
        <f>VLOOKUP(E896,Produtos!$A:$E,4,FALSE)</f>
        <v>30</v>
      </c>
      <c r="I896" s="2">
        <v>4</v>
      </c>
    </row>
    <row r="897" spans="1:9" x14ac:dyDescent="0.25">
      <c r="A897" s="2" t="str">
        <f>CONCATENATE(Códigos!S896,Códigos!T896,Códigos!U896)</f>
        <v>svv895v</v>
      </c>
      <c r="B897" t="s">
        <v>410</v>
      </c>
      <c r="C897" t="s">
        <v>531</v>
      </c>
      <c r="D897" s="2" t="s">
        <v>532</v>
      </c>
      <c r="E897" t="s">
        <v>521</v>
      </c>
      <c r="F897" s="11">
        <v>43876</v>
      </c>
      <c r="G897" s="2">
        <f>VLOOKUP(E897,Produtos!$A:$E,5,FALSE)</f>
        <v>70</v>
      </c>
      <c r="H897" s="2">
        <f>VLOOKUP(E897,Produtos!$A:$E,4,FALSE)</f>
        <v>30</v>
      </c>
      <c r="I897" s="2">
        <v>4</v>
      </c>
    </row>
    <row r="898" spans="1:9" x14ac:dyDescent="0.25">
      <c r="A898" s="2" t="str">
        <f>CONCATENATE(Códigos!S897,Códigos!T897,Códigos!U897)</f>
        <v>svv896v</v>
      </c>
      <c r="B898" t="s">
        <v>410</v>
      </c>
      <c r="C898" t="s">
        <v>531</v>
      </c>
      <c r="D898" s="2" t="s">
        <v>532</v>
      </c>
      <c r="E898" t="s">
        <v>521</v>
      </c>
      <c r="F898" s="11">
        <v>43877</v>
      </c>
      <c r="G898" s="2">
        <f>VLOOKUP(E898,Produtos!$A:$E,5,FALSE)</f>
        <v>70</v>
      </c>
      <c r="H898" s="2">
        <f>VLOOKUP(E898,Produtos!$A:$E,4,FALSE)</f>
        <v>30</v>
      </c>
      <c r="I898" s="2">
        <v>4</v>
      </c>
    </row>
    <row r="899" spans="1:9" x14ac:dyDescent="0.25">
      <c r="A899" s="2" t="str">
        <f>CONCATENATE(Códigos!S898,Códigos!T898,Códigos!U898)</f>
        <v>svv897v</v>
      </c>
      <c r="B899" t="s">
        <v>410</v>
      </c>
      <c r="C899" t="s">
        <v>531</v>
      </c>
      <c r="D899" s="2" t="s">
        <v>532</v>
      </c>
      <c r="E899" t="s">
        <v>521</v>
      </c>
      <c r="F899" s="11">
        <v>43878</v>
      </c>
      <c r="G899" s="2">
        <f>VLOOKUP(E899,Produtos!$A:$E,5,FALSE)</f>
        <v>70</v>
      </c>
      <c r="H899" s="2">
        <f>VLOOKUP(E899,Produtos!$A:$E,4,FALSE)</f>
        <v>30</v>
      </c>
      <c r="I899" s="2">
        <v>4</v>
      </c>
    </row>
    <row r="900" spans="1:9" x14ac:dyDescent="0.25">
      <c r="A900" s="2" t="str">
        <f>CONCATENATE(Códigos!S899,Códigos!T899,Códigos!U899)</f>
        <v>svv898v</v>
      </c>
      <c r="B900" t="s">
        <v>410</v>
      </c>
      <c r="C900" t="s">
        <v>531</v>
      </c>
      <c r="D900" s="2" t="s">
        <v>532</v>
      </c>
      <c r="E900" t="s">
        <v>521</v>
      </c>
      <c r="F900" s="11">
        <v>43879</v>
      </c>
      <c r="G900" s="2">
        <f>VLOOKUP(E900,Produtos!$A:$E,5,FALSE)</f>
        <v>70</v>
      </c>
      <c r="H900" s="2">
        <f>VLOOKUP(E900,Produtos!$A:$E,4,FALSE)</f>
        <v>30</v>
      </c>
      <c r="I900" s="2">
        <v>4</v>
      </c>
    </row>
    <row r="901" spans="1:9" x14ac:dyDescent="0.25">
      <c r="A901" s="2" t="str">
        <f>CONCATENATE(Códigos!S900,Códigos!T900,Códigos!U900)</f>
        <v>svv899v</v>
      </c>
      <c r="B901" t="s">
        <v>410</v>
      </c>
      <c r="C901" t="s">
        <v>531</v>
      </c>
      <c r="D901" s="2" t="s">
        <v>532</v>
      </c>
      <c r="E901" t="s">
        <v>521</v>
      </c>
      <c r="F901" s="11">
        <v>43880</v>
      </c>
      <c r="G901" s="2">
        <f>VLOOKUP(E901,Produtos!$A:$E,5,FALSE)</f>
        <v>70</v>
      </c>
      <c r="H901" s="2">
        <f>VLOOKUP(E901,Produtos!$A:$E,4,FALSE)</f>
        <v>30</v>
      </c>
      <c r="I901" s="2">
        <v>4</v>
      </c>
    </row>
    <row r="902" spans="1:9" x14ac:dyDescent="0.25">
      <c r="A902" s="2" t="str">
        <f>CONCATENATE(Códigos!S901,Códigos!T901,Códigos!U901)</f>
        <v>svv900v</v>
      </c>
      <c r="B902" t="s">
        <v>410</v>
      </c>
      <c r="C902" t="s">
        <v>531</v>
      </c>
      <c r="D902" s="2" t="s">
        <v>532</v>
      </c>
      <c r="E902" t="s">
        <v>521</v>
      </c>
      <c r="F902" s="11">
        <v>43881</v>
      </c>
      <c r="G902" s="2">
        <f>VLOOKUP(E902,Produtos!$A:$E,5,FALSE)</f>
        <v>70</v>
      </c>
      <c r="H902" s="2">
        <f>VLOOKUP(E902,Produtos!$A:$E,4,FALSE)</f>
        <v>30</v>
      </c>
      <c r="I902" s="2">
        <v>4</v>
      </c>
    </row>
    <row r="903" spans="1:9" x14ac:dyDescent="0.25">
      <c r="A903" s="2" t="str">
        <f>CONCATENATE(Códigos!S902,Códigos!T902,Códigos!U902)</f>
        <v>svv901v</v>
      </c>
      <c r="B903" t="s">
        <v>410</v>
      </c>
      <c r="C903" t="s">
        <v>529</v>
      </c>
      <c r="D903" s="2" t="s">
        <v>530</v>
      </c>
      <c r="E903" t="s">
        <v>521</v>
      </c>
      <c r="F903" s="11">
        <v>43882</v>
      </c>
      <c r="G903" s="2">
        <f>VLOOKUP(E903,Produtos!$A:$E,5,FALSE)</f>
        <v>70</v>
      </c>
      <c r="H903" s="2">
        <f>VLOOKUP(E903,Produtos!$A:$E,4,FALSE)</f>
        <v>30</v>
      </c>
      <c r="I903" s="2">
        <v>4</v>
      </c>
    </row>
    <row r="904" spans="1:9" x14ac:dyDescent="0.25">
      <c r="A904" s="2" t="str">
        <f>CONCATENATE(Códigos!S903,Códigos!T903,Códigos!U903)</f>
        <v>svv902v</v>
      </c>
      <c r="B904" t="s">
        <v>410</v>
      </c>
      <c r="C904" t="s">
        <v>529</v>
      </c>
      <c r="D904" s="2" t="s">
        <v>530</v>
      </c>
      <c r="E904" t="s">
        <v>521</v>
      </c>
      <c r="F904" s="11">
        <v>43883</v>
      </c>
      <c r="G904" s="2">
        <f>VLOOKUP(E904,Produtos!$A:$E,5,FALSE)</f>
        <v>70</v>
      </c>
      <c r="H904" s="2">
        <f>VLOOKUP(E904,Produtos!$A:$E,4,FALSE)</f>
        <v>30</v>
      </c>
      <c r="I904" s="2">
        <v>4</v>
      </c>
    </row>
    <row r="905" spans="1:9" x14ac:dyDescent="0.25">
      <c r="A905" s="2" t="str">
        <f>CONCATENATE(Códigos!S904,Códigos!T904,Códigos!U904)</f>
        <v>svv903v</v>
      </c>
      <c r="B905" t="s">
        <v>410</v>
      </c>
      <c r="C905" t="s">
        <v>529</v>
      </c>
      <c r="D905" s="2" t="s">
        <v>530</v>
      </c>
      <c r="E905" t="s">
        <v>521</v>
      </c>
      <c r="F905" s="11">
        <v>43884</v>
      </c>
      <c r="G905" s="2">
        <f>VLOOKUP(E905,Produtos!$A:$E,5,FALSE)</f>
        <v>70</v>
      </c>
      <c r="H905" s="2">
        <f>VLOOKUP(E905,Produtos!$A:$E,4,FALSE)</f>
        <v>30</v>
      </c>
      <c r="I905" s="2">
        <v>4</v>
      </c>
    </row>
    <row r="906" spans="1:9" x14ac:dyDescent="0.25">
      <c r="A906" s="2" t="str">
        <f>CONCATENATE(Códigos!S905,Códigos!T905,Códigos!U905)</f>
        <v>svv904v</v>
      </c>
      <c r="B906" t="s">
        <v>410</v>
      </c>
      <c r="C906" t="s">
        <v>529</v>
      </c>
      <c r="D906" s="2" t="s">
        <v>530</v>
      </c>
      <c r="E906" t="s">
        <v>521</v>
      </c>
      <c r="F906" s="11">
        <v>43885</v>
      </c>
      <c r="G906" s="2">
        <f>VLOOKUP(E906,Produtos!$A:$E,5,FALSE)</f>
        <v>70</v>
      </c>
      <c r="H906" s="2">
        <f>VLOOKUP(E906,Produtos!$A:$E,4,FALSE)</f>
        <v>30</v>
      </c>
      <c r="I906" s="2">
        <v>4</v>
      </c>
    </row>
    <row r="907" spans="1:9" x14ac:dyDescent="0.25">
      <c r="A907" s="2" t="str">
        <f>CONCATENATE(Códigos!S906,Códigos!T906,Códigos!U906)</f>
        <v>svv905v</v>
      </c>
      <c r="B907" t="s">
        <v>410</v>
      </c>
      <c r="C907" t="s">
        <v>529</v>
      </c>
      <c r="D907" s="2" t="s">
        <v>530</v>
      </c>
      <c r="E907" t="s">
        <v>521</v>
      </c>
      <c r="F907" s="11">
        <v>43886</v>
      </c>
      <c r="G907" s="2">
        <f>VLOOKUP(E907,Produtos!$A:$E,5,FALSE)</f>
        <v>70</v>
      </c>
      <c r="H907" s="2">
        <f>VLOOKUP(E907,Produtos!$A:$E,4,FALSE)</f>
        <v>30</v>
      </c>
      <c r="I907" s="2">
        <v>4</v>
      </c>
    </row>
    <row r="908" spans="1:9" x14ac:dyDescent="0.25">
      <c r="A908" s="2" t="str">
        <f>CONCATENATE(Códigos!S907,Códigos!T907,Códigos!U907)</f>
        <v>svv906v</v>
      </c>
      <c r="B908" t="s">
        <v>410</v>
      </c>
      <c r="C908" t="s">
        <v>529</v>
      </c>
      <c r="D908" s="2" t="s">
        <v>530</v>
      </c>
      <c r="E908" t="s">
        <v>521</v>
      </c>
      <c r="F908" s="11">
        <v>43887</v>
      </c>
      <c r="G908" s="2">
        <f>VLOOKUP(E908,Produtos!$A:$E,5,FALSE)</f>
        <v>70</v>
      </c>
      <c r="H908" s="2">
        <f>VLOOKUP(E908,Produtos!$A:$E,4,FALSE)</f>
        <v>30</v>
      </c>
      <c r="I908" s="2">
        <v>4</v>
      </c>
    </row>
    <row r="909" spans="1:9" x14ac:dyDescent="0.25">
      <c r="A909" s="2" t="str">
        <f>CONCATENATE(Códigos!S908,Códigos!T908,Códigos!U908)</f>
        <v>svv907v</v>
      </c>
      <c r="B909" t="s">
        <v>410</v>
      </c>
      <c r="C909" t="s">
        <v>529</v>
      </c>
      <c r="D909" s="2" t="s">
        <v>530</v>
      </c>
      <c r="E909" t="s">
        <v>521</v>
      </c>
      <c r="F909" s="11">
        <v>43888</v>
      </c>
      <c r="G909" s="2">
        <f>VLOOKUP(E909,Produtos!$A:$E,5,FALSE)</f>
        <v>70</v>
      </c>
      <c r="H909" s="2">
        <f>VLOOKUP(E909,Produtos!$A:$E,4,FALSE)</f>
        <v>30</v>
      </c>
      <c r="I909" s="2">
        <v>4</v>
      </c>
    </row>
    <row r="910" spans="1:9" x14ac:dyDescent="0.25">
      <c r="A910" s="2" t="str">
        <f>CONCATENATE(Códigos!S909,Códigos!T909,Códigos!U909)</f>
        <v>svv908v</v>
      </c>
      <c r="B910" t="s">
        <v>410</v>
      </c>
      <c r="C910" t="s">
        <v>529</v>
      </c>
      <c r="D910" s="2" t="s">
        <v>530</v>
      </c>
      <c r="E910" t="s">
        <v>521</v>
      </c>
      <c r="F910" s="11">
        <v>43889</v>
      </c>
      <c r="G910" s="2">
        <f>VLOOKUP(E910,Produtos!$A:$E,5,FALSE)</f>
        <v>70</v>
      </c>
      <c r="H910" s="2">
        <f>VLOOKUP(E910,Produtos!$A:$E,4,FALSE)</f>
        <v>30</v>
      </c>
      <c r="I910" s="2">
        <v>4</v>
      </c>
    </row>
    <row r="911" spans="1:9" x14ac:dyDescent="0.25">
      <c r="A911" s="2" t="str">
        <f>CONCATENATE(Códigos!S910,Códigos!T910,Códigos!U910)</f>
        <v>svv909v</v>
      </c>
      <c r="B911" t="s">
        <v>410</v>
      </c>
      <c r="C911" t="s">
        <v>529</v>
      </c>
      <c r="D911" s="2" t="s">
        <v>530</v>
      </c>
      <c r="E911" t="s">
        <v>521</v>
      </c>
      <c r="F911" s="11">
        <v>43890</v>
      </c>
      <c r="G911" s="2">
        <f>VLOOKUP(E911,Produtos!$A:$E,5,FALSE)</f>
        <v>70</v>
      </c>
      <c r="H911" s="2">
        <f>VLOOKUP(E911,Produtos!$A:$E,4,FALSE)</f>
        <v>30</v>
      </c>
      <c r="I911" s="2">
        <v>4</v>
      </c>
    </row>
    <row r="912" spans="1:9" x14ac:dyDescent="0.25">
      <c r="A912" s="2" t="str">
        <f>CONCATENATE(Códigos!S911,Códigos!T911,Códigos!U911)</f>
        <v>svv910v</v>
      </c>
      <c r="B912" t="s">
        <v>410</v>
      </c>
      <c r="C912" t="s">
        <v>529</v>
      </c>
      <c r="D912" s="2" t="s">
        <v>530</v>
      </c>
      <c r="E912" t="s">
        <v>521</v>
      </c>
      <c r="F912" s="11">
        <v>43891</v>
      </c>
      <c r="G912" s="2">
        <f>VLOOKUP(E912,Produtos!$A:$E,5,FALSE)</f>
        <v>70</v>
      </c>
      <c r="H912" s="2">
        <f>VLOOKUP(E912,Produtos!$A:$E,4,FALSE)</f>
        <v>30</v>
      </c>
      <c r="I912" s="2">
        <v>4</v>
      </c>
    </row>
    <row r="913" spans="1:9" x14ac:dyDescent="0.25">
      <c r="A913" s="2" t="str">
        <f>CONCATENATE(Códigos!S912,Códigos!T912,Códigos!U912)</f>
        <v>svv911v</v>
      </c>
      <c r="B913" t="s">
        <v>410</v>
      </c>
      <c r="C913" t="s">
        <v>529</v>
      </c>
      <c r="D913" s="2" t="s">
        <v>530</v>
      </c>
      <c r="E913" t="s">
        <v>521</v>
      </c>
      <c r="F913" s="11">
        <v>43892</v>
      </c>
      <c r="G913" s="2">
        <f>VLOOKUP(E913,Produtos!$A:$E,5,FALSE)</f>
        <v>70</v>
      </c>
      <c r="H913" s="2">
        <f>VLOOKUP(E913,Produtos!$A:$E,4,FALSE)</f>
        <v>30</v>
      </c>
      <c r="I913" s="2">
        <v>4</v>
      </c>
    </row>
    <row r="914" spans="1:9" x14ac:dyDescent="0.25">
      <c r="A914" s="2" t="str">
        <f>CONCATENATE(Códigos!S913,Códigos!T913,Códigos!U913)</f>
        <v>svv912v</v>
      </c>
      <c r="B914" t="s">
        <v>410</v>
      </c>
      <c r="C914" t="s">
        <v>529</v>
      </c>
      <c r="D914" s="2" t="s">
        <v>530</v>
      </c>
      <c r="E914" t="s">
        <v>521</v>
      </c>
      <c r="F914" s="11">
        <v>43893</v>
      </c>
      <c r="G914" s="2">
        <f>VLOOKUP(E914,Produtos!$A:$E,5,FALSE)</f>
        <v>70</v>
      </c>
      <c r="H914" s="2">
        <f>VLOOKUP(E914,Produtos!$A:$E,4,FALSE)</f>
        <v>30</v>
      </c>
      <c r="I914" s="2">
        <v>4</v>
      </c>
    </row>
    <row r="915" spans="1:9" x14ac:dyDescent="0.25">
      <c r="A915" s="2" t="str">
        <f>CONCATENATE(Códigos!S914,Códigos!T914,Códigos!U914)</f>
        <v>svv913v</v>
      </c>
      <c r="B915" t="s">
        <v>410</v>
      </c>
      <c r="C915" t="s">
        <v>529</v>
      </c>
      <c r="D915" s="2" t="s">
        <v>530</v>
      </c>
      <c r="E915" t="s">
        <v>521</v>
      </c>
      <c r="F915" s="11">
        <v>43894</v>
      </c>
      <c r="G915" s="2">
        <f>VLOOKUP(E915,Produtos!$A:$E,5,FALSE)</f>
        <v>70</v>
      </c>
      <c r="H915" s="2">
        <f>VLOOKUP(E915,Produtos!$A:$E,4,FALSE)</f>
        <v>30</v>
      </c>
      <c r="I915" s="2">
        <v>4</v>
      </c>
    </row>
    <row r="916" spans="1:9" x14ac:dyDescent="0.25">
      <c r="A916" s="2" t="str">
        <f>CONCATENATE(Códigos!S915,Códigos!T915,Códigos!U915)</f>
        <v>svv914v</v>
      </c>
      <c r="B916" t="s">
        <v>410</v>
      </c>
      <c r="C916" t="s">
        <v>529</v>
      </c>
      <c r="D916" s="2" t="s">
        <v>530</v>
      </c>
      <c r="E916" t="s">
        <v>521</v>
      </c>
      <c r="F916" s="11">
        <v>43895</v>
      </c>
      <c r="G916" s="2">
        <f>VLOOKUP(E916,Produtos!$A:$E,5,FALSE)</f>
        <v>70</v>
      </c>
      <c r="H916" s="2">
        <f>VLOOKUP(E916,Produtos!$A:$E,4,FALSE)</f>
        <v>30</v>
      </c>
      <c r="I916" s="2">
        <v>4</v>
      </c>
    </row>
    <row r="917" spans="1:9" x14ac:dyDescent="0.25">
      <c r="A917" s="2" t="str">
        <f>CONCATENATE(Códigos!S916,Códigos!T916,Códigos!U916)</f>
        <v>svv915v</v>
      </c>
      <c r="B917" t="s">
        <v>410</v>
      </c>
      <c r="C917" t="s">
        <v>529</v>
      </c>
      <c r="D917" s="2" t="s">
        <v>530</v>
      </c>
      <c r="E917" t="s">
        <v>521</v>
      </c>
      <c r="F917" s="11">
        <v>43896</v>
      </c>
      <c r="G917" s="2">
        <f>VLOOKUP(E917,Produtos!$A:$E,5,FALSE)</f>
        <v>70</v>
      </c>
      <c r="H917" s="2">
        <f>VLOOKUP(E917,Produtos!$A:$E,4,FALSE)</f>
        <v>30</v>
      </c>
      <c r="I917" s="2">
        <v>4</v>
      </c>
    </row>
    <row r="918" spans="1:9" x14ac:dyDescent="0.25">
      <c r="A918" s="2" t="str">
        <f>CONCATENATE(Códigos!S917,Códigos!T917,Códigos!U917)</f>
        <v>svv916v</v>
      </c>
      <c r="B918" t="s">
        <v>410</v>
      </c>
      <c r="C918" t="s">
        <v>529</v>
      </c>
      <c r="D918" s="2" t="s">
        <v>530</v>
      </c>
      <c r="E918" t="s">
        <v>521</v>
      </c>
      <c r="F918" s="11">
        <v>43897</v>
      </c>
      <c r="G918" s="2">
        <f>VLOOKUP(E918,Produtos!$A:$E,5,FALSE)</f>
        <v>70</v>
      </c>
      <c r="H918" s="2">
        <f>VLOOKUP(E918,Produtos!$A:$E,4,FALSE)</f>
        <v>30</v>
      </c>
      <c r="I918" s="2">
        <v>4</v>
      </c>
    </row>
    <row r="919" spans="1:9" x14ac:dyDescent="0.25">
      <c r="A919" s="2" t="str">
        <f>CONCATENATE(Códigos!S918,Códigos!T918,Códigos!U918)</f>
        <v>svv917v</v>
      </c>
      <c r="B919" t="s">
        <v>410</v>
      </c>
      <c r="C919" t="s">
        <v>529</v>
      </c>
      <c r="D919" s="2" t="s">
        <v>530</v>
      </c>
      <c r="E919" t="s">
        <v>521</v>
      </c>
      <c r="F919" s="11">
        <v>43898</v>
      </c>
      <c r="G919" s="2">
        <f>VLOOKUP(E919,Produtos!$A:$E,5,FALSE)</f>
        <v>70</v>
      </c>
      <c r="H919" s="2">
        <f>VLOOKUP(E919,Produtos!$A:$E,4,FALSE)</f>
        <v>30</v>
      </c>
      <c r="I919" s="2">
        <v>4</v>
      </c>
    </row>
    <row r="920" spans="1:9" x14ac:dyDescent="0.25">
      <c r="A920" s="2" t="str">
        <f>CONCATENATE(Códigos!S919,Códigos!T919,Códigos!U919)</f>
        <v>svv918v</v>
      </c>
      <c r="B920" t="s">
        <v>410</v>
      </c>
      <c r="C920" t="s">
        <v>529</v>
      </c>
      <c r="D920" s="2" t="s">
        <v>530</v>
      </c>
      <c r="E920" t="s">
        <v>521</v>
      </c>
      <c r="F920" s="11">
        <v>43899</v>
      </c>
      <c r="G920" s="2">
        <f>VLOOKUP(E920,Produtos!$A:$E,5,FALSE)</f>
        <v>70</v>
      </c>
      <c r="H920" s="2">
        <f>VLOOKUP(E920,Produtos!$A:$E,4,FALSE)</f>
        <v>30</v>
      </c>
      <c r="I920" s="2">
        <v>4</v>
      </c>
    </row>
    <row r="921" spans="1:9" x14ac:dyDescent="0.25">
      <c r="A921" s="2" t="str">
        <f>CONCATENATE(Códigos!S920,Códigos!T920,Códigos!U920)</f>
        <v>svv919v</v>
      </c>
      <c r="B921" t="s">
        <v>410</v>
      </c>
      <c r="C921" t="s">
        <v>529</v>
      </c>
      <c r="D921" s="2" t="s">
        <v>530</v>
      </c>
      <c r="E921" t="s">
        <v>521</v>
      </c>
      <c r="F921" s="11">
        <v>43900</v>
      </c>
      <c r="G921" s="2">
        <f>VLOOKUP(E921,Produtos!$A:$E,5,FALSE)</f>
        <v>70</v>
      </c>
      <c r="H921" s="2">
        <f>VLOOKUP(E921,Produtos!$A:$E,4,FALSE)</f>
        <v>30</v>
      </c>
      <c r="I921" s="2">
        <v>4</v>
      </c>
    </row>
    <row r="922" spans="1:9" x14ac:dyDescent="0.25">
      <c r="A922" s="2" t="str">
        <f>CONCATENATE(Códigos!S921,Códigos!T921,Códigos!U921)</f>
        <v>svv920v</v>
      </c>
      <c r="B922" t="s">
        <v>410</v>
      </c>
      <c r="C922" t="s">
        <v>529</v>
      </c>
      <c r="D922" s="2" t="s">
        <v>530</v>
      </c>
      <c r="E922" t="s">
        <v>521</v>
      </c>
      <c r="F922" s="11">
        <v>43901</v>
      </c>
      <c r="G922" s="2">
        <f>VLOOKUP(E922,Produtos!$A:$E,5,FALSE)</f>
        <v>70</v>
      </c>
      <c r="H922" s="2">
        <f>VLOOKUP(E922,Produtos!$A:$E,4,FALSE)</f>
        <v>30</v>
      </c>
      <c r="I922" s="2">
        <v>4</v>
      </c>
    </row>
    <row r="923" spans="1:9" x14ac:dyDescent="0.25">
      <c r="A923" s="2" t="str">
        <f>CONCATENATE(Códigos!S922,Códigos!T922,Códigos!U922)</f>
        <v>svv921v</v>
      </c>
      <c r="B923" t="s">
        <v>410</v>
      </c>
      <c r="C923" t="s">
        <v>529</v>
      </c>
      <c r="D923" s="2" t="s">
        <v>530</v>
      </c>
      <c r="E923" t="s">
        <v>521</v>
      </c>
      <c r="F923" s="11">
        <v>43902</v>
      </c>
      <c r="G923" s="2">
        <f>VLOOKUP(E923,Produtos!$A:$E,5,FALSE)</f>
        <v>70</v>
      </c>
      <c r="H923" s="2">
        <f>VLOOKUP(E923,Produtos!$A:$E,4,FALSE)</f>
        <v>30</v>
      </c>
      <c r="I923" s="2">
        <v>1</v>
      </c>
    </row>
    <row r="924" spans="1:9" x14ac:dyDescent="0.25">
      <c r="A924" s="2" t="str">
        <f>CONCATENATE(Códigos!S923,Códigos!T923,Códigos!U923)</f>
        <v>svv922v</v>
      </c>
      <c r="B924" t="s">
        <v>410</v>
      </c>
      <c r="C924" t="s">
        <v>529</v>
      </c>
      <c r="D924" s="2" t="s">
        <v>530</v>
      </c>
      <c r="E924" t="s">
        <v>521</v>
      </c>
      <c r="F924" s="11">
        <v>43903</v>
      </c>
      <c r="G924" s="2">
        <f>VLOOKUP(E924,Produtos!$A:$E,5,FALSE)</f>
        <v>70</v>
      </c>
      <c r="H924" s="2">
        <f>VLOOKUP(E924,Produtos!$A:$E,4,FALSE)</f>
        <v>30</v>
      </c>
      <c r="I924" s="2">
        <v>1</v>
      </c>
    </row>
    <row r="925" spans="1:9" x14ac:dyDescent="0.25">
      <c r="A925" s="2" t="str">
        <f>CONCATENATE(Códigos!S924,Códigos!T924,Códigos!U924)</f>
        <v>svv923v</v>
      </c>
      <c r="B925" t="s">
        <v>410</v>
      </c>
      <c r="C925" t="s">
        <v>529</v>
      </c>
      <c r="D925" s="2" t="s">
        <v>530</v>
      </c>
      <c r="E925" t="s">
        <v>520</v>
      </c>
      <c r="F925" s="11">
        <v>43904</v>
      </c>
      <c r="G925" s="2">
        <f>VLOOKUP(E925,Produtos!$A:$E,5,FALSE)</f>
        <v>700</v>
      </c>
      <c r="H925" s="2">
        <f>VLOOKUP(E925,Produtos!$A:$E,4,FALSE)</f>
        <v>300</v>
      </c>
      <c r="I925" s="2">
        <v>1</v>
      </c>
    </row>
    <row r="926" spans="1:9" x14ac:dyDescent="0.25">
      <c r="A926" s="2" t="str">
        <f>CONCATENATE(Códigos!S925,Códigos!T925,Códigos!U925)</f>
        <v>svv924v</v>
      </c>
      <c r="B926" t="s">
        <v>410</v>
      </c>
      <c r="C926" t="s">
        <v>529</v>
      </c>
      <c r="D926" s="2" t="s">
        <v>530</v>
      </c>
      <c r="E926" t="s">
        <v>520</v>
      </c>
      <c r="F926" s="11">
        <v>43905</v>
      </c>
      <c r="G926" s="2">
        <f>VLOOKUP(E926,Produtos!$A:$E,5,FALSE)</f>
        <v>700</v>
      </c>
      <c r="H926" s="2">
        <f>VLOOKUP(E926,Produtos!$A:$E,4,FALSE)</f>
        <v>300</v>
      </c>
      <c r="I926" s="2">
        <v>1</v>
      </c>
    </row>
    <row r="927" spans="1:9" x14ac:dyDescent="0.25">
      <c r="A927" s="2" t="str">
        <f>CONCATENATE(Códigos!S926,Códigos!T926,Códigos!U926)</f>
        <v>svv925v</v>
      </c>
      <c r="B927" t="s">
        <v>410</v>
      </c>
      <c r="C927" t="s">
        <v>529</v>
      </c>
      <c r="D927" s="2" t="s">
        <v>530</v>
      </c>
      <c r="E927" t="s">
        <v>520</v>
      </c>
      <c r="F927" s="11">
        <v>43906</v>
      </c>
      <c r="G927" s="2">
        <f>VLOOKUP(E927,Produtos!$A:$E,5,FALSE)</f>
        <v>700</v>
      </c>
      <c r="H927" s="2">
        <f>VLOOKUP(E927,Produtos!$A:$E,4,FALSE)</f>
        <v>300</v>
      </c>
      <c r="I927" s="2">
        <v>1</v>
      </c>
    </row>
    <row r="928" spans="1:9" x14ac:dyDescent="0.25">
      <c r="A928" s="2" t="str">
        <f>CONCATENATE(Códigos!S927,Códigos!T927,Códigos!U927)</f>
        <v>svv926v</v>
      </c>
      <c r="B928" t="s">
        <v>410</v>
      </c>
      <c r="C928" t="s">
        <v>529</v>
      </c>
      <c r="D928" s="2" t="s">
        <v>530</v>
      </c>
      <c r="E928" t="s">
        <v>520</v>
      </c>
      <c r="F928" s="11">
        <v>43907</v>
      </c>
      <c r="G928" s="2">
        <f>VLOOKUP(E928,Produtos!$A:$E,5,FALSE)</f>
        <v>700</v>
      </c>
      <c r="H928" s="2">
        <f>VLOOKUP(E928,Produtos!$A:$E,4,FALSE)</f>
        <v>300</v>
      </c>
      <c r="I928" s="2">
        <v>1</v>
      </c>
    </row>
    <row r="929" spans="1:9" x14ac:dyDescent="0.25">
      <c r="A929" s="2" t="str">
        <f>CONCATENATE(Códigos!S928,Códigos!T928,Códigos!U928)</f>
        <v>svv927v</v>
      </c>
      <c r="B929" t="s">
        <v>410</v>
      </c>
      <c r="C929" t="s">
        <v>529</v>
      </c>
      <c r="D929" s="2" t="s">
        <v>530</v>
      </c>
      <c r="E929" t="s">
        <v>520</v>
      </c>
      <c r="F929" s="11">
        <v>43908</v>
      </c>
      <c r="G929" s="2">
        <f>VLOOKUP(E929,Produtos!$A:$E,5,FALSE)</f>
        <v>700</v>
      </c>
      <c r="H929" s="2">
        <f>VLOOKUP(E929,Produtos!$A:$E,4,FALSE)</f>
        <v>300</v>
      </c>
      <c r="I929" s="2">
        <v>1</v>
      </c>
    </row>
    <row r="930" spans="1:9" x14ac:dyDescent="0.25">
      <c r="A930" s="2" t="str">
        <f>CONCATENATE(Códigos!S929,Códigos!T929,Códigos!U929)</f>
        <v>svv928v</v>
      </c>
      <c r="B930" t="s">
        <v>410</v>
      </c>
      <c r="C930" t="s">
        <v>529</v>
      </c>
      <c r="D930" s="2" t="s">
        <v>530</v>
      </c>
      <c r="E930" t="s">
        <v>520</v>
      </c>
      <c r="F930" s="11">
        <v>43909</v>
      </c>
      <c r="G930" s="2">
        <f>VLOOKUP(E930,Produtos!$A:$E,5,FALSE)</f>
        <v>700</v>
      </c>
      <c r="H930" s="2">
        <f>VLOOKUP(E930,Produtos!$A:$E,4,FALSE)</f>
        <v>300</v>
      </c>
      <c r="I930" s="2">
        <v>1</v>
      </c>
    </row>
    <row r="931" spans="1:9" x14ac:dyDescent="0.25">
      <c r="A931" s="2" t="str">
        <f>CONCATENATE(Códigos!S930,Códigos!T930,Códigos!U930)</f>
        <v>svv929v</v>
      </c>
      <c r="B931" t="s">
        <v>410</v>
      </c>
      <c r="C931" t="s">
        <v>529</v>
      </c>
      <c r="D931" s="2" t="s">
        <v>530</v>
      </c>
      <c r="E931" t="s">
        <v>520</v>
      </c>
      <c r="F931" s="11">
        <v>43910</v>
      </c>
      <c r="G931" s="2">
        <f>VLOOKUP(E931,Produtos!$A:$E,5,FALSE)</f>
        <v>700</v>
      </c>
      <c r="H931" s="2">
        <f>VLOOKUP(E931,Produtos!$A:$E,4,FALSE)</f>
        <v>300</v>
      </c>
      <c r="I931" s="2">
        <v>1</v>
      </c>
    </row>
    <row r="932" spans="1:9" x14ac:dyDescent="0.25">
      <c r="A932" s="2" t="str">
        <f>CONCATENATE(Códigos!S931,Códigos!T931,Códigos!U931)</f>
        <v>svv930v</v>
      </c>
      <c r="B932" t="s">
        <v>410</v>
      </c>
      <c r="C932" t="s">
        <v>529</v>
      </c>
      <c r="D932" s="2" t="s">
        <v>530</v>
      </c>
      <c r="E932" t="s">
        <v>520</v>
      </c>
      <c r="F932" s="11">
        <v>43911</v>
      </c>
      <c r="G932" s="2">
        <f>VLOOKUP(E932,Produtos!$A:$E,5,FALSE)</f>
        <v>700</v>
      </c>
      <c r="H932" s="2">
        <f>VLOOKUP(E932,Produtos!$A:$E,4,FALSE)</f>
        <v>300</v>
      </c>
      <c r="I932" s="2">
        <v>1</v>
      </c>
    </row>
    <row r="933" spans="1:9" x14ac:dyDescent="0.25">
      <c r="A933" s="2" t="str">
        <f>CONCATENATE(Códigos!S932,Códigos!T932,Códigos!U932)</f>
        <v>svv931v</v>
      </c>
      <c r="B933" t="s">
        <v>410</v>
      </c>
      <c r="C933" t="s">
        <v>529</v>
      </c>
      <c r="D933" s="2" t="s">
        <v>530</v>
      </c>
      <c r="E933" t="s">
        <v>520</v>
      </c>
      <c r="F933" s="11">
        <v>43912</v>
      </c>
      <c r="G933" s="2">
        <f>VLOOKUP(E933,Produtos!$A:$E,5,FALSE)</f>
        <v>700</v>
      </c>
      <c r="H933" s="2">
        <f>VLOOKUP(E933,Produtos!$A:$E,4,FALSE)</f>
        <v>300</v>
      </c>
      <c r="I933" s="2">
        <v>1</v>
      </c>
    </row>
    <row r="934" spans="1:9" x14ac:dyDescent="0.25">
      <c r="A934" s="2" t="str">
        <f>CONCATENATE(Códigos!S933,Códigos!T933,Códigos!U933)</f>
        <v>svv932v</v>
      </c>
      <c r="B934" t="s">
        <v>410</v>
      </c>
      <c r="C934" t="s">
        <v>529</v>
      </c>
      <c r="D934" s="2" t="s">
        <v>530</v>
      </c>
      <c r="E934" t="s">
        <v>520</v>
      </c>
      <c r="F934" s="11">
        <v>43913</v>
      </c>
      <c r="G934" s="2">
        <f>VLOOKUP(E934,Produtos!$A:$E,5,FALSE)</f>
        <v>700</v>
      </c>
      <c r="H934" s="2">
        <f>VLOOKUP(E934,Produtos!$A:$E,4,FALSE)</f>
        <v>300</v>
      </c>
      <c r="I934" s="2">
        <v>1</v>
      </c>
    </row>
    <row r="935" spans="1:9" x14ac:dyDescent="0.25">
      <c r="A935" s="2" t="str">
        <f>CONCATENATE(Códigos!S934,Códigos!T934,Códigos!U934)</f>
        <v>svv933v</v>
      </c>
      <c r="B935" t="s">
        <v>410</v>
      </c>
      <c r="C935" t="s">
        <v>529</v>
      </c>
      <c r="D935" s="2" t="s">
        <v>530</v>
      </c>
      <c r="E935" t="s">
        <v>520</v>
      </c>
      <c r="F935" s="11">
        <v>43914</v>
      </c>
      <c r="G935" s="2">
        <f>VLOOKUP(E935,Produtos!$A:$E,5,FALSE)</f>
        <v>700</v>
      </c>
      <c r="H935" s="2">
        <f>VLOOKUP(E935,Produtos!$A:$E,4,FALSE)</f>
        <v>300</v>
      </c>
      <c r="I935" s="2">
        <v>1</v>
      </c>
    </row>
    <row r="936" spans="1:9" x14ac:dyDescent="0.25">
      <c r="A936" s="2" t="str">
        <f>CONCATENATE(Códigos!S935,Códigos!T935,Códigos!U935)</f>
        <v>svv934v</v>
      </c>
      <c r="B936" t="s">
        <v>410</v>
      </c>
      <c r="C936" t="s">
        <v>529</v>
      </c>
      <c r="D936" s="2" t="s">
        <v>530</v>
      </c>
      <c r="E936" t="s">
        <v>520</v>
      </c>
      <c r="F936" s="11">
        <v>43915</v>
      </c>
      <c r="G936" s="2">
        <f>VLOOKUP(E936,Produtos!$A:$E,5,FALSE)</f>
        <v>700</v>
      </c>
      <c r="H936" s="2">
        <f>VLOOKUP(E936,Produtos!$A:$E,4,FALSE)</f>
        <v>300</v>
      </c>
      <c r="I936" s="2">
        <v>1</v>
      </c>
    </row>
    <row r="937" spans="1:9" x14ac:dyDescent="0.25">
      <c r="A937" s="2" t="str">
        <f>CONCATENATE(Códigos!S936,Códigos!T936,Códigos!U936)</f>
        <v>svv935v</v>
      </c>
      <c r="B937" t="s">
        <v>410</v>
      </c>
      <c r="C937" t="s">
        <v>529</v>
      </c>
      <c r="D937" s="2" t="s">
        <v>530</v>
      </c>
      <c r="E937" t="s">
        <v>520</v>
      </c>
      <c r="F937" s="11">
        <v>43916</v>
      </c>
      <c r="G937" s="2">
        <f>VLOOKUP(E937,Produtos!$A:$E,5,FALSE)</f>
        <v>700</v>
      </c>
      <c r="H937" s="2">
        <f>VLOOKUP(E937,Produtos!$A:$E,4,FALSE)</f>
        <v>300</v>
      </c>
      <c r="I937" s="2">
        <v>1</v>
      </c>
    </row>
    <row r="938" spans="1:9" x14ac:dyDescent="0.25">
      <c r="A938" s="2" t="str">
        <f>CONCATENATE(Códigos!S937,Códigos!T937,Códigos!U937)</f>
        <v>svv936v</v>
      </c>
      <c r="B938" t="s">
        <v>410</v>
      </c>
      <c r="C938" t="s">
        <v>529</v>
      </c>
      <c r="D938" s="2" t="s">
        <v>530</v>
      </c>
      <c r="E938" t="s">
        <v>520</v>
      </c>
      <c r="F938" s="11">
        <v>43917</v>
      </c>
      <c r="G938" s="2">
        <f>VLOOKUP(E938,Produtos!$A:$E,5,FALSE)</f>
        <v>700</v>
      </c>
      <c r="H938" s="2">
        <f>VLOOKUP(E938,Produtos!$A:$E,4,FALSE)</f>
        <v>300</v>
      </c>
      <c r="I938" s="2">
        <v>1</v>
      </c>
    </row>
    <row r="939" spans="1:9" x14ac:dyDescent="0.25">
      <c r="A939" s="2" t="str">
        <f>CONCATENATE(Códigos!S938,Códigos!T938,Códigos!U938)</f>
        <v>svv937v</v>
      </c>
      <c r="B939" t="s">
        <v>410</v>
      </c>
      <c r="C939" t="s">
        <v>529</v>
      </c>
      <c r="D939" s="2" t="s">
        <v>530</v>
      </c>
      <c r="E939" t="s">
        <v>520</v>
      </c>
      <c r="F939" s="11">
        <v>43918</v>
      </c>
      <c r="G939" s="2">
        <f>VLOOKUP(E939,Produtos!$A:$E,5,FALSE)</f>
        <v>700</v>
      </c>
      <c r="H939" s="2">
        <f>VLOOKUP(E939,Produtos!$A:$E,4,FALSE)</f>
        <v>300</v>
      </c>
      <c r="I939" s="2">
        <v>1</v>
      </c>
    </row>
    <row r="940" spans="1:9" x14ac:dyDescent="0.25">
      <c r="A940" s="2" t="str">
        <f>CONCATENATE(Códigos!S939,Códigos!T939,Códigos!U939)</f>
        <v>svv938v</v>
      </c>
      <c r="B940" t="s">
        <v>410</v>
      </c>
      <c r="C940" t="s">
        <v>529</v>
      </c>
      <c r="D940" s="2" t="s">
        <v>530</v>
      </c>
      <c r="E940" t="s">
        <v>520</v>
      </c>
      <c r="F940" s="11">
        <v>43919</v>
      </c>
      <c r="G940" s="2">
        <f>VLOOKUP(E940,Produtos!$A:$E,5,FALSE)</f>
        <v>700</v>
      </c>
      <c r="H940" s="2">
        <f>VLOOKUP(E940,Produtos!$A:$E,4,FALSE)</f>
        <v>300</v>
      </c>
      <c r="I940" s="2">
        <v>1</v>
      </c>
    </row>
    <row r="941" spans="1:9" x14ac:dyDescent="0.25">
      <c r="A941" s="2" t="str">
        <f>CONCATENATE(Códigos!S940,Códigos!T940,Códigos!U940)</f>
        <v>svv939v</v>
      </c>
      <c r="B941" t="s">
        <v>410</v>
      </c>
      <c r="C941" t="s">
        <v>529</v>
      </c>
      <c r="D941" s="2" t="s">
        <v>530</v>
      </c>
      <c r="E941" t="s">
        <v>520</v>
      </c>
      <c r="F941" s="11">
        <v>43920</v>
      </c>
      <c r="G941" s="2">
        <f>VLOOKUP(E941,Produtos!$A:$E,5,FALSE)</f>
        <v>700</v>
      </c>
      <c r="H941" s="2">
        <f>VLOOKUP(E941,Produtos!$A:$E,4,FALSE)</f>
        <v>300</v>
      </c>
      <c r="I941" s="2">
        <v>1</v>
      </c>
    </row>
    <row r="942" spans="1:9" x14ac:dyDescent="0.25">
      <c r="A942" s="2" t="str">
        <f>CONCATENATE(Códigos!S941,Códigos!T941,Códigos!U941)</f>
        <v>svv940v</v>
      </c>
      <c r="B942" t="s">
        <v>410</v>
      </c>
      <c r="C942" t="s">
        <v>529</v>
      </c>
      <c r="D942" s="2" t="s">
        <v>530</v>
      </c>
      <c r="E942" t="s">
        <v>520</v>
      </c>
      <c r="F942" s="11">
        <v>43921</v>
      </c>
      <c r="G942" s="2">
        <f>VLOOKUP(E942,Produtos!$A:$E,5,FALSE)</f>
        <v>700</v>
      </c>
      <c r="H942" s="2">
        <f>VLOOKUP(E942,Produtos!$A:$E,4,FALSE)</f>
        <v>300</v>
      </c>
      <c r="I942" s="2">
        <v>1</v>
      </c>
    </row>
    <row r="943" spans="1:9" x14ac:dyDescent="0.25">
      <c r="A943" s="2" t="str">
        <f>CONCATENATE(Códigos!S942,Códigos!T942,Códigos!U942)</f>
        <v>svv941v</v>
      </c>
      <c r="B943" t="s">
        <v>410</v>
      </c>
      <c r="C943" t="s">
        <v>529</v>
      </c>
      <c r="D943" s="2" t="s">
        <v>530</v>
      </c>
      <c r="E943" t="s">
        <v>520</v>
      </c>
      <c r="F943" s="11">
        <v>43922</v>
      </c>
      <c r="G943" s="2">
        <f>VLOOKUP(E943,Produtos!$A:$E,5,FALSE)</f>
        <v>700</v>
      </c>
      <c r="H943" s="2">
        <f>VLOOKUP(E943,Produtos!$A:$E,4,FALSE)</f>
        <v>300</v>
      </c>
      <c r="I943" s="2">
        <v>1</v>
      </c>
    </row>
    <row r="944" spans="1:9" x14ac:dyDescent="0.25">
      <c r="A944" s="2" t="str">
        <f>CONCATENATE(Códigos!S943,Códigos!T943,Códigos!U943)</f>
        <v>svv942v</v>
      </c>
      <c r="B944" t="s">
        <v>410</v>
      </c>
      <c r="C944" t="s">
        <v>529</v>
      </c>
      <c r="D944" s="2" t="s">
        <v>530</v>
      </c>
      <c r="E944" t="s">
        <v>520</v>
      </c>
      <c r="F944" s="11">
        <v>43923</v>
      </c>
      <c r="G944" s="2">
        <f>VLOOKUP(E944,Produtos!$A:$E,5,FALSE)</f>
        <v>700</v>
      </c>
      <c r="H944" s="2">
        <f>VLOOKUP(E944,Produtos!$A:$E,4,FALSE)</f>
        <v>300</v>
      </c>
      <c r="I944" s="2">
        <v>1</v>
      </c>
    </row>
    <row r="945" spans="1:9" x14ac:dyDescent="0.25">
      <c r="A945" s="2" t="str">
        <f>CONCATENATE(Códigos!S944,Códigos!T944,Códigos!U944)</f>
        <v>svv943v</v>
      </c>
      <c r="B945" t="s">
        <v>410</v>
      </c>
      <c r="C945" t="s">
        <v>529</v>
      </c>
      <c r="D945" s="2" t="s">
        <v>530</v>
      </c>
      <c r="E945" t="s">
        <v>520</v>
      </c>
      <c r="F945" s="11">
        <v>43924</v>
      </c>
      <c r="G945" s="2">
        <f>VLOOKUP(E945,Produtos!$A:$E,5,FALSE)</f>
        <v>700</v>
      </c>
      <c r="H945" s="2">
        <f>VLOOKUP(E945,Produtos!$A:$E,4,FALSE)</f>
        <v>300</v>
      </c>
      <c r="I945" s="2">
        <v>1</v>
      </c>
    </row>
    <row r="946" spans="1:9" x14ac:dyDescent="0.25">
      <c r="A946" s="2" t="str">
        <f>CONCATENATE(Códigos!S945,Códigos!T945,Códigos!U945)</f>
        <v>svv944v</v>
      </c>
      <c r="B946" t="s">
        <v>410</v>
      </c>
      <c r="C946" t="s">
        <v>529</v>
      </c>
      <c r="D946" s="2" t="s">
        <v>530</v>
      </c>
      <c r="E946" t="s">
        <v>520</v>
      </c>
      <c r="F946" s="11">
        <v>43925</v>
      </c>
      <c r="G946" s="2">
        <f>VLOOKUP(E946,Produtos!$A:$E,5,FALSE)</f>
        <v>700</v>
      </c>
      <c r="H946" s="2">
        <f>VLOOKUP(E946,Produtos!$A:$E,4,FALSE)</f>
        <v>300</v>
      </c>
      <c r="I946" s="2">
        <v>1</v>
      </c>
    </row>
    <row r="947" spans="1:9" x14ac:dyDescent="0.25">
      <c r="A947" s="2" t="str">
        <f>CONCATENATE(Códigos!S946,Códigos!T946,Códigos!U946)</f>
        <v>svv945v</v>
      </c>
      <c r="B947" t="s">
        <v>410</v>
      </c>
      <c r="C947" t="s">
        <v>527</v>
      </c>
      <c r="D947" s="2" t="s">
        <v>528</v>
      </c>
      <c r="E947" t="s">
        <v>520</v>
      </c>
      <c r="F947" s="11">
        <v>43926</v>
      </c>
      <c r="G947" s="2">
        <f>VLOOKUP(E947,Produtos!$A:$E,5,FALSE)</f>
        <v>700</v>
      </c>
      <c r="H947" s="2">
        <f>VLOOKUP(E947,Produtos!$A:$E,4,FALSE)</f>
        <v>300</v>
      </c>
      <c r="I947" s="2">
        <v>1</v>
      </c>
    </row>
    <row r="948" spans="1:9" x14ac:dyDescent="0.25">
      <c r="A948" s="2" t="str">
        <f>CONCATENATE(Códigos!S947,Códigos!T947,Códigos!U947)</f>
        <v>svv946v</v>
      </c>
      <c r="B948" t="s">
        <v>410</v>
      </c>
      <c r="C948" t="s">
        <v>527</v>
      </c>
      <c r="D948" s="2" t="s">
        <v>528</v>
      </c>
      <c r="E948" t="s">
        <v>461</v>
      </c>
      <c r="F948" s="11">
        <v>43927</v>
      </c>
      <c r="G948" s="2">
        <f>VLOOKUP(E948,Produtos!$A:$E,5,FALSE)</f>
        <v>2000</v>
      </c>
      <c r="H948" s="2">
        <f>VLOOKUP(E948,Produtos!$A:$E,4,FALSE)</f>
        <v>900</v>
      </c>
      <c r="I948" s="2">
        <v>1</v>
      </c>
    </row>
    <row r="949" spans="1:9" x14ac:dyDescent="0.25">
      <c r="A949" s="2" t="str">
        <f>CONCATENATE(Códigos!S948,Códigos!T948,Códigos!U948)</f>
        <v>svv947v</v>
      </c>
      <c r="B949" t="s">
        <v>410</v>
      </c>
      <c r="C949" t="s">
        <v>527</v>
      </c>
      <c r="D949" s="2" t="s">
        <v>528</v>
      </c>
      <c r="E949" t="s">
        <v>461</v>
      </c>
      <c r="F949" s="11">
        <v>43928</v>
      </c>
      <c r="G949" s="2">
        <f>VLOOKUP(E949,Produtos!$A:$E,5,FALSE)</f>
        <v>2000</v>
      </c>
      <c r="H949" s="2">
        <f>VLOOKUP(E949,Produtos!$A:$E,4,FALSE)</f>
        <v>900</v>
      </c>
      <c r="I949" s="2">
        <v>1</v>
      </c>
    </row>
    <row r="950" spans="1:9" x14ac:dyDescent="0.25">
      <c r="A950" s="2" t="str">
        <f>CONCATENATE(Códigos!S949,Códigos!T949,Códigos!U949)</f>
        <v>svv948v</v>
      </c>
      <c r="B950" t="s">
        <v>410</v>
      </c>
      <c r="C950" t="s">
        <v>527</v>
      </c>
      <c r="D950" s="2" t="s">
        <v>528</v>
      </c>
      <c r="E950" t="s">
        <v>461</v>
      </c>
      <c r="F950" s="11">
        <v>43929</v>
      </c>
      <c r="G950" s="2">
        <f>VLOOKUP(E950,Produtos!$A:$E,5,FALSE)</f>
        <v>2000</v>
      </c>
      <c r="H950" s="2">
        <f>VLOOKUP(E950,Produtos!$A:$E,4,FALSE)</f>
        <v>900</v>
      </c>
      <c r="I950" s="2">
        <v>1</v>
      </c>
    </row>
    <row r="951" spans="1:9" x14ac:dyDescent="0.25">
      <c r="A951" s="2" t="str">
        <f>CONCATENATE(Códigos!S950,Códigos!T950,Códigos!U950)</f>
        <v>svv949v</v>
      </c>
      <c r="B951" t="s">
        <v>410</v>
      </c>
      <c r="C951" t="s">
        <v>527</v>
      </c>
      <c r="D951" s="2" t="s">
        <v>528</v>
      </c>
      <c r="E951" t="s">
        <v>461</v>
      </c>
      <c r="F951" s="11">
        <v>43930</v>
      </c>
      <c r="G951" s="2">
        <f>VLOOKUP(E951,Produtos!$A:$E,5,FALSE)</f>
        <v>2000</v>
      </c>
      <c r="H951" s="2">
        <f>VLOOKUP(E951,Produtos!$A:$E,4,FALSE)</f>
        <v>900</v>
      </c>
      <c r="I951" s="2">
        <v>1</v>
      </c>
    </row>
    <row r="952" spans="1:9" x14ac:dyDescent="0.25">
      <c r="A952" s="2" t="str">
        <f>CONCATENATE(Códigos!S951,Códigos!T951,Códigos!U951)</f>
        <v>svv950v</v>
      </c>
      <c r="B952" t="s">
        <v>410</v>
      </c>
      <c r="C952" t="s">
        <v>527</v>
      </c>
      <c r="D952" s="2" t="s">
        <v>528</v>
      </c>
      <c r="E952" t="s">
        <v>461</v>
      </c>
      <c r="F952" s="11">
        <v>43931</v>
      </c>
      <c r="G952" s="2">
        <f>VLOOKUP(E952,Produtos!$A:$E,5,FALSE)</f>
        <v>2000</v>
      </c>
      <c r="H952" s="2">
        <f>VLOOKUP(E952,Produtos!$A:$E,4,FALSE)</f>
        <v>900</v>
      </c>
      <c r="I952" s="2">
        <v>1</v>
      </c>
    </row>
    <row r="953" spans="1:9" x14ac:dyDescent="0.25">
      <c r="A953" s="2" t="str">
        <f>CONCATENATE(Códigos!S952,Códigos!T952,Códigos!U952)</f>
        <v>svv951v</v>
      </c>
      <c r="B953" t="s">
        <v>410</v>
      </c>
      <c r="C953" t="s">
        <v>527</v>
      </c>
      <c r="D953" s="2" t="s">
        <v>528</v>
      </c>
      <c r="E953" t="s">
        <v>461</v>
      </c>
      <c r="F953" s="11">
        <v>43932</v>
      </c>
      <c r="G953" s="2">
        <f>VLOOKUP(E953,Produtos!$A:$E,5,FALSE)</f>
        <v>2000</v>
      </c>
      <c r="H953" s="2">
        <f>VLOOKUP(E953,Produtos!$A:$E,4,FALSE)</f>
        <v>900</v>
      </c>
      <c r="I953" s="2">
        <v>1</v>
      </c>
    </row>
    <row r="954" spans="1:9" x14ac:dyDescent="0.25">
      <c r="A954" s="2" t="str">
        <f>CONCATENATE(Códigos!S953,Códigos!T953,Códigos!U953)</f>
        <v>svv952v</v>
      </c>
      <c r="B954" t="s">
        <v>410</v>
      </c>
      <c r="C954" t="s">
        <v>527</v>
      </c>
      <c r="D954" s="2" t="s">
        <v>528</v>
      </c>
      <c r="E954" t="s">
        <v>461</v>
      </c>
      <c r="F954" s="11">
        <v>43933</v>
      </c>
      <c r="G954" s="2">
        <f>VLOOKUP(E954,Produtos!$A:$E,5,FALSE)</f>
        <v>2000</v>
      </c>
      <c r="H954" s="2">
        <f>VLOOKUP(E954,Produtos!$A:$E,4,FALSE)</f>
        <v>900</v>
      </c>
      <c r="I954" s="2">
        <v>1</v>
      </c>
    </row>
    <row r="955" spans="1:9" x14ac:dyDescent="0.25">
      <c r="A955" s="2" t="str">
        <f>CONCATENATE(Códigos!S954,Códigos!T954,Códigos!U954)</f>
        <v>svv953v</v>
      </c>
      <c r="B955" t="s">
        <v>410</v>
      </c>
      <c r="C955" t="s">
        <v>527</v>
      </c>
      <c r="D955" s="2" t="s">
        <v>528</v>
      </c>
      <c r="E955" t="s">
        <v>461</v>
      </c>
      <c r="F955" s="11">
        <v>43934</v>
      </c>
      <c r="G955" s="2">
        <f>VLOOKUP(E955,Produtos!$A:$E,5,FALSE)</f>
        <v>2000</v>
      </c>
      <c r="H955" s="2">
        <f>VLOOKUP(E955,Produtos!$A:$E,4,FALSE)</f>
        <v>900</v>
      </c>
      <c r="I955" s="2">
        <v>1</v>
      </c>
    </row>
    <row r="956" spans="1:9" x14ac:dyDescent="0.25">
      <c r="A956" s="2" t="str">
        <f>CONCATENATE(Códigos!S955,Códigos!T955,Códigos!U955)</f>
        <v>svv954v</v>
      </c>
      <c r="B956" t="s">
        <v>410</v>
      </c>
      <c r="C956" t="s">
        <v>527</v>
      </c>
      <c r="D956" s="2" t="s">
        <v>528</v>
      </c>
      <c r="E956" t="s">
        <v>461</v>
      </c>
      <c r="F956" s="11">
        <v>43935</v>
      </c>
      <c r="G956" s="2">
        <f>VLOOKUP(E956,Produtos!$A:$E,5,FALSE)</f>
        <v>2000</v>
      </c>
      <c r="H956" s="2">
        <f>VLOOKUP(E956,Produtos!$A:$E,4,FALSE)</f>
        <v>900</v>
      </c>
      <c r="I956" s="2">
        <v>1</v>
      </c>
    </row>
    <row r="957" spans="1:9" x14ac:dyDescent="0.25">
      <c r="A957" s="2" t="str">
        <f>CONCATENATE(Códigos!S956,Códigos!T956,Códigos!U956)</f>
        <v>svv955v</v>
      </c>
      <c r="B957" t="s">
        <v>410</v>
      </c>
      <c r="C957" t="s">
        <v>527</v>
      </c>
      <c r="D957" s="2" t="s">
        <v>528</v>
      </c>
      <c r="E957" t="s">
        <v>461</v>
      </c>
      <c r="F957" s="11">
        <v>43936</v>
      </c>
      <c r="G957" s="2">
        <f>VLOOKUP(E957,Produtos!$A:$E,5,FALSE)</f>
        <v>2000</v>
      </c>
      <c r="H957" s="2">
        <f>VLOOKUP(E957,Produtos!$A:$E,4,FALSE)</f>
        <v>900</v>
      </c>
      <c r="I957" s="2">
        <v>1</v>
      </c>
    </row>
    <row r="958" spans="1:9" x14ac:dyDescent="0.25">
      <c r="A958" s="2" t="str">
        <f>CONCATENATE(Códigos!S957,Códigos!T957,Códigos!U957)</f>
        <v>svv956v</v>
      </c>
      <c r="B958" t="s">
        <v>410</v>
      </c>
      <c r="C958" t="s">
        <v>527</v>
      </c>
      <c r="D958" s="2" t="s">
        <v>528</v>
      </c>
      <c r="E958" t="s">
        <v>461</v>
      </c>
      <c r="F958" s="11">
        <v>43937</v>
      </c>
      <c r="G958" s="2">
        <f>VLOOKUP(E958,Produtos!$A:$E,5,FALSE)</f>
        <v>2000</v>
      </c>
      <c r="H958" s="2">
        <f>VLOOKUP(E958,Produtos!$A:$E,4,FALSE)</f>
        <v>900</v>
      </c>
      <c r="I958" s="2">
        <v>1</v>
      </c>
    </row>
    <row r="959" spans="1:9" x14ac:dyDescent="0.25">
      <c r="A959" s="2" t="str">
        <f>CONCATENATE(Códigos!S958,Códigos!T958,Códigos!U958)</f>
        <v>svv957v</v>
      </c>
      <c r="B959" t="s">
        <v>410</v>
      </c>
      <c r="C959" t="s">
        <v>527</v>
      </c>
      <c r="D959" s="2" t="s">
        <v>528</v>
      </c>
      <c r="E959" t="s">
        <v>461</v>
      </c>
      <c r="F959" s="11">
        <v>43938</v>
      </c>
      <c r="G959" s="2">
        <f>VLOOKUP(E959,Produtos!$A:$E,5,FALSE)</f>
        <v>2000</v>
      </c>
      <c r="H959" s="2">
        <f>VLOOKUP(E959,Produtos!$A:$E,4,FALSE)</f>
        <v>900</v>
      </c>
      <c r="I959" s="2">
        <v>1</v>
      </c>
    </row>
    <row r="960" spans="1:9" x14ac:dyDescent="0.25">
      <c r="A960" s="2" t="str">
        <f>CONCATENATE(Códigos!S959,Códigos!T959,Códigos!U959)</f>
        <v>svv958v</v>
      </c>
      <c r="B960" t="s">
        <v>410</v>
      </c>
      <c r="C960" t="s">
        <v>527</v>
      </c>
      <c r="D960" s="2" t="s">
        <v>528</v>
      </c>
      <c r="E960" t="s">
        <v>461</v>
      </c>
      <c r="F960" s="11">
        <v>43939</v>
      </c>
      <c r="G960" s="2">
        <f>VLOOKUP(E960,Produtos!$A:$E,5,FALSE)</f>
        <v>2000</v>
      </c>
      <c r="H960" s="2">
        <f>VLOOKUP(E960,Produtos!$A:$E,4,FALSE)</f>
        <v>900</v>
      </c>
      <c r="I960" s="2">
        <v>1</v>
      </c>
    </row>
    <row r="961" spans="1:9" x14ac:dyDescent="0.25">
      <c r="A961" s="2" t="str">
        <f>CONCATENATE(Códigos!S960,Códigos!T960,Códigos!U960)</f>
        <v>svv959v</v>
      </c>
      <c r="B961" t="s">
        <v>410</v>
      </c>
      <c r="C961" t="s">
        <v>527</v>
      </c>
      <c r="D961" s="2" t="s">
        <v>528</v>
      </c>
      <c r="E961" t="s">
        <v>461</v>
      </c>
      <c r="F961" s="11">
        <v>43940</v>
      </c>
      <c r="G961" s="2">
        <f>VLOOKUP(E961,Produtos!$A:$E,5,FALSE)</f>
        <v>2000</v>
      </c>
      <c r="H961" s="2">
        <f>VLOOKUP(E961,Produtos!$A:$E,4,FALSE)</f>
        <v>900</v>
      </c>
      <c r="I961" s="2">
        <v>1</v>
      </c>
    </row>
    <row r="962" spans="1:9" x14ac:dyDescent="0.25">
      <c r="A962" s="2" t="str">
        <f>CONCATENATE(Códigos!S961,Códigos!T961,Códigos!U961)</f>
        <v>svv960v</v>
      </c>
      <c r="B962" t="s">
        <v>410</v>
      </c>
      <c r="C962" t="s">
        <v>527</v>
      </c>
      <c r="D962" s="2" t="s">
        <v>528</v>
      </c>
      <c r="E962" t="s">
        <v>461</v>
      </c>
      <c r="F962" s="11">
        <v>43941</v>
      </c>
      <c r="G962" s="2">
        <f>VLOOKUP(E962,Produtos!$A:$E,5,FALSE)</f>
        <v>2000</v>
      </c>
      <c r="H962" s="2">
        <f>VLOOKUP(E962,Produtos!$A:$E,4,FALSE)</f>
        <v>900</v>
      </c>
      <c r="I962" s="2">
        <v>1</v>
      </c>
    </row>
    <row r="963" spans="1:9" x14ac:dyDescent="0.25">
      <c r="A963" s="2" t="str">
        <f>CONCATENATE(Códigos!S962,Códigos!T962,Códigos!U962)</f>
        <v>svv961v</v>
      </c>
      <c r="B963" t="s">
        <v>410</v>
      </c>
      <c r="C963" t="s">
        <v>527</v>
      </c>
      <c r="D963" s="2" t="s">
        <v>528</v>
      </c>
      <c r="E963" t="s">
        <v>461</v>
      </c>
      <c r="F963" s="11">
        <v>43942</v>
      </c>
      <c r="G963" s="2">
        <f>VLOOKUP(E963,Produtos!$A:$E,5,FALSE)</f>
        <v>2000</v>
      </c>
      <c r="H963" s="2">
        <f>VLOOKUP(E963,Produtos!$A:$E,4,FALSE)</f>
        <v>900</v>
      </c>
      <c r="I963" s="2">
        <v>1</v>
      </c>
    </row>
    <row r="964" spans="1:9" x14ac:dyDescent="0.25">
      <c r="A964" s="2" t="str">
        <f>CONCATENATE(Códigos!S963,Códigos!T963,Códigos!U963)</f>
        <v>svv962v</v>
      </c>
      <c r="B964" t="s">
        <v>410</v>
      </c>
      <c r="C964" t="s">
        <v>527</v>
      </c>
      <c r="D964" s="2" t="s">
        <v>528</v>
      </c>
      <c r="E964" t="s">
        <v>461</v>
      </c>
      <c r="F964" s="11">
        <v>43943</v>
      </c>
      <c r="G964" s="2">
        <f>VLOOKUP(E964,Produtos!$A:$E,5,FALSE)</f>
        <v>2000</v>
      </c>
      <c r="H964" s="2">
        <f>VLOOKUP(E964,Produtos!$A:$E,4,FALSE)</f>
        <v>900</v>
      </c>
      <c r="I964" s="2">
        <v>1</v>
      </c>
    </row>
    <row r="965" spans="1:9" x14ac:dyDescent="0.25">
      <c r="A965" s="2" t="str">
        <f>CONCATENATE(Códigos!S964,Códigos!T964,Códigos!U964)</f>
        <v>svv963v</v>
      </c>
      <c r="B965" t="s">
        <v>410</v>
      </c>
      <c r="C965" t="s">
        <v>527</v>
      </c>
      <c r="D965" s="2" t="s">
        <v>528</v>
      </c>
      <c r="E965" t="s">
        <v>461</v>
      </c>
      <c r="F965" s="11">
        <v>43944</v>
      </c>
      <c r="G965" s="2">
        <f>VLOOKUP(E965,Produtos!$A:$E,5,FALSE)</f>
        <v>2000</v>
      </c>
      <c r="H965" s="2">
        <f>VLOOKUP(E965,Produtos!$A:$E,4,FALSE)</f>
        <v>900</v>
      </c>
      <c r="I965" s="2">
        <v>1</v>
      </c>
    </row>
    <row r="966" spans="1:9" x14ac:dyDescent="0.25">
      <c r="A966" s="2" t="str">
        <f>CONCATENATE(Códigos!S965,Códigos!T965,Códigos!U965)</f>
        <v>svv964v</v>
      </c>
      <c r="B966" t="s">
        <v>410</v>
      </c>
      <c r="C966" t="s">
        <v>527</v>
      </c>
      <c r="D966" s="2" t="s">
        <v>528</v>
      </c>
      <c r="E966" t="s">
        <v>461</v>
      </c>
      <c r="F966" s="11">
        <v>43945</v>
      </c>
      <c r="G966" s="2">
        <f>VLOOKUP(E966,Produtos!$A:$E,5,FALSE)</f>
        <v>2000</v>
      </c>
      <c r="H966" s="2">
        <f>VLOOKUP(E966,Produtos!$A:$E,4,FALSE)</f>
        <v>900</v>
      </c>
      <c r="I966" s="2">
        <v>1</v>
      </c>
    </row>
    <row r="967" spans="1:9" x14ac:dyDescent="0.25">
      <c r="A967" s="2" t="str">
        <f>CONCATENATE(Códigos!S966,Códigos!T966,Códigos!U966)</f>
        <v>svv965v</v>
      </c>
      <c r="B967" t="s">
        <v>410</v>
      </c>
      <c r="C967" t="s">
        <v>527</v>
      </c>
      <c r="D967" s="2" t="s">
        <v>528</v>
      </c>
      <c r="E967" t="s">
        <v>461</v>
      </c>
      <c r="F967" s="11">
        <v>43946</v>
      </c>
      <c r="G967" s="2">
        <f>VLOOKUP(E967,Produtos!$A:$E,5,FALSE)</f>
        <v>2000</v>
      </c>
      <c r="H967" s="2">
        <f>VLOOKUP(E967,Produtos!$A:$E,4,FALSE)</f>
        <v>900</v>
      </c>
      <c r="I967" s="2">
        <v>1</v>
      </c>
    </row>
    <row r="968" spans="1:9" x14ac:dyDescent="0.25">
      <c r="A968" s="2" t="str">
        <f>CONCATENATE(Códigos!S967,Códigos!T967,Códigos!U967)</f>
        <v>svv966v</v>
      </c>
      <c r="B968" t="s">
        <v>410</v>
      </c>
      <c r="C968" t="s">
        <v>527</v>
      </c>
      <c r="D968" s="2" t="s">
        <v>528</v>
      </c>
      <c r="E968" t="s">
        <v>461</v>
      </c>
      <c r="F968" s="11">
        <v>43947</v>
      </c>
      <c r="G968" s="2">
        <f>VLOOKUP(E968,Produtos!$A:$E,5,FALSE)</f>
        <v>2000</v>
      </c>
      <c r="H968" s="2">
        <f>VLOOKUP(E968,Produtos!$A:$E,4,FALSE)</f>
        <v>900</v>
      </c>
      <c r="I968" s="2">
        <v>1</v>
      </c>
    </row>
    <row r="969" spans="1:9" x14ac:dyDescent="0.25">
      <c r="A969" s="2" t="str">
        <f>CONCATENATE(Códigos!S968,Códigos!T968,Códigos!U968)</f>
        <v>svv967v</v>
      </c>
      <c r="B969" t="s">
        <v>410</v>
      </c>
      <c r="C969" t="s">
        <v>527</v>
      </c>
      <c r="D969" s="2" t="s">
        <v>528</v>
      </c>
      <c r="E969" t="s">
        <v>461</v>
      </c>
      <c r="F969" s="11">
        <v>43948</v>
      </c>
      <c r="G969" s="2">
        <f>VLOOKUP(E969,Produtos!$A:$E,5,FALSE)</f>
        <v>2000</v>
      </c>
      <c r="H969" s="2">
        <f>VLOOKUP(E969,Produtos!$A:$E,4,FALSE)</f>
        <v>900</v>
      </c>
      <c r="I969" s="2">
        <v>1</v>
      </c>
    </row>
    <row r="970" spans="1:9" x14ac:dyDescent="0.25">
      <c r="A970" s="2" t="str">
        <f>CONCATENATE(Códigos!S969,Códigos!T969,Códigos!U969)</f>
        <v>svv968v</v>
      </c>
      <c r="B970" t="s">
        <v>410</v>
      </c>
      <c r="C970" t="s">
        <v>527</v>
      </c>
      <c r="D970" s="2" t="s">
        <v>528</v>
      </c>
      <c r="E970" t="s">
        <v>461</v>
      </c>
      <c r="F970" s="11">
        <v>43949</v>
      </c>
      <c r="G970" s="2">
        <f>VLOOKUP(E970,Produtos!$A:$E,5,FALSE)</f>
        <v>2000</v>
      </c>
      <c r="H970" s="2">
        <f>VLOOKUP(E970,Produtos!$A:$E,4,FALSE)</f>
        <v>900</v>
      </c>
      <c r="I970" s="2">
        <v>1</v>
      </c>
    </row>
    <row r="971" spans="1:9" x14ac:dyDescent="0.25">
      <c r="A971" s="2" t="str">
        <f>CONCATENATE(Códigos!S970,Códigos!T970,Códigos!U970)</f>
        <v>svv969v</v>
      </c>
      <c r="B971" t="s">
        <v>410</v>
      </c>
      <c r="C971" t="s">
        <v>527</v>
      </c>
      <c r="D971" s="2" t="s">
        <v>528</v>
      </c>
      <c r="E971" t="s">
        <v>461</v>
      </c>
      <c r="F971" s="11">
        <v>43950</v>
      </c>
      <c r="G971" s="2">
        <f>VLOOKUP(E971,Produtos!$A:$E,5,FALSE)</f>
        <v>2000</v>
      </c>
      <c r="H971" s="2">
        <f>VLOOKUP(E971,Produtos!$A:$E,4,FALSE)</f>
        <v>900</v>
      </c>
      <c r="I971" s="2">
        <v>1</v>
      </c>
    </row>
    <row r="972" spans="1:9" x14ac:dyDescent="0.25">
      <c r="A972" s="2" t="str">
        <f>CONCATENATE(Códigos!S971,Códigos!T971,Códigos!U971)</f>
        <v>svv970v</v>
      </c>
      <c r="B972" t="s">
        <v>410</v>
      </c>
      <c r="C972" t="s">
        <v>527</v>
      </c>
      <c r="D972" s="2" t="s">
        <v>528</v>
      </c>
      <c r="E972" t="s">
        <v>461</v>
      </c>
      <c r="F972" s="11">
        <v>43951</v>
      </c>
      <c r="G972" s="2">
        <f>VLOOKUP(E972,Produtos!$A:$E,5,FALSE)</f>
        <v>2000</v>
      </c>
      <c r="H972" s="2">
        <f>VLOOKUP(E972,Produtos!$A:$E,4,FALSE)</f>
        <v>900</v>
      </c>
      <c r="I972" s="2">
        <v>1</v>
      </c>
    </row>
    <row r="973" spans="1:9" x14ac:dyDescent="0.25">
      <c r="A973" s="2" t="str">
        <f>CONCATENATE(Códigos!S972,Códigos!T972,Códigos!U972)</f>
        <v>svv971v</v>
      </c>
      <c r="B973" t="s">
        <v>410</v>
      </c>
      <c r="C973" t="s">
        <v>527</v>
      </c>
      <c r="D973" s="2" t="s">
        <v>528</v>
      </c>
      <c r="E973" t="s">
        <v>461</v>
      </c>
      <c r="F973" s="11">
        <v>43952</v>
      </c>
      <c r="G973" s="2">
        <f>VLOOKUP(E973,Produtos!$A:$E,5,FALSE)</f>
        <v>2000</v>
      </c>
      <c r="H973" s="2">
        <f>VLOOKUP(E973,Produtos!$A:$E,4,FALSE)</f>
        <v>900</v>
      </c>
      <c r="I973" s="2">
        <v>1</v>
      </c>
    </row>
    <row r="974" spans="1:9" x14ac:dyDescent="0.25">
      <c r="A974" s="2" t="str">
        <f>CONCATENATE(Códigos!S973,Códigos!T973,Códigos!U973)</f>
        <v>svv972v</v>
      </c>
      <c r="B974" t="s">
        <v>410</v>
      </c>
      <c r="C974" t="s">
        <v>527</v>
      </c>
      <c r="D974" s="2" t="s">
        <v>528</v>
      </c>
      <c r="E974" t="s">
        <v>461</v>
      </c>
      <c r="F974" s="11">
        <v>43953</v>
      </c>
      <c r="G974" s="2">
        <f>VLOOKUP(E974,Produtos!$A:$E,5,FALSE)</f>
        <v>2000</v>
      </c>
      <c r="H974" s="2">
        <f>VLOOKUP(E974,Produtos!$A:$E,4,FALSE)</f>
        <v>900</v>
      </c>
      <c r="I974" s="2">
        <v>1</v>
      </c>
    </row>
    <row r="975" spans="1:9" x14ac:dyDescent="0.25">
      <c r="A975" s="2" t="str">
        <f>CONCATENATE(Códigos!S974,Códigos!T974,Códigos!U974)</f>
        <v>svv973v</v>
      </c>
      <c r="B975" t="s">
        <v>410</v>
      </c>
      <c r="C975" t="s">
        <v>527</v>
      </c>
      <c r="D975" s="2" t="s">
        <v>528</v>
      </c>
      <c r="E975" t="s">
        <v>461</v>
      </c>
      <c r="F975" s="11">
        <v>43954</v>
      </c>
      <c r="G975" s="2">
        <f>VLOOKUP(E975,Produtos!$A:$E,5,FALSE)</f>
        <v>2000</v>
      </c>
      <c r="H975" s="2">
        <f>VLOOKUP(E975,Produtos!$A:$E,4,FALSE)</f>
        <v>900</v>
      </c>
      <c r="I975" s="2">
        <v>1</v>
      </c>
    </row>
    <row r="976" spans="1:9" x14ac:dyDescent="0.25">
      <c r="A976" s="2" t="str">
        <f>CONCATENATE(Códigos!S975,Códigos!T975,Códigos!U975)</f>
        <v>svv974v</v>
      </c>
      <c r="B976" t="s">
        <v>410</v>
      </c>
      <c r="C976" t="s">
        <v>527</v>
      </c>
      <c r="D976" s="2" t="s">
        <v>528</v>
      </c>
      <c r="E976" t="s">
        <v>461</v>
      </c>
      <c r="F976" s="11">
        <v>43955</v>
      </c>
      <c r="G976" s="2">
        <f>VLOOKUP(E976,Produtos!$A:$E,5,FALSE)</f>
        <v>2000</v>
      </c>
      <c r="H976" s="2">
        <f>VLOOKUP(E976,Produtos!$A:$E,4,FALSE)</f>
        <v>900</v>
      </c>
      <c r="I976" s="2">
        <v>1</v>
      </c>
    </row>
    <row r="977" spans="1:9" x14ac:dyDescent="0.25">
      <c r="A977" s="2" t="str">
        <f>CONCATENATE(Códigos!S976,Códigos!T976,Códigos!U976)</f>
        <v>svv975v</v>
      </c>
      <c r="B977" t="s">
        <v>410</v>
      </c>
      <c r="C977" t="s">
        <v>527</v>
      </c>
      <c r="D977" s="2" t="s">
        <v>528</v>
      </c>
      <c r="E977" t="s">
        <v>461</v>
      </c>
      <c r="F977" s="11">
        <v>43956</v>
      </c>
      <c r="G977" s="2">
        <f>VLOOKUP(E977,Produtos!$A:$E,5,FALSE)</f>
        <v>2000</v>
      </c>
      <c r="H977" s="2">
        <f>VLOOKUP(E977,Produtos!$A:$E,4,FALSE)</f>
        <v>900</v>
      </c>
      <c r="I977" s="2">
        <v>1</v>
      </c>
    </row>
    <row r="978" spans="1:9" x14ac:dyDescent="0.25">
      <c r="A978" s="2" t="str">
        <f>CONCATENATE(Códigos!S977,Códigos!T977,Códigos!U977)</f>
        <v>svv976v</v>
      </c>
      <c r="B978" t="s">
        <v>410</v>
      </c>
      <c r="C978" t="s">
        <v>527</v>
      </c>
      <c r="D978" s="2" t="s">
        <v>528</v>
      </c>
      <c r="E978" t="s">
        <v>461</v>
      </c>
      <c r="F978" s="11">
        <v>43957</v>
      </c>
      <c r="G978" s="2">
        <f>VLOOKUP(E978,Produtos!$A:$E,5,FALSE)</f>
        <v>2000</v>
      </c>
      <c r="H978" s="2">
        <f>VLOOKUP(E978,Produtos!$A:$E,4,FALSE)</f>
        <v>900</v>
      </c>
      <c r="I978" s="2">
        <v>1</v>
      </c>
    </row>
    <row r="979" spans="1:9" x14ac:dyDescent="0.25">
      <c r="A979" s="2" t="str">
        <f>CONCATENATE(Códigos!S978,Códigos!T978,Códigos!U978)</f>
        <v>svv977v</v>
      </c>
      <c r="B979" t="s">
        <v>410</v>
      </c>
      <c r="C979" t="s">
        <v>527</v>
      </c>
      <c r="D979" s="2" t="s">
        <v>528</v>
      </c>
      <c r="E979" t="s">
        <v>461</v>
      </c>
      <c r="F979" s="11">
        <v>43958</v>
      </c>
      <c r="G979" s="2">
        <f>VLOOKUP(E979,Produtos!$A:$E,5,FALSE)</f>
        <v>2000</v>
      </c>
      <c r="H979" s="2">
        <f>VLOOKUP(E979,Produtos!$A:$E,4,FALSE)</f>
        <v>900</v>
      </c>
      <c r="I979" s="2">
        <v>1</v>
      </c>
    </row>
    <row r="980" spans="1:9" x14ac:dyDescent="0.25">
      <c r="A980" s="2" t="str">
        <f>CONCATENATE(Códigos!S979,Códigos!T979,Códigos!U979)</f>
        <v>svv978v</v>
      </c>
      <c r="B980" t="s">
        <v>410</v>
      </c>
      <c r="C980" t="s">
        <v>527</v>
      </c>
      <c r="D980" s="2" t="s">
        <v>528</v>
      </c>
      <c r="E980" t="s">
        <v>461</v>
      </c>
      <c r="F980" s="11">
        <v>43959</v>
      </c>
      <c r="G980" s="2">
        <f>VLOOKUP(E980,Produtos!$A:$E,5,FALSE)</f>
        <v>2000</v>
      </c>
      <c r="H980" s="2">
        <f>VLOOKUP(E980,Produtos!$A:$E,4,FALSE)</f>
        <v>900</v>
      </c>
      <c r="I980" s="2">
        <v>1</v>
      </c>
    </row>
    <row r="981" spans="1:9" x14ac:dyDescent="0.25">
      <c r="A981" s="2" t="str">
        <f>CONCATENATE(Códigos!S980,Códigos!T980,Códigos!U980)</f>
        <v>svv979v</v>
      </c>
      <c r="B981" t="s">
        <v>410</v>
      </c>
      <c r="C981" t="s">
        <v>527</v>
      </c>
      <c r="D981" s="2" t="s">
        <v>528</v>
      </c>
      <c r="E981" t="s">
        <v>461</v>
      </c>
      <c r="F981" s="11">
        <v>43960</v>
      </c>
      <c r="G981" s="2">
        <f>VLOOKUP(E981,Produtos!$A:$E,5,FALSE)</f>
        <v>2000</v>
      </c>
      <c r="H981" s="2">
        <f>VLOOKUP(E981,Produtos!$A:$E,4,FALSE)</f>
        <v>900</v>
      </c>
      <c r="I981" s="2">
        <v>1</v>
      </c>
    </row>
    <row r="982" spans="1:9" x14ac:dyDescent="0.25">
      <c r="A982" s="2" t="str">
        <f>CONCATENATE(Códigos!S981,Códigos!T981,Códigos!U981)</f>
        <v>svv980v</v>
      </c>
      <c r="B982" t="s">
        <v>410</v>
      </c>
      <c r="C982" t="s">
        <v>527</v>
      </c>
      <c r="D982" s="2" t="s">
        <v>528</v>
      </c>
      <c r="E982" t="s">
        <v>461</v>
      </c>
      <c r="F982" s="11">
        <v>43961</v>
      </c>
      <c r="G982" s="2">
        <f>VLOOKUP(E982,Produtos!$A:$E,5,FALSE)</f>
        <v>2000</v>
      </c>
      <c r="H982" s="2">
        <f>VLOOKUP(E982,Produtos!$A:$E,4,FALSE)</f>
        <v>900</v>
      </c>
      <c r="I982" s="2">
        <v>1</v>
      </c>
    </row>
    <row r="983" spans="1:9" x14ac:dyDescent="0.25">
      <c r="A983" s="2" t="str">
        <f>CONCATENATE(Códigos!S982,Códigos!T982,Códigos!U982)</f>
        <v>svv981v</v>
      </c>
      <c r="B983" t="s">
        <v>410</v>
      </c>
      <c r="C983" t="s">
        <v>527</v>
      </c>
      <c r="D983" s="2" t="s">
        <v>528</v>
      </c>
      <c r="E983" t="s">
        <v>461</v>
      </c>
      <c r="F983" s="11">
        <v>43962</v>
      </c>
      <c r="G983" s="2">
        <f>VLOOKUP(E983,Produtos!$A:$E,5,FALSE)</f>
        <v>2000</v>
      </c>
      <c r="H983" s="2">
        <f>VLOOKUP(E983,Produtos!$A:$E,4,FALSE)</f>
        <v>900</v>
      </c>
      <c r="I983" s="2">
        <v>1</v>
      </c>
    </row>
    <row r="984" spans="1:9" x14ac:dyDescent="0.25">
      <c r="A984" s="2" t="str">
        <f>CONCATENATE(Códigos!S983,Códigos!T983,Códigos!U983)</f>
        <v>svv982v</v>
      </c>
      <c r="B984" t="s">
        <v>410</v>
      </c>
      <c r="C984" t="s">
        <v>527</v>
      </c>
      <c r="D984" s="2" t="s">
        <v>528</v>
      </c>
      <c r="E984" t="s">
        <v>518</v>
      </c>
      <c r="F984" s="11">
        <v>43963</v>
      </c>
      <c r="G984" s="2">
        <f>VLOOKUP(E984,Produtos!$A:$E,5,FALSE)</f>
        <v>680</v>
      </c>
      <c r="H984" s="2">
        <f>VLOOKUP(E984,Produtos!$A:$E,4,FALSE)</f>
        <v>300</v>
      </c>
      <c r="I984" s="2">
        <v>1</v>
      </c>
    </row>
    <row r="985" spans="1:9" x14ac:dyDescent="0.25">
      <c r="A985" s="2" t="str">
        <f>CONCATENATE(Códigos!S984,Códigos!T984,Códigos!U984)</f>
        <v>svv983v</v>
      </c>
      <c r="B985" t="s">
        <v>410</v>
      </c>
      <c r="C985" t="s">
        <v>527</v>
      </c>
      <c r="D985" s="2" t="s">
        <v>528</v>
      </c>
      <c r="E985" t="s">
        <v>518</v>
      </c>
      <c r="F985" s="11">
        <v>43964</v>
      </c>
      <c r="G985" s="2">
        <f>VLOOKUP(E985,Produtos!$A:$E,5,FALSE)</f>
        <v>680</v>
      </c>
      <c r="H985" s="2">
        <f>VLOOKUP(E985,Produtos!$A:$E,4,FALSE)</f>
        <v>300</v>
      </c>
      <c r="I985" s="2">
        <v>1</v>
      </c>
    </row>
    <row r="986" spans="1:9" x14ac:dyDescent="0.25">
      <c r="A986" s="2" t="str">
        <f>CONCATENATE(Códigos!S985,Códigos!T985,Códigos!U985)</f>
        <v>svv984v</v>
      </c>
      <c r="B986" t="s">
        <v>410</v>
      </c>
      <c r="C986" t="s">
        <v>527</v>
      </c>
      <c r="D986" s="2" t="s">
        <v>528</v>
      </c>
      <c r="E986" t="s">
        <v>518</v>
      </c>
      <c r="F986" s="11">
        <v>43965</v>
      </c>
      <c r="G986" s="2">
        <f>VLOOKUP(E986,Produtos!$A:$E,5,FALSE)</f>
        <v>680</v>
      </c>
      <c r="H986" s="2">
        <f>VLOOKUP(E986,Produtos!$A:$E,4,FALSE)</f>
        <v>300</v>
      </c>
      <c r="I986" s="2">
        <v>1</v>
      </c>
    </row>
    <row r="987" spans="1:9" x14ac:dyDescent="0.25">
      <c r="A987" s="2" t="str">
        <f>CONCATENATE(Códigos!S986,Códigos!T986,Códigos!U986)</f>
        <v>svv985v</v>
      </c>
      <c r="B987" t="s">
        <v>410</v>
      </c>
      <c r="C987" t="s">
        <v>527</v>
      </c>
      <c r="D987" s="2" t="s">
        <v>528</v>
      </c>
      <c r="E987" t="s">
        <v>518</v>
      </c>
      <c r="F987" s="11">
        <v>43966</v>
      </c>
      <c r="G987" s="2">
        <f>VLOOKUP(E987,Produtos!$A:$E,5,FALSE)</f>
        <v>680</v>
      </c>
      <c r="H987" s="2">
        <f>VLOOKUP(E987,Produtos!$A:$E,4,FALSE)</f>
        <v>300</v>
      </c>
      <c r="I987" s="2">
        <v>1</v>
      </c>
    </row>
    <row r="988" spans="1:9" x14ac:dyDescent="0.25">
      <c r="A988" s="2" t="str">
        <f>CONCATENATE(Códigos!S987,Códigos!T987,Códigos!U987)</f>
        <v>svv986v</v>
      </c>
      <c r="B988" t="s">
        <v>410</v>
      </c>
      <c r="C988" t="s">
        <v>527</v>
      </c>
      <c r="D988" s="2" t="s">
        <v>528</v>
      </c>
      <c r="E988" t="s">
        <v>518</v>
      </c>
      <c r="F988" s="11">
        <v>43967</v>
      </c>
      <c r="G988" s="2">
        <f>VLOOKUP(E988,Produtos!$A:$E,5,FALSE)</f>
        <v>680</v>
      </c>
      <c r="H988" s="2">
        <f>VLOOKUP(E988,Produtos!$A:$E,4,FALSE)</f>
        <v>300</v>
      </c>
      <c r="I988" s="2">
        <v>1</v>
      </c>
    </row>
    <row r="989" spans="1:9" x14ac:dyDescent="0.25">
      <c r="A989" s="2" t="str">
        <f>CONCATENATE(Códigos!S988,Códigos!T988,Códigos!U988)</f>
        <v>svv987v</v>
      </c>
      <c r="B989" t="s">
        <v>410</v>
      </c>
      <c r="C989" t="s">
        <v>527</v>
      </c>
      <c r="D989" s="2" t="s">
        <v>528</v>
      </c>
      <c r="E989" t="s">
        <v>518</v>
      </c>
      <c r="F989" s="11">
        <v>43968</v>
      </c>
      <c r="G989" s="2">
        <f>VLOOKUP(E989,Produtos!$A:$E,5,FALSE)</f>
        <v>680</v>
      </c>
      <c r="H989" s="2">
        <f>VLOOKUP(E989,Produtos!$A:$E,4,FALSE)</f>
        <v>300</v>
      </c>
      <c r="I989" s="2">
        <v>1</v>
      </c>
    </row>
    <row r="990" spans="1:9" x14ac:dyDescent="0.25">
      <c r="A990" s="2" t="str">
        <f>CONCATENATE(Códigos!S989,Códigos!T989,Códigos!U989)</f>
        <v>svv988v</v>
      </c>
      <c r="B990" t="s">
        <v>410</v>
      </c>
      <c r="C990" t="s">
        <v>527</v>
      </c>
      <c r="D990" s="2" t="s">
        <v>528</v>
      </c>
      <c r="E990" t="s">
        <v>518</v>
      </c>
      <c r="F990" s="11">
        <v>43969</v>
      </c>
      <c r="G990" s="2">
        <f>VLOOKUP(E990,Produtos!$A:$E,5,FALSE)</f>
        <v>680</v>
      </c>
      <c r="H990" s="2">
        <f>VLOOKUP(E990,Produtos!$A:$E,4,FALSE)</f>
        <v>300</v>
      </c>
      <c r="I990" s="2">
        <v>1</v>
      </c>
    </row>
    <row r="991" spans="1:9" x14ac:dyDescent="0.25">
      <c r="A991" s="2" t="str">
        <f>CONCATENATE(Códigos!S990,Códigos!T990,Códigos!U990)</f>
        <v>svv989v</v>
      </c>
      <c r="B991" t="s">
        <v>410</v>
      </c>
      <c r="C991" t="s">
        <v>527</v>
      </c>
      <c r="D991" s="2" t="s">
        <v>528</v>
      </c>
      <c r="E991" t="s">
        <v>518</v>
      </c>
      <c r="F991" s="11">
        <v>43970</v>
      </c>
      <c r="G991" s="2">
        <f>VLOOKUP(E991,Produtos!$A:$E,5,FALSE)</f>
        <v>680</v>
      </c>
      <c r="H991" s="2">
        <f>VLOOKUP(E991,Produtos!$A:$E,4,FALSE)</f>
        <v>300</v>
      </c>
      <c r="I991" s="2">
        <v>1</v>
      </c>
    </row>
    <row r="992" spans="1:9" x14ac:dyDescent="0.25">
      <c r="A992" s="2" t="str">
        <f>CONCATENATE(Códigos!S991,Códigos!T991,Códigos!U991)</f>
        <v>svv990v</v>
      </c>
      <c r="B992" t="s">
        <v>410</v>
      </c>
      <c r="C992" t="s">
        <v>527</v>
      </c>
      <c r="D992" s="2" t="s">
        <v>528</v>
      </c>
      <c r="E992" t="s">
        <v>518</v>
      </c>
      <c r="F992" s="11">
        <v>43971</v>
      </c>
      <c r="G992" s="2">
        <f>VLOOKUP(E992,Produtos!$A:$E,5,FALSE)</f>
        <v>680</v>
      </c>
      <c r="H992" s="2">
        <f>VLOOKUP(E992,Produtos!$A:$E,4,FALSE)</f>
        <v>300</v>
      </c>
      <c r="I992" s="2">
        <v>1</v>
      </c>
    </row>
    <row r="993" spans="1:9" x14ac:dyDescent="0.25">
      <c r="A993" s="2" t="str">
        <f>CONCATENATE(Códigos!S992,Códigos!T992,Códigos!U992)</f>
        <v>svv991v</v>
      </c>
      <c r="B993" t="s">
        <v>410</v>
      </c>
      <c r="C993" t="s">
        <v>527</v>
      </c>
      <c r="D993" s="2" t="s">
        <v>528</v>
      </c>
      <c r="E993" t="s">
        <v>518</v>
      </c>
      <c r="F993" s="11">
        <v>43972</v>
      </c>
      <c r="G993" s="2">
        <f>VLOOKUP(E993,Produtos!$A:$E,5,FALSE)</f>
        <v>680</v>
      </c>
      <c r="H993" s="2">
        <f>VLOOKUP(E993,Produtos!$A:$E,4,FALSE)</f>
        <v>300</v>
      </c>
      <c r="I993" s="2">
        <v>1</v>
      </c>
    </row>
    <row r="994" spans="1:9" x14ac:dyDescent="0.25">
      <c r="A994" s="2" t="str">
        <f>CONCATENATE(Códigos!S993,Códigos!T993,Códigos!U993)</f>
        <v>svv992v</v>
      </c>
      <c r="B994" t="s">
        <v>410</v>
      </c>
      <c r="C994" t="s">
        <v>527</v>
      </c>
      <c r="D994" s="2" t="s">
        <v>528</v>
      </c>
      <c r="E994" t="s">
        <v>518</v>
      </c>
      <c r="F994" s="11">
        <v>43973</v>
      </c>
      <c r="G994" s="2">
        <f>VLOOKUP(E994,Produtos!$A:$E,5,FALSE)</f>
        <v>680</v>
      </c>
      <c r="H994" s="2">
        <f>VLOOKUP(E994,Produtos!$A:$E,4,FALSE)</f>
        <v>300</v>
      </c>
      <c r="I994" s="2">
        <v>1</v>
      </c>
    </row>
    <row r="995" spans="1:9" x14ac:dyDescent="0.25">
      <c r="A995" s="2" t="str">
        <f>CONCATENATE(Códigos!S994,Códigos!T994,Códigos!U994)</f>
        <v>svv993v</v>
      </c>
      <c r="B995" t="s">
        <v>410</v>
      </c>
      <c r="C995" t="s">
        <v>527</v>
      </c>
      <c r="D995" s="2" t="s">
        <v>528</v>
      </c>
      <c r="E995" t="s">
        <v>518</v>
      </c>
      <c r="F995" s="11">
        <v>43974</v>
      </c>
      <c r="G995" s="2">
        <f>VLOOKUP(E995,Produtos!$A:$E,5,FALSE)</f>
        <v>680</v>
      </c>
      <c r="H995" s="2">
        <f>VLOOKUP(E995,Produtos!$A:$E,4,FALSE)</f>
        <v>300</v>
      </c>
      <c r="I995" s="2">
        <v>1</v>
      </c>
    </row>
    <row r="996" spans="1:9" x14ac:dyDescent="0.25">
      <c r="A996" s="2" t="str">
        <f>CONCATENATE(Códigos!S995,Códigos!T995,Códigos!U995)</f>
        <v>svv994v</v>
      </c>
      <c r="B996" t="s">
        <v>410</v>
      </c>
      <c r="C996" t="s">
        <v>527</v>
      </c>
      <c r="D996" s="2" t="s">
        <v>528</v>
      </c>
      <c r="E996" t="s">
        <v>518</v>
      </c>
      <c r="F996" s="11">
        <v>43975</v>
      </c>
      <c r="G996" s="2">
        <f>VLOOKUP(E996,Produtos!$A:$E,5,FALSE)</f>
        <v>680</v>
      </c>
      <c r="H996" s="2">
        <f>VLOOKUP(E996,Produtos!$A:$E,4,FALSE)</f>
        <v>300</v>
      </c>
      <c r="I996" s="2">
        <v>1</v>
      </c>
    </row>
    <row r="997" spans="1:9" x14ac:dyDescent="0.25">
      <c r="A997" s="2" t="str">
        <f>CONCATENATE(Códigos!S996,Códigos!T996,Códigos!U996)</f>
        <v>svv995v</v>
      </c>
      <c r="B997" t="s">
        <v>410</v>
      </c>
      <c r="C997" t="s">
        <v>527</v>
      </c>
      <c r="D997" s="2" t="s">
        <v>528</v>
      </c>
      <c r="E997" t="s">
        <v>518</v>
      </c>
      <c r="F997" s="11">
        <v>43976</v>
      </c>
      <c r="G997" s="2">
        <f>VLOOKUP(E997,Produtos!$A:$E,5,FALSE)</f>
        <v>680</v>
      </c>
      <c r="H997" s="2">
        <f>VLOOKUP(E997,Produtos!$A:$E,4,FALSE)</f>
        <v>300</v>
      </c>
      <c r="I997" s="2">
        <v>1</v>
      </c>
    </row>
    <row r="998" spans="1:9" x14ac:dyDescent="0.25">
      <c r="A998" s="2" t="str">
        <f>CONCATENATE(Códigos!S997,Códigos!T997,Códigos!U997)</f>
        <v>svv996v</v>
      </c>
      <c r="B998" t="s">
        <v>410</v>
      </c>
      <c r="C998" t="s">
        <v>527</v>
      </c>
      <c r="D998" s="2" t="s">
        <v>528</v>
      </c>
      <c r="E998" t="s">
        <v>518</v>
      </c>
      <c r="F998" s="11">
        <v>43977</v>
      </c>
      <c r="G998" s="2">
        <f>VLOOKUP(E998,Produtos!$A:$E,5,FALSE)</f>
        <v>680</v>
      </c>
      <c r="H998" s="2">
        <f>VLOOKUP(E998,Produtos!$A:$E,4,FALSE)</f>
        <v>300</v>
      </c>
      <c r="I998" s="2">
        <v>1</v>
      </c>
    </row>
    <row r="999" spans="1:9" x14ac:dyDescent="0.25">
      <c r="A999" s="2" t="str">
        <f>CONCATENATE(Códigos!S998,Códigos!T998,Códigos!U998)</f>
        <v>svv997v</v>
      </c>
      <c r="B999" t="s">
        <v>410</v>
      </c>
      <c r="C999" t="s">
        <v>527</v>
      </c>
      <c r="D999" s="2" t="s">
        <v>528</v>
      </c>
      <c r="E999" t="s">
        <v>518</v>
      </c>
      <c r="F999" s="11">
        <v>43978</v>
      </c>
      <c r="G999" s="2">
        <f>VLOOKUP(E999,Produtos!$A:$E,5,FALSE)</f>
        <v>680</v>
      </c>
      <c r="H999" s="2">
        <f>VLOOKUP(E999,Produtos!$A:$E,4,FALSE)</f>
        <v>300</v>
      </c>
      <c r="I999" s="2">
        <v>1</v>
      </c>
    </row>
    <row r="1000" spans="1:9" x14ac:dyDescent="0.25">
      <c r="A1000" s="2" t="str">
        <f>CONCATENATE(Códigos!S999,Códigos!T999,Códigos!U999)</f>
        <v>svv998v</v>
      </c>
      <c r="B1000" t="s">
        <v>410</v>
      </c>
      <c r="C1000" t="s">
        <v>527</v>
      </c>
      <c r="D1000" s="2" t="s">
        <v>528</v>
      </c>
      <c r="E1000" t="s">
        <v>518</v>
      </c>
      <c r="F1000" s="11">
        <v>43979</v>
      </c>
      <c r="G1000" s="2">
        <f>VLOOKUP(E1000,Produtos!$A:$E,5,FALSE)</f>
        <v>680</v>
      </c>
      <c r="H1000" s="2">
        <f>VLOOKUP(E1000,Produtos!$A:$E,4,FALSE)</f>
        <v>300</v>
      </c>
      <c r="I1000" s="2">
        <v>1</v>
      </c>
    </row>
    <row r="1001" spans="1:9" x14ac:dyDescent="0.25">
      <c r="A1001" s="2" t="str">
        <f>CONCATENATE(Códigos!S1000,Códigos!T1000,Códigos!U1000)</f>
        <v>svv999v</v>
      </c>
      <c r="B1001" t="s">
        <v>410</v>
      </c>
      <c r="C1001" t="s">
        <v>527</v>
      </c>
      <c r="D1001" s="2" t="s">
        <v>528</v>
      </c>
      <c r="E1001" t="s">
        <v>518</v>
      </c>
      <c r="F1001" s="11">
        <v>43980</v>
      </c>
      <c r="G1001" s="2">
        <f>VLOOKUP(E1001,Produtos!$A:$E,5,FALSE)</f>
        <v>680</v>
      </c>
      <c r="H1001" s="2">
        <f>VLOOKUP(E1001,Produtos!$A:$E,4,FALSE)</f>
        <v>300</v>
      </c>
      <c r="I1001" s="2">
        <v>1</v>
      </c>
    </row>
    <row r="1002" spans="1:9" x14ac:dyDescent="0.25">
      <c r="A1002" s="2" t="str">
        <f>CONCATENATE(Códigos!S1001,Códigos!T1001,Códigos!U1001)</f>
        <v>svv1000v</v>
      </c>
      <c r="B1002" t="s">
        <v>410</v>
      </c>
      <c r="C1002" t="s">
        <v>527</v>
      </c>
      <c r="D1002" s="2" t="s">
        <v>528</v>
      </c>
      <c r="E1002" t="s">
        <v>518</v>
      </c>
      <c r="F1002" s="11">
        <v>43981</v>
      </c>
      <c r="G1002" s="2">
        <f>VLOOKUP(E1002,Produtos!$A:$E,5,FALSE)</f>
        <v>680</v>
      </c>
      <c r="H1002" s="2">
        <f>VLOOKUP(E1002,Produtos!$A:$E,4,FALSE)</f>
        <v>300</v>
      </c>
      <c r="I1002" s="2">
        <v>1</v>
      </c>
    </row>
    <row r="1003" spans="1:9" x14ac:dyDescent="0.25">
      <c r="A1003" s="2" t="str">
        <f>CONCATENATE(Códigos!S1002,Códigos!T1002,Códigos!U1002)</f>
        <v>svv1001v</v>
      </c>
      <c r="B1003" t="s">
        <v>410</v>
      </c>
      <c r="C1003" t="s">
        <v>527</v>
      </c>
      <c r="D1003" s="2" t="s">
        <v>528</v>
      </c>
      <c r="E1003" t="s">
        <v>518</v>
      </c>
      <c r="F1003" s="11">
        <v>43982</v>
      </c>
      <c r="G1003" s="2">
        <f>VLOOKUP(E1003,Produtos!$A:$E,5,FALSE)</f>
        <v>680</v>
      </c>
      <c r="H1003" s="2">
        <f>VLOOKUP(E1003,Produtos!$A:$E,4,FALSE)</f>
        <v>300</v>
      </c>
      <c r="I1003" s="2">
        <v>1</v>
      </c>
    </row>
    <row r="1004" spans="1:9" x14ac:dyDescent="0.25">
      <c r="A1004" s="2" t="str">
        <f>CONCATENATE(Códigos!S1003,Códigos!T1003,Códigos!U1003)</f>
        <v>svv1002v</v>
      </c>
      <c r="B1004" t="s">
        <v>410</v>
      </c>
      <c r="C1004" t="s">
        <v>527</v>
      </c>
      <c r="D1004" s="2" t="s">
        <v>528</v>
      </c>
      <c r="E1004" t="s">
        <v>518</v>
      </c>
      <c r="F1004" s="11">
        <v>43983</v>
      </c>
      <c r="G1004" s="2">
        <f>VLOOKUP(E1004,Produtos!$A:$E,5,FALSE)</f>
        <v>680</v>
      </c>
      <c r="H1004" s="2">
        <f>VLOOKUP(E1004,Produtos!$A:$E,4,FALSE)</f>
        <v>300</v>
      </c>
      <c r="I1004" s="2">
        <v>1</v>
      </c>
    </row>
    <row r="1005" spans="1:9" x14ac:dyDescent="0.25">
      <c r="A1005" s="2" t="str">
        <f>CONCATENATE(Códigos!S1004,Códigos!T1004,Códigos!U1004)</f>
        <v>svv1003v</v>
      </c>
      <c r="B1005" t="s">
        <v>410</v>
      </c>
      <c r="C1005" t="s">
        <v>527</v>
      </c>
      <c r="D1005" s="2" t="s">
        <v>528</v>
      </c>
      <c r="E1005" t="s">
        <v>518</v>
      </c>
      <c r="F1005" s="11">
        <v>43984</v>
      </c>
      <c r="G1005" s="2">
        <f>VLOOKUP(E1005,Produtos!$A:$E,5,FALSE)</f>
        <v>680</v>
      </c>
      <c r="H1005" s="2">
        <f>VLOOKUP(E1005,Produtos!$A:$E,4,FALSE)</f>
        <v>300</v>
      </c>
      <c r="I1005" s="2">
        <v>1</v>
      </c>
    </row>
    <row r="1006" spans="1:9" x14ac:dyDescent="0.25">
      <c r="A1006" s="2" t="str">
        <f>CONCATENATE(Códigos!S1005,Códigos!T1005,Códigos!U1005)</f>
        <v>svv1004v</v>
      </c>
      <c r="B1006" t="s">
        <v>410</v>
      </c>
      <c r="C1006" t="s">
        <v>527</v>
      </c>
      <c r="D1006" s="2" t="s">
        <v>528</v>
      </c>
      <c r="E1006" t="s">
        <v>518</v>
      </c>
      <c r="F1006" s="11">
        <v>43985</v>
      </c>
      <c r="G1006" s="2">
        <f>VLOOKUP(E1006,Produtos!$A:$E,5,FALSE)</f>
        <v>680</v>
      </c>
      <c r="H1006" s="2">
        <f>VLOOKUP(E1006,Produtos!$A:$E,4,FALSE)</f>
        <v>300</v>
      </c>
      <c r="I1006" s="2">
        <v>1</v>
      </c>
    </row>
    <row r="1007" spans="1:9" x14ac:dyDescent="0.25">
      <c r="A1007" s="2" t="str">
        <f>CONCATENATE(Códigos!S1006,Códigos!T1006,Códigos!U1006)</f>
        <v>svv1005v</v>
      </c>
      <c r="B1007" t="s">
        <v>410</v>
      </c>
      <c r="C1007" t="s">
        <v>527</v>
      </c>
      <c r="D1007" s="2" t="s">
        <v>528</v>
      </c>
      <c r="E1007" t="s">
        <v>518</v>
      </c>
      <c r="F1007" s="11">
        <v>43986</v>
      </c>
      <c r="G1007" s="2">
        <f>VLOOKUP(E1007,Produtos!$A:$E,5,FALSE)</f>
        <v>680</v>
      </c>
      <c r="H1007" s="2">
        <f>VLOOKUP(E1007,Produtos!$A:$E,4,FALSE)</f>
        <v>300</v>
      </c>
      <c r="I1007" s="2">
        <v>1</v>
      </c>
    </row>
    <row r="1008" spans="1:9" x14ac:dyDescent="0.25">
      <c r="A1008" s="2" t="str">
        <f>CONCATENATE(Códigos!S1007,Códigos!T1007,Códigos!U1007)</f>
        <v>svv1006v</v>
      </c>
      <c r="B1008" t="s">
        <v>410</v>
      </c>
      <c r="C1008" t="s">
        <v>527</v>
      </c>
      <c r="D1008" s="2" t="s">
        <v>528</v>
      </c>
      <c r="E1008" t="s">
        <v>518</v>
      </c>
      <c r="F1008" s="11">
        <v>43987</v>
      </c>
      <c r="G1008" s="2">
        <f>VLOOKUP(E1008,Produtos!$A:$E,5,FALSE)</f>
        <v>680</v>
      </c>
      <c r="H1008" s="2">
        <f>VLOOKUP(E1008,Produtos!$A:$E,4,FALSE)</f>
        <v>300</v>
      </c>
      <c r="I1008" s="2">
        <v>1</v>
      </c>
    </row>
    <row r="1009" spans="1:9" x14ac:dyDescent="0.25">
      <c r="A1009" s="2" t="str">
        <f>CONCATENATE(Códigos!S1008,Códigos!T1008,Códigos!U1008)</f>
        <v>svv1007v</v>
      </c>
      <c r="B1009" t="s">
        <v>410</v>
      </c>
      <c r="C1009" t="s">
        <v>527</v>
      </c>
      <c r="D1009" s="2" t="s">
        <v>528</v>
      </c>
      <c r="E1009" t="s">
        <v>518</v>
      </c>
      <c r="F1009" s="11">
        <v>43988</v>
      </c>
      <c r="G1009" s="2">
        <f>VLOOKUP(E1009,Produtos!$A:$E,5,FALSE)</f>
        <v>680</v>
      </c>
      <c r="H1009" s="2">
        <f>VLOOKUP(E1009,Produtos!$A:$E,4,FALSE)</f>
        <v>300</v>
      </c>
      <c r="I1009" s="2">
        <v>1</v>
      </c>
    </row>
    <row r="1010" spans="1:9" x14ac:dyDescent="0.25">
      <c r="A1010" s="2" t="str">
        <f>CONCATENATE(Códigos!S1009,Códigos!T1009,Códigos!U1009)</f>
        <v>svv1008v</v>
      </c>
      <c r="B1010" t="s">
        <v>410</v>
      </c>
      <c r="C1010" t="s">
        <v>527</v>
      </c>
      <c r="D1010" s="2" t="s">
        <v>528</v>
      </c>
      <c r="E1010" t="s">
        <v>518</v>
      </c>
      <c r="F1010" s="11">
        <v>43989</v>
      </c>
      <c r="G1010" s="2">
        <f>VLOOKUP(E1010,Produtos!$A:$E,5,FALSE)</f>
        <v>680</v>
      </c>
      <c r="H1010" s="2">
        <f>VLOOKUP(E1010,Produtos!$A:$E,4,FALSE)</f>
        <v>300</v>
      </c>
      <c r="I1010" s="2">
        <v>1</v>
      </c>
    </row>
    <row r="1011" spans="1:9" x14ac:dyDescent="0.25">
      <c r="A1011" s="2" t="str">
        <f>CONCATENATE(Códigos!S1010,Códigos!T1010,Códigos!U1010)</f>
        <v>svv1009v</v>
      </c>
      <c r="B1011" t="s">
        <v>410</v>
      </c>
      <c r="C1011" t="s">
        <v>527</v>
      </c>
      <c r="D1011" s="2" t="s">
        <v>528</v>
      </c>
      <c r="E1011" t="s">
        <v>518</v>
      </c>
      <c r="F1011" s="11">
        <v>43990</v>
      </c>
      <c r="G1011" s="2">
        <f>VLOOKUP(E1011,Produtos!$A:$E,5,FALSE)</f>
        <v>680</v>
      </c>
      <c r="H1011" s="2">
        <f>VLOOKUP(E1011,Produtos!$A:$E,4,FALSE)</f>
        <v>300</v>
      </c>
      <c r="I1011" s="2">
        <v>1</v>
      </c>
    </row>
    <row r="1012" spans="1:9" x14ac:dyDescent="0.25">
      <c r="A1012" s="2" t="str">
        <f>CONCATENATE(Códigos!S1011,Códigos!T1011,Códigos!U1011)</f>
        <v>svv1010v</v>
      </c>
      <c r="B1012" t="s">
        <v>410</v>
      </c>
      <c r="C1012" t="s">
        <v>349</v>
      </c>
      <c r="D1012" s="2" t="s">
        <v>350</v>
      </c>
      <c r="E1012" t="s">
        <v>526</v>
      </c>
      <c r="F1012" s="11">
        <v>43991</v>
      </c>
      <c r="G1012" s="2">
        <f>VLOOKUP(E1012,Produtos!$A:$E,5,FALSE)</f>
        <v>3500</v>
      </c>
      <c r="H1012" s="2">
        <f>VLOOKUP(E1012,Produtos!$A:$E,4,FALSE)</f>
        <v>1700</v>
      </c>
      <c r="I1012" s="2">
        <v>1</v>
      </c>
    </row>
    <row r="1013" spans="1:9" x14ac:dyDescent="0.25">
      <c r="A1013" s="2" t="str">
        <f>CONCATENATE(Códigos!S1012,Códigos!T1012,Códigos!U1012)</f>
        <v>svv1011v</v>
      </c>
      <c r="B1013" t="s">
        <v>410</v>
      </c>
      <c r="C1013" t="s">
        <v>349</v>
      </c>
      <c r="D1013" s="2" t="s">
        <v>350</v>
      </c>
      <c r="E1013" t="s">
        <v>526</v>
      </c>
      <c r="F1013" s="11">
        <v>43992</v>
      </c>
      <c r="G1013" s="2">
        <f>VLOOKUP(E1013,Produtos!$A:$E,5,FALSE)</f>
        <v>3500</v>
      </c>
      <c r="H1013" s="2">
        <f>VLOOKUP(E1013,Produtos!$A:$E,4,FALSE)</f>
        <v>1700</v>
      </c>
      <c r="I1013" s="2">
        <v>1</v>
      </c>
    </row>
    <row r="1014" spans="1:9" x14ac:dyDescent="0.25">
      <c r="A1014" s="2" t="str">
        <f>CONCATENATE(Códigos!S1013,Códigos!T1013,Códigos!U1013)</f>
        <v>svv1012v</v>
      </c>
      <c r="B1014" t="s">
        <v>410</v>
      </c>
      <c r="C1014" t="s">
        <v>349</v>
      </c>
      <c r="D1014" s="2" t="s">
        <v>350</v>
      </c>
      <c r="E1014" t="s">
        <v>526</v>
      </c>
      <c r="F1014" s="11">
        <v>43993</v>
      </c>
      <c r="G1014" s="2">
        <f>VLOOKUP(E1014,Produtos!$A:$E,5,FALSE)</f>
        <v>3500</v>
      </c>
      <c r="H1014" s="2">
        <f>VLOOKUP(E1014,Produtos!$A:$E,4,FALSE)</f>
        <v>1700</v>
      </c>
      <c r="I1014" s="2">
        <v>1</v>
      </c>
    </row>
    <row r="1015" spans="1:9" x14ac:dyDescent="0.25">
      <c r="A1015" s="2" t="str">
        <f>CONCATENATE(Códigos!S1014,Códigos!T1014,Códigos!U1014)</f>
        <v>svv1013v</v>
      </c>
      <c r="B1015" t="s">
        <v>410</v>
      </c>
      <c r="C1015" t="s">
        <v>349</v>
      </c>
      <c r="D1015" s="2" t="s">
        <v>350</v>
      </c>
      <c r="E1015" t="s">
        <v>526</v>
      </c>
      <c r="F1015" s="11">
        <v>43994</v>
      </c>
      <c r="G1015" s="2">
        <f>VLOOKUP(E1015,Produtos!$A:$E,5,FALSE)</f>
        <v>3500</v>
      </c>
      <c r="H1015" s="2">
        <f>VLOOKUP(E1015,Produtos!$A:$E,4,FALSE)</f>
        <v>1700</v>
      </c>
      <c r="I1015" s="2">
        <v>1</v>
      </c>
    </row>
    <row r="1016" spans="1:9" x14ac:dyDescent="0.25">
      <c r="A1016" s="2" t="str">
        <f>CONCATENATE(Códigos!S1015,Códigos!T1015,Códigos!U1015)</f>
        <v>svv1014v</v>
      </c>
      <c r="B1016" t="s">
        <v>410</v>
      </c>
      <c r="C1016" t="s">
        <v>349</v>
      </c>
      <c r="D1016" s="2" t="s">
        <v>350</v>
      </c>
      <c r="E1016" t="s">
        <v>526</v>
      </c>
      <c r="F1016" s="11">
        <v>43995</v>
      </c>
      <c r="G1016" s="2">
        <f>VLOOKUP(E1016,Produtos!$A:$E,5,FALSE)</f>
        <v>3500</v>
      </c>
      <c r="H1016" s="2">
        <f>VLOOKUP(E1016,Produtos!$A:$E,4,FALSE)</f>
        <v>1700</v>
      </c>
      <c r="I1016" s="2">
        <v>1</v>
      </c>
    </row>
    <row r="1017" spans="1:9" x14ac:dyDescent="0.25">
      <c r="A1017" s="2" t="str">
        <f>CONCATENATE(Códigos!S1016,Códigos!T1016,Códigos!U1016)</f>
        <v>svv1015v</v>
      </c>
      <c r="B1017" t="s">
        <v>410</v>
      </c>
      <c r="C1017" t="s">
        <v>349</v>
      </c>
      <c r="D1017" s="2" t="s">
        <v>350</v>
      </c>
      <c r="E1017" t="s">
        <v>526</v>
      </c>
      <c r="F1017" s="11">
        <v>43996</v>
      </c>
      <c r="G1017" s="2">
        <f>VLOOKUP(E1017,Produtos!$A:$E,5,FALSE)</f>
        <v>3500</v>
      </c>
      <c r="H1017" s="2">
        <f>VLOOKUP(E1017,Produtos!$A:$E,4,FALSE)</f>
        <v>1700</v>
      </c>
      <c r="I1017" s="2">
        <v>1</v>
      </c>
    </row>
    <row r="1018" spans="1:9" x14ac:dyDescent="0.25">
      <c r="A1018" s="2" t="str">
        <f>CONCATENATE(Códigos!S1017,Códigos!T1017,Códigos!U1017)</f>
        <v>svv1016v</v>
      </c>
      <c r="B1018" t="s">
        <v>410</v>
      </c>
      <c r="C1018" t="s">
        <v>349</v>
      </c>
      <c r="D1018" s="2" t="s">
        <v>350</v>
      </c>
      <c r="E1018" t="s">
        <v>526</v>
      </c>
      <c r="F1018" s="11">
        <v>43997</v>
      </c>
      <c r="G1018" s="2">
        <f>VLOOKUP(E1018,Produtos!$A:$E,5,FALSE)</f>
        <v>3500</v>
      </c>
      <c r="H1018" s="2">
        <f>VLOOKUP(E1018,Produtos!$A:$E,4,FALSE)</f>
        <v>1700</v>
      </c>
      <c r="I1018" s="2">
        <v>1</v>
      </c>
    </row>
    <row r="1019" spans="1:9" x14ac:dyDescent="0.25">
      <c r="A1019" s="2" t="str">
        <f>CONCATENATE(Códigos!S1018,Códigos!T1018,Códigos!U1018)</f>
        <v>svv1017v</v>
      </c>
      <c r="B1019" t="s">
        <v>410</v>
      </c>
      <c r="C1019" t="s">
        <v>349</v>
      </c>
      <c r="D1019" s="2" t="s">
        <v>350</v>
      </c>
      <c r="E1019" t="s">
        <v>526</v>
      </c>
      <c r="F1019" s="11">
        <v>43998</v>
      </c>
      <c r="G1019" s="2">
        <f>VLOOKUP(E1019,Produtos!$A:$E,5,FALSE)</f>
        <v>3500</v>
      </c>
      <c r="H1019" s="2">
        <f>VLOOKUP(E1019,Produtos!$A:$E,4,FALSE)</f>
        <v>1700</v>
      </c>
      <c r="I1019" s="2">
        <v>1</v>
      </c>
    </row>
    <row r="1020" spans="1:9" x14ac:dyDescent="0.25">
      <c r="A1020" s="2" t="str">
        <f>CONCATENATE(Códigos!S1019,Códigos!T1019,Códigos!U1019)</f>
        <v>svv1018v</v>
      </c>
      <c r="B1020" t="s">
        <v>410</v>
      </c>
      <c r="C1020" t="s">
        <v>349</v>
      </c>
      <c r="D1020" s="2" t="s">
        <v>350</v>
      </c>
      <c r="E1020" t="s">
        <v>526</v>
      </c>
      <c r="F1020" s="11">
        <v>43999</v>
      </c>
      <c r="G1020" s="2">
        <f>VLOOKUP(E1020,Produtos!$A:$E,5,FALSE)</f>
        <v>3500</v>
      </c>
      <c r="H1020" s="2">
        <f>VLOOKUP(E1020,Produtos!$A:$E,4,FALSE)</f>
        <v>1700</v>
      </c>
      <c r="I1020" s="2">
        <v>1</v>
      </c>
    </row>
    <row r="1021" spans="1:9" x14ac:dyDescent="0.25">
      <c r="A1021" s="2" t="str">
        <f>CONCATENATE(Códigos!S1020,Códigos!T1020,Códigos!U1020)</f>
        <v>svv1019v</v>
      </c>
      <c r="B1021" t="s">
        <v>410</v>
      </c>
      <c r="C1021" t="s">
        <v>349</v>
      </c>
      <c r="D1021" s="2" t="s">
        <v>350</v>
      </c>
      <c r="E1021" t="s">
        <v>526</v>
      </c>
      <c r="F1021" s="11">
        <v>44000</v>
      </c>
      <c r="G1021" s="2">
        <f>VLOOKUP(E1021,Produtos!$A:$E,5,FALSE)</f>
        <v>3500</v>
      </c>
      <c r="H1021" s="2">
        <f>VLOOKUP(E1021,Produtos!$A:$E,4,FALSE)</f>
        <v>1700</v>
      </c>
      <c r="I1021" s="2">
        <v>1</v>
      </c>
    </row>
    <row r="1022" spans="1:9" x14ac:dyDescent="0.25">
      <c r="A1022" s="2" t="str">
        <f>CONCATENATE(Códigos!S1021,Códigos!T1021,Códigos!U1021)</f>
        <v>svv1020v</v>
      </c>
      <c r="B1022" t="s">
        <v>410</v>
      </c>
      <c r="C1022" t="s">
        <v>349</v>
      </c>
      <c r="D1022" s="2" t="s">
        <v>350</v>
      </c>
      <c r="E1022" t="s">
        <v>526</v>
      </c>
      <c r="F1022" s="11">
        <v>44001</v>
      </c>
      <c r="G1022" s="2">
        <f>VLOOKUP(E1022,Produtos!$A:$E,5,FALSE)</f>
        <v>3500</v>
      </c>
      <c r="H1022" s="2">
        <f>VLOOKUP(E1022,Produtos!$A:$E,4,FALSE)</f>
        <v>1700</v>
      </c>
      <c r="I1022" s="2">
        <v>1</v>
      </c>
    </row>
    <row r="1023" spans="1:9" x14ac:dyDescent="0.25">
      <c r="A1023" s="2" t="str">
        <f>CONCATENATE(Códigos!S1022,Códigos!T1022,Códigos!U1022)</f>
        <v>svv1021v</v>
      </c>
      <c r="B1023" t="s">
        <v>410</v>
      </c>
      <c r="C1023" t="s">
        <v>349</v>
      </c>
      <c r="D1023" s="2" t="s">
        <v>350</v>
      </c>
      <c r="E1023" t="s">
        <v>526</v>
      </c>
      <c r="F1023" s="11">
        <v>44002</v>
      </c>
      <c r="G1023" s="2">
        <f>VLOOKUP(E1023,Produtos!$A:$E,5,FALSE)</f>
        <v>3500</v>
      </c>
      <c r="H1023" s="2">
        <f>VLOOKUP(E1023,Produtos!$A:$E,4,FALSE)</f>
        <v>1700</v>
      </c>
      <c r="I1023" s="2">
        <v>1</v>
      </c>
    </row>
    <row r="1024" spans="1:9" x14ac:dyDescent="0.25">
      <c r="A1024" s="2" t="str">
        <f>CONCATENATE(Códigos!S1023,Códigos!T1023,Códigos!U1023)</f>
        <v>svv1022v</v>
      </c>
      <c r="B1024" t="s">
        <v>410</v>
      </c>
      <c r="C1024" t="s">
        <v>349</v>
      </c>
      <c r="D1024" s="2" t="s">
        <v>350</v>
      </c>
      <c r="E1024" t="s">
        <v>526</v>
      </c>
      <c r="F1024" s="11">
        <v>44003</v>
      </c>
      <c r="G1024" s="2">
        <f>VLOOKUP(E1024,Produtos!$A:$E,5,FALSE)</f>
        <v>3500</v>
      </c>
      <c r="H1024" s="2">
        <f>VLOOKUP(E1024,Produtos!$A:$E,4,FALSE)</f>
        <v>1700</v>
      </c>
      <c r="I1024" s="2">
        <v>1</v>
      </c>
    </row>
    <row r="1025" spans="1:9" x14ac:dyDescent="0.25">
      <c r="A1025" s="2" t="str">
        <f>CONCATENATE(Códigos!S1024,Códigos!T1024,Códigos!U1024)</f>
        <v>svv1023v</v>
      </c>
      <c r="B1025" t="s">
        <v>410</v>
      </c>
      <c r="C1025" t="s">
        <v>349</v>
      </c>
      <c r="D1025" s="2" t="s">
        <v>350</v>
      </c>
      <c r="E1025" t="s">
        <v>526</v>
      </c>
      <c r="F1025" s="11">
        <v>44004</v>
      </c>
      <c r="G1025" s="2">
        <f>VLOOKUP(E1025,Produtos!$A:$E,5,FALSE)</f>
        <v>3500</v>
      </c>
      <c r="H1025" s="2">
        <f>VLOOKUP(E1025,Produtos!$A:$E,4,FALSE)</f>
        <v>1700</v>
      </c>
      <c r="I1025" s="2">
        <v>1</v>
      </c>
    </row>
    <row r="1026" spans="1:9" x14ac:dyDescent="0.25">
      <c r="A1026" s="2" t="str">
        <f>CONCATENATE(Códigos!S1025,Códigos!T1025,Códigos!U1025)</f>
        <v>svv1024v</v>
      </c>
      <c r="B1026" t="s">
        <v>410</v>
      </c>
      <c r="C1026" t="s">
        <v>349</v>
      </c>
      <c r="D1026" s="2" t="s">
        <v>350</v>
      </c>
      <c r="E1026" t="s">
        <v>526</v>
      </c>
      <c r="F1026" s="11">
        <v>44005</v>
      </c>
      <c r="G1026" s="2">
        <f>VLOOKUP(E1026,Produtos!$A:$E,5,FALSE)</f>
        <v>3500</v>
      </c>
      <c r="H1026" s="2">
        <f>VLOOKUP(E1026,Produtos!$A:$E,4,FALSE)</f>
        <v>1700</v>
      </c>
      <c r="I1026" s="2">
        <v>1</v>
      </c>
    </row>
    <row r="1027" spans="1:9" x14ac:dyDescent="0.25">
      <c r="A1027" s="2" t="str">
        <f>CONCATENATE(Códigos!S1026,Códigos!T1026,Códigos!U1026)</f>
        <v>svv1025v</v>
      </c>
      <c r="B1027" t="s">
        <v>410</v>
      </c>
      <c r="C1027" t="s">
        <v>349</v>
      </c>
      <c r="D1027" s="2" t="s">
        <v>350</v>
      </c>
      <c r="E1027" t="s">
        <v>526</v>
      </c>
      <c r="F1027" s="11">
        <v>44006</v>
      </c>
      <c r="G1027" s="2">
        <f>VLOOKUP(E1027,Produtos!$A:$E,5,FALSE)</f>
        <v>3500</v>
      </c>
      <c r="H1027" s="2">
        <f>VLOOKUP(E1027,Produtos!$A:$E,4,FALSE)</f>
        <v>1700</v>
      </c>
      <c r="I1027" s="2">
        <v>1</v>
      </c>
    </row>
    <row r="1028" spans="1:9" x14ac:dyDescent="0.25">
      <c r="A1028" s="2" t="str">
        <f>CONCATENATE(Códigos!S1027,Códigos!T1027,Códigos!U1027)</f>
        <v>svv1026v</v>
      </c>
      <c r="B1028" t="s">
        <v>410</v>
      </c>
      <c r="C1028" t="s">
        <v>349</v>
      </c>
      <c r="D1028" s="2" t="s">
        <v>350</v>
      </c>
      <c r="E1028" t="s">
        <v>526</v>
      </c>
      <c r="F1028" s="11">
        <v>44007</v>
      </c>
      <c r="G1028" s="2">
        <f>VLOOKUP(E1028,Produtos!$A:$E,5,FALSE)</f>
        <v>3500</v>
      </c>
      <c r="H1028" s="2">
        <f>VLOOKUP(E1028,Produtos!$A:$E,4,FALSE)</f>
        <v>1700</v>
      </c>
      <c r="I1028" s="2">
        <v>1</v>
      </c>
    </row>
    <row r="1029" spans="1:9" x14ac:dyDescent="0.25">
      <c r="A1029" s="2" t="str">
        <f>CONCATENATE(Códigos!S1028,Códigos!T1028,Códigos!U1028)</f>
        <v>svv1027v</v>
      </c>
      <c r="B1029" t="s">
        <v>410</v>
      </c>
      <c r="C1029" t="s">
        <v>349</v>
      </c>
      <c r="D1029" s="2" t="s">
        <v>350</v>
      </c>
      <c r="E1029" t="s">
        <v>526</v>
      </c>
      <c r="F1029" s="11">
        <v>44008</v>
      </c>
      <c r="G1029" s="2">
        <f>VLOOKUP(E1029,Produtos!$A:$E,5,FALSE)</f>
        <v>3500</v>
      </c>
      <c r="H1029" s="2">
        <f>VLOOKUP(E1029,Produtos!$A:$E,4,FALSE)</f>
        <v>1700</v>
      </c>
      <c r="I1029" s="2">
        <v>1</v>
      </c>
    </row>
    <row r="1030" spans="1:9" x14ac:dyDescent="0.25">
      <c r="A1030" s="2" t="str">
        <f>CONCATENATE(Códigos!S1029,Códigos!T1029,Códigos!U1029)</f>
        <v>svv1028v</v>
      </c>
      <c r="B1030" t="s">
        <v>410</v>
      </c>
      <c r="C1030" t="s">
        <v>349</v>
      </c>
      <c r="D1030" s="2" t="s">
        <v>350</v>
      </c>
      <c r="E1030" t="s">
        <v>526</v>
      </c>
      <c r="F1030" s="11">
        <v>44009</v>
      </c>
      <c r="G1030" s="2">
        <f>VLOOKUP(E1030,Produtos!$A:$E,5,FALSE)</f>
        <v>3500</v>
      </c>
      <c r="H1030" s="2">
        <f>VLOOKUP(E1030,Produtos!$A:$E,4,FALSE)</f>
        <v>1700</v>
      </c>
      <c r="I1030" s="2">
        <v>1</v>
      </c>
    </row>
    <row r="1031" spans="1:9" x14ac:dyDescent="0.25">
      <c r="A1031" s="2" t="str">
        <f>CONCATENATE(Códigos!S1030,Códigos!T1030,Códigos!U1030)</f>
        <v>svv1029v</v>
      </c>
      <c r="B1031" t="s">
        <v>410</v>
      </c>
      <c r="C1031" t="s">
        <v>349</v>
      </c>
      <c r="D1031" s="2" t="s">
        <v>350</v>
      </c>
      <c r="E1031" t="s">
        <v>526</v>
      </c>
      <c r="F1031" s="11">
        <v>44010</v>
      </c>
      <c r="G1031" s="2">
        <f>VLOOKUP(E1031,Produtos!$A:$E,5,FALSE)</f>
        <v>3500</v>
      </c>
      <c r="H1031" s="2">
        <f>VLOOKUP(E1031,Produtos!$A:$E,4,FALSE)</f>
        <v>1700</v>
      </c>
      <c r="I1031" s="2">
        <v>1</v>
      </c>
    </row>
    <row r="1032" spans="1:9" x14ac:dyDescent="0.25">
      <c r="A1032" s="2" t="str">
        <f>CONCATENATE(Códigos!S1031,Códigos!T1031,Códigos!U1031)</f>
        <v>svv1030v</v>
      </c>
      <c r="B1032" t="s">
        <v>410</v>
      </c>
      <c r="C1032" t="s">
        <v>349</v>
      </c>
      <c r="D1032" s="2" t="s">
        <v>350</v>
      </c>
      <c r="E1032" t="s">
        <v>526</v>
      </c>
      <c r="F1032" s="11">
        <v>44011</v>
      </c>
      <c r="G1032" s="2">
        <f>VLOOKUP(E1032,Produtos!$A:$E,5,FALSE)</f>
        <v>3500</v>
      </c>
      <c r="H1032" s="2">
        <f>VLOOKUP(E1032,Produtos!$A:$E,4,FALSE)</f>
        <v>1700</v>
      </c>
      <c r="I1032" s="2">
        <v>1</v>
      </c>
    </row>
    <row r="1033" spans="1:9" x14ac:dyDescent="0.25">
      <c r="A1033" s="2" t="str">
        <f>CONCATENATE(Códigos!S1032,Códigos!T1032,Códigos!U1032)</f>
        <v>svv1031v</v>
      </c>
      <c r="B1033" t="s">
        <v>410</v>
      </c>
      <c r="C1033" t="s">
        <v>349</v>
      </c>
      <c r="D1033" s="2" t="s">
        <v>350</v>
      </c>
      <c r="E1033" t="s">
        <v>526</v>
      </c>
      <c r="F1033" s="11">
        <v>44012</v>
      </c>
      <c r="G1033" s="2">
        <f>VLOOKUP(E1033,Produtos!$A:$E,5,FALSE)</f>
        <v>3500</v>
      </c>
      <c r="H1033" s="2">
        <f>VLOOKUP(E1033,Produtos!$A:$E,4,FALSE)</f>
        <v>1700</v>
      </c>
      <c r="I1033" s="2">
        <v>1</v>
      </c>
    </row>
    <row r="1034" spans="1:9" x14ac:dyDescent="0.25">
      <c r="A1034" s="2" t="str">
        <f>CONCATENATE(Códigos!S1033,Códigos!T1033,Códigos!U1033)</f>
        <v>svv1032v</v>
      </c>
      <c r="B1034" t="s">
        <v>410</v>
      </c>
      <c r="C1034" t="s">
        <v>349</v>
      </c>
      <c r="D1034" s="2" t="s">
        <v>350</v>
      </c>
      <c r="E1034" t="s">
        <v>526</v>
      </c>
      <c r="F1034" s="11">
        <v>44013</v>
      </c>
      <c r="G1034" s="2">
        <f>VLOOKUP(E1034,Produtos!$A:$E,5,FALSE)</f>
        <v>3500</v>
      </c>
      <c r="H1034" s="2">
        <f>VLOOKUP(E1034,Produtos!$A:$E,4,FALSE)</f>
        <v>1700</v>
      </c>
      <c r="I1034" s="2">
        <v>1</v>
      </c>
    </row>
    <row r="1035" spans="1:9" x14ac:dyDescent="0.25">
      <c r="A1035" s="2" t="str">
        <f>CONCATENATE(Códigos!S1034,Códigos!T1034,Códigos!U1034)</f>
        <v>svv1033v</v>
      </c>
      <c r="B1035" t="s">
        <v>410</v>
      </c>
      <c r="C1035" t="s">
        <v>349</v>
      </c>
      <c r="D1035" s="2" t="s">
        <v>350</v>
      </c>
      <c r="E1035" t="s">
        <v>526</v>
      </c>
      <c r="F1035" s="11">
        <v>44014</v>
      </c>
      <c r="G1035" s="2">
        <f>VLOOKUP(E1035,Produtos!$A:$E,5,FALSE)</f>
        <v>3500</v>
      </c>
      <c r="H1035" s="2">
        <f>VLOOKUP(E1035,Produtos!$A:$E,4,FALSE)</f>
        <v>1700</v>
      </c>
      <c r="I1035" s="2">
        <v>1</v>
      </c>
    </row>
    <row r="1036" spans="1:9" x14ac:dyDescent="0.25">
      <c r="A1036" s="2" t="str">
        <f>CONCATENATE(Códigos!S1035,Códigos!T1035,Códigos!U1035)</f>
        <v>svv1034v</v>
      </c>
      <c r="B1036" t="s">
        <v>410</v>
      </c>
      <c r="C1036" t="s">
        <v>349</v>
      </c>
      <c r="D1036" s="2" t="s">
        <v>350</v>
      </c>
      <c r="E1036" t="s">
        <v>526</v>
      </c>
      <c r="F1036" s="11">
        <v>44015</v>
      </c>
      <c r="G1036" s="2">
        <f>VLOOKUP(E1036,Produtos!$A:$E,5,FALSE)</f>
        <v>3500</v>
      </c>
      <c r="H1036" s="2">
        <f>VLOOKUP(E1036,Produtos!$A:$E,4,FALSE)</f>
        <v>1700</v>
      </c>
      <c r="I1036" s="2">
        <v>1</v>
      </c>
    </row>
    <row r="1037" spans="1:9" x14ac:dyDescent="0.25">
      <c r="A1037" s="2" t="str">
        <f>CONCATENATE(Códigos!S1036,Códigos!T1036,Códigos!U1036)</f>
        <v>svv1035v</v>
      </c>
      <c r="B1037" t="s">
        <v>410</v>
      </c>
      <c r="C1037" t="s">
        <v>349</v>
      </c>
      <c r="D1037" s="2" t="s">
        <v>350</v>
      </c>
      <c r="E1037" t="s">
        <v>526</v>
      </c>
      <c r="F1037" s="11">
        <v>44016</v>
      </c>
      <c r="G1037" s="2">
        <f>VLOOKUP(E1037,Produtos!$A:$E,5,FALSE)</f>
        <v>3500</v>
      </c>
      <c r="H1037" s="2">
        <f>VLOOKUP(E1037,Produtos!$A:$E,4,FALSE)</f>
        <v>1700</v>
      </c>
      <c r="I1037" s="2">
        <v>1</v>
      </c>
    </row>
    <row r="1038" spans="1:9" x14ac:dyDescent="0.25">
      <c r="A1038" s="2" t="str">
        <f>CONCATENATE(Códigos!S1037,Códigos!T1037,Códigos!U1037)</f>
        <v>svv1036v</v>
      </c>
      <c r="B1038" t="s">
        <v>410</v>
      </c>
      <c r="C1038" t="s">
        <v>349</v>
      </c>
      <c r="D1038" s="2" t="s">
        <v>350</v>
      </c>
      <c r="E1038" t="s">
        <v>526</v>
      </c>
      <c r="F1038" s="11">
        <v>44017</v>
      </c>
      <c r="G1038" s="2">
        <f>VLOOKUP(E1038,Produtos!$A:$E,5,FALSE)</f>
        <v>3500</v>
      </c>
      <c r="H1038" s="2">
        <f>VLOOKUP(E1038,Produtos!$A:$E,4,FALSE)</f>
        <v>1700</v>
      </c>
      <c r="I1038" s="2">
        <v>1</v>
      </c>
    </row>
    <row r="1039" spans="1:9" x14ac:dyDescent="0.25">
      <c r="A1039" s="2" t="str">
        <f>CONCATENATE(Códigos!S1038,Códigos!T1038,Códigos!U1038)</f>
        <v>svv1037v</v>
      </c>
      <c r="B1039" t="s">
        <v>410</v>
      </c>
      <c r="C1039" t="s">
        <v>349</v>
      </c>
      <c r="D1039" s="2" t="s">
        <v>350</v>
      </c>
      <c r="E1039" t="s">
        <v>526</v>
      </c>
      <c r="F1039" s="11">
        <v>44018</v>
      </c>
      <c r="G1039" s="2">
        <f>VLOOKUP(E1039,Produtos!$A:$E,5,FALSE)</f>
        <v>3500</v>
      </c>
      <c r="H1039" s="2">
        <f>VLOOKUP(E1039,Produtos!$A:$E,4,FALSE)</f>
        <v>1700</v>
      </c>
      <c r="I1039" s="2">
        <v>1</v>
      </c>
    </row>
    <row r="1040" spans="1:9" x14ac:dyDescent="0.25">
      <c r="A1040" s="2" t="str">
        <f>CONCATENATE(Códigos!S1039,Códigos!T1039,Códigos!U1039)</f>
        <v>svv1038v</v>
      </c>
      <c r="B1040" t="s">
        <v>410</v>
      </c>
      <c r="C1040" t="s">
        <v>349</v>
      </c>
      <c r="D1040" s="2" t="s">
        <v>350</v>
      </c>
      <c r="E1040" t="s">
        <v>526</v>
      </c>
      <c r="F1040" s="11">
        <v>44019</v>
      </c>
      <c r="G1040" s="2">
        <f>VLOOKUP(E1040,Produtos!$A:$E,5,FALSE)</f>
        <v>3500</v>
      </c>
      <c r="H1040" s="2">
        <f>VLOOKUP(E1040,Produtos!$A:$E,4,FALSE)</f>
        <v>1700</v>
      </c>
      <c r="I1040" s="2">
        <v>1</v>
      </c>
    </row>
    <row r="1041" spans="1:9" x14ac:dyDescent="0.25">
      <c r="A1041" s="2" t="str">
        <f>CONCATENATE(Códigos!S1040,Códigos!T1040,Códigos!U1040)</f>
        <v>svv1039v</v>
      </c>
      <c r="B1041" t="s">
        <v>410</v>
      </c>
      <c r="C1041" t="s">
        <v>349</v>
      </c>
      <c r="D1041" s="2" t="s">
        <v>350</v>
      </c>
      <c r="E1041" t="s">
        <v>526</v>
      </c>
      <c r="F1041" s="11">
        <v>44020</v>
      </c>
      <c r="G1041" s="2">
        <f>VLOOKUP(E1041,Produtos!$A:$E,5,FALSE)</f>
        <v>3500</v>
      </c>
      <c r="H1041" s="2">
        <f>VLOOKUP(E1041,Produtos!$A:$E,4,FALSE)</f>
        <v>1700</v>
      </c>
      <c r="I1041" s="2">
        <v>1</v>
      </c>
    </row>
    <row r="1042" spans="1:9" x14ac:dyDescent="0.25">
      <c r="A1042" s="2" t="str">
        <f>CONCATENATE(Códigos!S1041,Códigos!T1041,Códigos!U1041)</f>
        <v>svv1040v</v>
      </c>
      <c r="B1042" t="s">
        <v>410</v>
      </c>
      <c r="C1042" t="s">
        <v>349</v>
      </c>
      <c r="D1042" s="2" t="s">
        <v>350</v>
      </c>
      <c r="E1042" t="s">
        <v>526</v>
      </c>
      <c r="F1042" s="11">
        <v>44021</v>
      </c>
      <c r="G1042" s="2">
        <f>VLOOKUP(E1042,Produtos!$A:$E,5,FALSE)</f>
        <v>3500</v>
      </c>
      <c r="H1042" s="2">
        <f>VLOOKUP(E1042,Produtos!$A:$E,4,FALSE)</f>
        <v>1700</v>
      </c>
      <c r="I1042" s="2">
        <v>1</v>
      </c>
    </row>
    <row r="1043" spans="1:9" x14ac:dyDescent="0.25">
      <c r="A1043" s="2" t="str">
        <f>CONCATENATE(Códigos!S1042,Códigos!T1042,Códigos!U1042)</f>
        <v>svv1041v</v>
      </c>
      <c r="B1043" t="s">
        <v>410</v>
      </c>
      <c r="C1043" t="s">
        <v>349</v>
      </c>
      <c r="D1043" s="2" t="s">
        <v>350</v>
      </c>
      <c r="E1043" t="s">
        <v>526</v>
      </c>
      <c r="F1043" s="11">
        <v>44022</v>
      </c>
      <c r="G1043" s="2">
        <f>VLOOKUP(E1043,Produtos!$A:$E,5,FALSE)</f>
        <v>3500</v>
      </c>
      <c r="H1043" s="2">
        <f>VLOOKUP(E1043,Produtos!$A:$E,4,FALSE)</f>
        <v>1700</v>
      </c>
      <c r="I1043" s="2">
        <v>1</v>
      </c>
    </row>
    <row r="1044" spans="1:9" x14ac:dyDescent="0.25">
      <c r="A1044" s="2" t="str">
        <f>CONCATENATE(Códigos!S1043,Códigos!T1043,Códigos!U1043)</f>
        <v>svv1042v</v>
      </c>
      <c r="B1044" t="s">
        <v>410</v>
      </c>
      <c r="C1044" t="s">
        <v>349</v>
      </c>
      <c r="D1044" s="2" t="s">
        <v>350</v>
      </c>
      <c r="E1044" t="s">
        <v>526</v>
      </c>
      <c r="F1044" s="11">
        <v>44023</v>
      </c>
      <c r="G1044" s="2">
        <f>VLOOKUP(E1044,Produtos!$A:$E,5,FALSE)</f>
        <v>3500</v>
      </c>
      <c r="H1044" s="2">
        <f>VLOOKUP(E1044,Produtos!$A:$E,4,FALSE)</f>
        <v>1700</v>
      </c>
      <c r="I1044" s="2">
        <v>1</v>
      </c>
    </row>
    <row r="1045" spans="1:9" x14ac:dyDescent="0.25">
      <c r="A1045" s="2" t="str">
        <f>CONCATENATE(Códigos!S1044,Códigos!T1044,Códigos!U1044)</f>
        <v>svv1043v</v>
      </c>
      <c r="B1045" t="s">
        <v>410</v>
      </c>
      <c r="C1045" t="s">
        <v>349</v>
      </c>
      <c r="D1045" s="2" t="s">
        <v>350</v>
      </c>
      <c r="E1045" t="s">
        <v>526</v>
      </c>
      <c r="F1045" s="11">
        <v>44024</v>
      </c>
      <c r="G1045" s="2">
        <f>VLOOKUP(E1045,Produtos!$A:$E,5,FALSE)</f>
        <v>3500</v>
      </c>
      <c r="H1045" s="2">
        <f>VLOOKUP(E1045,Produtos!$A:$E,4,FALSE)</f>
        <v>1700</v>
      </c>
      <c r="I1045" s="2">
        <v>1</v>
      </c>
    </row>
    <row r="1046" spans="1:9" x14ac:dyDescent="0.25">
      <c r="A1046" s="2" t="str">
        <f>CONCATENATE(Códigos!S1045,Códigos!T1045,Códigos!U1045)</f>
        <v>svv1044v</v>
      </c>
      <c r="B1046" t="s">
        <v>410</v>
      </c>
      <c r="C1046" t="s">
        <v>349</v>
      </c>
      <c r="D1046" s="2" t="s">
        <v>350</v>
      </c>
      <c r="E1046" t="s">
        <v>526</v>
      </c>
      <c r="F1046" s="11">
        <v>44025</v>
      </c>
      <c r="G1046" s="2">
        <f>VLOOKUP(E1046,Produtos!$A:$E,5,FALSE)</f>
        <v>3500</v>
      </c>
      <c r="H1046" s="2">
        <f>VLOOKUP(E1046,Produtos!$A:$E,4,FALSE)</f>
        <v>1700</v>
      </c>
      <c r="I1046" s="2">
        <v>1</v>
      </c>
    </row>
    <row r="1047" spans="1:9" x14ac:dyDescent="0.25">
      <c r="A1047" s="2" t="str">
        <f>CONCATENATE(Códigos!S1046,Códigos!T1046,Códigos!U1046)</f>
        <v>svv1045v</v>
      </c>
      <c r="B1047" t="s">
        <v>410</v>
      </c>
      <c r="C1047" t="s">
        <v>349</v>
      </c>
      <c r="D1047" s="2" t="s">
        <v>350</v>
      </c>
      <c r="E1047" t="s">
        <v>526</v>
      </c>
      <c r="F1047" s="11">
        <v>44026</v>
      </c>
      <c r="G1047" s="2">
        <f>VLOOKUP(E1047,Produtos!$A:$E,5,FALSE)</f>
        <v>3500</v>
      </c>
      <c r="H1047" s="2">
        <f>VLOOKUP(E1047,Produtos!$A:$E,4,FALSE)</f>
        <v>1700</v>
      </c>
      <c r="I1047" s="2">
        <v>1</v>
      </c>
    </row>
    <row r="1048" spans="1:9" x14ac:dyDescent="0.25">
      <c r="A1048" s="2" t="str">
        <f>CONCATENATE(Códigos!S1047,Códigos!T1047,Códigos!U1047)</f>
        <v>svv1046v</v>
      </c>
      <c r="B1048" t="s">
        <v>410</v>
      </c>
      <c r="C1048" t="s">
        <v>349</v>
      </c>
      <c r="D1048" s="2" t="s">
        <v>350</v>
      </c>
      <c r="E1048" t="s">
        <v>526</v>
      </c>
      <c r="F1048" s="11">
        <v>44027</v>
      </c>
      <c r="G1048" s="2">
        <f>VLOOKUP(E1048,Produtos!$A:$E,5,FALSE)</f>
        <v>3500</v>
      </c>
      <c r="H1048" s="2">
        <f>VLOOKUP(E1048,Produtos!$A:$E,4,FALSE)</f>
        <v>1700</v>
      </c>
      <c r="I1048" s="2">
        <v>1</v>
      </c>
    </row>
    <row r="1049" spans="1:9" x14ac:dyDescent="0.25">
      <c r="A1049" s="2" t="str">
        <f>CONCATENATE(Códigos!S1048,Códigos!T1048,Códigos!U1048)</f>
        <v>svv1047v</v>
      </c>
      <c r="B1049" t="s">
        <v>410</v>
      </c>
      <c r="C1049" t="s">
        <v>349</v>
      </c>
      <c r="D1049" s="2" t="s">
        <v>350</v>
      </c>
      <c r="E1049" t="s">
        <v>526</v>
      </c>
      <c r="F1049" s="11">
        <v>44028</v>
      </c>
      <c r="G1049" s="2">
        <f>VLOOKUP(E1049,Produtos!$A:$E,5,FALSE)</f>
        <v>3500</v>
      </c>
      <c r="H1049" s="2">
        <f>VLOOKUP(E1049,Produtos!$A:$E,4,FALSE)</f>
        <v>1700</v>
      </c>
      <c r="I1049" s="2">
        <v>1</v>
      </c>
    </row>
    <row r="1050" spans="1:9" x14ac:dyDescent="0.25">
      <c r="A1050" s="2" t="str">
        <f>CONCATENATE(Códigos!S1049,Códigos!T1049,Códigos!U1049)</f>
        <v>svv1048v</v>
      </c>
      <c r="B1050" t="s">
        <v>410</v>
      </c>
      <c r="C1050" t="s">
        <v>349</v>
      </c>
      <c r="D1050" s="2" t="s">
        <v>350</v>
      </c>
      <c r="E1050" t="s">
        <v>526</v>
      </c>
      <c r="F1050" s="11">
        <v>44029</v>
      </c>
      <c r="G1050" s="2">
        <f>VLOOKUP(E1050,Produtos!$A:$E,5,FALSE)</f>
        <v>3500</v>
      </c>
      <c r="H1050" s="2">
        <f>VLOOKUP(E1050,Produtos!$A:$E,4,FALSE)</f>
        <v>1700</v>
      </c>
      <c r="I1050" s="2">
        <v>1</v>
      </c>
    </row>
    <row r="1051" spans="1:9" x14ac:dyDescent="0.25">
      <c r="A1051" s="2" t="str">
        <f>CONCATENATE(Códigos!S1050,Códigos!T1050,Códigos!U1050)</f>
        <v>svv1049v</v>
      </c>
      <c r="B1051" t="s">
        <v>410</v>
      </c>
      <c r="C1051" t="s">
        <v>349</v>
      </c>
      <c r="D1051" s="2" t="s">
        <v>350</v>
      </c>
      <c r="E1051" t="s">
        <v>526</v>
      </c>
      <c r="F1051" s="11">
        <v>44030</v>
      </c>
      <c r="G1051" s="2">
        <f>VLOOKUP(E1051,Produtos!$A:$E,5,FALSE)</f>
        <v>3500</v>
      </c>
      <c r="H1051" s="2">
        <f>VLOOKUP(E1051,Produtos!$A:$E,4,FALSE)</f>
        <v>1700</v>
      </c>
      <c r="I1051" s="2">
        <v>1</v>
      </c>
    </row>
    <row r="1052" spans="1:9" x14ac:dyDescent="0.25">
      <c r="A1052" s="2" t="str">
        <f>CONCATENATE(Códigos!S1051,Códigos!T1051,Códigos!U1051)</f>
        <v>svv1050v</v>
      </c>
      <c r="B1052" t="s">
        <v>410</v>
      </c>
      <c r="C1052" t="s">
        <v>349</v>
      </c>
      <c r="D1052" s="2" t="s">
        <v>350</v>
      </c>
      <c r="E1052" t="s">
        <v>526</v>
      </c>
      <c r="F1052" s="11">
        <v>44031</v>
      </c>
      <c r="G1052" s="2">
        <f>VLOOKUP(E1052,Produtos!$A:$E,5,FALSE)</f>
        <v>3500</v>
      </c>
      <c r="H1052" s="2">
        <f>VLOOKUP(E1052,Produtos!$A:$E,4,FALSE)</f>
        <v>1700</v>
      </c>
      <c r="I1052" s="2">
        <v>1</v>
      </c>
    </row>
    <row r="1053" spans="1:9" x14ac:dyDescent="0.25">
      <c r="A1053" s="2" t="str">
        <f>CONCATENATE(Códigos!S1052,Códigos!T1052,Códigos!U1052)</f>
        <v>svv1051v</v>
      </c>
      <c r="B1053" t="s">
        <v>410</v>
      </c>
      <c r="C1053" t="s">
        <v>349</v>
      </c>
      <c r="D1053" s="2" t="s">
        <v>350</v>
      </c>
      <c r="E1053" t="s">
        <v>526</v>
      </c>
      <c r="F1053" s="11">
        <v>44032</v>
      </c>
      <c r="G1053" s="2">
        <f>VLOOKUP(E1053,Produtos!$A:$E,5,FALSE)</f>
        <v>3500</v>
      </c>
      <c r="H1053" s="2">
        <f>VLOOKUP(E1053,Produtos!$A:$E,4,FALSE)</f>
        <v>1700</v>
      </c>
      <c r="I1053" s="2">
        <v>1</v>
      </c>
    </row>
    <row r="1054" spans="1:9" x14ac:dyDescent="0.25">
      <c r="A1054" s="2" t="str">
        <f>CONCATENATE(Códigos!S1053,Códigos!T1053,Códigos!U1053)</f>
        <v>svv1052v</v>
      </c>
      <c r="B1054" t="s">
        <v>410</v>
      </c>
      <c r="C1054" t="s">
        <v>349</v>
      </c>
      <c r="D1054" s="2" t="s">
        <v>350</v>
      </c>
      <c r="E1054" t="s">
        <v>526</v>
      </c>
      <c r="F1054" s="11">
        <v>44033</v>
      </c>
      <c r="G1054" s="2">
        <f>VLOOKUP(E1054,Produtos!$A:$E,5,FALSE)</f>
        <v>3500</v>
      </c>
      <c r="H1054" s="2">
        <f>VLOOKUP(E1054,Produtos!$A:$E,4,FALSE)</f>
        <v>1700</v>
      </c>
      <c r="I1054" s="2">
        <v>1</v>
      </c>
    </row>
    <row r="1055" spans="1:9" x14ac:dyDescent="0.25">
      <c r="A1055" s="2" t="str">
        <f>CONCATENATE(Códigos!S1054,Códigos!T1054,Códigos!U1054)</f>
        <v>svv1053v</v>
      </c>
      <c r="B1055" t="s">
        <v>410</v>
      </c>
      <c r="C1055" t="s">
        <v>349</v>
      </c>
      <c r="D1055" s="2" t="s">
        <v>350</v>
      </c>
      <c r="E1055" t="s">
        <v>526</v>
      </c>
      <c r="F1055" s="11">
        <v>44034</v>
      </c>
      <c r="G1055" s="2">
        <f>VLOOKUP(E1055,Produtos!$A:$E,5,FALSE)</f>
        <v>3500</v>
      </c>
      <c r="H1055" s="2">
        <f>VLOOKUP(E1055,Produtos!$A:$E,4,FALSE)</f>
        <v>1700</v>
      </c>
      <c r="I1055" s="2">
        <v>1</v>
      </c>
    </row>
    <row r="1056" spans="1:9" x14ac:dyDescent="0.25">
      <c r="A1056" s="2" t="str">
        <f>CONCATENATE(Códigos!S1055,Códigos!T1055,Códigos!U1055)</f>
        <v>svv1054v</v>
      </c>
      <c r="B1056" t="s">
        <v>410</v>
      </c>
      <c r="C1056" t="s">
        <v>349</v>
      </c>
      <c r="D1056" s="2" t="s">
        <v>350</v>
      </c>
      <c r="E1056" t="s">
        <v>526</v>
      </c>
      <c r="F1056" s="11">
        <v>44035</v>
      </c>
      <c r="G1056" s="2">
        <f>VLOOKUP(E1056,Produtos!$A:$E,5,FALSE)</f>
        <v>3500</v>
      </c>
      <c r="H1056" s="2">
        <f>VLOOKUP(E1056,Produtos!$A:$E,4,FALSE)</f>
        <v>1700</v>
      </c>
      <c r="I1056" s="2">
        <v>1</v>
      </c>
    </row>
    <row r="1057" spans="1:9" x14ac:dyDescent="0.25">
      <c r="A1057" s="2" t="str">
        <f>CONCATENATE(Códigos!S1056,Códigos!T1056,Códigos!U1056)</f>
        <v>svv1055v</v>
      </c>
      <c r="B1057" t="s">
        <v>410</v>
      </c>
      <c r="C1057" t="s">
        <v>349</v>
      </c>
      <c r="D1057" s="2" t="s">
        <v>350</v>
      </c>
      <c r="E1057" t="s">
        <v>526</v>
      </c>
      <c r="F1057" s="11">
        <v>44036</v>
      </c>
      <c r="G1057" s="2">
        <f>VLOOKUP(E1057,Produtos!$A:$E,5,FALSE)</f>
        <v>3500</v>
      </c>
      <c r="H1057" s="2">
        <f>VLOOKUP(E1057,Produtos!$A:$E,4,FALSE)</f>
        <v>1700</v>
      </c>
      <c r="I1057" s="2">
        <v>1</v>
      </c>
    </row>
    <row r="1058" spans="1:9" x14ac:dyDescent="0.25">
      <c r="A1058" s="2" t="str">
        <f>CONCATENATE(Códigos!S1057,Códigos!T1057,Códigos!U1057)</f>
        <v>svv1056v</v>
      </c>
      <c r="B1058" t="s">
        <v>410</v>
      </c>
      <c r="C1058" t="s">
        <v>349</v>
      </c>
      <c r="D1058" s="2" t="s">
        <v>350</v>
      </c>
      <c r="E1058" t="s">
        <v>526</v>
      </c>
      <c r="F1058" s="11">
        <v>44037</v>
      </c>
      <c r="G1058" s="2">
        <f>VLOOKUP(E1058,Produtos!$A:$E,5,FALSE)</f>
        <v>3500</v>
      </c>
      <c r="H1058" s="2">
        <f>VLOOKUP(E1058,Produtos!$A:$E,4,FALSE)</f>
        <v>1700</v>
      </c>
      <c r="I1058" s="2">
        <v>1</v>
      </c>
    </row>
    <row r="1059" spans="1:9" x14ac:dyDescent="0.25">
      <c r="A1059" s="2" t="str">
        <f>CONCATENATE(Códigos!S1058,Códigos!T1058,Códigos!U1058)</f>
        <v>svv1057v</v>
      </c>
      <c r="B1059" t="s">
        <v>410</v>
      </c>
      <c r="C1059" t="s">
        <v>349</v>
      </c>
      <c r="D1059" s="2" t="s">
        <v>350</v>
      </c>
      <c r="E1059" t="s">
        <v>526</v>
      </c>
      <c r="F1059" s="11">
        <v>44038</v>
      </c>
      <c r="G1059" s="2">
        <f>VLOOKUP(E1059,Produtos!$A:$E,5,FALSE)</f>
        <v>3500</v>
      </c>
      <c r="H1059" s="2">
        <f>VLOOKUP(E1059,Produtos!$A:$E,4,FALSE)</f>
        <v>1700</v>
      </c>
      <c r="I1059" s="2">
        <v>1</v>
      </c>
    </row>
    <row r="1060" spans="1:9" x14ac:dyDescent="0.25">
      <c r="A1060" s="2" t="str">
        <f>CONCATENATE(Códigos!S1059,Códigos!T1059,Códigos!U1059)</f>
        <v>svv1058v</v>
      </c>
      <c r="B1060" t="s">
        <v>410</v>
      </c>
      <c r="C1060" t="s">
        <v>349</v>
      </c>
      <c r="D1060" s="2" t="s">
        <v>350</v>
      </c>
      <c r="E1060" t="s">
        <v>526</v>
      </c>
      <c r="F1060" s="11">
        <v>44039</v>
      </c>
      <c r="G1060" s="2">
        <f>VLOOKUP(E1060,Produtos!$A:$E,5,FALSE)</f>
        <v>3500</v>
      </c>
      <c r="H1060" s="2">
        <f>VLOOKUP(E1060,Produtos!$A:$E,4,FALSE)</f>
        <v>1700</v>
      </c>
      <c r="I1060" s="2">
        <v>1</v>
      </c>
    </row>
    <row r="1061" spans="1:9" x14ac:dyDescent="0.25">
      <c r="A1061" s="2" t="str">
        <f>CONCATENATE(Códigos!S1060,Códigos!T1060,Códigos!U1060)</f>
        <v>svv1059v</v>
      </c>
      <c r="B1061" t="s">
        <v>410</v>
      </c>
      <c r="C1061" t="s">
        <v>349</v>
      </c>
      <c r="D1061" s="2" t="s">
        <v>350</v>
      </c>
      <c r="E1061" t="s">
        <v>526</v>
      </c>
      <c r="F1061" s="11">
        <v>44040</v>
      </c>
      <c r="G1061" s="2">
        <f>VLOOKUP(E1061,Produtos!$A:$E,5,FALSE)</f>
        <v>3500</v>
      </c>
      <c r="H1061" s="2">
        <f>VLOOKUP(E1061,Produtos!$A:$E,4,FALSE)</f>
        <v>1700</v>
      </c>
      <c r="I1061" s="2">
        <v>1</v>
      </c>
    </row>
    <row r="1062" spans="1:9" x14ac:dyDescent="0.25">
      <c r="A1062" s="2" t="str">
        <f>CONCATENATE(Códigos!S1061,Códigos!T1061,Códigos!U1061)</f>
        <v>svv1060v</v>
      </c>
      <c r="B1062" t="s">
        <v>410</v>
      </c>
      <c r="C1062" t="s">
        <v>349</v>
      </c>
      <c r="D1062" s="2" t="s">
        <v>350</v>
      </c>
      <c r="E1062" t="s">
        <v>526</v>
      </c>
      <c r="F1062" s="11">
        <v>44041</v>
      </c>
      <c r="G1062" s="2">
        <f>VLOOKUP(E1062,Produtos!$A:$E,5,FALSE)</f>
        <v>3500</v>
      </c>
      <c r="H1062" s="2">
        <f>VLOOKUP(E1062,Produtos!$A:$E,4,FALSE)</f>
        <v>1700</v>
      </c>
      <c r="I1062" s="2">
        <v>1</v>
      </c>
    </row>
    <row r="1063" spans="1:9" x14ac:dyDescent="0.25">
      <c r="A1063" s="2" t="str">
        <f>CONCATENATE(Códigos!S1062,Códigos!T1062,Códigos!U1062)</f>
        <v>svv1061v</v>
      </c>
      <c r="B1063" t="s">
        <v>410</v>
      </c>
      <c r="C1063" t="s">
        <v>349</v>
      </c>
      <c r="D1063" s="2" t="s">
        <v>350</v>
      </c>
      <c r="E1063" t="s">
        <v>526</v>
      </c>
      <c r="F1063" s="11">
        <v>44042</v>
      </c>
      <c r="G1063" s="2">
        <f>VLOOKUP(E1063,Produtos!$A:$E,5,FALSE)</f>
        <v>3500</v>
      </c>
      <c r="H1063" s="2">
        <f>VLOOKUP(E1063,Produtos!$A:$E,4,FALSE)</f>
        <v>1700</v>
      </c>
      <c r="I1063" s="2">
        <v>1</v>
      </c>
    </row>
    <row r="1064" spans="1:9" x14ac:dyDescent="0.25">
      <c r="A1064" s="2" t="str">
        <f>CONCATENATE(Códigos!S1063,Códigos!T1063,Códigos!U1063)</f>
        <v>svv1062v</v>
      </c>
      <c r="B1064" t="s">
        <v>410</v>
      </c>
      <c r="C1064" t="s">
        <v>349</v>
      </c>
      <c r="D1064" s="2" t="s">
        <v>350</v>
      </c>
      <c r="E1064" t="s">
        <v>526</v>
      </c>
      <c r="F1064" s="11">
        <v>44043</v>
      </c>
      <c r="G1064" s="2">
        <f>VLOOKUP(E1064,Produtos!$A:$E,5,FALSE)</f>
        <v>3500</v>
      </c>
      <c r="H1064" s="2">
        <f>VLOOKUP(E1064,Produtos!$A:$E,4,FALSE)</f>
        <v>1700</v>
      </c>
      <c r="I1064" s="2">
        <v>1</v>
      </c>
    </row>
    <row r="1065" spans="1:9" x14ac:dyDescent="0.25">
      <c r="A1065" s="2" t="str">
        <f>CONCATENATE(Códigos!S1064,Códigos!T1064,Códigos!U1064)</f>
        <v>svv1063v</v>
      </c>
      <c r="B1065" t="s">
        <v>410</v>
      </c>
      <c r="C1065" t="s">
        <v>349</v>
      </c>
      <c r="D1065" s="2" t="s">
        <v>350</v>
      </c>
      <c r="E1065" t="s">
        <v>526</v>
      </c>
      <c r="F1065" s="11">
        <v>44044</v>
      </c>
      <c r="G1065" s="2">
        <f>VLOOKUP(E1065,Produtos!$A:$E,5,FALSE)</f>
        <v>3500</v>
      </c>
      <c r="H1065" s="2">
        <f>VLOOKUP(E1065,Produtos!$A:$E,4,FALSE)</f>
        <v>1700</v>
      </c>
      <c r="I1065" s="2">
        <v>1</v>
      </c>
    </row>
    <row r="1066" spans="1:9" x14ac:dyDescent="0.25">
      <c r="A1066" s="2" t="str">
        <f>CONCATENATE(Códigos!S1065,Códigos!T1065,Códigos!U1065)</f>
        <v>svv1064v</v>
      </c>
      <c r="B1066" t="s">
        <v>410</v>
      </c>
      <c r="C1066" t="s">
        <v>349</v>
      </c>
      <c r="D1066" s="2" t="s">
        <v>350</v>
      </c>
      <c r="E1066" t="s">
        <v>526</v>
      </c>
      <c r="F1066" s="11">
        <v>44045</v>
      </c>
      <c r="G1066" s="2">
        <f>VLOOKUP(E1066,Produtos!$A:$E,5,FALSE)</f>
        <v>3500</v>
      </c>
      <c r="H1066" s="2">
        <f>VLOOKUP(E1066,Produtos!$A:$E,4,FALSE)</f>
        <v>1700</v>
      </c>
      <c r="I1066" s="2">
        <v>1</v>
      </c>
    </row>
    <row r="1067" spans="1:9" x14ac:dyDescent="0.25">
      <c r="A1067" s="2" t="str">
        <f>CONCATENATE(Códigos!S1066,Códigos!T1066,Códigos!U1066)</f>
        <v>svv1065v</v>
      </c>
      <c r="B1067" t="s">
        <v>410</v>
      </c>
      <c r="C1067" t="s">
        <v>441</v>
      </c>
      <c r="D1067" s="2" t="s">
        <v>398</v>
      </c>
      <c r="E1067" t="s">
        <v>461</v>
      </c>
      <c r="F1067" s="11">
        <v>44046</v>
      </c>
      <c r="G1067" s="2">
        <f>VLOOKUP(E1067,Produtos!$A:$E,5,FALSE)</f>
        <v>2000</v>
      </c>
      <c r="H1067" s="2">
        <f>VLOOKUP(E1067,Produtos!$A:$E,4,FALSE)</f>
        <v>900</v>
      </c>
      <c r="I1067" s="2">
        <v>1</v>
      </c>
    </row>
    <row r="1068" spans="1:9" x14ac:dyDescent="0.25">
      <c r="A1068" s="2" t="str">
        <f>CONCATENATE(Códigos!S1067,Códigos!T1067,Códigos!U1067)</f>
        <v>svv1066v</v>
      </c>
      <c r="B1068" t="s">
        <v>410</v>
      </c>
      <c r="C1068" t="s">
        <v>441</v>
      </c>
      <c r="D1068" s="2" t="s">
        <v>398</v>
      </c>
      <c r="E1068" t="s">
        <v>461</v>
      </c>
      <c r="F1068" s="11">
        <v>44047</v>
      </c>
      <c r="G1068" s="2">
        <f>VLOOKUP(E1068,Produtos!$A:$E,5,FALSE)</f>
        <v>2000</v>
      </c>
      <c r="H1068" s="2">
        <f>VLOOKUP(E1068,Produtos!$A:$E,4,FALSE)</f>
        <v>900</v>
      </c>
      <c r="I1068" s="2">
        <v>1</v>
      </c>
    </row>
    <row r="1069" spans="1:9" x14ac:dyDescent="0.25">
      <c r="A1069" s="2" t="str">
        <f>CONCATENATE(Códigos!S1068,Códigos!T1068,Códigos!U1068)</f>
        <v>svv1067v</v>
      </c>
      <c r="B1069" t="s">
        <v>410</v>
      </c>
      <c r="C1069" t="s">
        <v>441</v>
      </c>
      <c r="D1069" s="2" t="s">
        <v>398</v>
      </c>
      <c r="E1069" t="s">
        <v>461</v>
      </c>
      <c r="F1069" s="11">
        <v>44048</v>
      </c>
      <c r="G1069" s="2">
        <f>VLOOKUP(E1069,Produtos!$A:$E,5,FALSE)</f>
        <v>2000</v>
      </c>
      <c r="H1069" s="2">
        <f>VLOOKUP(E1069,Produtos!$A:$E,4,FALSE)</f>
        <v>900</v>
      </c>
      <c r="I1069" s="2">
        <v>1</v>
      </c>
    </row>
    <row r="1070" spans="1:9" x14ac:dyDescent="0.25">
      <c r="A1070" s="2" t="str">
        <f>CONCATENATE(Códigos!S1069,Códigos!T1069,Códigos!U1069)</f>
        <v>svv1068v</v>
      </c>
      <c r="B1070" t="s">
        <v>410</v>
      </c>
      <c r="C1070" t="s">
        <v>441</v>
      </c>
      <c r="D1070" s="2" t="s">
        <v>398</v>
      </c>
      <c r="E1070" t="s">
        <v>461</v>
      </c>
      <c r="F1070" s="11">
        <v>44049</v>
      </c>
      <c r="G1070" s="2">
        <f>VLOOKUP(E1070,Produtos!$A:$E,5,FALSE)</f>
        <v>2000</v>
      </c>
      <c r="H1070" s="2">
        <f>VLOOKUP(E1070,Produtos!$A:$E,4,FALSE)</f>
        <v>900</v>
      </c>
      <c r="I1070" s="2">
        <v>1</v>
      </c>
    </row>
    <row r="1071" spans="1:9" x14ac:dyDescent="0.25">
      <c r="A1071" s="2" t="str">
        <f>CONCATENATE(Códigos!S1070,Códigos!T1070,Códigos!U1070)</f>
        <v>svv1069v</v>
      </c>
      <c r="B1071" t="s">
        <v>410</v>
      </c>
      <c r="C1071" t="s">
        <v>441</v>
      </c>
      <c r="D1071" s="2" t="s">
        <v>398</v>
      </c>
      <c r="E1071" t="s">
        <v>461</v>
      </c>
      <c r="F1071" s="11">
        <v>44050</v>
      </c>
      <c r="G1071" s="2">
        <f>VLOOKUP(E1071,Produtos!$A:$E,5,FALSE)</f>
        <v>2000</v>
      </c>
      <c r="H1071" s="2">
        <f>VLOOKUP(E1071,Produtos!$A:$E,4,FALSE)</f>
        <v>900</v>
      </c>
      <c r="I1071" s="2">
        <v>1</v>
      </c>
    </row>
    <row r="1072" spans="1:9" x14ac:dyDescent="0.25">
      <c r="A1072" s="2" t="str">
        <f>CONCATENATE(Códigos!S1071,Códigos!T1071,Códigos!U1071)</f>
        <v>svv1070v</v>
      </c>
      <c r="B1072" t="s">
        <v>410</v>
      </c>
      <c r="C1072" t="s">
        <v>441</v>
      </c>
      <c r="D1072" s="2" t="s">
        <v>398</v>
      </c>
      <c r="E1072" t="s">
        <v>461</v>
      </c>
      <c r="F1072" s="11">
        <v>44051</v>
      </c>
      <c r="G1072" s="2">
        <f>VLOOKUP(E1072,Produtos!$A:$E,5,FALSE)</f>
        <v>2000</v>
      </c>
      <c r="H1072" s="2">
        <f>VLOOKUP(E1072,Produtos!$A:$E,4,FALSE)</f>
        <v>900</v>
      </c>
      <c r="I1072" s="2">
        <v>1</v>
      </c>
    </row>
    <row r="1073" spans="1:9" x14ac:dyDescent="0.25">
      <c r="A1073" s="2" t="str">
        <f>CONCATENATE(Códigos!S1072,Códigos!T1072,Códigos!U1072)</f>
        <v>svv1071v</v>
      </c>
      <c r="B1073" t="s">
        <v>410</v>
      </c>
      <c r="C1073" t="s">
        <v>441</v>
      </c>
      <c r="D1073" s="2" t="s">
        <v>398</v>
      </c>
      <c r="E1073" t="s">
        <v>461</v>
      </c>
      <c r="F1073" s="11">
        <v>44052</v>
      </c>
      <c r="G1073" s="2">
        <f>VLOOKUP(E1073,Produtos!$A:$E,5,FALSE)</f>
        <v>2000</v>
      </c>
      <c r="H1073" s="2">
        <f>VLOOKUP(E1073,Produtos!$A:$E,4,FALSE)</f>
        <v>900</v>
      </c>
      <c r="I1073" s="2">
        <v>1</v>
      </c>
    </row>
    <row r="1074" spans="1:9" x14ac:dyDescent="0.25">
      <c r="A1074" s="2" t="str">
        <f>CONCATENATE(Códigos!S1073,Códigos!T1073,Códigos!U1073)</f>
        <v>svv1072v</v>
      </c>
      <c r="B1074" t="s">
        <v>410</v>
      </c>
      <c r="C1074" t="s">
        <v>441</v>
      </c>
      <c r="D1074" s="2" t="s">
        <v>398</v>
      </c>
      <c r="E1074" t="s">
        <v>461</v>
      </c>
      <c r="F1074" s="11">
        <v>44053</v>
      </c>
      <c r="G1074" s="2">
        <f>VLOOKUP(E1074,Produtos!$A:$E,5,FALSE)</f>
        <v>2000</v>
      </c>
      <c r="H1074" s="2">
        <f>VLOOKUP(E1074,Produtos!$A:$E,4,FALSE)</f>
        <v>900</v>
      </c>
      <c r="I1074" s="2">
        <v>1</v>
      </c>
    </row>
    <row r="1075" spans="1:9" x14ac:dyDescent="0.25">
      <c r="A1075" s="2" t="str">
        <f>CONCATENATE(Códigos!S1074,Códigos!T1074,Códigos!U1074)</f>
        <v>svv1073v</v>
      </c>
      <c r="B1075" t="s">
        <v>410</v>
      </c>
      <c r="C1075" t="s">
        <v>441</v>
      </c>
      <c r="D1075" s="2" t="s">
        <v>398</v>
      </c>
      <c r="E1075" t="s">
        <v>461</v>
      </c>
      <c r="F1075" s="11">
        <v>44054</v>
      </c>
      <c r="G1075" s="2">
        <f>VLOOKUP(E1075,Produtos!$A:$E,5,FALSE)</f>
        <v>2000</v>
      </c>
      <c r="H1075" s="2">
        <f>VLOOKUP(E1075,Produtos!$A:$E,4,FALSE)</f>
        <v>900</v>
      </c>
      <c r="I1075" s="2">
        <v>1</v>
      </c>
    </row>
    <row r="1076" spans="1:9" x14ac:dyDescent="0.25">
      <c r="A1076" s="2" t="str">
        <f>CONCATENATE(Códigos!S1075,Códigos!T1075,Códigos!U1075)</f>
        <v>svv1074v</v>
      </c>
      <c r="B1076" t="s">
        <v>410</v>
      </c>
      <c r="C1076" t="s">
        <v>441</v>
      </c>
      <c r="D1076" s="2" t="s">
        <v>398</v>
      </c>
      <c r="E1076" t="s">
        <v>461</v>
      </c>
      <c r="F1076" s="11">
        <v>44055</v>
      </c>
      <c r="G1076" s="2">
        <f>VLOOKUP(E1076,Produtos!$A:$E,5,FALSE)</f>
        <v>2000</v>
      </c>
      <c r="H1076" s="2">
        <f>VLOOKUP(E1076,Produtos!$A:$E,4,FALSE)</f>
        <v>900</v>
      </c>
      <c r="I1076" s="2">
        <v>1</v>
      </c>
    </row>
    <row r="1077" spans="1:9" x14ac:dyDescent="0.25">
      <c r="A1077" s="2" t="str">
        <f>CONCATENATE(Códigos!S1076,Códigos!T1076,Códigos!U1076)</f>
        <v>svv1075v</v>
      </c>
      <c r="B1077" t="s">
        <v>410</v>
      </c>
      <c r="C1077" t="s">
        <v>441</v>
      </c>
      <c r="D1077" s="2" t="s">
        <v>398</v>
      </c>
      <c r="E1077" t="s">
        <v>461</v>
      </c>
      <c r="F1077" s="11">
        <v>44056</v>
      </c>
      <c r="G1077" s="2">
        <f>VLOOKUP(E1077,Produtos!$A:$E,5,FALSE)</f>
        <v>2000</v>
      </c>
      <c r="H1077" s="2">
        <f>VLOOKUP(E1077,Produtos!$A:$E,4,FALSE)</f>
        <v>900</v>
      </c>
      <c r="I1077" s="2">
        <v>1</v>
      </c>
    </row>
    <row r="1078" spans="1:9" x14ac:dyDescent="0.25">
      <c r="A1078" s="2" t="str">
        <f>CONCATENATE(Códigos!S1077,Códigos!T1077,Códigos!U1077)</f>
        <v>svv1076v</v>
      </c>
      <c r="B1078" t="s">
        <v>410</v>
      </c>
      <c r="C1078" t="s">
        <v>441</v>
      </c>
      <c r="D1078" s="2" t="s">
        <v>398</v>
      </c>
      <c r="E1078" t="s">
        <v>461</v>
      </c>
      <c r="F1078" s="11">
        <v>44057</v>
      </c>
      <c r="G1078" s="2">
        <f>VLOOKUP(E1078,Produtos!$A:$E,5,FALSE)</f>
        <v>2000</v>
      </c>
      <c r="H1078" s="2">
        <f>VLOOKUP(E1078,Produtos!$A:$E,4,FALSE)</f>
        <v>900</v>
      </c>
      <c r="I1078" s="2">
        <v>1</v>
      </c>
    </row>
    <row r="1079" spans="1:9" x14ac:dyDescent="0.25">
      <c r="A1079" s="2" t="str">
        <f>CONCATENATE(Códigos!S1078,Códigos!T1078,Códigos!U1078)</f>
        <v>svv1077v</v>
      </c>
      <c r="B1079" t="s">
        <v>410</v>
      </c>
      <c r="C1079" t="s">
        <v>441</v>
      </c>
      <c r="D1079" s="2" t="s">
        <v>398</v>
      </c>
      <c r="E1079" t="s">
        <v>461</v>
      </c>
      <c r="F1079" s="11">
        <v>44058</v>
      </c>
      <c r="G1079" s="2">
        <f>VLOOKUP(E1079,Produtos!$A:$E,5,FALSE)</f>
        <v>2000</v>
      </c>
      <c r="H1079" s="2">
        <f>VLOOKUP(E1079,Produtos!$A:$E,4,FALSE)</f>
        <v>900</v>
      </c>
      <c r="I1079" s="2">
        <v>1</v>
      </c>
    </row>
    <row r="1080" spans="1:9" x14ac:dyDescent="0.25">
      <c r="A1080" s="2" t="str">
        <f>CONCATENATE(Códigos!S1079,Códigos!T1079,Códigos!U1079)</f>
        <v>svv1078v</v>
      </c>
      <c r="B1080" t="s">
        <v>410</v>
      </c>
      <c r="C1080" t="s">
        <v>441</v>
      </c>
      <c r="D1080" s="2" t="s">
        <v>398</v>
      </c>
      <c r="E1080" t="s">
        <v>461</v>
      </c>
      <c r="F1080" s="11">
        <v>44059</v>
      </c>
      <c r="G1080" s="2">
        <f>VLOOKUP(E1080,Produtos!$A:$E,5,FALSE)</f>
        <v>2000</v>
      </c>
      <c r="H1080" s="2">
        <f>VLOOKUP(E1080,Produtos!$A:$E,4,FALSE)</f>
        <v>900</v>
      </c>
      <c r="I1080" s="2">
        <v>1</v>
      </c>
    </row>
    <row r="1081" spans="1:9" x14ac:dyDescent="0.25">
      <c r="A1081" s="2" t="str">
        <f>CONCATENATE(Códigos!S1080,Códigos!T1080,Códigos!U1080)</f>
        <v>svv1079v</v>
      </c>
      <c r="B1081" t="s">
        <v>410</v>
      </c>
      <c r="C1081" t="s">
        <v>441</v>
      </c>
      <c r="D1081" s="2" t="s">
        <v>398</v>
      </c>
      <c r="E1081" t="s">
        <v>461</v>
      </c>
      <c r="F1081" s="11">
        <v>44060</v>
      </c>
      <c r="G1081" s="2">
        <f>VLOOKUP(E1081,Produtos!$A:$E,5,FALSE)</f>
        <v>2000</v>
      </c>
      <c r="H1081" s="2">
        <f>VLOOKUP(E1081,Produtos!$A:$E,4,FALSE)</f>
        <v>900</v>
      </c>
      <c r="I1081" s="2">
        <v>1</v>
      </c>
    </row>
    <row r="1082" spans="1:9" x14ac:dyDescent="0.25">
      <c r="A1082" s="2" t="str">
        <f>CONCATENATE(Códigos!S1081,Códigos!T1081,Códigos!U1081)</f>
        <v>svv1080v</v>
      </c>
      <c r="B1082" t="s">
        <v>410</v>
      </c>
      <c r="C1082" t="s">
        <v>441</v>
      </c>
      <c r="D1082" s="2" t="s">
        <v>398</v>
      </c>
      <c r="E1082" t="s">
        <v>461</v>
      </c>
      <c r="F1082" s="11">
        <v>44061</v>
      </c>
      <c r="G1082" s="2">
        <f>VLOOKUP(E1082,Produtos!$A:$E,5,FALSE)</f>
        <v>2000</v>
      </c>
      <c r="H1082" s="2">
        <f>VLOOKUP(E1082,Produtos!$A:$E,4,FALSE)</f>
        <v>900</v>
      </c>
      <c r="I1082" s="2">
        <v>1</v>
      </c>
    </row>
    <row r="1083" spans="1:9" x14ac:dyDescent="0.25">
      <c r="A1083" s="2" t="str">
        <f>CONCATENATE(Códigos!S1082,Códigos!T1082,Códigos!U1082)</f>
        <v>svv1081v</v>
      </c>
      <c r="B1083" t="s">
        <v>410</v>
      </c>
      <c r="C1083" t="s">
        <v>441</v>
      </c>
      <c r="D1083" s="2" t="s">
        <v>398</v>
      </c>
      <c r="E1083" t="s">
        <v>461</v>
      </c>
      <c r="F1083" s="11">
        <v>44062</v>
      </c>
      <c r="G1083" s="2">
        <f>VLOOKUP(E1083,Produtos!$A:$E,5,FALSE)</f>
        <v>2000</v>
      </c>
      <c r="H1083" s="2">
        <f>VLOOKUP(E1083,Produtos!$A:$E,4,FALSE)</f>
        <v>900</v>
      </c>
      <c r="I1083" s="2">
        <v>1</v>
      </c>
    </row>
    <row r="1084" spans="1:9" x14ac:dyDescent="0.25">
      <c r="A1084" s="2" t="str">
        <f>CONCATENATE(Códigos!S1083,Códigos!T1083,Códigos!U1083)</f>
        <v>svv1082v</v>
      </c>
      <c r="B1084" t="s">
        <v>410</v>
      </c>
      <c r="C1084" t="s">
        <v>441</v>
      </c>
      <c r="D1084" s="2" t="s">
        <v>398</v>
      </c>
      <c r="E1084" t="s">
        <v>461</v>
      </c>
      <c r="F1084" s="11">
        <v>44063</v>
      </c>
      <c r="G1084" s="2">
        <f>VLOOKUP(E1084,Produtos!$A:$E,5,FALSE)</f>
        <v>2000</v>
      </c>
      <c r="H1084" s="2">
        <f>VLOOKUP(E1084,Produtos!$A:$E,4,FALSE)</f>
        <v>900</v>
      </c>
      <c r="I1084" s="2">
        <v>1</v>
      </c>
    </row>
    <row r="1085" spans="1:9" x14ac:dyDescent="0.25">
      <c r="A1085" s="2" t="str">
        <f>CONCATENATE(Códigos!S1084,Códigos!T1084,Códigos!U1084)</f>
        <v>svv1083v</v>
      </c>
      <c r="B1085" t="s">
        <v>410</v>
      </c>
      <c r="C1085" t="s">
        <v>441</v>
      </c>
      <c r="D1085" s="2" t="s">
        <v>398</v>
      </c>
      <c r="E1085" t="s">
        <v>461</v>
      </c>
      <c r="F1085" s="11">
        <v>44064</v>
      </c>
      <c r="G1085" s="2">
        <f>VLOOKUP(E1085,Produtos!$A:$E,5,FALSE)</f>
        <v>2000</v>
      </c>
      <c r="H1085" s="2">
        <f>VLOOKUP(E1085,Produtos!$A:$E,4,FALSE)</f>
        <v>900</v>
      </c>
      <c r="I1085" s="2">
        <v>1</v>
      </c>
    </row>
    <row r="1086" spans="1:9" x14ac:dyDescent="0.25">
      <c r="A1086" s="2" t="str">
        <f>CONCATENATE(Códigos!S1085,Códigos!T1085,Códigos!U1085)</f>
        <v>svv1084v</v>
      </c>
      <c r="B1086" t="s">
        <v>410</v>
      </c>
      <c r="C1086" t="s">
        <v>441</v>
      </c>
      <c r="D1086" s="2" t="s">
        <v>398</v>
      </c>
      <c r="E1086" t="s">
        <v>461</v>
      </c>
      <c r="F1086" s="11">
        <v>44065</v>
      </c>
      <c r="G1086" s="2">
        <f>VLOOKUP(E1086,Produtos!$A:$E,5,FALSE)</f>
        <v>2000</v>
      </c>
      <c r="H1086" s="2">
        <f>VLOOKUP(E1086,Produtos!$A:$E,4,FALSE)</f>
        <v>900</v>
      </c>
      <c r="I1086" s="2">
        <v>1</v>
      </c>
    </row>
    <row r="1087" spans="1:9" x14ac:dyDescent="0.25">
      <c r="A1087" s="2" t="str">
        <f>CONCATENATE(Códigos!S1086,Códigos!T1086,Códigos!U1086)</f>
        <v>svv1085v</v>
      </c>
      <c r="B1087" t="s">
        <v>410</v>
      </c>
      <c r="C1087" t="s">
        <v>441</v>
      </c>
      <c r="D1087" s="2" t="s">
        <v>398</v>
      </c>
      <c r="E1087" t="s">
        <v>461</v>
      </c>
      <c r="F1087" s="11">
        <v>44066</v>
      </c>
      <c r="G1087" s="2">
        <f>VLOOKUP(E1087,Produtos!$A:$E,5,FALSE)</f>
        <v>2000</v>
      </c>
      <c r="H1087" s="2">
        <f>VLOOKUP(E1087,Produtos!$A:$E,4,FALSE)</f>
        <v>900</v>
      </c>
      <c r="I1087" s="2">
        <v>1</v>
      </c>
    </row>
    <row r="1088" spans="1:9" x14ac:dyDescent="0.25">
      <c r="A1088" s="2" t="str">
        <f>CONCATENATE(Códigos!S1087,Códigos!T1087,Códigos!U1087)</f>
        <v>svv1086v</v>
      </c>
      <c r="B1088" t="s">
        <v>410</v>
      </c>
      <c r="C1088" t="s">
        <v>441</v>
      </c>
      <c r="D1088" s="2" t="s">
        <v>398</v>
      </c>
      <c r="E1088" t="s">
        <v>461</v>
      </c>
      <c r="F1088" s="11">
        <v>44067</v>
      </c>
      <c r="G1088" s="2">
        <f>VLOOKUP(E1088,Produtos!$A:$E,5,FALSE)</f>
        <v>2000</v>
      </c>
      <c r="H1088" s="2">
        <f>VLOOKUP(E1088,Produtos!$A:$E,4,FALSE)</f>
        <v>900</v>
      </c>
      <c r="I1088" s="2">
        <v>1</v>
      </c>
    </row>
    <row r="1089" spans="1:9" x14ac:dyDescent="0.25">
      <c r="A1089" s="2" t="str">
        <f>CONCATENATE(Códigos!S1088,Códigos!T1088,Códigos!U1088)</f>
        <v>svv1087v</v>
      </c>
      <c r="B1089" t="s">
        <v>410</v>
      </c>
      <c r="C1089" t="s">
        <v>441</v>
      </c>
      <c r="D1089" s="2" t="s">
        <v>398</v>
      </c>
      <c r="E1089" t="s">
        <v>461</v>
      </c>
      <c r="F1089" s="11">
        <v>44068</v>
      </c>
      <c r="G1089" s="2">
        <f>VLOOKUP(E1089,Produtos!$A:$E,5,FALSE)</f>
        <v>2000</v>
      </c>
      <c r="H1089" s="2">
        <f>VLOOKUP(E1089,Produtos!$A:$E,4,FALSE)</f>
        <v>900</v>
      </c>
      <c r="I1089" s="2">
        <v>1</v>
      </c>
    </row>
    <row r="1090" spans="1:9" x14ac:dyDescent="0.25">
      <c r="A1090" s="2" t="str">
        <f>CONCATENATE(Códigos!S1089,Códigos!T1089,Códigos!U1089)</f>
        <v>svv1088v</v>
      </c>
      <c r="B1090" t="s">
        <v>410</v>
      </c>
      <c r="C1090" t="s">
        <v>441</v>
      </c>
      <c r="D1090" s="2" t="s">
        <v>398</v>
      </c>
      <c r="E1090" t="s">
        <v>461</v>
      </c>
      <c r="F1090" s="11">
        <v>44069</v>
      </c>
      <c r="G1090" s="2">
        <f>VLOOKUP(E1090,Produtos!$A:$E,5,FALSE)</f>
        <v>2000</v>
      </c>
      <c r="H1090" s="2">
        <f>VLOOKUP(E1090,Produtos!$A:$E,4,FALSE)</f>
        <v>900</v>
      </c>
      <c r="I1090" s="2">
        <v>1</v>
      </c>
    </row>
    <row r="1091" spans="1:9" x14ac:dyDescent="0.25">
      <c r="A1091" s="2" t="str">
        <f>CONCATENATE(Códigos!S1090,Códigos!T1090,Códigos!U1090)</f>
        <v>svv1089v</v>
      </c>
      <c r="B1091" t="s">
        <v>410</v>
      </c>
      <c r="C1091" t="s">
        <v>441</v>
      </c>
      <c r="D1091" s="2" t="s">
        <v>398</v>
      </c>
      <c r="E1091" t="s">
        <v>461</v>
      </c>
      <c r="F1091" s="11">
        <v>44070</v>
      </c>
      <c r="G1091" s="2">
        <f>VLOOKUP(E1091,Produtos!$A:$E,5,FALSE)</f>
        <v>2000</v>
      </c>
      <c r="H1091" s="2">
        <f>VLOOKUP(E1091,Produtos!$A:$E,4,FALSE)</f>
        <v>900</v>
      </c>
      <c r="I1091" s="2">
        <v>1</v>
      </c>
    </row>
    <row r="1092" spans="1:9" x14ac:dyDescent="0.25">
      <c r="A1092" s="2" t="str">
        <f>CONCATENATE(Códigos!S1091,Códigos!T1091,Códigos!U1091)</f>
        <v>svv1090v</v>
      </c>
      <c r="B1092" t="s">
        <v>410</v>
      </c>
      <c r="C1092" t="s">
        <v>441</v>
      </c>
      <c r="D1092" s="2" t="s">
        <v>398</v>
      </c>
      <c r="E1092" t="s">
        <v>461</v>
      </c>
      <c r="F1092" s="11">
        <v>44071</v>
      </c>
      <c r="G1092" s="2">
        <f>VLOOKUP(E1092,Produtos!$A:$E,5,FALSE)</f>
        <v>2000</v>
      </c>
      <c r="H1092" s="2">
        <f>VLOOKUP(E1092,Produtos!$A:$E,4,FALSE)</f>
        <v>900</v>
      </c>
      <c r="I1092" s="2">
        <v>1</v>
      </c>
    </row>
    <row r="1093" spans="1:9" x14ac:dyDescent="0.25">
      <c r="A1093" s="2" t="str">
        <f>CONCATENATE(Códigos!S1092,Códigos!T1092,Códigos!U1092)</f>
        <v>svv1091v</v>
      </c>
      <c r="B1093" t="s">
        <v>410</v>
      </c>
      <c r="C1093" t="s">
        <v>441</v>
      </c>
      <c r="D1093" s="2" t="s">
        <v>398</v>
      </c>
      <c r="E1093" t="s">
        <v>461</v>
      </c>
      <c r="F1093" s="11">
        <v>44072</v>
      </c>
      <c r="G1093" s="2">
        <f>VLOOKUP(E1093,Produtos!$A:$E,5,FALSE)</f>
        <v>2000</v>
      </c>
      <c r="H1093" s="2">
        <f>VLOOKUP(E1093,Produtos!$A:$E,4,FALSE)</f>
        <v>900</v>
      </c>
      <c r="I1093" s="2">
        <v>1</v>
      </c>
    </row>
    <row r="1094" spans="1:9" x14ac:dyDescent="0.25">
      <c r="A1094" s="2" t="str">
        <f>CONCATENATE(Códigos!S1093,Códigos!T1093,Códigos!U1093)</f>
        <v>svv1092v</v>
      </c>
      <c r="B1094" t="s">
        <v>410</v>
      </c>
      <c r="C1094" t="s">
        <v>441</v>
      </c>
      <c r="D1094" s="2" t="s">
        <v>398</v>
      </c>
      <c r="E1094" t="s">
        <v>461</v>
      </c>
      <c r="F1094" s="11">
        <v>44073</v>
      </c>
      <c r="G1094" s="2">
        <f>VLOOKUP(E1094,Produtos!$A:$E,5,FALSE)</f>
        <v>2000</v>
      </c>
      <c r="H1094" s="2">
        <f>VLOOKUP(E1094,Produtos!$A:$E,4,FALSE)</f>
        <v>900</v>
      </c>
      <c r="I1094" s="2">
        <v>1</v>
      </c>
    </row>
    <row r="1095" spans="1:9" x14ac:dyDescent="0.25">
      <c r="A1095" s="2" t="str">
        <f>CONCATENATE(Códigos!S1094,Códigos!T1094,Códigos!U1094)</f>
        <v>svv1093v</v>
      </c>
      <c r="B1095" t="s">
        <v>410</v>
      </c>
      <c r="C1095" t="s">
        <v>441</v>
      </c>
      <c r="D1095" s="2" t="s">
        <v>398</v>
      </c>
      <c r="E1095" t="s">
        <v>461</v>
      </c>
      <c r="F1095" s="11">
        <v>44074</v>
      </c>
      <c r="G1095" s="2">
        <f>VLOOKUP(E1095,Produtos!$A:$E,5,FALSE)</f>
        <v>2000</v>
      </c>
      <c r="H1095" s="2">
        <f>VLOOKUP(E1095,Produtos!$A:$E,4,FALSE)</f>
        <v>900</v>
      </c>
      <c r="I1095" s="2">
        <v>1</v>
      </c>
    </row>
    <row r="1096" spans="1:9" x14ac:dyDescent="0.25">
      <c r="A1096" s="2" t="str">
        <f>CONCATENATE(Códigos!S1095,Códigos!T1095,Códigos!U1095)</f>
        <v>svv1094v</v>
      </c>
      <c r="B1096" t="s">
        <v>410</v>
      </c>
      <c r="C1096" t="s">
        <v>441</v>
      </c>
      <c r="D1096" s="2" t="s">
        <v>398</v>
      </c>
      <c r="E1096" t="s">
        <v>461</v>
      </c>
      <c r="F1096" s="11">
        <v>44075</v>
      </c>
      <c r="G1096" s="2">
        <f>VLOOKUP(E1096,Produtos!$A:$E,5,FALSE)</f>
        <v>2000</v>
      </c>
      <c r="H1096" s="2">
        <f>VLOOKUP(E1096,Produtos!$A:$E,4,FALSE)</f>
        <v>900</v>
      </c>
      <c r="I1096" s="2">
        <v>1</v>
      </c>
    </row>
    <row r="1097" spans="1:9" x14ac:dyDescent="0.25">
      <c r="A1097" s="2" t="str">
        <f>CONCATENATE(Códigos!S1096,Códigos!T1096,Códigos!U1096)</f>
        <v>svv1095v</v>
      </c>
      <c r="B1097" t="s">
        <v>410</v>
      </c>
      <c r="C1097" t="s">
        <v>441</v>
      </c>
      <c r="D1097" s="2" t="s">
        <v>398</v>
      </c>
      <c r="E1097" t="s">
        <v>461</v>
      </c>
      <c r="F1097" s="11">
        <v>44076</v>
      </c>
      <c r="G1097" s="2">
        <f>VLOOKUP(E1097,Produtos!$A:$E,5,FALSE)</f>
        <v>2000</v>
      </c>
      <c r="H1097" s="2">
        <f>VLOOKUP(E1097,Produtos!$A:$E,4,FALSE)</f>
        <v>900</v>
      </c>
      <c r="I1097" s="2">
        <v>1</v>
      </c>
    </row>
    <row r="1098" spans="1:9" x14ac:dyDescent="0.25">
      <c r="A1098" s="2" t="str">
        <f>CONCATENATE(Códigos!S1097,Códigos!T1097,Códigos!U1097)</f>
        <v>svv1096v</v>
      </c>
      <c r="B1098" t="s">
        <v>410</v>
      </c>
      <c r="C1098" t="s">
        <v>441</v>
      </c>
      <c r="D1098" s="2" t="s">
        <v>398</v>
      </c>
      <c r="E1098" t="s">
        <v>461</v>
      </c>
      <c r="F1098" s="11">
        <v>44077</v>
      </c>
      <c r="G1098" s="2">
        <f>VLOOKUP(E1098,Produtos!$A:$E,5,FALSE)</f>
        <v>2000</v>
      </c>
      <c r="H1098" s="2">
        <f>VLOOKUP(E1098,Produtos!$A:$E,4,FALSE)</f>
        <v>900</v>
      </c>
      <c r="I1098" s="2">
        <v>1</v>
      </c>
    </row>
    <row r="1099" spans="1:9" x14ac:dyDescent="0.25">
      <c r="A1099" s="2" t="str">
        <f>CONCATENATE(Códigos!S1098,Códigos!T1098,Códigos!U1098)</f>
        <v>svv1097v</v>
      </c>
      <c r="B1099" t="s">
        <v>410</v>
      </c>
      <c r="C1099" t="s">
        <v>441</v>
      </c>
      <c r="D1099" s="2" t="s">
        <v>398</v>
      </c>
      <c r="E1099" t="s">
        <v>461</v>
      </c>
      <c r="F1099" s="11">
        <v>44078</v>
      </c>
      <c r="G1099" s="2">
        <f>VLOOKUP(E1099,Produtos!$A:$E,5,FALSE)</f>
        <v>2000</v>
      </c>
      <c r="H1099" s="2">
        <f>VLOOKUP(E1099,Produtos!$A:$E,4,FALSE)</f>
        <v>900</v>
      </c>
      <c r="I1099" s="2">
        <v>1</v>
      </c>
    </row>
    <row r="1100" spans="1:9" x14ac:dyDescent="0.25">
      <c r="A1100" s="2" t="str">
        <f>CONCATENATE(Códigos!S1099,Códigos!T1099,Códigos!U1099)</f>
        <v>svv1098v</v>
      </c>
      <c r="B1100" t="s">
        <v>410</v>
      </c>
      <c r="C1100" t="s">
        <v>441</v>
      </c>
      <c r="D1100" s="2" t="s">
        <v>398</v>
      </c>
      <c r="E1100" t="s">
        <v>461</v>
      </c>
      <c r="F1100" s="11">
        <v>44079</v>
      </c>
      <c r="G1100" s="2">
        <f>VLOOKUP(E1100,Produtos!$A:$E,5,FALSE)</f>
        <v>2000</v>
      </c>
      <c r="H1100" s="2">
        <f>VLOOKUP(E1100,Produtos!$A:$E,4,FALSE)</f>
        <v>900</v>
      </c>
      <c r="I1100" s="2">
        <v>1</v>
      </c>
    </row>
    <row r="1101" spans="1:9" x14ac:dyDescent="0.25">
      <c r="A1101" s="2" t="str">
        <f>CONCATENATE(Códigos!S1100,Códigos!T1100,Códigos!U1100)</f>
        <v>svv1099v</v>
      </c>
      <c r="B1101" t="s">
        <v>410</v>
      </c>
      <c r="C1101" t="s">
        <v>441</v>
      </c>
      <c r="D1101" s="2" t="s">
        <v>398</v>
      </c>
      <c r="E1101" t="s">
        <v>461</v>
      </c>
      <c r="F1101" s="11">
        <v>44080</v>
      </c>
      <c r="G1101" s="2">
        <f>VLOOKUP(E1101,Produtos!$A:$E,5,FALSE)</f>
        <v>2000</v>
      </c>
      <c r="H1101" s="2">
        <f>VLOOKUP(E1101,Produtos!$A:$E,4,FALSE)</f>
        <v>900</v>
      </c>
      <c r="I1101" s="2">
        <v>1</v>
      </c>
    </row>
    <row r="1102" spans="1:9" x14ac:dyDescent="0.25">
      <c r="A1102" s="2" t="str">
        <f>CONCATENATE(Códigos!S1101,Códigos!T1101,Códigos!U1101)</f>
        <v>svv1100v</v>
      </c>
      <c r="B1102" t="s">
        <v>410</v>
      </c>
      <c r="C1102" t="s">
        <v>441</v>
      </c>
      <c r="D1102" s="2" t="s">
        <v>398</v>
      </c>
      <c r="E1102" t="s">
        <v>461</v>
      </c>
      <c r="F1102" s="11">
        <v>44081</v>
      </c>
      <c r="G1102" s="2">
        <f>VLOOKUP(E1102,Produtos!$A:$E,5,FALSE)</f>
        <v>2000</v>
      </c>
      <c r="H1102" s="2">
        <f>VLOOKUP(E1102,Produtos!$A:$E,4,FALSE)</f>
        <v>900</v>
      </c>
      <c r="I1102" s="2">
        <v>1</v>
      </c>
    </row>
    <row r="1103" spans="1:9" x14ac:dyDescent="0.25">
      <c r="A1103" s="2" t="str">
        <f>CONCATENATE(Códigos!S1102,Códigos!T1102,Códigos!U1102)</f>
        <v>svv1101v</v>
      </c>
      <c r="B1103" t="s">
        <v>410</v>
      </c>
      <c r="C1103" t="s">
        <v>441</v>
      </c>
      <c r="D1103" s="2" t="s">
        <v>398</v>
      </c>
      <c r="E1103" t="s">
        <v>461</v>
      </c>
      <c r="F1103" s="11">
        <v>44082</v>
      </c>
      <c r="G1103" s="2">
        <f>VLOOKUP(E1103,Produtos!$A:$E,5,FALSE)</f>
        <v>2000</v>
      </c>
      <c r="H1103" s="2">
        <f>VLOOKUP(E1103,Produtos!$A:$E,4,FALSE)</f>
        <v>900</v>
      </c>
      <c r="I1103" s="2">
        <v>1</v>
      </c>
    </row>
    <row r="1104" spans="1:9" x14ac:dyDescent="0.25">
      <c r="A1104" s="2" t="str">
        <f>CONCATENATE(Códigos!S1103,Códigos!T1103,Códigos!U1103)</f>
        <v>svv1102v</v>
      </c>
      <c r="B1104" t="s">
        <v>410</v>
      </c>
      <c r="C1104" t="s">
        <v>441</v>
      </c>
      <c r="D1104" s="2" t="s">
        <v>398</v>
      </c>
      <c r="E1104" t="s">
        <v>461</v>
      </c>
      <c r="F1104" s="11">
        <v>44083</v>
      </c>
      <c r="G1104" s="2">
        <f>VLOOKUP(E1104,Produtos!$A:$E,5,FALSE)</f>
        <v>2000</v>
      </c>
      <c r="H1104" s="2">
        <f>VLOOKUP(E1104,Produtos!$A:$E,4,FALSE)</f>
        <v>900</v>
      </c>
      <c r="I1104" s="2">
        <v>1</v>
      </c>
    </row>
    <row r="1105" spans="1:9" x14ac:dyDescent="0.25">
      <c r="A1105" s="2" t="str">
        <f>CONCATENATE(Códigos!S1104,Códigos!T1104,Códigos!U1104)</f>
        <v>svv1103v</v>
      </c>
      <c r="B1105" t="s">
        <v>410</v>
      </c>
      <c r="C1105" t="s">
        <v>441</v>
      </c>
      <c r="D1105" s="2" t="s">
        <v>398</v>
      </c>
      <c r="E1105" t="s">
        <v>461</v>
      </c>
      <c r="F1105" s="11">
        <v>44084</v>
      </c>
      <c r="G1105" s="2">
        <f>VLOOKUP(E1105,Produtos!$A:$E,5,FALSE)</f>
        <v>2000</v>
      </c>
      <c r="H1105" s="2">
        <f>VLOOKUP(E1105,Produtos!$A:$E,4,FALSE)</f>
        <v>900</v>
      </c>
      <c r="I1105" s="2">
        <v>1</v>
      </c>
    </row>
    <row r="1106" spans="1:9" x14ac:dyDescent="0.25">
      <c r="A1106" s="2" t="str">
        <f>CONCATENATE(Códigos!S1105,Códigos!T1105,Códigos!U1105)</f>
        <v>svv1104v</v>
      </c>
      <c r="B1106" t="s">
        <v>410</v>
      </c>
      <c r="C1106" t="s">
        <v>441</v>
      </c>
      <c r="D1106" s="2" t="s">
        <v>398</v>
      </c>
      <c r="E1106" t="s">
        <v>461</v>
      </c>
      <c r="F1106" s="11">
        <v>44085</v>
      </c>
      <c r="G1106" s="2">
        <f>VLOOKUP(E1106,Produtos!$A:$E,5,FALSE)</f>
        <v>2000</v>
      </c>
      <c r="H1106" s="2">
        <f>VLOOKUP(E1106,Produtos!$A:$E,4,FALSE)</f>
        <v>900</v>
      </c>
      <c r="I1106" s="2">
        <v>1</v>
      </c>
    </row>
    <row r="1107" spans="1:9" x14ac:dyDescent="0.25">
      <c r="A1107" s="2" t="str">
        <f>CONCATENATE(Códigos!S1106,Códigos!T1106,Códigos!U1106)</f>
        <v>svv1105v</v>
      </c>
      <c r="B1107" t="s">
        <v>410</v>
      </c>
      <c r="C1107" t="s">
        <v>441</v>
      </c>
      <c r="D1107" s="2" t="s">
        <v>398</v>
      </c>
      <c r="E1107" t="s">
        <v>461</v>
      </c>
      <c r="F1107" s="11">
        <v>44086</v>
      </c>
      <c r="G1107" s="2">
        <f>VLOOKUP(E1107,Produtos!$A:$E,5,FALSE)</f>
        <v>2000</v>
      </c>
      <c r="H1107" s="2">
        <f>VLOOKUP(E1107,Produtos!$A:$E,4,FALSE)</f>
        <v>900</v>
      </c>
      <c r="I1107" s="2">
        <v>1</v>
      </c>
    </row>
    <row r="1108" spans="1:9" x14ac:dyDescent="0.25">
      <c r="A1108" s="2" t="str">
        <f>CONCATENATE(Códigos!S1107,Códigos!T1107,Códigos!U1107)</f>
        <v>svv1106v</v>
      </c>
      <c r="B1108" t="s">
        <v>410</v>
      </c>
      <c r="C1108" t="s">
        <v>441</v>
      </c>
      <c r="D1108" s="2" t="s">
        <v>398</v>
      </c>
      <c r="E1108" t="s">
        <v>461</v>
      </c>
      <c r="F1108" s="11">
        <v>44087</v>
      </c>
      <c r="G1108" s="2">
        <f>VLOOKUP(E1108,Produtos!$A:$E,5,FALSE)</f>
        <v>2000</v>
      </c>
      <c r="H1108" s="2">
        <f>VLOOKUP(E1108,Produtos!$A:$E,4,FALSE)</f>
        <v>900</v>
      </c>
      <c r="I1108" s="2">
        <v>1</v>
      </c>
    </row>
    <row r="1109" spans="1:9" x14ac:dyDescent="0.25">
      <c r="A1109" s="2" t="str">
        <f>CONCATENATE(Códigos!S1108,Códigos!T1108,Códigos!U1108)</f>
        <v>svv1107v</v>
      </c>
      <c r="B1109" t="s">
        <v>410</v>
      </c>
      <c r="C1109" t="s">
        <v>441</v>
      </c>
      <c r="D1109" s="2" t="s">
        <v>398</v>
      </c>
      <c r="E1109" t="s">
        <v>461</v>
      </c>
      <c r="F1109" s="11">
        <v>44088</v>
      </c>
      <c r="G1109" s="2">
        <f>VLOOKUP(E1109,Produtos!$A:$E,5,FALSE)</f>
        <v>2000</v>
      </c>
      <c r="H1109" s="2">
        <f>VLOOKUP(E1109,Produtos!$A:$E,4,FALSE)</f>
        <v>900</v>
      </c>
      <c r="I1109" s="2">
        <v>1</v>
      </c>
    </row>
    <row r="1110" spans="1:9" x14ac:dyDescent="0.25">
      <c r="A1110" s="2" t="str">
        <f>CONCATENATE(Códigos!S1109,Códigos!T1109,Códigos!U1109)</f>
        <v>svv1108v</v>
      </c>
      <c r="B1110" t="s">
        <v>410</v>
      </c>
      <c r="C1110" t="s">
        <v>441</v>
      </c>
      <c r="D1110" s="2" t="s">
        <v>398</v>
      </c>
      <c r="E1110" t="s">
        <v>461</v>
      </c>
      <c r="F1110" s="11">
        <v>44089</v>
      </c>
      <c r="G1110" s="2">
        <f>VLOOKUP(E1110,Produtos!$A:$E,5,FALSE)</f>
        <v>2000</v>
      </c>
      <c r="H1110" s="2">
        <f>VLOOKUP(E1110,Produtos!$A:$E,4,FALSE)</f>
        <v>900</v>
      </c>
      <c r="I1110" s="2">
        <v>1</v>
      </c>
    </row>
    <row r="1111" spans="1:9" x14ac:dyDescent="0.25">
      <c r="A1111" s="2" t="str">
        <f>CONCATENATE(Códigos!S1110,Códigos!T1110,Códigos!U1110)</f>
        <v>svv1109v</v>
      </c>
      <c r="B1111" t="s">
        <v>410</v>
      </c>
      <c r="C1111" t="s">
        <v>441</v>
      </c>
      <c r="D1111" s="2" t="s">
        <v>398</v>
      </c>
      <c r="E1111" t="s">
        <v>461</v>
      </c>
      <c r="F1111" s="11">
        <v>44090</v>
      </c>
      <c r="G1111" s="2">
        <f>VLOOKUP(E1111,Produtos!$A:$E,5,FALSE)</f>
        <v>2000</v>
      </c>
      <c r="H1111" s="2">
        <f>VLOOKUP(E1111,Produtos!$A:$E,4,FALSE)</f>
        <v>900</v>
      </c>
      <c r="I1111" s="2">
        <v>1</v>
      </c>
    </row>
    <row r="1112" spans="1:9" x14ac:dyDescent="0.25">
      <c r="A1112" s="2" t="str">
        <f>CONCATENATE(Códigos!S1111,Códigos!T1111,Códigos!U1111)</f>
        <v>svv1110v</v>
      </c>
      <c r="B1112" t="s">
        <v>410</v>
      </c>
      <c r="C1112" t="s">
        <v>441</v>
      </c>
      <c r="D1112" s="2" t="s">
        <v>398</v>
      </c>
      <c r="E1112" t="s">
        <v>461</v>
      </c>
      <c r="F1112" s="11">
        <v>44091</v>
      </c>
      <c r="G1112" s="2">
        <f>VLOOKUP(E1112,Produtos!$A:$E,5,FALSE)</f>
        <v>2000</v>
      </c>
      <c r="H1112" s="2">
        <f>VLOOKUP(E1112,Produtos!$A:$E,4,FALSE)</f>
        <v>900</v>
      </c>
      <c r="I1112" s="2">
        <v>1</v>
      </c>
    </row>
    <row r="1113" spans="1:9" x14ac:dyDescent="0.25">
      <c r="A1113" s="2" t="str">
        <f>CONCATENATE(Códigos!S1112,Códigos!T1112,Códigos!U1112)</f>
        <v>svv1111v</v>
      </c>
      <c r="B1113" t="s">
        <v>410</v>
      </c>
      <c r="C1113" t="s">
        <v>441</v>
      </c>
      <c r="D1113" s="2" t="s">
        <v>398</v>
      </c>
      <c r="E1113" t="s">
        <v>461</v>
      </c>
      <c r="F1113" s="11">
        <v>44092</v>
      </c>
      <c r="G1113" s="2">
        <f>VLOOKUP(E1113,Produtos!$A:$E,5,FALSE)</f>
        <v>2000</v>
      </c>
      <c r="H1113" s="2">
        <f>VLOOKUP(E1113,Produtos!$A:$E,4,FALSE)</f>
        <v>900</v>
      </c>
      <c r="I1113" s="2">
        <v>1</v>
      </c>
    </row>
    <row r="1114" spans="1:9" x14ac:dyDescent="0.25">
      <c r="A1114" s="2" t="str">
        <f>CONCATENATE(Códigos!S1113,Códigos!T1113,Códigos!U1113)</f>
        <v>svv1112v</v>
      </c>
      <c r="B1114" t="s">
        <v>410</v>
      </c>
      <c r="C1114" t="s">
        <v>441</v>
      </c>
      <c r="D1114" s="2" t="s">
        <v>398</v>
      </c>
      <c r="E1114" t="s">
        <v>461</v>
      </c>
      <c r="F1114" s="11">
        <v>44093</v>
      </c>
      <c r="G1114" s="2">
        <f>VLOOKUP(E1114,Produtos!$A:$E,5,FALSE)</f>
        <v>2000</v>
      </c>
      <c r="H1114" s="2">
        <f>VLOOKUP(E1114,Produtos!$A:$E,4,FALSE)</f>
        <v>900</v>
      </c>
      <c r="I1114" s="2">
        <v>1</v>
      </c>
    </row>
    <row r="1115" spans="1:9" x14ac:dyDescent="0.25">
      <c r="A1115" s="2" t="str">
        <f>CONCATENATE(Códigos!S1114,Códigos!T1114,Códigos!U1114)</f>
        <v>svv1113v</v>
      </c>
      <c r="B1115" t="s">
        <v>410</v>
      </c>
      <c r="C1115" t="s">
        <v>441</v>
      </c>
      <c r="D1115" s="2" t="s">
        <v>398</v>
      </c>
      <c r="E1115" t="s">
        <v>461</v>
      </c>
      <c r="F1115" s="11">
        <v>44094</v>
      </c>
      <c r="G1115" s="2">
        <f>VLOOKUP(E1115,Produtos!$A:$E,5,FALSE)</f>
        <v>2000</v>
      </c>
      <c r="H1115" s="2">
        <f>VLOOKUP(E1115,Produtos!$A:$E,4,FALSE)</f>
        <v>900</v>
      </c>
      <c r="I1115" s="2">
        <v>1</v>
      </c>
    </row>
    <row r="1116" spans="1:9" x14ac:dyDescent="0.25">
      <c r="A1116" s="2" t="str">
        <f>CONCATENATE(Códigos!S1115,Códigos!T1115,Códigos!U1115)</f>
        <v>svv1114v</v>
      </c>
      <c r="B1116" t="s">
        <v>410</v>
      </c>
      <c r="C1116" t="s">
        <v>441</v>
      </c>
      <c r="D1116" s="2" t="s">
        <v>398</v>
      </c>
      <c r="E1116" t="s">
        <v>461</v>
      </c>
      <c r="F1116" s="11">
        <v>44095</v>
      </c>
      <c r="G1116" s="2">
        <f>VLOOKUP(E1116,Produtos!$A:$E,5,FALSE)</f>
        <v>2000</v>
      </c>
      <c r="H1116" s="2">
        <f>VLOOKUP(E1116,Produtos!$A:$E,4,FALSE)</f>
        <v>900</v>
      </c>
      <c r="I1116" s="2">
        <v>1</v>
      </c>
    </row>
    <row r="1117" spans="1:9" x14ac:dyDescent="0.25">
      <c r="A1117" s="2" t="str">
        <f>CONCATENATE(Códigos!S1116,Códigos!T1116,Códigos!U1116)</f>
        <v>svv1115v</v>
      </c>
      <c r="B1117" t="s">
        <v>410</v>
      </c>
      <c r="C1117" t="s">
        <v>441</v>
      </c>
      <c r="D1117" s="2" t="s">
        <v>398</v>
      </c>
      <c r="E1117" t="s">
        <v>461</v>
      </c>
      <c r="F1117" s="11">
        <v>44096</v>
      </c>
      <c r="G1117" s="2">
        <f>VLOOKUP(E1117,Produtos!$A:$E,5,FALSE)</f>
        <v>2000</v>
      </c>
      <c r="H1117" s="2">
        <f>VLOOKUP(E1117,Produtos!$A:$E,4,FALSE)</f>
        <v>900</v>
      </c>
      <c r="I1117" s="2">
        <v>1</v>
      </c>
    </row>
    <row r="1118" spans="1:9" x14ac:dyDescent="0.25">
      <c r="A1118" s="2" t="str">
        <f>CONCATENATE(Códigos!S1117,Códigos!T1117,Códigos!U1117)</f>
        <v>svv1116v</v>
      </c>
      <c r="B1118" t="s">
        <v>410</v>
      </c>
      <c r="C1118" t="s">
        <v>441</v>
      </c>
      <c r="D1118" s="2" t="s">
        <v>398</v>
      </c>
      <c r="E1118" t="s">
        <v>461</v>
      </c>
      <c r="F1118" s="11">
        <v>44097</v>
      </c>
      <c r="G1118" s="2">
        <f>VLOOKUP(E1118,Produtos!$A:$E,5,FALSE)</f>
        <v>2000</v>
      </c>
      <c r="H1118" s="2">
        <f>VLOOKUP(E1118,Produtos!$A:$E,4,FALSE)</f>
        <v>900</v>
      </c>
      <c r="I1118" s="2">
        <v>1</v>
      </c>
    </row>
    <row r="1119" spans="1:9" x14ac:dyDescent="0.25">
      <c r="A1119" s="2" t="str">
        <f>CONCATENATE(Códigos!S1118,Códigos!T1118,Códigos!U1118)</f>
        <v>svv1117v</v>
      </c>
      <c r="B1119" t="s">
        <v>410</v>
      </c>
      <c r="C1119" t="s">
        <v>323</v>
      </c>
      <c r="D1119" s="2" t="s">
        <v>325</v>
      </c>
      <c r="E1119" t="s">
        <v>461</v>
      </c>
      <c r="F1119" s="11">
        <v>44098</v>
      </c>
      <c r="G1119" s="2">
        <f>VLOOKUP(E1119,Produtos!$A:$E,5,FALSE)</f>
        <v>2000</v>
      </c>
      <c r="H1119" s="2">
        <f>VLOOKUP(E1119,Produtos!$A:$E,4,FALSE)</f>
        <v>900</v>
      </c>
      <c r="I1119" s="2">
        <v>1</v>
      </c>
    </row>
    <row r="1120" spans="1:9" x14ac:dyDescent="0.25">
      <c r="A1120" s="2" t="str">
        <f>CONCATENATE(Códigos!S1119,Códigos!T1119,Códigos!U1119)</f>
        <v>svv1118v</v>
      </c>
      <c r="B1120" t="s">
        <v>410</v>
      </c>
      <c r="C1120" t="s">
        <v>323</v>
      </c>
      <c r="D1120" s="2" t="s">
        <v>325</v>
      </c>
      <c r="E1120" t="s">
        <v>461</v>
      </c>
      <c r="F1120" s="11">
        <v>44099</v>
      </c>
      <c r="G1120" s="2">
        <f>VLOOKUP(E1120,Produtos!$A:$E,5,FALSE)</f>
        <v>2000</v>
      </c>
      <c r="H1120" s="2">
        <f>VLOOKUP(E1120,Produtos!$A:$E,4,FALSE)</f>
        <v>900</v>
      </c>
      <c r="I1120" s="2">
        <v>1</v>
      </c>
    </row>
    <row r="1121" spans="1:9" x14ac:dyDescent="0.25">
      <c r="A1121" s="2" t="str">
        <f>CONCATENATE(Códigos!S1120,Códigos!T1120,Códigos!U1120)</f>
        <v>svv1119v</v>
      </c>
      <c r="B1121" t="s">
        <v>410</v>
      </c>
      <c r="C1121" t="s">
        <v>323</v>
      </c>
      <c r="D1121" s="2" t="s">
        <v>325</v>
      </c>
      <c r="E1121" t="s">
        <v>461</v>
      </c>
      <c r="F1121" s="11">
        <v>44100</v>
      </c>
      <c r="G1121" s="2">
        <f>VLOOKUP(E1121,Produtos!$A:$E,5,FALSE)</f>
        <v>2000</v>
      </c>
      <c r="H1121" s="2">
        <f>VLOOKUP(E1121,Produtos!$A:$E,4,FALSE)</f>
        <v>900</v>
      </c>
      <c r="I1121" s="2">
        <v>1</v>
      </c>
    </row>
    <row r="1122" spans="1:9" x14ac:dyDescent="0.25">
      <c r="A1122" s="2" t="str">
        <f>CONCATENATE(Códigos!S1121,Códigos!T1121,Códigos!U1121)</f>
        <v>svv1120v</v>
      </c>
      <c r="B1122" t="s">
        <v>410</v>
      </c>
      <c r="C1122" t="s">
        <v>323</v>
      </c>
      <c r="D1122" s="2" t="s">
        <v>325</v>
      </c>
      <c r="E1122" t="s">
        <v>461</v>
      </c>
      <c r="F1122" s="11">
        <v>44101</v>
      </c>
      <c r="G1122" s="2">
        <f>VLOOKUP(E1122,Produtos!$A:$E,5,FALSE)</f>
        <v>2000</v>
      </c>
      <c r="H1122" s="2">
        <f>VLOOKUP(E1122,Produtos!$A:$E,4,FALSE)</f>
        <v>900</v>
      </c>
      <c r="I1122" s="2">
        <v>1</v>
      </c>
    </row>
    <row r="1123" spans="1:9" x14ac:dyDescent="0.25">
      <c r="A1123" s="2" t="str">
        <f>CONCATENATE(Códigos!S1122,Códigos!T1122,Códigos!U1122)</f>
        <v>svv1121v</v>
      </c>
      <c r="B1123" t="s">
        <v>410</v>
      </c>
      <c r="C1123" t="s">
        <v>323</v>
      </c>
      <c r="D1123" s="2" t="s">
        <v>325</v>
      </c>
      <c r="E1123" t="s">
        <v>461</v>
      </c>
      <c r="F1123" s="11">
        <v>44102</v>
      </c>
      <c r="G1123" s="2">
        <f>VLOOKUP(E1123,Produtos!$A:$E,5,FALSE)</f>
        <v>2000</v>
      </c>
      <c r="H1123" s="2">
        <f>VLOOKUP(E1123,Produtos!$A:$E,4,FALSE)</f>
        <v>900</v>
      </c>
      <c r="I1123" s="2">
        <v>1</v>
      </c>
    </row>
    <row r="1124" spans="1:9" x14ac:dyDescent="0.25">
      <c r="A1124" s="2" t="str">
        <f>CONCATENATE(Códigos!S1123,Códigos!T1123,Códigos!U1123)</f>
        <v>svv1122v</v>
      </c>
      <c r="B1124" t="s">
        <v>410</v>
      </c>
      <c r="C1124" t="s">
        <v>323</v>
      </c>
      <c r="D1124" s="2" t="s">
        <v>325</v>
      </c>
      <c r="E1124" t="s">
        <v>461</v>
      </c>
      <c r="F1124" s="11">
        <v>44103</v>
      </c>
      <c r="G1124" s="2">
        <f>VLOOKUP(E1124,Produtos!$A:$E,5,FALSE)</f>
        <v>2000</v>
      </c>
      <c r="H1124" s="2">
        <f>VLOOKUP(E1124,Produtos!$A:$E,4,FALSE)</f>
        <v>900</v>
      </c>
      <c r="I1124" s="2">
        <v>1</v>
      </c>
    </row>
    <row r="1125" spans="1:9" x14ac:dyDescent="0.25">
      <c r="A1125" s="2" t="str">
        <f>CONCATENATE(Códigos!S1124,Códigos!T1124,Códigos!U1124)</f>
        <v>svv1123v</v>
      </c>
      <c r="B1125" t="s">
        <v>410</v>
      </c>
      <c r="C1125" t="s">
        <v>323</v>
      </c>
      <c r="D1125" s="2" t="s">
        <v>325</v>
      </c>
      <c r="E1125" t="s">
        <v>461</v>
      </c>
      <c r="F1125" s="11">
        <v>44104</v>
      </c>
      <c r="G1125" s="2">
        <f>VLOOKUP(E1125,Produtos!$A:$E,5,FALSE)</f>
        <v>2000</v>
      </c>
      <c r="H1125" s="2">
        <f>VLOOKUP(E1125,Produtos!$A:$E,4,FALSE)</f>
        <v>900</v>
      </c>
      <c r="I1125" s="2">
        <v>1</v>
      </c>
    </row>
    <row r="1126" spans="1:9" x14ac:dyDescent="0.25">
      <c r="A1126" s="2" t="str">
        <f>CONCATENATE(Códigos!S1125,Códigos!T1125,Códigos!U1125)</f>
        <v>svv1124v</v>
      </c>
      <c r="B1126" t="s">
        <v>410</v>
      </c>
      <c r="C1126" t="s">
        <v>323</v>
      </c>
      <c r="D1126" s="2" t="s">
        <v>325</v>
      </c>
      <c r="E1126" t="s">
        <v>461</v>
      </c>
      <c r="F1126" s="11">
        <v>44105</v>
      </c>
      <c r="G1126" s="2">
        <f>VLOOKUP(E1126,Produtos!$A:$E,5,FALSE)</f>
        <v>2000</v>
      </c>
      <c r="H1126" s="2">
        <f>VLOOKUP(E1126,Produtos!$A:$E,4,FALSE)</f>
        <v>900</v>
      </c>
      <c r="I1126" s="2">
        <v>1</v>
      </c>
    </row>
    <row r="1127" spans="1:9" x14ac:dyDescent="0.25">
      <c r="A1127" s="2" t="str">
        <f>CONCATENATE(Códigos!S1126,Códigos!T1126,Códigos!U1126)</f>
        <v>svv1125v</v>
      </c>
      <c r="B1127" t="s">
        <v>410</v>
      </c>
      <c r="C1127" t="s">
        <v>323</v>
      </c>
      <c r="D1127" s="2" t="s">
        <v>325</v>
      </c>
      <c r="E1127" t="s">
        <v>461</v>
      </c>
      <c r="F1127" s="11">
        <v>44106</v>
      </c>
      <c r="G1127" s="2">
        <f>VLOOKUP(E1127,Produtos!$A:$E,5,FALSE)</f>
        <v>2000</v>
      </c>
      <c r="H1127" s="2">
        <f>VLOOKUP(E1127,Produtos!$A:$E,4,FALSE)</f>
        <v>900</v>
      </c>
      <c r="I1127" s="2">
        <v>1</v>
      </c>
    </row>
    <row r="1128" spans="1:9" x14ac:dyDescent="0.25">
      <c r="A1128" s="2" t="str">
        <f>CONCATENATE(Códigos!S1127,Códigos!T1127,Códigos!U1127)</f>
        <v>svv1126v</v>
      </c>
      <c r="B1128" t="s">
        <v>410</v>
      </c>
      <c r="C1128" t="s">
        <v>323</v>
      </c>
      <c r="D1128" s="2" t="s">
        <v>325</v>
      </c>
      <c r="E1128" t="s">
        <v>461</v>
      </c>
      <c r="F1128" s="11">
        <v>44107</v>
      </c>
      <c r="G1128" s="2">
        <f>VLOOKUP(E1128,Produtos!$A:$E,5,FALSE)</f>
        <v>2000</v>
      </c>
      <c r="H1128" s="2">
        <f>VLOOKUP(E1128,Produtos!$A:$E,4,FALSE)</f>
        <v>900</v>
      </c>
      <c r="I1128" s="2">
        <v>1</v>
      </c>
    </row>
    <row r="1129" spans="1:9" x14ac:dyDescent="0.25">
      <c r="A1129" s="2" t="str">
        <f>CONCATENATE(Códigos!S1128,Códigos!T1128,Códigos!U1128)</f>
        <v>svv1127v</v>
      </c>
      <c r="B1129" t="s">
        <v>410</v>
      </c>
      <c r="C1129" t="s">
        <v>323</v>
      </c>
      <c r="D1129" s="2" t="s">
        <v>325</v>
      </c>
      <c r="E1129" t="s">
        <v>461</v>
      </c>
      <c r="F1129" s="11">
        <v>44108</v>
      </c>
      <c r="G1129" s="2">
        <f>VLOOKUP(E1129,Produtos!$A:$E,5,FALSE)</f>
        <v>2000</v>
      </c>
      <c r="H1129" s="2">
        <f>VLOOKUP(E1129,Produtos!$A:$E,4,FALSE)</f>
        <v>900</v>
      </c>
      <c r="I1129" s="2">
        <v>1</v>
      </c>
    </row>
    <row r="1130" spans="1:9" x14ac:dyDescent="0.25">
      <c r="A1130" s="2" t="str">
        <f>CONCATENATE(Códigos!S1129,Códigos!T1129,Códigos!U1129)</f>
        <v>svv1128v</v>
      </c>
      <c r="B1130" t="s">
        <v>410</v>
      </c>
      <c r="C1130" t="s">
        <v>323</v>
      </c>
      <c r="D1130" s="2" t="s">
        <v>325</v>
      </c>
      <c r="E1130" t="s">
        <v>461</v>
      </c>
      <c r="F1130" s="11">
        <v>44109</v>
      </c>
      <c r="G1130" s="2">
        <f>VLOOKUP(E1130,Produtos!$A:$E,5,FALSE)</f>
        <v>2000</v>
      </c>
      <c r="H1130" s="2">
        <f>VLOOKUP(E1130,Produtos!$A:$E,4,FALSE)</f>
        <v>900</v>
      </c>
      <c r="I1130" s="2">
        <v>1</v>
      </c>
    </row>
    <row r="1131" spans="1:9" x14ac:dyDescent="0.25">
      <c r="A1131" s="2" t="str">
        <f>CONCATENATE(Códigos!S1130,Códigos!T1130,Códigos!U1130)</f>
        <v>svv1129v</v>
      </c>
      <c r="B1131" t="s">
        <v>410</v>
      </c>
      <c r="C1131" t="s">
        <v>323</v>
      </c>
      <c r="D1131" s="2" t="s">
        <v>325</v>
      </c>
      <c r="E1131" t="s">
        <v>461</v>
      </c>
      <c r="F1131" s="11">
        <v>44110</v>
      </c>
      <c r="G1131" s="2">
        <f>VLOOKUP(E1131,Produtos!$A:$E,5,FALSE)</f>
        <v>2000</v>
      </c>
      <c r="H1131" s="2">
        <f>VLOOKUP(E1131,Produtos!$A:$E,4,FALSE)</f>
        <v>900</v>
      </c>
      <c r="I1131" s="2">
        <v>1</v>
      </c>
    </row>
    <row r="1132" spans="1:9" x14ac:dyDescent="0.25">
      <c r="A1132" s="2" t="str">
        <f>CONCATENATE(Códigos!S1131,Códigos!T1131,Códigos!U1131)</f>
        <v>svv1130v</v>
      </c>
      <c r="B1132" t="s">
        <v>410</v>
      </c>
      <c r="C1132" t="s">
        <v>323</v>
      </c>
      <c r="D1132" s="2" t="s">
        <v>325</v>
      </c>
      <c r="E1132" t="s">
        <v>461</v>
      </c>
      <c r="F1132" s="11">
        <v>44111</v>
      </c>
      <c r="G1132" s="2">
        <f>VLOOKUP(E1132,Produtos!$A:$E,5,FALSE)</f>
        <v>2000</v>
      </c>
      <c r="H1132" s="2">
        <f>VLOOKUP(E1132,Produtos!$A:$E,4,FALSE)</f>
        <v>900</v>
      </c>
      <c r="I1132" s="2">
        <v>1</v>
      </c>
    </row>
    <row r="1133" spans="1:9" x14ac:dyDescent="0.25">
      <c r="A1133" s="2" t="str">
        <f>CONCATENATE(Códigos!S1132,Códigos!T1132,Códigos!U1132)</f>
        <v>svv1131v</v>
      </c>
      <c r="B1133" t="s">
        <v>410</v>
      </c>
      <c r="C1133" t="s">
        <v>323</v>
      </c>
      <c r="D1133" s="2" t="s">
        <v>325</v>
      </c>
      <c r="E1133" t="s">
        <v>461</v>
      </c>
      <c r="F1133" s="11">
        <v>44112</v>
      </c>
      <c r="G1133" s="2">
        <f>VLOOKUP(E1133,Produtos!$A:$E,5,FALSE)</f>
        <v>2000</v>
      </c>
      <c r="H1133" s="2">
        <f>VLOOKUP(E1133,Produtos!$A:$E,4,FALSE)</f>
        <v>900</v>
      </c>
      <c r="I1133" s="2">
        <v>1</v>
      </c>
    </row>
    <row r="1134" spans="1:9" x14ac:dyDescent="0.25">
      <c r="A1134" s="2" t="str">
        <f>CONCATENATE(Códigos!S1133,Códigos!T1133,Códigos!U1133)</f>
        <v>svv1132v</v>
      </c>
      <c r="B1134" t="s">
        <v>410</v>
      </c>
      <c r="C1134" t="s">
        <v>323</v>
      </c>
      <c r="D1134" s="2" t="s">
        <v>325</v>
      </c>
      <c r="E1134" t="s">
        <v>461</v>
      </c>
      <c r="F1134" s="11">
        <v>44113</v>
      </c>
      <c r="G1134" s="2">
        <f>VLOOKUP(E1134,Produtos!$A:$E,5,FALSE)</f>
        <v>2000</v>
      </c>
      <c r="H1134" s="2">
        <f>VLOOKUP(E1134,Produtos!$A:$E,4,FALSE)</f>
        <v>900</v>
      </c>
      <c r="I1134" s="2">
        <v>1</v>
      </c>
    </row>
    <row r="1135" spans="1:9" x14ac:dyDescent="0.25">
      <c r="A1135" s="2" t="str">
        <f>CONCATENATE(Códigos!S1134,Códigos!T1134,Códigos!U1134)</f>
        <v>svv1133v</v>
      </c>
      <c r="B1135" t="s">
        <v>410</v>
      </c>
      <c r="C1135" t="s">
        <v>323</v>
      </c>
      <c r="D1135" s="2" t="s">
        <v>325</v>
      </c>
      <c r="E1135" t="s">
        <v>461</v>
      </c>
      <c r="F1135" s="11">
        <v>44114</v>
      </c>
      <c r="G1135" s="2">
        <f>VLOOKUP(E1135,Produtos!$A:$E,5,FALSE)</f>
        <v>2000</v>
      </c>
      <c r="H1135" s="2">
        <f>VLOOKUP(E1135,Produtos!$A:$E,4,FALSE)</f>
        <v>900</v>
      </c>
      <c r="I1135" s="2">
        <v>1</v>
      </c>
    </row>
    <row r="1136" spans="1:9" x14ac:dyDescent="0.25">
      <c r="A1136" s="2" t="str">
        <f>CONCATENATE(Códigos!S1135,Códigos!T1135,Códigos!U1135)</f>
        <v>svv1134v</v>
      </c>
      <c r="B1136" t="s">
        <v>410</v>
      </c>
      <c r="C1136" t="s">
        <v>323</v>
      </c>
      <c r="D1136" s="2" t="s">
        <v>325</v>
      </c>
      <c r="E1136" t="s">
        <v>461</v>
      </c>
      <c r="F1136" s="11">
        <v>44115</v>
      </c>
      <c r="G1136" s="2">
        <f>VLOOKUP(E1136,Produtos!$A:$E,5,FALSE)</f>
        <v>2000</v>
      </c>
      <c r="H1136" s="2">
        <f>VLOOKUP(E1136,Produtos!$A:$E,4,FALSE)</f>
        <v>900</v>
      </c>
      <c r="I1136" s="2">
        <v>1</v>
      </c>
    </row>
    <row r="1137" spans="1:9" x14ac:dyDescent="0.25">
      <c r="A1137" s="2" t="str">
        <f>CONCATENATE(Códigos!S1136,Códigos!T1136,Códigos!U1136)</f>
        <v>svv1135v</v>
      </c>
      <c r="B1137" t="s">
        <v>410</v>
      </c>
      <c r="C1137" t="s">
        <v>323</v>
      </c>
      <c r="D1137" s="2" t="s">
        <v>325</v>
      </c>
      <c r="E1137" t="s">
        <v>461</v>
      </c>
      <c r="F1137" s="11">
        <v>44116</v>
      </c>
      <c r="G1137" s="2">
        <f>VLOOKUP(E1137,Produtos!$A:$E,5,FALSE)</f>
        <v>2000</v>
      </c>
      <c r="H1137" s="2">
        <f>VLOOKUP(E1137,Produtos!$A:$E,4,FALSE)</f>
        <v>900</v>
      </c>
      <c r="I1137" s="2">
        <v>1</v>
      </c>
    </row>
    <row r="1138" spans="1:9" x14ac:dyDescent="0.25">
      <c r="A1138" s="2" t="str">
        <f>CONCATENATE(Códigos!S1137,Códigos!T1137,Códigos!U1137)</f>
        <v>svv1136v</v>
      </c>
      <c r="B1138" t="s">
        <v>410</v>
      </c>
      <c r="C1138" t="s">
        <v>323</v>
      </c>
      <c r="D1138" s="2" t="s">
        <v>325</v>
      </c>
      <c r="E1138" t="s">
        <v>461</v>
      </c>
      <c r="F1138" s="11">
        <v>44117</v>
      </c>
      <c r="G1138" s="2">
        <f>VLOOKUP(E1138,Produtos!$A:$E,5,FALSE)</f>
        <v>2000</v>
      </c>
      <c r="H1138" s="2">
        <f>VLOOKUP(E1138,Produtos!$A:$E,4,FALSE)</f>
        <v>900</v>
      </c>
      <c r="I1138" s="2">
        <v>1</v>
      </c>
    </row>
    <row r="1139" spans="1:9" x14ac:dyDescent="0.25">
      <c r="A1139" s="2" t="str">
        <f>CONCATENATE(Códigos!S1138,Códigos!T1138,Códigos!U1138)</f>
        <v>svv1137v</v>
      </c>
      <c r="B1139" t="s">
        <v>410</v>
      </c>
      <c r="C1139" t="s">
        <v>323</v>
      </c>
      <c r="D1139" s="2" t="s">
        <v>325</v>
      </c>
      <c r="E1139" t="s">
        <v>461</v>
      </c>
      <c r="F1139" s="11">
        <v>44118</v>
      </c>
      <c r="G1139" s="2">
        <f>VLOOKUP(E1139,Produtos!$A:$E,5,FALSE)</f>
        <v>2000</v>
      </c>
      <c r="H1139" s="2">
        <f>VLOOKUP(E1139,Produtos!$A:$E,4,FALSE)</f>
        <v>900</v>
      </c>
      <c r="I1139" s="2">
        <v>1</v>
      </c>
    </row>
    <row r="1140" spans="1:9" x14ac:dyDescent="0.25">
      <c r="A1140" s="2" t="str">
        <f>CONCATENATE(Códigos!S1139,Códigos!T1139,Códigos!U1139)</f>
        <v>svv1138v</v>
      </c>
      <c r="B1140" t="s">
        <v>410</v>
      </c>
      <c r="C1140" t="s">
        <v>323</v>
      </c>
      <c r="D1140" s="2" t="s">
        <v>325</v>
      </c>
      <c r="E1140" t="s">
        <v>461</v>
      </c>
      <c r="F1140" s="11">
        <v>44119</v>
      </c>
      <c r="G1140" s="2">
        <f>VLOOKUP(E1140,Produtos!$A:$E,5,FALSE)</f>
        <v>2000</v>
      </c>
      <c r="H1140" s="2">
        <f>VLOOKUP(E1140,Produtos!$A:$E,4,FALSE)</f>
        <v>900</v>
      </c>
      <c r="I1140" s="2">
        <v>1</v>
      </c>
    </row>
    <row r="1141" spans="1:9" x14ac:dyDescent="0.25">
      <c r="A1141" s="2" t="str">
        <f>CONCATENATE(Códigos!S1140,Códigos!T1140,Códigos!U1140)</f>
        <v>svv1139v</v>
      </c>
      <c r="B1141" t="s">
        <v>410</v>
      </c>
      <c r="C1141" t="s">
        <v>323</v>
      </c>
      <c r="D1141" s="2" t="s">
        <v>325</v>
      </c>
      <c r="E1141" t="s">
        <v>461</v>
      </c>
      <c r="F1141" s="11">
        <v>44120</v>
      </c>
      <c r="G1141" s="2">
        <f>VLOOKUP(E1141,Produtos!$A:$E,5,FALSE)</f>
        <v>2000</v>
      </c>
      <c r="H1141" s="2">
        <f>VLOOKUP(E1141,Produtos!$A:$E,4,FALSE)</f>
        <v>900</v>
      </c>
      <c r="I1141" s="2">
        <v>1</v>
      </c>
    </row>
    <row r="1142" spans="1:9" x14ac:dyDescent="0.25">
      <c r="A1142" s="2" t="str">
        <f>CONCATENATE(Códigos!S1141,Códigos!T1141,Códigos!U1141)</f>
        <v>svv1140v</v>
      </c>
      <c r="B1142" t="s">
        <v>410</v>
      </c>
      <c r="C1142" t="s">
        <v>323</v>
      </c>
      <c r="D1142" s="2" t="s">
        <v>325</v>
      </c>
      <c r="E1142" t="s">
        <v>461</v>
      </c>
      <c r="F1142" s="11">
        <v>44121</v>
      </c>
      <c r="G1142" s="2">
        <f>VLOOKUP(E1142,Produtos!$A:$E,5,FALSE)</f>
        <v>2000</v>
      </c>
      <c r="H1142" s="2">
        <f>VLOOKUP(E1142,Produtos!$A:$E,4,FALSE)</f>
        <v>900</v>
      </c>
      <c r="I1142" s="2">
        <v>1</v>
      </c>
    </row>
    <row r="1143" spans="1:9" x14ac:dyDescent="0.25">
      <c r="A1143" s="2" t="str">
        <f>CONCATENATE(Códigos!S1142,Códigos!T1142,Códigos!U1142)</f>
        <v>svv1141v</v>
      </c>
      <c r="B1143" t="s">
        <v>410</v>
      </c>
      <c r="C1143" t="s">
        <v>323</v>
      </c>
      <c r="D1143" s="2" t="s">
        <v>325</v>
      </c>
      <c r="E1143" t="s">
        <v>461</v>
      </c>
      <c r="F1143" s="11">
        <v>44122</v>
      </c>
      <c r="G1143" s="2">
        <f>VLOOKUP(E1143,Produtos!$A:$E,5,FALSE)</f>
        <v>2000</v>
      </c>
      <c r="H1143" s="2">
        <f>VLOOKUP(E1143,Produtos!$A:$E,4,FALSE)</f>
        <v>900</v>
      </c>
      <c r="I1143" s="2">
        <v>1</v>
      </c>
    </row>
    <row r="1144" spans="1:9" x14ac:dyDescent="0.25">
      <c r="A1144" s="2" t="str">
        <f>CONCATENATE(Códigos!S1143,Códigos!T1143,Códigos!U1143)</f>
        <v>svv1142v</v>
      </c>
      <c r="B1144" t="s">
        <v>410</v>
      </c>
      <c r="C1144" t="s">
        <v>323</v>
      </c>
      <c r="D1144" s="2" t="s">
        <v>325</v>
      </c>
      <c r="E1144" t="s">
        <v>461</v>
      </c>
      <c r="F1144" s="11">
        <v>44123</v>
      </c>
      <c r="G1144" s="2">
        <f>VLOOKUP(E1144,Produtos!$A:$E,5,FALSE)</f>
        <v>2000</v>
      </c>
      <c r="H1144" s="2">
        <f>VLOOKUP(E1144,Produtos!$A:$E,4,FALSE)</f>
        <v>900</v>
      </c>
      <c r="I1144" s="2">
        <v>1</v>
      </c>
    </row>
    <row r="1145" spans="1:9" x14ac:dyDescent="0.25">
      <c r="A1145" s="2" t="str">
        <f>CONCATENATE(Códigos!S1144,Códigos!T1144,Códigos!U1144)</f>
        <v>svv1143v</v>
      </c>
      <c r="B1145" t="s">
        <v>410</v>
      </c>
      <c r="C1145" t="s">
        <v>323</v>
      </c>
      <c r="D1145" s="2" t="s">
        <v>325</v>
      </c>
      <c r="E1145" t="s">
        <v>461</v>
      </c>
      <c r="F1145" s="11">
        <v>44124</v>
      </c>
      <c r="G1145" s="2">
        <f>VLOOKUP(E1145,Produtos!$A:$E,5,FALSE)</f>
        <v>2000</v>
      </c>
      <c r="H1145" s="2">
        <f>VLOOKUP(E1145,Produtos!$A:$E,4,FALSE)</f>
        <v>900</v>
      </c>
      <c r="I1145" s="2">
        <v>1</v>
      </c>
    </row>
    <row r="1146" spans="1:9" x14ac:dyDescent="0.25">
      <c r="A1146" s="2" t="str">
        <f>CONCATENATE(Códigos!S1145,Códigos!T1145,Códigos!U1145)</f>
        <v>svv1144v</v>
      </c>
      <c r="B1146" t="s">
        <v>410</v>
      </c>
      <c r="C1146" t="s">
        <v>323</v>
      </c>
      <c r="D1146" s="2" t="s">
        <v>325</v>
      </c>
      <c r="E1146" t="s">
        <v>461</v>
      </c>
      <c r="F1146" s="11">
        <v>44125</v>
      </c>
      <c r="G1146" s="2">
        <f>VLOOKUP(E1146,Produtos!$A:$E,5,FALSE)</f>
        <v>2000</v>
      </c>
      <c r="H1146" s="2">
        <f>VLOOKUP(E1146,Produtos!$A:$E,4,FALSE)</f>
        <v>900</v>
      </c>
      <c r="I1146" s="2">
        <v>1</v>
      </c>
    </row>
    <row r="1147" spans="1:9" x14ac:dyDescent="0.25">
      <c r="A1147" s="2" t="str">
        <f>CONCATENATE(Códigos!S1146,Códigos!T1146,Códigos!U1146)</f>
        <v>svv1145v</v>
      </c>
      <c r="B1147" t="s">
        <v>410</v>
      </c>
      <c r="C1147" t="s">
        <v>323</v>
      </c>
      <c r="D1147" s="2" t="s">
        <v>325</v>
      </c>
      <c r="E1147" t="s">
        <v>461</v>
      </c>
      <c r="F1147" s="11">
        <v>44126</v>
      </c>
      <c r="G1147" s="2">
        <f>VLOOKUP(E1147,Produtos!$A:$E,5,FALSE)</f>
        <v>2000</v>
      </c>
      <c r="H1147" s="2">
        <f>VLOOKUP(E1147,Produtos!$A:$E,4,FALSE)</f>
        <v>900</v>
      </c>
      <c r="I1147" s="2">
        <v>1</v>
      </c>
    </row>
    <row r="1148" spans="1:9" x14ac:dyDescent="0.25">
      <c r="A1148" s="2" t="str">
        <f>CONCATENATE(Códigos!S1147,Códigos!T1147,Códigos!U1147)</f>
        <v>svv1146v</v>
      </c>
      <c r="B1148" t="s">
        <v>410</v>
      </c>
      <c r="C1148" t="s">
        <v>323</v>
      </c>
      <c r="D1148" s="2" t="s">
        <v>325</v>
      </c>
      <c r="E1148" t="s">
        <v>461</v>
      </c>
      <c r="F1148" s="11">
        <v>44127</v>
      </c>
      <c r="G1148" s="2">
        <f>VLOOKUP(E1148,Produtos!$A:$E,5,FALSE)</f>
        <v>2000</v>
      </c>
      <c r="H1148" s="2">
        <f>VLOOKUP(E1148,Produtos!$A:$E,4,FALSE)</f>
        <v>900</v>
      </c>
      <c r="I1148" s="2">
        <v>1</v>
      </c>
    </row>
    <row r="1149" spans="1:9" x14ac:dyDescent="0.25">
      <c r="A1149" s="2" t="str">
        <f>CONCATENATE(Códigos!S1148,Códigos!T1148,Códigos!U1148)</f>
        <v>svv1147v</v>
      </c>
      <c r="B1149" t="s">
        <v>410</v>
      </c>
      <c r="C1149" t="s">
        <v>323</v>
      </c>
      <c r="D1149" s="2" t="s">
        <v>325</v>
      </c>
      <c r="E1149" t="s">
        <v>461</v>
      </c>
      <c r="F1149" s="11">
        <v>44128</v>
      </c>
      <c r="G1149" s="2">
        <f>VLOOKUP(E1149,Produtos!$A:$E,5,FALSE)</f>
        <v>2000</v>
      </c>
      <c r="H1149" s="2">
        <f>VLOOKUP(E1149,Produtos!$A:$E,4,FALSE)</f>
        <v>900</v>
      </c>
      <c r="I1149" s="2">
        <v>1</v>
      </c>
    </row>
    <row r="1150" spans="1:9" x14ac:dyDescent="0.25">
      <c r="A1150" s="2" t="str">
        <f>CONCATENATE(Códigos!S1149,Códigos!T1149,Códigos!U1149)</f>
        <v>svv1148v</v>
      </c>
      <c r="B1150" t="s">
        <v>407</v>
      </c>
      <c r="C1150" t="s">
        <v>323</v>
      </c>
      <c r="D1150" s="2" t="s">
        <v>325</v>
      </c>
      <c r="E1150" t="s">
        <v>461</v>
      </c>
      <c r="F1150" s="11">
        <v>44129</v>
      </c>
      <c r="G1150" s="2">
        <f>VLOOKUP(E1150,Produtos!$A:$E,5,FALSE)</f>
        <v>2000</v>
      </c>
      <c r="H1150" s="2">
        <f>VLOOKUP(E1150,Produtos!$A:$E,4,FALSE)</f>
        <v>900</v>
      </c>
      <c r="I1150" s="2">
        <v>1</v>
      </c>
    </row>
    <row r="1151" spans="1:9" x14ac:dyDescent="0.25">
      <c r="A1151" s="2" t="str">
        <f>CONCATENATE(Códigos!S1150,Códigos!T1150,Códigos!U1150)</f>
        <v>svv1149v</v>
      </c>
      <c r="B1151" t="s">
        <v>407</v>
      </c>
      <c r="C1151" t="s">
        <v>323</v>
      </c>
      <c r="D1151" s="2" t="s">
        <v>325</v>
      </c>
      <c r="E1151" t="s">
        <v>461</v>
      </c>
      <c r="F1151" s="11">
        <v>44130</v>
      </c>
      <c r="G1151" s="2">
        <f>VLOOKUP(E1151,Produtos!$A:$E,5,FALSE)</f>
        <v>2000</v>
      </c>
      <c r="H1151" s="2">
        <f>VLOOKUP(E1151,Produtos!$A:$E,4,FALSE)</f>
        <v>900</v>
      </c>
      <c r="I1151" s="2">
        <v>1</v>
      </c>
    </row>
    <row r="1152" spans="1:9" x14ac:dyDescent="0.25">
      <c r="A1152" s="2" t="str">
        <f>CONCATENATE(Códigos!S1151,Códigos!T1151,Códigos!U1151)</f>
        <v>svv1150v</v>
      </c>
      <c r="B1152" t="s">
        <v>407</v>
      </c>
      <c r="C1152" t="s">
        <v>323</v>
      </c>
      <c r="D1152" s="2" t="s">
        <v>325</v>
      </c>
      <c r="E1152" t="s">
        <v>461</v>
      </c>
      <c r="F1152" s="11">
        <v>44131</v>
      </c>
      <c r="G1152" s="2">
        <f>VLOOKUP(E1152,Produtos!$A:$E,5,FALSE)</f>
        <v>2000</v>
      </c>
      <c r="H1152" s="2">
        <f>VLOOKUP(E1152,Produtos!$A:$E,4,FALSE)</f>
        <v>900</v>
      </c>
      <c r="I1152" s="2">
        <v>1</v>
      </c>
    </row>
    <row r="1153" spans="1:9" x14ac:dyDescent="0.25">
      <c r="A1153" s="2" t="str">
        <f>CONCATENATE(Códigos!S1152,Códigos!T1152,Códigos!U1152)</f>
        <v>svv1151v</v>
      </c>
      <c r="B1153" t="s">
        <v>407</v>
      </c>
      <c r="C1153" t="s">
        <v>323</v>
      </c>
      <c r="D1153" s="2" t="s">
        <v>325</v>
      </c>
      <c r="E1153" t="s">
        <v>461</v>
      </c>
      <c r="F1153" s="11">
        <v>44132</v>
      </c>
      <c r="G1153" s="2">
        <f>VLOOKUP(E1153,Produtos!$A:$E,5,FALSE)</f>
        <v>2000</v>
      </c>
      <c r="H1153" s="2">
        <f>VLOOKUP(E1153,Produtos!$A:$E,4,FALSE)</f>
        <v>900</v>
      </c>
      <c r="I1153" s="2">
        <v>1</v>
      </c>
    </row>
    <row r="1154" spans="1:9" x14ac:dyDescent="0.25">
      <c r="A1154" s="2" t="str">
        <f>CONCATENATE(Códigos!S1153,Códigos!T1153,Códigos!U1153)</f>
        <v>svv1152v</v>
      </c>
      <c r="B1154" t="s">
        <v>407</v>
      </c>
      <c r="C1154" t="s">
        <v>323</v>
      </c>
      <c r="D1154" s="2" t="s">
        <v>325</v>
      </c>
      <c r="E1154" t="s">
        <v>461</v>
      </c>
      <c r="F1154" s="11">
        <v>44133</v>
      </c>
      <c r="G1154" s="2">
        <f>VLOOKUP(E1154,Produtos!$A:$E,5,FALSE)</f>
        <v>2000</v>
      </c>
      <c r="H1154" s="2">
        <f>VLOOKUP(E1154,Produtos!$A:$E,4,FALSE)</f>
        <v>900</v>
      </c>
      <c r="I1154" s="2">
        <v>1</v>
      </c>
    </row>
    <row r="1155" spans="1:9" x14ac:dyDescent="0.25">
      <c r="A1155" s="2" t="str">
        <f>CONCATENATE(Códigos!S1154,Códigos!T1154,Códigos!U1154)</f>
        <v>svv1153v</v>
      </c>
      <c r="B1155" t="s">
        <v>407</v>
      </c>
      <c r="C1155" t="s">
        <v>323</v>
      </c>
      <c r="D1155" s="2" t="s">
        <v>325</v>
      </c>
      <c r="E1155" t="s">
        <v>461</v>
      </c>
      <c r="F1155" s="11">
        <v>44134</v>
      </c>
      <c r="G1155" s="2">
        <f>VLOOKUP(E1155,Produtos!$A:$E,5,FALSE)</f>
        <v>2000</v>
      </c>
      <c r="H1155" s="2">
        <f>VLOOKUP(E1155,Produtos!$A:$E,4,FALSE)</f>
        <v>900</v>
      </c>
      <c r="I1155" s="2">
        <v>1</v>
      </c>
    </row>
    <row r="1156" spans="1:9" x14ac:dyDescent="0.25">
      <c r="A1156" s="2" t="str">
        <f>CONCATENATE(Códigos!S1155,Códigos!T1155,Códigos!U1155)</f>
        <v>svv1154v</v>
      </c>
      <c r="B1156" t="s">
        <v>407</v>
      </c>
      <c r="C1156" t="s">
        <v>323</v>
      </c>
      <c r="D1156" s="2" t="s">
        <v>325</v>
      </c>
      <c r="E1156" t="s">
        <v>461</v>
      </c>
      <c r="F1156" s="11">
        <v>44135</v>
      </c>
      <c r="G1156" s="2">
        <f>VLOOKUP(E1156,Produtos!$A:$E,5,FALSE)</f>
        <v>2000</v>
      </c>
      <c r="H1156" s="2">
        <f>VLOOKUP(E1156,Produtos!$A:$E,4,FALSE)</f>
        <v>900</v>
      </c>
      <c r="I1156" s="2">
        <v>1</v>
      </c>
    </row>
    <row r="1157" spans="1:9" x14ac:dyDescent="0.25">
      <c r="A1157" s="2" t="str">
        <f>CONCATENATE(Códigos!S1156,Códigos!T1156,Códigos!U1156)</f>
        <v>svv1155v</v>
      </c>
      <c r="B1157" t="s">
        <v>407</v>
      </c>
      <c r="C1157" t="s">
        <v>323</v>
      </c>
      <c r="D1157" s="2" t="s">
        <v>325</v>
      </c>
      <c r="E1157" t="s">
        <v>461</v>
      </c>
      <c r="F1157" s="11">
        <v>44136</v>
      </c>
      <c r="G1157" s="2">
        <f>VLOOKUP(E1157,Produtos!$A:$E,5,FALSE)</f>
        <v>2000</v>
      </c>
      <c r="H1157" s="2">
        <f>VLOOKUP(E1157,Produtos!$A:$E,4,FALSE)</f>
        <v>900</v>
      </c>
      <c r="I1157" s="2">
        <v>1</v>
      </c>
    </row>
    <row r="1158" spans="1:9" x14ac:dyDescent="0.25">
      <c r="A1158" s="2" t="str">
        <f>CONCATENATE(Códigos!S1157,Códigos!T1157,Códigos!U1157)</f>
        <v>svv1156v</v>
      </c>
      <c r="B1158" t="s">
        <v>407</v>
      </c>
      <c r="C1158" t="s">
        <v>323</v>
      </c>
      <c r="D1158" s="2" t="s">
        <v>325</v>
      </c>
      <c r="E1158" t="s">
        <v>461</v>
      </c>
      <c r="F1158" s="11">
        <v>44137</v>
      </c>
      <c r="G1158" s="2">
        <f>VLOOKUP(E1158,Produtos!$A:$E,5,FALSE)</f>
        <v>2000</v>
      </c>
      <c r="H1158" s="2">
        <f>VLOOKUP(E1158,Produtos!$A:$E,4,FALSE)</f>
        <v>900</v>
      </c>
      <c r="I1158" s="2">
        <v>1</v>
      </c>
    </row>
    <row r="1159" spans="1:9" x14ac:dyDescent="0.25">
      <c r="A1159" s="2" t="str">
        <f>CONCATENATE(Códigos!S1158,Códigos!T1158,Códigos!U1158)</f>
        <v>svv1157v</v>
      </c>
      <c r="B1159" t="s">
        <v>407</v>
      </c>
      <c r="C1159" t="s">
        <v>323</v>
      </c>
      <c r="D1159" s="2" t="s">
        <v>325</v>
      </c>
      <c r="E1159" t="s">
        <v>461</v>
      </c>
      <c r="F1159" s="11">
        <v>44138</v>
      </c>
      <c r="G1159" s="2">
        <f>VLOOKUP(E1159,Produtos!$A:$E,5,FALSE)</f>
        <v>2000</v>
      </c>
      <c r="H1159" s="2">
        <f>VLOOKUP(E1159,Produtos!$A:$E,4,FALSE)</f>
        <v>900</v>
      </c>
      <c r="I1159" s="2">
        <v>1</v>
      </c>
    </row>
    <row r="1160" spans="1:9" x14ac:dyDescent="0.25">
      <c r="A1160" s="2" t="str">
        <f>CONCATENATE(Códigos!S1159,Códigos!T1159,Códigos!U1159)</f>
        <v>svv1158v</v>
      </c>
      <c r="B1160" t="s">
        <v>407</v>
      </c>
      <c r="C1160" t="s">
        <v>323</v>
      </c>
      <c r="D1160" s="2" t="s">
        <v>325</v>
      </c>
      <c r="E1160" t="s">
        <v>461</v>
      </c>
      <c r="F1160" s="11">
        <v>44139</v>
      </c>
      <c r="G1160" s="2">
        <f>VLOOKUP(E1160,Produtos!$A:$E,5,FALSE)</f>
        <v>2000</v>
      </c>
      <c r="H1160" s="2">
        <f>VLOOKUP(E1160,Produtos!$A:$E,4,FALSE)</f>
        <v>900</v>
      </c>
      <c r="I1160" s="2">
        <v>1</v>
      </c>
    </row>
    <row r="1161" spans="1:9" x14ac:dyDescent="0.25">
      <c r="A1161" s="2" t="str">
        <f>CONCATENATE(Códigos!S1160,Códigos!T1160,Códigos!U1160)</f>
        <v>svv1159v</v>
      </c>
      <c r="B1161" t="s">
        <v>407</v>
      </c>
      <c r="C1161" t="s">
        <v>323</v>
      </c>
      <c r="D1161" s="2" t="s">
        <v>325</v>
      </c>
      <c r="E1161" t="s">
        <v>461</v>
      </c>
      <c r="F1161" s="11">
        <v>44140</v>
      </c>
      <c r="G1161" s="2">
        <f>VLOOKUP(E1161,Produtos!$A:$E,5,FALSE)</f>
        <v>2000</v>
      </c>
      <c r="H1161" s="2">
        <f>VLOOKUP(E1161,Produtos!$A:$E,4,FALSE)</f>
        <v>900</v>
      </c>
      <c r="I1161" s="2">
        <v>1</v>
      </c>
    </row>
    <row r="1162" spans="1:9" x14ac:dyDescent="0.25">
      <c r="A1162" s="2" t="str">
        <f>CONCATENATE(Códigos!S1161,Códigos!T1161,Códigos!U1161)</f>
        <v>svv1160v</v>
      </c>
      <c r="B1162" t="s">
        <v>407</v>
      </c>
      <c r="C1162" t="s">
        <v>323</v>
      </c>
      <c r="D1162" s="2" t="s">
        <v>325</v>
      </c>
      <c r="E1162" t="s">
        <v>461</v>
      </c>
      <c r="F1162" s="11">
        <v>44141</v>
      </c>
      <c r="G1162" s="2">
        <f>VLOOKUP(E1162,Produtos!$A:$E,5,FALSE)</f>
        <v>2000</v>
      </c>
      <c r="H1162" s="2">
        <f>VLOOKUP(E1162,Produtos!$A:$E,4,FALSE)</f>
        <v>900</v>
      </c>
      <c r="I1162" s="2">
        <v>1</v>
      </c>
    </row>
    <row r="1163" spans="1:9" x14ac:dyDescent="0.25">
      <c r="A1163" s="2" t="str">
        <f>CONCATENATE(Códigos!S1162,Códigos!T1162,Códigos!U1162)</f>
        <v>svv1161v</v>
      </c>
      <c r="B1163" t="s">
        <v>407</v>
      </c>
      <c r="C1163" t="s">
        <v>323</v>
      </c>
      <c r="D1163" s="2" t="s">
        <v>325</v>
      </c>
      <c r="E1163" t="s">
        <v>461</v>
      </c>
      <c r="F1163" s="11">
        <v>44142</v>
      </c>
      <c r="G1163" s="2">
        <f>VLOOKUP(E1163,Produtos!$A:$E,5,FALSE)</f>
        <v>2000</v>
      </c>
      <c r="H1163" s="2">
        <f>VLOOKUP(E1163,Produtos!$A:$E,4,FALSE)</f>
        <v>900</v>
      </c>
      <c r="I1163" s="2">
        <v>1</v>
      </c>
    </row>
    <row r="1164" spans="1:9" x14ac:dyDescent="0.25">
      <c r="A1164" s="2" t="str">
        <f>CONCATENATE(Códigos!S1163,Códigos!T1163,Códigos!U1163)</f>
        <v>svv1162v</v>
      </c>
      <c r="B1164" t="s">
        <v>407</v>
      </c>
      <c r="C1164" t="s">
        <v>323</v>
      </c>
      <c r="D1164" s="2" t="s">
        <v>325</v>
      </c>
      <c r="E1164" t="s">
        <v>461</v>
      </c>
      <c r="F1164" s="11">
        <v>44143</v>
      </c>
      <c r="G1164" s="2">
        <f>VLOOKUP(E1164,Produtos!$A:$E,5,FALSE)</f>
        <v>2000</v>
      </c>
      <c r="H1164" s="2">
        <f>VLOOKUP(E1164,Produtos!$A:$E,4,FALSE)</f>
        <v>900</v>
      </c>
      <c r="I1164" s="2">
        <v>1</v>
      </c>
    </row>
    <row r="1165" spans="1:9" x14ac:dyDescent="0.25">
      <c r="A1165" s="2" t="str">
        <f>CONCATENATE(Códigos!S1164,Códigos!T1164,Códigos!U1164)</f>
        <v>svv1163v</v>
      </c>
      <c r="B1165" t="s">
        <v>407</v>
      </c>
      <c r="C1165" t="s">
        <v>323</v>
      </c>
      <c r="D1165" s="2" t="s">
        <v>325</v>
      </c>
      <c r="E1165" t="s">
        <v>461</v>
      </c>
      <c r="F1165" s="11">
        <v>44144</v>
      </c>
      <c r="G1165" s="2">
        <f>VLOOKUP(E1165,Produtos!$A:$E,5,FALSE)</f>
        <v>2000</v>
      </c>
      <c r="H1165" s="2">
        <f>VLOOKUP(E1165,Produtos!$A:$E,4,FALSE)</f>
        <v>900</v>
      </c>
      <c r="I1165" s="2">
        <v>1</v>
      </c>
    </row>
    <row r="1166" spans="1:9" x14ac:dyDescent="0.25">
      <c r="A1166" s="2" t="str">
        <f>CONCATENATE(Códigos!S1165,Códigos!T1165,Códigos!U1165)</f>
        <v>svv1164v</v>
      </c>
      <c r="B1166" t="s">
        <v>407</v>
      </c>
      <c r="C1166" t="s">
        <v>323</v>
      </c>
      <c r="D1166" s="2" t="s">
        <v>325</v>
      </c>
      <c r="E1166" t="s">
        <v>461</v>
      </c>
      <c r="F1166" s="11">
        <v>44145</v>
      </c>
      <c r="G1166" s="2">
        <f>VLOOKUP(E1166,Produtos!$A:$E,5,FALSE)</f>
        <v>2000</v>
      </c>
      <c r="H1166" s="2">
        <f>VLOOKUP(E1166,Produtos!$A:$E,4,FALSE)</f>
        <v>900</v>
      </c>
      <c r="I1166" s="2">
        <v>1</v>
      </c>
    </row>
    <row r="1167" spans="1:9" x14ac:dyDescent="0.25">
      <c r="A1167" s="2" t="str">
        <f>CONCATENATE(Códigos!S1166,Códigos!T1166,Códigos!U1166)</f>
        <v>svv1165v</v>
      </c>
      <c r="B1167" t="s">
        <v>407</v>
      </c>
      <c r="C1167" t="s">
        <v>323</v>
      </c>
      <c r="D1167" s="2" t="s">
        <v>325</v>
      </c>
      <c r="E1167" t="s">
        <v>461</v>
      </c>
      <c r="F1167" s="11">
        <v>44146</v>
      </c>
      <c r="G1167" s="2">
        <f>VLOOKUP(E1167,Produtos!$A:$E,5,FALSE)</f>
        <v>2000</v>
      </c>
      <c r="H1167" s="2">
        <f>VLOOKUP(E1167,Produtos!$A:$E,4,FALSE)</f>
        <v>900</v>
      </c>
      <c r="I1167" s="2">
        <v>1</v>
      </c>
    </row>
    <row r="1168" spans="1:9" x14ac:dyDescent="0.25">
      <c r="A1168" s="2" t="str">
        <f>CONCATENATE(Códigos!S1167,Códigos!T1167,Códigos!U1167)</f>
        <v>svv1166v</v>
      </c>
      <c r="B1168" t="s">
        <v>407</v>
      </c>
      <c r="C1168" t="s">
        <v>323</v>
      </c>
      <c r="D1168" s="2" t="s">
        <v>325</v>
      </c>
      <c r="E1168" t="s">
        <v>461</v>
      </c>
      <c r="F1168" s="11">
        <v>44147</v>
      </c>
      <c r="G1168" s="2">
        <f>VLOOKUP(E1168,Produtos!$A:$E,5,FALSE)</f>
        <v>2000</v>
      </c>
      <c r="H1168" s="2">
        <f>VLOOKUP(E1168,Produtos!$A:$E,4,FALSE)</f>
        <v>900</v>
      </c>
      <c r="I1168" s="2">
        <v>1</v>
      </c>
    </row>
    <row r="1169" spans="1:9" x14ac:dyDescent="0.25">
      <c r="A1169" s="2" t="str">
        <f>CONCATENATE(Códigos!S1168,Códigos!T1168,Códigos!U1168)</f>
        <v>svv1167v</v>
      </c>
      <c r="B1169" t="s">
        <v>407</v>
      </c>
      <c r="C1169" t="s">
        <v>323</v>
      </c>
      <c r="D1169" s="2" t="s">
        <v>325</v>
      </c>
      <c r="E1169" t="s">
        <v>461</v>
      </c>
      <c r="F1169" s="11">
        <v>44148</v>
      </c>
      <c r="G1169" s="2">
        <f>VLOOKUP(E1169,Produtos!$A:$E,5,FALSE)</f>
        <v>2000</v>
      </c>
      <c r="H1169" s="2">
        <f>VLOOKUP(E1169,Produtos!$A:$E,4,FALSE)</f>
        <v>900</v>
      </c>
      <c r="I1169" s="2">
        <v>1</v>
      </c>
    </row>
    <row r="1170" spans="1:9" x14ac:dyDescent="0.25">
      <c r="A1170" s="2" t="str">
        <f>CONCATENATE(Códigos!S1169,Códigos!T1169,Códigos!U1169)</f>
        <v>svv1168v</v>
      </c>
      <c r="B1170" t="s">
        <v>407</v>
      </c>
      <c r="C1170" t="s">
        <v>323</v>
      </c>
      <c r="D1170" s="2" t="s">
        <v>325</v>
      </c>
      <c r="E1170" t="s">
        <v>461</v>
      </c>
      <c r="F1170" s="11">
        <v>44149</v>
      </c>
      <c r="G1170" s="2">
        <f>VLOOKUP(E1170,Produtos!$A:$E,5,FALSE)</f>
        <v>2000</v>
      </c>
      <c r="H1170" s="2">
        <f>VLOOKUP(E1170,Produtos!$A:$E,4,FALSE)</f>
        <v>900</v>
      </c>
      <c r="I1170" s="2">
        <v>1</v>
      </c>
    </row>
    <row r="1171" spans="1:9" x14ac:dyDescent="0.25">
      <c r="A1171" s="2" t="str">
        <f>CONCATENATE(Códigos!S1170,Códigos!T1170,Códigos!U1170)</f>
        <v>svv1169v</v>
      </c>
      <c r="B1171" t="s">
        <v>407</v>
      </c>
      <c r="C1171" t="s">
        <v>323</v>
      </c>
      <c r="D1171" s="2" t="s">
        <v>325</v>
      </c>
      <c r="E1171" t="s">
        <v>461</v>
      </c>
      <c r="F1171" s="11">
        <v>44150</v>
      </c>
      <c r="G1171" s="2">
        <f>VLOOKUP(E1171,Produtos!$A:$E,5,FALSE)</f>
        <v>2000</v>
      </c>
      <c r="H1171" s="2">
        <f>VLOOKUP(E1171,Produtos!$A:$E,4,FALSE)</f>
        <v>900</v>
      </c>
      <c r="I1171" s="2">
        <v>1</v>
      </c>
    </row>
    <row r="1172" spans="1:9" x14ac:dyDescent="0.25">
      <c r="A1172" s="2" t="str">
        <f>CONCATENATE(Códigos!S1171,Códigos!T1171,Códigos!U1171)</f>
        <v>svv1170v</v>
      </c>
      <c r="B1172" t="s">
        <v>407</v>
      </c>
      <c r="C1172" t="s">
        <v>323</v>
      </c>
      <c r="D1172" s="2" t="s">
        <v>325</v>
      </c>
      <c r="E1172" t="s">
        <v>461</v>
      </c>
      <c r="F1172" s="11">
        <v>44151</v>
      </c>
      <c r="G1172" s="2">
        <f>VLOOKUP(E1172,Produtos!$A:$E,5,FALSE)</f>
        <v>2000</v>
      </c>
      <c r="H1172" s="2">
        <f>VLOOKUP(E1172,Produtos!$A:$E,4,FALSE)</f>
        <v>900</v>
      </c>
      <c r="I1172" s="2">
        <v>1</v>
      </c>
    </row>
    <row r="1173" spans="1:9" x14ac:dyDescent="0.25">
      <c r="A1173" s="2" t="str">
        <f>CONCATENATE(Códigos!S1172,Códigos!T1172,Códigos!U1172)</f>
        <v>svv1171v</v>
      </c>
      <c r="B1173" t="s">
        <v>407</v>
      </c>
      <c r="C1173" t="s">
        <v>323</v>
      </c>
      <c r="D1173" s="2" t="s">
        <v>325</v>
      </c>
      <c r="E1173" t="s">
        <v>461</v>
      </c>
      <c r="F1173" s="11">
        <v>44152</v>
      </c>
      <c r="G1173" s="2">
        <f>VLOOKUP(E1173,Produtos!$A:$E,5,FALSE)</f>
        <v>2000</v>
      </c>
      <c r="H1173" s="2">
        <f>VLOOKUP(E1173,Produtos!$A:$E,4,FALSE)</f>
        <v>900</v>
      </c>
      <c r="I1173" s="2">
        <v>1</v>
      </c>
    </row>
    <row r="1174" spans="1:9" x14ac:dyDescent="0.25">
      <c r="A1174" s="2" t="str">
        <f>CONCATENATE(Códigos!S1173,Códigos!T1173,Códigos!U1173)</f>
        <v>svv1172v</v>
      </c>
      <c r="B1174" t="s">
        <v>407</v>
      </c>
      <c r="C1174" t="s">
        <v>323</v>
      </c>
      <c r="D1174" s="2" t="s">
        <v>325</v>
      </c>
      <c r="E1174" t="s">
        <v>461</v>
      </c>
      <c r="F1174" s="11">
        <v>44153</v>
      </c>
      <c r="G1174" s="2">
        <f>VLOOKUP(E1174,Produtos!$A:$E,5,FALSE)</f>
        <v>2000</v>
      </c>
      <c r="H1174" s="2">
        <f>VLOOKUP(E1174,Produtos!$A:$E,4,FALSE)</f>
        <v>900</v>
      </c>
      <c r="I1174" s="2">
        <v>1</v>
      </c>
    </row>
    <row r="1175" spans="1:9" x14ac:dyDescent="0.25">
      <c r="A1175" s="2" t="str">
        <f>CONCATENATE(Códigos!S1174,Códigos!T1174,Códigos!U1174)</f>
        <v>svv1173v</v>
      </c>
      <c r="B1175" t="s">
        <v>407</v>
      </c>
      <c r="C1175" t="s">
        <v>323</v>
      </c>
      <c r="D1175" s="2" t="s">
        <v>325</v>
      </c>
      <c r="E1175" t="s">
        <v>461</v>
      </c>
      <c r="F1175" s="11">
        <v>44154</v>
      </c>
      <c r="G1175" s="2">
        <f>VLOOKUP(E1175,Produtos!$A:$E,5,FALSE)</f>
        <v>2000</v>
      </c>
      <c r="H1175" s="2">
        <f>VLOOKUP(E1175,Produtos!$A:$E,4,FALSE)</f>
        <v>900</v>
      </c>
      <c r="I1175" s="2">
        <v>1</v>
      </c>
    </row>
    <row r="1176" spans="1:9" x14ac:dyDescent="0.25">
      <c r="A1176" s="2" t="str">
        <f>CONCATENATE(Códigos!S1175,Códigos!T1175,Códigos!U1175)</f>
        <v>svv1174v</v>
      </c>
      <c r="B1176" t="s">
        <v>407</v>
      </c>
      <c r="C1176" t="s">
        <v>323</v>
      </c>
      <c r="D1176" s="2" t="s">
        <v>325</v>
      </c>
      <c r="E1176" t="s">
        <v>461</v>
      </c>
      <c r="F1176" s="11">
        <v>44155</v>
      </c>
      <c r="G1176" s="2">
        <f>VLOOKUP(E1176,Produtos!$A:$E,5,FALSE)</f>
        <v>2000</v>
      </c>
      <c r="H1176" s="2">
        <f>VLOOKUP(E1176,Produtos!$A:$E,4,FALSE)</f>
        <v>900</v>
      </c>
      <c r="I1176" s="2">
        <v>1</v>
      </c>
    </row>
    <row r="1177" spans="1:9" x14ac:dyDescent="0.25">
      <c r="A1177" s="2" t="str">
        <f>CONCATENATE(Códigos!S1176,Códigos!T1176,Códigos!U1176)</f>
        <v>svv1175v</v>
      </c>
      <c r="B1177" t="s">
        <v>407</v>
      </c>
      <c r="C1177" t="s">
        <v>323</v>
      </c>
      <c r="D1177" s="2" t="s">
        <v>325</v>
      </c>
      <c r="E1177" t="s">
        <v>461</v>
      </c>
      <c r="F1177" s="11">
        <v>44156</v>
      </c>
      <c r="G1177" s="2">
        <f>VLOOKUP(E1177,Produtos!$A:$E,5,FALSE)</f>
        <v>2000</v>
      </c>
      <c r="H1177" s="2">
        <f>VLOOKUP(E1177,Produtos!$A:$E,4,FALSE)</f>
        <v>900</v>
      </c>
      <c r="I1177" s="2">
        <v>1</v>
      </c>
    </row>
    <row r="1178" spans="1:9" x14ac:dyDescent="0.25">
      <c r="A1178" s="2" t="str">
        <f>CONCATENATE(Códigos!S1177,Códigos!T1177,Códigos!U1177)</f>
        <v>svv1176v</v>
      </c>
      <c r="B1178" t="s">
        <v>407</v>
      </c>
      <c r="C1178" t="s">
        <v>323</v>
      </c>
      <c r="D1178" s="2" t="s">
        <v>325</v>
      </c>
      <c r="E1178" t="s">
        <v>461</v>
      </c>
      <c r="F1178" s="11">
        <v>44157</v>
      </c>
      <c r="G1178" s="2">
        <f>VLOOKUP(E1178,Produtos!$A:$E,5,FALSE)</f>
        <v>2000</v>
      </c>
      <c r="H1178" s="2">
        <f>VLOOKUP(E1178,Produtos!$A:$E,4,FALSE)</f>
        <v>900</v>
      </c>
      <c r="I1178" s="2">
        <v>1</v>
      </c>
    </row>
    <row r="1179" spans="1:9" x14ac:dyDescent="0.25">
      <c r="A1179" s="2" t="str">
        <f>CONCATENATE(Códigos!S1178,Códigos!T1178,Códigos!U1178)</f>
        <v>svv1177v</v>
      </c>
      <c r="B1179" t="s">
        <v>407</v>
      </c>
      <c r="C1179" t="s">
        <v>323</v>
      </c>
      <c r="D1179" s="2" t="s">
        <v>325</v>
      </c>
      <c r="E1179" t="s">
        <v>461</v>
      </c>
      <c r="F1179" s="11">
        <v>44158</v>
      </c>
      <c r="G1179" s="2">
        <f>VLOOKUP(E1179,Produtos!$A:$E,5,FALSE)</f>
        <v>2000</v>
      </c>
      <c r="H1179" s="2">
        <f>VLOOKUP(E1179,Produtos!$A:$E,4,FALSE)</f>
        <v>900</v>
      </c>
      <c r="I1179" s="2">
        <v>1</v>
      </c>
    </row>
    <row r="1180" spans="1:9" x14ac:dyDescent="0.25">
      <c r="A1180" s="2" t="str">
        <f>CONCATENATE(Códigos!S1179,Códigos!T1179,Códigos!U1179)</f>
        <v>svv1178v</v>
      </c>
      <c r="B1180" t="s">
        <v>407</v>
      </c>
      <c r="C1180" t="s">
        <v>323</v>
      </c>
      <c r="D1180" s="2" t="s">
        <v>325</v>
      </c>
      <c r="E1180" t="s">
        <v>328</v>
      </c>
      <c r="F1180" s="11">
        <v>44159</v>
      </c>
      <c r="G1180" s="2">
        <f>VLOOKUP(E1180,Produtos!$A:$E,5,FALSE)</f>
        <v>900</v>
      </c>
      <c r="H1180" s="2">
        <f>VLOOKUP(E1180,Produtos!$A:$E,4,FALSE)</f>
        <v>500</v>
      </c>
      <c r="I1180" s="2">
        <v>1</v>
      </c>
    </row>
    <row r="1181" spans="1:9" x14ac:dyDescent="0.25">
      <c r="A1181" s="2" t="str">
        <f>CONCATENATE(Códigos!S1180,Códigos!T1180,Códigos!U1180)</f>
        <v>svv1179v</v>
      </c>
      <c r="B1181" t="s">
        <v>407</v>
      </c>
      <c r="C1181" t="s">
        <v>323</v>
      </c>
      <c r="D1181" s="2" t="s">
        <v>325</v>
      </c>
      <c r="E1181" t="s">
        <v>518</v>
      </c>
      <c r="F1181" s="11">
        <v>44160</v>
      </c>
      <c r="G1181" s="2">
        <f>VLOOKUP(E1181,Produtos!$A:$E,5,FALSE)</f>
        <v>680</v>
      </c>
      <c r="H1181" s="2">
        <f>VLOOKUP(E1181,Produtos!$A:$E,4,FALSE)</f>
        <v>300</v>
      </c>
      <c r="I1181" s="2">
        <v>1</v>
      </c>
    </row>
    <row r="1182" spans="1:9" x14ac:dyDescent="0.25">
      <c r="A1182" s="2" t="str">
        <f>CONCATENATE(Códigos!S1181,Códigos!T1181,Códigos!U1181)</f>
        <v>svv1180v</v>
      </c>
      <c r="B1182" t="s">
        <v>407</v>
      </c>
      <c r="C1182" t="s">
        <v>323</v>
      </c>
      <c r="D1182" s="2" t="s">
        <v>325</v>
      </c>
      <c r="E1182" t="s">
        <v>518</v>
      </c>
      <c r="F1182" s="11">
        <v>44161</v>
      </c>
      <c r="G1182" s="2">
        <f>VLOOKUP(E1182,Produtos!$A:$E,5,FALSE)</f>
        <v>680</v>
      </c>
      <c r="H1182" s="2">
        <f>VLOOKUP(E1182,Produtos!$A:$E,4,FALSE)</f>
        <v>300</v>
      </c>
      <c r="I1182" s="2">
        <v>1</v>
      </c>
    </row>
    <row r="1183" spans="1:9" x14ac:dyDescent="0.25">
      <c r="A1183" s="2" t="str">
        <f>CONCATENATE(Códigos!S1182,Códigos!T1182,Códigos!U1182)</f>
        <v>svv1181v</v>
      </c>
      <c r="B1183" t="s">
        <v>407</v>
      </c>
      <c r="C1183" t="s">
        <v>323</v>
      </c>
      <c r="D1183" s="2" t="s">
        <v>325</v>
      </c>
      <c r="E1183" t="s">
        <v>518</v>
      </c>
      <c r="F1183" s="11">
        <v>44162</v>
      </c>
      <c r="G1183" s="2">
        <f>VLOOKUP(E1183,Produtos!$A:$E,5,FALSE)</f>
        <v>680</v>
      </c>
      <c r="H1183" s="2">
        <f>VLOOKUP(E1183,Produtos!$A:$E,4,FALSE)</f>
        <v>300</v>
      </c>
      <c r="I1183" s="2">
        <v>1</v>
      </c>
    </row>
    <row r="1184" spans="1:9" x14ac:dyDescent="0.25">
      <c r="A1184" s="2" t="str">
        <f>CONCATENATE(Códigos!S1183,Códigos!T1183,Códigos!U1183)</f>
        <v>svv1182v</v>
      </c>
      <c r="B1184" t="s">
        <v>407</v>
      </c>
      <c r="C1184" t="s">
        <v>323</v>
      </c>
      <c r="D1184" s="2" t="s">
        <v>325</v>
      </c>
      <c r="E1184" t="s">
        <v>518</v>
      </c>
      <c r="F1184" s="11">
        <v>44163</v>
      </c>
      <c r="G1184" s="2">
        <f>VLOOKUP(E1184,Produtos!$A:$E,5,FALSE)</f>
        <v>680</v>
      </c>
      <c r="H1184" s="2">
        <f>VLOOKUP(E1184,Produtos!$A:$E,4,FALSE)</f>
        <v>300</v>
      </c>
      <c r="I1184" s="2">
        <v>1</v>
      </c>
    </row>
    <row r="1185" spans="1:9" x14ac:dyDescent="0.25">
      <c r="A1185" s="2" t="str">
        <f>CONCATENATE(Códigos!S1184,Códigos!T1184,Códigos!U1184)</f>
        <v>svv1183v</v>
      </c>
      <c r="B1185" t="s">
        <v>407</v>
      </c>
      <c r="C1185" t="s">
        <v>323</v>
      </c>
      <c r="D1185" s="2" t="s">
        <v>325</v>
      </c>
      <c r="E1185" t="s">
        <v>518</v>
      </c>
      <c r="F1185" s="11">
        <v>44164</v>
      </c>
      <c r="G1185" s="2">
        <f>VLOOKUP(E1185,Produtos!$A:$E,5,FALSE)</f>
        <v>680</v>
      </c>
      <c r="H1185" s="2">
        <f>VLOOKUP(E1185,Produtos!$A:$E,4,FALSE)</f>
        <v>300</v>
      </c>
      <c r="I1185" s="2">
        <v>1</v>
      </c>
    </row>
    <row r="1186" spans="1:9" x14ac:dyDescent="0.25">
      <c r="A1186" s="2" t="str">
        <f>CONCATENATE(Códigos!S1185,Códigos!T1185,Códigos!U1185)</f>
        <v>svv1184v</v>
      </c>
      <c r="B1186" t="s">
        <v>407</v>
      </c>
      <c r="C1186" t="s">
        <v>323</v>
      </c>
      <c r="D1186" s="2" t="s">
        <v>325</v>
      </c>
      <c r="E1186" t="s">
        <v>518</v>
      </c>
      <c r="F1186" s="11">
        <v>44165</v>
      </c>
      <c r="G1186" s="2">
        <f>VLOOKUP(E1186,Produtos!$A:$E,5,FALSE)</f>
        <v>680</v>
      </c>
      <c r="H1186" s="2">
        <f>VLOOKUP(E1186,Produtos!$A:$E,4,FALSE)</f>
        <v>300</v>
      </c>
      <c r="I1186" s="2">
        <v>1</v>
      </c>
    </row>
    <row r="1187" spans="1:9" x14ac:dyDescent="0.25">
      <c r="A1187" s="2" t="str">
        <f>CONCATENATE(Códigos!S1186,Códigos!T1186,Códigos!U1186)</f>
        <v>svv1185v</v>
      </c>
      <c r="B1187" t="s">
        <v>407</v>
      </c>
      <c r="C1187" t="s">
        <v>323</v>
      </c>
      <c r="D1187" s="2" t="s">
        <v>325</v>
      </c>
      <c r="E1187" t="s">
        <v>518</v>
      </c>
      <c r="F1187" s="11">
        <v>44166</v>
      </c>
      <c r="G1187" s="2">
        <f>VLOOKUP(E1187,Produtos!$A:$E,5,FALSE)</f>
        <v>680</v>
      </c>
      <c r="H1187" s="2">
        <f>VLOOKUP(E1187,Produtos!$A:$E,4,FALSE)</f>
        <v>300</v>
      </c>
      <c r="I1187" s="2">
        <v>1</v>
      </c>
    </row>
    <row r="1188" spans="1:9" x14ac:dyDescent="0.25">
      <c r="A1188" s="2" t="str">
        <f>CONCATENATE(Códigos!S1187,Códigos!T1187,Códigos!U1187)</f>
        <v>svv1186v</v>
      </c>
      <c r="B1188" t="s">
        <v>407</v>
      </c>
      <c r="C1188" t="s">
        <v>323</v>
      </c>
      <c r="D1188" s="2" t="s">
        <v>325</v>
      </c>
      <c r="E1188" t="s">
        <v>518</v>
      </c>
      <c r="F1188" s="11">
        <v>44167</v>
      </c>
      <c r="G1188" s="2">
        <f>VLOOKUP(E1188,Produtos!$A:$E,5,FALSE)</f>
        <v>680</v>
      </c>
      <c r="H1188" s="2">
        <f>VLOOKUP(E1188,Produtos!$A:$E,4,FALSE)</f>
        <v>300</v>
      </c>
      <c r="I1188" s="2">
        <v>1</v>
      </c>
    </row>
    <row r="1189" spans="1:9" x14ac:dyDescent="0.25">
      <c r="A1189" s="2" t="str">
        <f>CONCATENATE(Códigos!S1188,Códigos!T1188,Códigos!U1188)</f>
        <v>svv1187v</v>
      </c>
      <c r="B1189" t="s">
        <v>407</v>
      </c>
      <c r="C1189" t="s">
        <v>323</v>
      </c>
      <c r="D1189" s="2" t="s">
        <v>325</v>
      </c>
      <c r="E1189" t="s">
        <v>518</v>
      </c>
      <c r="F1189" s="11">
        <v>44168</v>
      </c>
      <c r="G1189" s="2">
        <f>VLOOKUP(E1189,Produtos!$A:$E,5,FALSE)</f>
        <v>680</v>
      </c>
      <c r="H1189" s="2">
        <f>VLOOKUP(E1189,Produtos!$A:$E,4,FALSE)</f>
        <v>300</v>
      </c>
      <c r="I1189" s="2">
        <v>1</v>
      </c>
    </row>
    <row r="1190" spans="1:9" x14ac:dyDescent="0.25">
      <c r="A1190" s="2" t="str">
        <f>CONCATENATE(Códigos!S1189,Códigos!T1189,Códigos!U1189)</f>
        <v>svv1188v</v>
      </c>
      <c r="B1190" t="s">
        <v>407</v>
      </c>
      <c r="C1190" t="s">
        <v>323</v>
      </c>
      <c r="D1190" s="2" t="s">
        <v>325</v>
      </c>
      <c r="E1190" t="s">
        <v>518</v>
      </c>
      <c r="F1190" s="11">
        <v>44169</v>
      </c>
      <c r="G1190" s="2">
        <f>VLOOKUP(E1190,Produtos!$A:$E,5,FALSE)</f>
        <v>680</v>
      </c>
      <c r="H1190" s="2">
        <f>VLOOKUP(E1190,Produtos!$A:$E,4,FALSE)</f>
        <v>300</v>
      </c>
      <c r="I1190" s="2">
        <v>1</v>
      </c>
    </row>
    <row r="1191" spans="1:9" x14ac:dyDescent="0.25">
      <c r="A1191" s="2" t="str">
        <f>CONCATENATE(Códigos!S1190,Códigos!T1190,Códigos!U1190)</f>
        <v>svv1189v</v>
      </c>
      <c r="B1191" t="s">
        <v>407</v>
      </c>
      <c r="C1191" t="s">
        <v>323</v>
      </c>
      <c r="D1191" s="2" t="s">
        <v>325</v>
      </c>
      <c r="E1191" t="s">
        <v>518</v>
      </c>
      <c r="F1191" s="11">
        <v>44170</v>
      </c>
      <c r="G1191" s="2">
        <f>VLOOKUP(E1191,Produtos!$A:$E,5,FALSE)</f>
        <v>680</v>
      </c>
      <c r="H1191" s="2">
        <f>VLOOKUP(E1191,Produtos!$A:$E,4,FALSE)</f>
        <v>300</v>
      </c>
      <c r="I1191" s="2">
        <v>1</v>
      </c>
    </row>
    <row r="1192" spans="1:9" x14ac:dyDescent="0.25">
      <c r="A1192" s="2" t="str">
        <f>CONCATENATE(Códigos!S1191,Códigos!T1191,Códigos!U1191)</f>
        <v>svv1190v</v>
      </c>
      <c r="B1192" t="s">
        <v>407</v>
      </c>
      <c r="C1192" t="s">
        <v>323</v>
      </c>
      <c r="D1192" s="2" t="s">
        <v>325</v>
      </c>
      <c r="E1192" t="s">
        <v>518</v>
      </c>
      <c r="F1192" s="11">
        <v>44171</v>
      </c>
      <c r="G1192" s="2">
        <f>VLOOKUP(E1192,Produtos!$A:$E,5,FALSE)</f>
        <v>680</v>
      </c>
      <c r="H1192" s="2">
        <f>VLOOKUP(E1192,Produtos!$A:$E,4,FALSE)</f>
        <v>300</v>
      </c>
      <c r="I1192" s="2">
        <v>1</v>
      </c>
    </row>
    <row r="1193" spans="1:9" x14ac:dyDescent="0.25">
      <c r="A1193" s="2" t="str">
        <f>CONCATENATE(Códigos!S1192,Códigos!T1192,Códigos!U1192)</f>
        <v>svv1191v</v>
      </c>
      <c r="B1193" t="s">
        <v>407</v>
      </c>
      <c r="C1193" t="s">
        <v>323</v>
      </c>
      <c r="D1193" s="2" t="s">
        <v>325</v>
      </c>
      <c r="E1193" t="s">
        <v>518</v>
      </c>
      <c r="F1193" s="11">
        <v>44172</v>
      </c>
      <c r="G1193" s="2">
        <f>VLOOKUP(E1193,Produtos!$A:$E,5,FALSE)</f>
        <v>680</v>
      </c>
      <c r="H1193" s="2">
        <f>VLOOKUP(E1193,Produtos!$A:$E,4,FALSE)</f>
        <v>300</v>
      </c>
      <c r="I1193" s="2">
        <v>1</v>
      </c>
    </row>
    <row r="1194" spans="1:9" x14ac:dyDescent="0.25">
      <c r="A1194" s="2" t="str">
        <f>CONCATENATE(Códigos!S1193,Códigos!T1193,Códigos!U1193)</f>
        <v>svv1192v</v>
      </c>
      <c r="B1194" t="s">
        <v>407</v>
      </c>
      <c r="C1194" t="s">
        <v>323</v>
      </c>
      <c r="D1194" s="2" t="s">
        <v>325</v>
      </c>
      <c r="E1194" t="s">
        <v>518</v>
      </c>
      <c r="F1194" s="11">
        <v>44173</v>
      </c>
      <c r="G1194" s="2">
        <f>VLOOKUP(E1194,Produtos!$A:$E,5,FALSE)</f>
        <v>680</v>
      </c>
      <c r="H1194" s="2">
        <f>VLOOKUP(E1194,Produtos!$A:$E,4,FALSE)</f>
        <v>300</v>
      </c>
      <c r="I1194" s="2">
        <v>1</v>
      </c>
    </row>
    <row r="1195" spans="1:9" x14ac:dyDescent="0.25">
      <c r="A1195" s="2" t="str">
        <f>CONCATENATE(Códigos!S1194,Códigos!T1194,Códigos!U1194)</f>
        <v>svv1193v</v>
      </c>
      <c r="B1195" t="s">
        <v>407</v>
      </c>
      <c r="C1195" t="s">
        <v>323</v>
      </c>
      <c r="D1195" s="2" t="s">
        <v>325</v>
      </c>
      <c r="E1195" t="s">
        <v>518</v>
      </c>
      <c r="F1195" s="11">
        <v>44174</v>
      </c>
      <c r="G1195" s="2">
        <f>VLOOKUP(E1195,Produtos!$A:$E,5,FALSE)</f>
        <v>680</v>
      </c>
      <c r="H1195" s="2">
        <f>VLOOKUP(E1195,Produtos!$A:$E,4,FALSE)</f>
        <v>300</v>
      </c>
      <c r="I1195" s="2">
        <v>1</v>
      </c>
    </row>
    <row r="1196" spans="1:9" x14ac:dyDescent="0.25">
      <c r="A1196" s="2" t="str">
        <f>CONCATENATE(Códigos!S1195,Códigos!T1195,Códigos!U1195)</f>
        <v>svv1194v</v>
      </c>
      <c r="B1196" t="s">
        <v>407</v>
      </c>
      <c r="C1196" t="s">
        <v>323</v>
      </c>
      <c r="D1196" s="2" t="s">
        <v>325</v>
      </c>
      <c r="E1196" t="s">
        <v>518</v>
      </c>
      <c r="F1196" s="11">
        <v>44175</v>
      </c>
      <c r="G1196" s="2">
        <f>VLOOKUP(E1196,Produtos!$A:$E,5,FALSE)</f>
        <v>680</v>
      </c>
      <c r="H1196" s="2">
        <f>VLOOKUP(E1196,Produtos!$A:$E,4,FALSE)</f>
        <v>300</v>
      </c>
      <c r="I1196" s="2">
        <v>1</v>
      </c>
    </row>
    <row r="1197" spans="1:9" x14ac:dyDescent="0.25">
      <c r="A1197" s="2" t="str">
        <f>CONCATENATE(Códigos!S1196,Códigos!T1196,Códigos!U1196)</f>
        <v>svv1195v</v>
      </c>
      <c r="B1197" t="s">
        <v>407</v>
      </c>
      <c r="C1197" t="s">
        <v>323</v>
      </c>
      <c r="D1197" s="2" t="s">
        <v>325</v>
      </c>
      <c r="E1197" t="s">
        <v>518</v>
      </c>
      <c r="F1197" s="11">
        <v>44176</v>
      </c>
      <c r="G1197" s="2">
        <f>VLOOKUP(E1197,Produtos!$A:$E,5,FALSE)</f>
        <v>680</v>
      </c>
      <c r="H1197" s="2">
        <f>VLOOKUP(E1197,Produtos!$A:$E,4,FALSE)</f>
        <v>300</v>
      </c>
      <c r="I1197" s="2">
        <v>1</v>
      </c>
    </row>
    <row r="1198" spans="1:9" x14ac:dyDescent="0.25">
      <c r="A1198" s="2" t="str">
        <f>CONCATENATE(Códigos!S1197,Códigos!T1197,Códigos!U1197)</f>
        <v>svv1196v</v>
      </c>
      <c r="B1198" t="s">
        <v>407</v>
      </c>
      <c r="C1198" t="s">
        <v>323</v>
      </c>
      <c r="D1198" s="2" t="s">
        <v>325</v>
      </c>
      <c r="E1198" t="s">
        <v>518</v>
      </c>
      <c r="F1198" s="11">
        <v>44177</v>
      </c>
      <c r="G1198" s="2">
        <f>VLOOKUP(E1198,Produtos!$A:$E,5,FALSE)</f>
        <v>680</v>
      </c>
      <c r="H1198" s="2">
        <f>VLOOKUP(E1198,Produtos!$A:$E,4,FALSE)</f>
        <v>300</v>
      </c>
      <c r="I1198" s="2">
        <v>1</v>
      </c>
    </row>
    <row r="1199" spans="1:9" x14ac:dyDescent="0.25">
      <c r="A1199" s="2" t="str">
        <f>CONCATENATE(Códigos!S1198,Códigos!T1198,Códigos!U1198)</f>
        <v>svv1197v</v>
      </c>
      <c r="B1199" t="s">
        <v>407</v>
      </c>
      <c r="C1199" t="s">
        <v>323</v>
      </c>
      <c r="D1199" s="2" t="s">
        <v>325</v>
      </c>
      <c r="E1199" t="s">
        <v>518</v>
      </c>
      <c r="F1199" s="11">
        <v>44178</v>
      </c>
      <c r="G1199" s="2">
        <f>VLOOKUP(E1199,Produtos!$A:$E,5,FALSE)</f>
        <v>680</v>
      </c>
      <c r="H1199" s="2">
        <f>VLOOKUP(E1199,Produtos!$A:$E,4,FALSE)</f>
        <v>300</v>
      </c>
      <c r="I1199" s="2">
        <v>1</v>
      </c>
    </row>
    <row r="1200" spans="1:9" x14ac:dyDescent="0.25">
      <c r="A1200" s="2" t="str">
        <f>CONCATENATE(Códigos!S1199,Códigos!T1199,Códigos!U1199)</f>
        <v>svv1198v</v>
      </c>
      <c r="B1200" t="s">
        <v>407</v>
      </c>
      <c r="C1200" t="s">
        <v>323</v>
      </c>
      <c r="D1200" s="2" t="s">
        <v>325</v>
      </c>
      <c r="E1200" t="s">
        <v>518</v>
      </c>
      <c r="F1200" s="11">
        <v>44179</v>
      </c>
      <c r="G1200" s="2">
        <f>VLOOKUP(E1200,Produtos!$A:$E,5,FALSE)</f>
        <v>680</v>
      </c>
      <c r="H1200" s="2">
        <f>VLOOKUP(E1200,Produtos!$A:$E,4,FALSE)</f>
        <v>300</v>
      </c>
      <c r="I1200" s="2">
        <v>1</v>
      </c>
    </row>
    <row r="1201" spans="1:9" x14ac:dyDescent="0.25">
      <c r="A1201" s="2" t="str">
        <f>CONCATENATE(Códigos!S1200,Códigos!T1200,Códigos!U1200)</f>
        <v>svv1199v</v>
      </c>
      <c r="B1201" t="s">
        <v>407</v>
      </c>
      <c r="C1201" t="s">
        <v>323</v>
      </c>
      <c r="D1201" s="2" t="s">
        <v>325</v>
      </c>
      <c r="E1201" t="s">
        <v>518</v>
      </c>
      <c r="F1201" s="11">
        <v>44180</v>
      </c>
      <c r="G1201" s="2">
        <f>VLOOKUP(E1201,Produtos!$A:$E,5,FALSE)</f>
        <v>680</v>
      </c>
      <c r="H1201" s="2">
        <f>VLOOKUP(E1201,Produtos!$A:$E,4,FALSE)</f>
        <v>300</v>
      </c>
      <c r="I1201" s="2">
        <v>1</v>
      </c>
    </row>
    <row r="1202" spans="1:9" x14ac:dyDescent="0.25">
      <c r="A1202" s="2" t="str">
        <f>CONCATENATE(Códigos!S1201,Códigos!T1201,Códigos!U1201)</f>
        <v>svv1200v</v>
      </c>
      <c r="B1202" t="s">
        <v>407</v>
      </c>
      <c r="C1202" t="s">
        <v>323</v>
      </c>
      <c r="D1202" s="2" t="s">
        <v>325</v>
      </c>
      <c r="E1202" t="s">
        <v>518</v>
      </c>
      <c r="F1202" s="11">
        <v>44181</v>
      </c>
      <c r="G1202" s="2">
        <f>VLOOKUP(E1202,Produtos!$A:$E,5,FALSE)</f>
        <v>680</v>
      </c>
      <c r="H1202" s="2">
        <f>VLOOKUP(E1202,Produtos!$A:$E,4,FALSE)</f>
        <v>300</v>
      </c>
      <c r="I1202" s="2">
        <v>1</v>
      </c>
    </row>
    <row r="1203" spans="1:9" x14ac:dyDescent="0.25">
      <c r="A1203" s="2" t="str">
        <f>CONCATENATE(Códigos!S1202,Códigos!T1202,Códigos!U1202)</f>
        <v>svv1201v</v>
      </c>
      <c r="B1203" t="s">
        <v>407</v>
      </c>
      <c r="C1203" t="s">
        <v>323</v>
      </c>
      <c r="D1203" s="2" t="s">
        <v>325</v>
      </c>
      <c r="E1203" t="s">
        <v>518</v>
      </c>
      <c r="F1203" s="11">
        <v>44182</v>
      </c>
      <c r="G1203" s="2">
        <f>VLOOKUP(E1203,Produtos!$A:$E,5,FALSE)</f>
        <v>680</v>
      </c>
      <c r="H1203" s="2">
        <f>VLOOKUP(E1203,Produtos!$A:$E,4,FALSE)</f>
        <v>300</v>
      </c>
      <c r="I1203" s="2">
        <v>1</v>
      </c>
    </row>
    <row r="1204" spans="1:9" x14ac:dyDescent="0.25">
      <c r="A1204" s="2" t="str">
        <f>CONCATENATE(Códigos!S1203,Códigos!T1203,Códigos!U1203)</f>
        <v>svv1202v</v>
      </c>
      <c r="B1204" t="s">
        <v>407</v>
      </c>
      <c r="C1204" t="s">
        <v>323</v>
      </c>
      <c r="D1204" s="2" t="s">
        <v>325</v>
      </c>
      <c r="E1204" t="s">
        <v>518</v>
      </c>
      <c r="F1204" s="11">
        <v>44183</v>
      </c>
      <c r="G1204" s="2">
        <f>VLOOKUP(E1204,Produtos!$A:$E,5,FALSE)</f>
        <v>680</v>
      </c>
      <c r="H1204" s="2">
        <f>VLOOKUP(E1204,Produtos!$A:$E,4,FALSE)</f>
        <v>300</v>
      </c>
      <c r="I1204" s="2">
        <v>1</v>
      </c>
    </row>
    <row r="1205" spans="1:9" x14ac:dyDescent="0.25">
      <c r="A1205" s="2" t="str">
        <f>CONCATENATE(Códigos!S1204,Códigos!T1204,Códigos!U1204)</f>
        <v>svv1203v</v>
      </c>
      <c r="B1205" t="s">
        <v>407</v>
      </c>
      <c r="C1205" t="s">
        <v>323</v>
      </c>
      <c r="D1205" s="2" t="s">
        <v>325</v>
      </c>
      <c r="E1205" t="s">
        <v>518</v>
      </c>
      <c r="F1205" s="11">
        <v>44184</v>
      </c>
      <c r="G1205" s="2">
        <f>VLOOKUP(E1205,Produtos!$A:$E,5,FALSE)</f>
        <v>680</v>
      </c>
      <c r="H1205" s="2">
        <f>VLOOKUP(E1205,Produtos!$A:$E,4,FALSE)</f>
        <v>300</v>
      </c>
      <c r="I1205" s="2">
        <v>1</v>
      </c>
    </row>
    <row r="1206" spans="1:9" x14ac:dyDescent="0.25">
      <c r="A1206" s="2" t="str">
        <f>CONCATENATE(Códigos!S1205,Códigos!T1205,Códigos!U1205)</f>
        <v>svv1204v</v>
      </c>
      <c r="B1206" t="s">
        <v>407</v>
      </c>
      <c r="C1206" t="s">
        <v>323</v>
      </c>
      <c r="D1206" s="2" t="s">
        <v>325</v>
      </c>
      <c r="E1206" t="s">
        <v>518</v>
      </c>
      <c r="F1206" s="11">
        <v>44185</v>
      </c>
      <c r="G1206" s="2">
        <f>VLOOKUP(E1206,Produtos!$A:$E,5,FALSE)</f>
        <v>680</v>
      </c>
      <c r="H1206" s="2">
        <f>VLOOKUP(E1206,Produtos!$A:$E,4,FALSE)</f>
        <v>300</v>
      </c>
      <c r="I1206" s="2">
        <v>1</v>
      </c>
    </row>
    <row r="1207" spans="1:9" x14ac:dyDescent="0.25">
      <c r="A1207" s="2" t="str">
        <f>CONCATENATE(Códigos!S1206,Códigos!T1206,Códigos!U1206)</f>
        <v>svv1205v</v>
      </c>
      <c r="B1207" t="s">
        <v>407</v>
      </c>
      <c r="C1207" t="s">
        <v>323</v>
      </c>
      <c r="D1207" s="2" t="s">
        <v>325</v>
      </c>
      <c r="E1207" t="s">
        <v>518</v>
      </c>
      <c r="F1207" s="11">
        <v>44186</v>
      </c>
      <c r="G1207" s="2">
        <f>VLOOKUP(E1207,Produtos!$A:$E,5,FALSE)</f>
        <v>680</v>
      </c>
      <c r="H1207" s="2">
        <f>VLOOKUP(E1207,Produtos!$A:$E,4,FALSE)</f>
        <v>300</v>
      </c>
      <c r="I1207" s="2">
        <v>1</v>
      </c>
    </row>
    <row r="1208" spans="1:9" x14ac:dyDescent="0.25">
      <c r="A1208" s="2" t="str">
        <f>CONCATENATE(Códigos!S1207,Códigos!T1207,Códigos!U1207)</f>
        <v>svv1206v</v>
      </c>
      <c r="B1208" t="s">
        <v>407</v>
      </c>
      <c r="C1208" t="s">
        <v>323</v>
      </c>
      <c r="D1208" s="2" t="s">
        <v>325</v>
      </c>
      <c r="E1208" t="s">
        <v>518</v>
      </c>
      <c r="F1208" s="11">
        <v>44187</v>
      </c>
      <c r="G1208" s="2">
        <f>VLOOKUP(E1208,Produtos!$A:$E,5,FALSE)</f>
        <v>680</v>
      </c>
      <c r="H1208" s="2">
        <f>VLOOKUP(E1208,Produtos!$A:$E,4,FALSE)</f>
        <v>300</v>
      </c>
      <c r="I1208" s="2">
        <v>1</v>
      </c>
    </row>
    <row r="1209" spans="1:9" x14ac:dyDescent="0.25">
      <c r="A1209" s="2" t="str">
        <f>CONCATENATE(Códigos!S1208,Códigos!T1208,Códigos!U1208)</f>
        <v>svv1207v</v>
      </c>
      <c r="B1209" t="s">
        <v>407</v>
      </c>
      <c r="C1209" t="s">
        <v>323</v>
      </c>
      <c r="D1209" s="2" t="s">
        <v>325</v>
      </c>
      <c r="E1209" t="s">
        <v>518</v>
      </c>
      <c r="F1209" s="11">
        <v>44188</v>
      </c>
      <c r="G1209" s="2">
        <f>VLOOKUP(E1209,Produtos!$A:$E,5,FALSE)</f>
        <v>680</v>
      </c>
      <c r="H1209" s="2">
        <f>VLOOKUP(E1209,Produtos!$A:$E,4,FALSE)</f>
        <v>300</v>
      </c>
      <c r="I1209" s="2">
        <v>1</v>
      </c>
    </row>
    <row r="1210" spans="1:9" x14ac:dyDescent="0.25">
      <c r="A1210" s="2" t="str">
        <f>CONCATENATE(Códigos!S1209,Códigos!T1209,Códigos!U1209)</f>
        <v>svv1208v</v>
      </c>
      <c r="B1210" t="s">
        <v>407</v>
      </c>
      <c r="C1210" t="s">
        <v>323</v>
      </c>
      <c r="D1210" s="2" t="s">
        <v>325</v>
      </c>
      <c r="E1210" t="s">
        <v>518</v>
      </c>
      <c r="F1210" s="11">
        <v>44189</v>
      </c>
      <c r="G1210" s="2">
        <f>VLOOKUP(E1210,Produtos!$A:$E,5,FALSE)</f>
        <v>680</v>
      </c>
      <c r="H1210" s="2">
        <f>VLOOKUP(E1210,Produtos!$A:$E,4,FALSE)</f>
        <v>300</v>
      </c>
      <c r="I1210" s="2">
        <v>1</v>
      </c>
    </row>
    <row r="1211" spans="1:9" x14ac:dyDescent="0.25">
      <c r="A1211" s="2" t="str">
        <f>CONCATENATE(Códigos!S1210,Códigos!T1210,Códigos!U1210)</f>
        <v>svv1209v</v>
      </c>
      <c r="B1211" t="s">
        <v>407</v>
      </c>
      <c r="C1211" t="s">
        <v>323</v>
      </c>
      <c r="D1211" s="2" t="s">
        <v>325</v>
      </c>
      <c r="E1211" t="s">
        <v>518</v>
      </c>
      <c r="F1211" s="11">
        <v>44190</v>
      </c>
      <c r="G1211" s="2">
        <f>VLOOKUP(E1211,Produtos!$A:$E,5,FALSE)</f>
        <v>680</v>
      </c>
      <c r="H1211" s="2">
        <f>VLOOKUP(E1211,Produtos!$A:$E,4,FALSE)</f>
        <v>300</v>
      </c>
      <c r="I1211" s="2">
        <v>1</v>
      </c>
    </row>
    <row r="1212" spans="1:9" x14ac:dyDescent="0.25">
      <c r="A1212" s="2" t="str">
        <f>CONCATENATE(Códigos!S1211,Códigos!T1211,Códigos!U1211)</f>
        <v>svv1210v</v>
      </c>
      <c r="B1212" t="s">
        <v>407</v>
      </c>
      <c r="C1212" t="s">
        <v>323</v>
      </c>
      <c r="D1212" s="2" t="s">
        <v>325</v>
      </c>
      <c r="E1212" t="s">
        <v>518</v>
      </c>
      <c r="F1212" s="11">
        <v>44191</v>
      </c>
      <c r="G1212" s="2">
        <f>VLOOKUP(E1212,Produtos!$A:$E,5,FALSE)</f>
        <v>680</v>
      </c>
      <c r="H1212" s="2">
        <f>VLOOKUP(E1212,Produtos!$A:$E,4,FALSE)</f>
        <v>300</v>
      </c>
      <c r="I1212" s="2">
        <v>1</v>
      </c>
    </row>
    <row r="1213" spans="1:9" x14ac:dyDescent="0.25">
      <c r="A1213" s="2" t="str">
        <f>CONCATENATE(Códigos!S1212,Códigos!T1212,Códigos!U1212)</f>
        <v>svv1211v</v>
      </c>
      <c r="B1213" t="s">
        <v>407</v>
      </c>
      <c r="C1213" t="s">
        <v>323</v>
      </c>
      <c r="D1213" s="2" t="s">
        <v>325</v>
      </c>
      <c r="E1213" t="s">
        <v>518</v>
      </c>
      <c r="F1213" s="11">
        <v>44192</v>
      </c>
      <c r="G1213" s="2">
        <f>VLOOKUP(E1213,Produtos!$A:$E,5,FALSE)</f>
        <v>680</v>
      </c>
      <c r="H1213" s="2">
        <f>VLOOKUP(E1213,Produtos!$A:$E,4,FALSE)</f>
        <v>300</v>
      </c>
      <c r="I1213" s="2">
        <v>1</v>
      </c>
    </row>
    <row r="1214" spans="1:9" x14ac:dyDescent="0.25">
      <c r="A1214" s="2" t="str">
        <f>CONCATENATE(Códigos!S1213,Códigos!T1213,Códigos!U1213)</f>
        <v>svv1212v</v>
      </c>
      <c r="B1214" t="s">
        <v>407</v>
      </c>
      <c r="C1214" t="s">
        <v>323</v>
      </c>
      <c r="D1214" s="2" t="s">
        <v>325</v>
      </c>
      <c r="E1214" t="s">
        <v>518</v>
      </c>
      <c r="F1214" s="11">
        <v>44193</v>
      </c>
      <c r="G1214" s="2">
        <f>VLOOKUP(E1214,Produtos!$A:$E,5,FALSE)</f>
        <v>680</v>
      </c>
      <c r="H1214" s="2">
        <f>VLOOKUP(E1214,Produtos!$A:$E,4,FALSE)</f>
        <v>300</v>
      </c>
      <c r="I1214" s="2">
        <v>1</v>
      </c>
    </row>
    <row r="1215" spans="1:9" x14ac:dyDescent="0.25">
      <c r="A1215" s="2" t="str">
        <f>CONCATENATE(Códigos!S1214,Códigos!T1214,Códigos!U1214)</f>
        <v>svv1213v</v>
      </c>
      <c r="B1215" t="s">
        <v>407</v>
      </c>
      <c r="C1215" t="s">
        <v>480</v>
      </c>
      <c r="D1215" s="2" t="s">
        <v>482</v>
      </c>
      <c r="E1215" t="s">
        <v>518</v>
      </c>
      <c r="F1215" s="11">
        <v>44194</v>
      </c>
      <c r="G1215" s="2">
        <f>VLOOKUP(E1215,Produtos!$A:$E,5,FALSE)</f>
        <v>680</v>
      </c>
      <c r="H1215" s="2">
        <f>VLOOKUP(E1215,Produtos!$A:$E,4,FALSE)</f>
        <v>300</v>
      </c>
      <c r="I1215" s="2">
        <v>1</v>
      </c>
    </row>
    <row r="1216" spans="1:9" x14ac:dyDescent="0.25">
      <c r="A1216" s="2" t="str">
        <f>CONCATENATE(Códigos!S1215,Códigos!T1215,Códigos!U1215)</f>
        <v>svv1214v</v>
      </c>
      <c r="B1216" t="s">
        <v>407</v>
      </c>
      <c r="C1216" t="s">
        <v>480</v>
      </c>
      <c r="D1216" s="2" t="s">
        <v>482</v>
      </c>
      <c r="E1216" t="s">
        <v>518</v>
      </c>
      <c r="F1216" s="11">
        <v>44195</v>
      </c>
      <c r="G1216" s="2">
        <f>VLOOKUP(E1216,Produtos!$A:$E,5,FALSE)</f>
        <v>680</v>
      </c>
      <c r="H1216" s="2">
        <f>VLOOKUP(E1216,Produtos!$A:$E,4,FALSE)</f>
        <v>300</v>
      </c>
      <c r="I1216" s="2">
        <v>1</v>
      </c>
    </row>
    <row r="1217" spans="1:9" x14ac:dyDescent="0.25">
      <c r="A1217" s="2" t="str">
        <f>CONCATENATE(Códigos!S1216,Códigos!T1216,Códigos!U1216)</f>
        <v>svv1215v</v>
      </c>
      <c r="B1217" t="s">
        <v>407</v>
      </c>
      <c r="C1217" t="s">
        <v>480</v>
      </c>
      <c r="D1217" s="2" t="s">
        <v>482</v>
      </c>
      <c r="E1217" t="s">
        <v>518</v>
      </c>
      <c r="F1217" s="11">
        <v>44196</v>
      </c>
      <c r="G1217" s="2">
        <f>VLOOKUP(E1217,Produtos!$A:$E,5,FALSE)</f>
        <v>680</v>
      </c>
      <c r="H1217" s="2">
        <f>VLOOKUP(E1217,Produtos!$A:$E,4,FALSE)</f>
        <v>300</v>
      </c>
      <c r="I1217" s="2">
        <v>1</v>
      </c>
    </row>
    <row r="1218" spans="1:9" x14ac:dyDescent="0.25">
      <c r="A1218" s="2" t="str">
        <f>CONCATENATE(Códigos!S1217,Códigos!T1217,Códigos!U1217)</f>
        <v>svv1216v</v>
      </c>
      <c r="B1218" t="s">
        <v>407</v>
      </c>
      <c r="C1218" t="s">
        <v>480</v>
      </c>
      <c r="D1218" s="2" t="s">
        <v>482</v>
      </c>
      <c r="E1218" t="s">
        <v>518</v>
      </c>
      <c r="F1218" s="11">
        <v>44197</v>
      </c>
      <c r="G1218" s="2">
        <f>VLOOKUP(E1218,Produtos!$A:$E,5,FALSE)</f>
        <v>680</v>
      </c>
      <c r="H1218" s="2">
        <f>VLOOKUP(E1218,Produtos!$A:$E,4,FALSE)</f>
        <v>300</v>
      </c>
      <c r="I1218" s="2">
        <v>1</v>
      </c>
    </row>
    <row r="1219" spans="1:9" x14ac:dyDescent="0.25">
      <c r="A1219" s="2" t="str">
        <f>CONCATENATE(Códigos!S1218,Códigos!T1218,Códigos!U1218)</f>
        <v>svv1217v</v>
      </c>
      <c r="B1219" t="s">
        <v>407</v>
      </c>
      <c r="C1219" t="s">
        <v>480</v>
      </c>
      <c r="D1219" s="2" t="s">
        <v>482</v>
      </c>
      <c r="E1219" t="s">
        <v>518</v>
      </c>
      <c r="F1219" s="11">
        <v>44198</v>
      </c>
      <c r="G1219" s="2">
        <f>VLOOKUP(E1219,Produtos!$A:$E,5,FALSE)</f>
        <v>680</v>
      </c>
      <c r="H1219" s="2">
        <f>VLOOKUP(E1219,Produtos!$A:$E,4,FALSE)</f>
        <v>300</v>
      </c>
      <c r="I1219" s="2">
        <v>1</v>
      </c>
    </row>
    <row r="1220" spans="1:9" x14ac:dyDescent="0.25">
      <c r="A1220" s="2" t="str">
        <f>CONCATENATE(Códigos!S1219,Códigos!T1219,Códigos!U1219)</f>
        <v>svv1218v</v>
      </c>
      <c r="B1220" t="s">
        <v>407</v>
      </c>
      <c r="C1220" t="s">
        <v>480</v>
      </c>
      <c r="D1220" s="2" t="s">
        <v>482</v>
      </c>
      <c r="E1220" t="s">
        <v>518</v>
      </c>
      <c r="F1220" s="11">
        <v>44199</v>
      </c>
      <c r="G1220" s="2">
        <f>VLOOKUP(E1220,Produtos!$A:$E,5,FALSE)</f>
        <v>680</v>
      </c>
      <c r="H1220" s="2">
        <f>VLOOKUP(E1220,Produtos!$A:$E,4,FALSE)</f>
        <v>300</v>
      </c>
      <c r="I1220" s="2">
        <v>1</v>
      </c>
    </row>
    <row r="1221" spans="1:9" x14ac:dyDescent="0.25">
      <c r="A1221" s="2" t="str">
        <f>CONCATENATE(Códigos!S1220,Códigos!T1220,Códigos!U1220)</f>
        <v>svv1219v</v>
      </c>
      <c r="B1221" t="s">
        <v>407</v>
      </c>
      <c r="C1221" t="s">
        <v>480</v>
      </c>
      <c r="D1221" s="2" t="s">
        <v>482</v>
      </c>
      <c r="E1221" t="s">
        <v>518</v>
      </c>
      <c r="F1221" s="11">
        <v>44200</v>
      </c>
      <c r="G1221" s="2">
        <f>VLOOKUP(E1221,Produtos!$A:$E,5,FALSE)</f>
        <v>680</v>
      </c>
      <c r="H1221" s="2">
        <f>VLOOKUP(E1221,Produtos!$A:$E,4,FALSE)</f>
        <v>300</v>
      </c>
      <c r="I1221" s="2">
        <v>1</v>
      </c>
    </row>
    <row r="1222" spans="1:9" x14ac:dyDescent="0.25">
      <c r="A1222" s="2" t="str">
        <f>CONCATENATE(Códigos!S1221,Códigos!T1221,Códigos!U1221)</f>
        <v>svv1220v</v>
      </c>
      <c r="B1222" t="s">
        <v>407</v>
      </c>
      <c r="C1222" t="s">
        <v>480</v>
      </c>
      <c r="D1222" s="2" t="s">
        <v>482</v>
      </c>
      <c r="E1222" t="s">
        <v>518</v>
      </c>
      <c r="F1222" s="11">
        <v>44201</v>
      </c>
      <c r="G1222" s="2">
        <f>VLOOKUP(E1222,Produtos!$A:$E,5,FALSE)</f>
        <v>680</v>
      </c>
      <c r="H1222" s="2">
        <f>VLOOKUP(E1222,Produtos!$A:$E,4,FALSE)</f>
        <v>300</v>
      </c>
      <c r="I1222" s="2">
        <v>1</v>
      </c>
    </row>
    <row r="1223" spans="1:9" x14ac:dyDescent="0.25">
      <c r="A1223" s="2" t="str">
        <f>CONCATENATE(Códigos!S1222,Códigos!T1222,Códigos!U1222)</f>
        <v>svv1221v</v>
      </c>
      <c r="B1223" t="s">
        <v>407</v>
      </c>
      <c r="C1223" t="s">
        <v>479</v>
      </c>
      <c r="D1223" s="2" t="s">
        <v>373</v>
      </c>
      <c r="E1223" t="s">
        <v>518</v>
      </c>
      <c r="F1223" s="11">
        <v>44202</v>
      </c>
      <c r="G1223" s="2">
        <f>VLOOKUP(E1223,Produtos!$A:$E,5,FALSE)</f>
        <v>680</v>
      </c>
      <c r="H1223" s="2">
        <f>VLOOKUP(E1223,Produtos!$A:$E,4,FALSE)</f>
        <v>300</v>
      </c>
      <c r="I1223" s="2">
        <v>1</v>
      </c>
    </row>
    <row r="1224" spans="1:9" x14ac:dyDescent="0.25">
      <c r="A1224" s="2" t="str">
        <f>CONCATENATE(Códigos!S1223,Códigos!T1223,Códigos!U1223)</f>
        <v>svv1222v</v>
      </c>
      <c r="B1224" t="s">
        <v>407</v>
      </c>
      <c r="C1224" t="s">
        <v>479</v>
      </c>
      <c r="D1224" s="2" t="s">
        <v>373</v>
      </c>
      <c r="E1224" t="s">
        <v>518</v>
      </c>
      <c r="F1224" s="11">
        <v>44203</v>
      </c>
      <c r="G1224" s="2">
        <f>VLOOKUP(E1224,Produtos!$A:$E,5,FALSE)</f>
        <v>680</v>
      </c>
      <c r="H1224" s="2">
        <f>VLOOKUP(E1224,Produtos!$A:$E,4,FALSE)</f>
        <v>300</v>
      </c>
      <c r="I1224" s="2">
        <v>1</v>
      </c>
    </row>
    <row r="1225" spans="1:9" x14ac:dyDescent="0.25">
      <c r="A1225" s="2" t="str">
        <f>CONCATENATE(Códigos!S1224,Códigos!T1224,Códigos!U1224)</f>
        <v>svv1223v</v>
      </c>
      <c r="B1225" t="s">
        <v>407</v>
      </c>
      <c r="C1225" t="s">
        <v>479</v>
      </c>
      <c r="D1225" s="2" t="s">
        <v>373</v>
      </c>
      <c r="E1225" t="s">
        <v>518</v>
      </c>
      <c r="F1225" s="11">
        <v>44204</v>
      </c>
      <c r="G1225" s="2">
        <f>VLOOKUP(E1225,Produtos!$A:$E,5,FALSE)</f>
        <v>680</v>
      </c>
      <c r="H1225" s="2">
        <f>VLOOKUP(E1225,Produtos!$A:$E,4,FALSE)</f>
        <v>300</v>
      </c>
      <c r="I1225" s="2">
        <v>1</v>
      </c>
    </row>
    <row r="1226" spans="1:9" x14ac:dyDescent="0.25">
      <c r="A1226" s="2" t="str">
        <f>CONCATENATE(Códigos!S1225,Códigos!T1225,Códigos!U1225)</f>
        <v>svv1224v</v>
      </c>
      <c r="B1226" t="s">
        <v>407</v>
      </c>
      <c r="C1226" t="s">
        <v>479</v>
      </c>
      <c r="D1226" s="2" t="s">
        <v>373</v>
      </c>
      <c r="E1226" t="s">
        <v>518</v>
      </c>
      <c r="F1226" s="11">
        <v>44205</v>
      </c>
      <c r="G1226" s="2">
        <f>VLOOKUP(E1226,Produtos!$A:$E,5,FALSE)</f>
        <v>680</v>
      </c>
      <c r="H1226" s="2">
        <f>VLOOKUP(E1226,Produtos!$A:$E,4,FALSE)</f>
        <v>300</v>
      </c>
      <c r="I1226" s="2">
        <v>1</v>
      </c>
    </row>
    <row r="1227" spans="1:9" x14ac:dyDescent="0.25">
      <c r="A1227" s="2" t="str">
        <f>CONCATENATE(Códigos!S1226,Códigos!T1226,Códigos!U1226)</f>
        <v>svv1225v</v>
      </c>
      <c r="B1227" t="s">
        <v>407</v>
      </c>
      <c r="C1227" t="s">
        <v>479</v>
      </c>
      <c r="D1227" s="2" t="s">
        <v>373</v>
      </c>
      <c r="E1227" t="s">
        <v>518</v>
      </c>
      <c r="F1227" s="11">
        <v>44206</v>
      </c>
      <c r="G1227" s="2">
        <f>VLOOKUP(E1227,Produtos!$A:$E,5,FALSE)</f>
        <v>680</v>
      </c>
      <c r="H1227" s="2">
        <f>VLOOKUP(E1227,Produtos!$A:$E,4,FALSE)</f>
        <v>300</v>
      </c>
      <c r="I1227" s="2">
        <v>1</v>
      </c>
    </row>
    <row r="1228" spans="1:9" x14ac:dyDescent="0.25">
      <c r="A1228" s="2" t="str">
        <f>CONCATENATE(Códigos!S1227,Códigos!T1227,Códigos!U1227)</f>
        <v>svv1226v</v>
      </c>
      <c r="B1228" t="s">
        <v>407</v>
      </c>
      <c r="C1228" t="s">
        <v>479</v>
      </c>
      <c r="D1228" s="2" t="s">
        <v>373</v>
      </c>
      <c r="E1228" t="s">
        <v>518</v>
      </c>
      <c r="F1228" s="11">
        <v>44207</v>
      </c>
      <c r="G1228" s="2">
        <f>VLOOKUP(E1228,Produtos!$A:$E,5,FALSE)</f>
        <v>680</v>
      </c>
      <c r="H1228" s="2">
        <f>VLOOKUP(E1228,Produtos!$A:$E,4,FALSE)</f>
        <v>300</v>
      </c>
      <c r="I1228" s="2">
        <v>1</v>
      </c>
    </row>
    <row r="1229" spans="1:9" x14ac:dyDescent="0.25">
      <c r="A1229" s="2" t="str">
        <f>CONCATENATE(Códigos!S1228,Códigos!T1228,Códigos!U1228)</f>
        <v>svv1227v</v>
      </c>
      <c r="B1229" t="s">
        <v>407</v>
      </c>
      <c r="C1229" t="s">
        <v>479</v>
      </c>
      <c r="D1229" s="2" t="s">
        <v>373</v>
      </c>
      <c r="E1229" t="s">
        <v>518</v>
      </c>
      <c r="F1229" s="11">
        <v>44208</v>
      </c>
      <c r="G1229" s="2">
        <f>VLOOKUP(E1229,Produtos!$A:$E,5,FALSE)</f>
        <v>680</v>
      </c>
      <c r="H1229" s="2">
        <f>VLOOKUP(E1229,Produtos!$A:$E,4,FALSE)</f>
        <v>300</v>
      </c>
      <c r="I1229" s="2">
        <v>1</v>
      </c>
    </row>
    <row r="1230" spans="1:9" x14ac:dyDescent="0.25">
      <c r="A1230" s="2" t="str">
        <f>CONCATENATE(Códigos!S1229,Códigos!T1229,Códigos!U1229)</f>
        <v>svv1228v</v>
      </c>
      <c r="B1230" t="s">
        <v>407</v>
      </c>
      <c r="C1230" t="s">
        <v>479</v>
      </c>
      <c r="D1230" s="2" t="s">
        <v>373</v>
      </c>
      <c r="E1230" t="s">
        <v>518</v>
      </c>
      <c r="F1230" s="11">
        <v>44209</v>
      </c>
      <c r="G1230" s="2">
        <f>VLOOKUP(E1230,Produtos!$A:$E,5,FALSE)</f>
        <v>680</v>
      </c>
      <c r="H1230" s="2">
        <f>VLOOKUP(E1230,Produtos!$A:$E,4,FALSE)</f>
        <v>300</v>
      </c>
      <c r="I1230" s="2">
        <v>1</v>
      </c>
    </row>
    <row r="1231" spans="1:9" x14ac:dyDescent="0.25">
      <c r="A1231" s="2" t="str">
        <f>CONCATENATE(Códigos!S1230,Códigos!T1230,Códigos!U1230)</f>
        <v>svv1229v</v>
      </c>
      <c r="B1231" t="s">
        <v>407</v>
      </c>
      <c r="C1231" t="s">
        <v>479</v>
      </c>
      <c r="D1231" s="2" t="s">
        <v>373</v>
      </c>
      <c r="E1231" t="s">
        <v>518</v>
      </c>
      <c r="F1231" s="11">
        <v>44210</v>
      </c>
      <c r="G1231" s="2">
        <f>VLOOKUP(E1231,Produtos!$A:$E,5,FALSE)</f>
        <v>680</v>
      </c>
      <c r="H1231" s="2">
        <f>VLOOKUP(E1231,Produtos!$A:$E,4,FALSE)</f>
        <v>300</v>
      </c>
      <c r="I1231" s="2">
        <v>1</v>
      </c>
    </row>
    <row r="1232" spans="1:9" x14ac:dyDescent="0.25">
      <c r="A1232" s="2" t="str">
        <f>CONCATENATE(Códigos!S1231,Códigos!T1231,Códigos!U1231)</f>
        <v>svv1230v</v>
      </c>
      <c r="B1232" t="s">
        <v>407</v>
      </c>
      <c r="C1232" t="s">
        <v>479</v>
      </c>
      <c r="D1232" s="2" t="s">
        <v>373</v>
      </c>
      <c r="E1232" t="s">
        <v>518</v>
      </c>
      <c r="F1232" s="11">
        <v>44211</v>
      </c>
      <c r="G1232" s="2">
        <f>VLOOKUP(E1232,Produtos!$A:$E,5,FALSE)</f>
        <v>680</v>
      </c>
      <c r="H1232" s="2">
        <f>VLOOKUP(E1232,Produtos!$A:$E,4,FALSE)</f>
        <v>300</v>
      </c>
      <c r="I1232" s="2">
        <v>1</v>
      </c>
    </row>
    <row r="1233" spans="1:9" x14ac:dyDescent="0.25">
      <c r="A1233" s="2" t="str">
        <f>CONCATENATE(Códigos!S1232,Códigos!T1232,Códigos!U1232)</f>
        <v>svv1231v</v>
      </c>
      <c r="B1233" t="s">
        <v>407</v>
      </c>
      <c r="C1233" t="s">
        <v>479</v>
      </c>
      <c r="D1233" s="2" t="s">
        <v>373</v>
      </c>
      <c r="E1233" t="s">
        <v>481</v>
      </c>
      <c r="F1233" s="11">
        <v>44212</v>
      </c>
      <c r="G1233" s="2">
        <f>VLOOKUP(E1233,Produtos!$A:$E,5,FALSE)</f>
        <v>850</v>
      </c>
      <c r="H1233" s="2">
        <f>VLOOKUP(E1233,Produtos!$A:$E,4,FALSE)</f>
        <v>400</v>
      </c>
      <c r="I1233" s="2">
        <v>1</v>
      </c>
    </row>
    <row r="1234" spans="1:9" x14ac:dyDescent="0.25">
      <c r="A1234" s="2" t="str">
        <f>CONCATENATE(Códigos!S1233,Códigos!T1233,Códigos!U1233)</f>
        <v>svv1232v</v>
      </c>
      <c r="B1234" t="s">
        <v>407</v>
      </c>
      <c r="C1234" t="s">
        <v>479</v>
      </c>
      <c r="D1234" s="2" t="s">
        <v>373</v>
      </c>
      <c r="E1234" t="s">
        <v>481</v>
      </c>
      <c r="F1234" s="11">
        <v>44213</v>
      </c>
      <c r="G1234" s="2">
        <f>VLOOKUP(E1234,Produtos!$A:$E,5,FALSE)</f>
        <v>850</v>
      </c>
      <c r="H1234" s="2">
        <f>VLOOKUP(E1234,Produtos!$A:$E,4,FALSE)</f>
        <v>400</v>
      </c>
      <c r="I1234" s="2">
        <v>1</v>
      </c>
    </row>
    <row r="1235" spans="1:9" x14ac:dyDescent="0.25">
      <c r="A1235" s="2" t="str">
        <f>CONCATENATE(Códigos!S1234,Códigos!T1234,Códigos!U1234)</f>
        <v>svv1233v</v>
      </c>
      <c r="B1235" t="s">
        <v>407</v>
      </c>
      <c r="C1235" t="s">
        <v>479</v>
      </c>
      <c r="D1235" s="2" t="s">
        <v>373</v>
      </c>
      <c r="E1235" t="s">
        <v>481</v>
      </c>
      <c r="F1235" s="11">
        <v>44214</v>
      </c>
      <c r="G1235" s="2">
        <f>VLOOKUP(E1235,Produtos!$A:$E,5,FALSE)</f>
        <v>850</v>
      </c>
      <c r="H1235" s="2">
        <f>VLOOKUP(E1235,Produtos!$A:$E,4,FALSE)</f>
        <v>400</v>
      </c>
      <c r="I1235" s="2">
        <v>1</v>
      </c>
    </row>
    <row r="1236" spans="1:9" x14ac:dyDescent="0.25">
      <c r="A1236" s="2" t="str">
        <f>CONCATENATE(Códigos!S1235,Códigos!T1235,Códigos!U1235)</f>
        <v>svv1234v</v>
      </c>
      <c r="B1236" t="s">
        <v>407</v>
      </c>
      <c r="C1236" t="s">
        <v>479</v>
      </c>
      <c r="D1236" s="2" t="s">
        <v>373</v>
      </c>
      <c r="E1236" t="s">
        <v>481</v>
      </c>
      <c r="F1236" s="11">
        <v>44215</v>
      </c>
      <c r="G1236" s="2">
        <f>VLOOKUP(E1236,Produtos!$A:$E,5,FALSE)</f>
        <v>850</v>
      </c>
      <c r="H1236" s="2">
        <f>VLOOKUP(E1236,Produtos!$A:$E,4,FALSE)</f>
        <v>400</v>
      </c>
      <c r="I1236" s="2">
        <v>1</v>
      </c>
    </row>
    <row r="1237" spans="1:9" x14ac:dyDescent="0.25">
      <c r="A1237" s="2" t="str">
        <f>CONCATENATE(Códigos!S1236,Códigos!T1236,Códigos!U1236)</f>
        <v>svv1235v</v>
      </c>
      <c r="B1237" t="s">
        <v>407</v>
      </c>
      <c r="C1237" t="s">
        <v>479</v>
      </c>
      <c r="D1237" s="2" t="s">
        <v>373</v>
      </c>
      <c r="E1237" t="s">
        <v>481</v>
      </c>
      <c r="F1237" s="11">
        <v>44216</v>
      </c>
      <c r="G1237" s="2">
        <f>VLOOKUP(E1237,Produtos!$A:$E,5,FALSE)</f>
        <v>850</v>
      </c>
      <c r="H1237" s="2">
        <f>VLOOKUP(E1237,Produtos!$A:$E,4,FALSE)</f>
        <v>400</v>
      </c>
      <c r="I1237" s="2">
        <v>1</v>
      </c>
    </row>
    <row r="1238" spans="1:9" x14ac:dyDescent="0.25">
      <c r="A1238" s="2" t="str">
        <f>CONCATENATE(Códigos!S1237,Códigos!T1237,Códigos!U1237)</f>
        <v>svv1236v</v>
      </c>
      <c r="B1238" t="s">
        <v>407</v>
      </c>
      <c r="C1238" t="s">
        <v>479</v>
      </c>
      <c r="D1238" s="2" t="s">
        <v>373</v>
      </c>
      <c r="E1238" t="s">
        <v>481</v>
      </c>
      <c r="F1238" s="11">
        <v>44217</v>
      </c>
      <c r="G1238" s="2">
        <f>VLOOKUP(E1238,Produtos!$A:$E,5,FALSE)</f>
        <v>850</v>
      </c>
      <c r="H1238" s="2">
        <f>VLOOKUP(E1238,Produtos!$A:$E,4,FALSE)</f>
        <v>400</v>
      </c>
      <c r="I1238" s="2">
        <v>1</v>
      </c>
    </row>
    <row r="1239" spans="1:9" x14ac:dyDescent="0.25">
      <c r="A1239" s="2" t="str">
        <f>CONCATENATE(Códigos!S1238,Códigos!T1238,Códigos!U1238)</f>
        <v>svv1237v</v>
      </c>
      <c r="B1239" t="s">
        <v>407</v>
      </c>
      <c r="C1239" t="s">
        <v>479</v>
      </c>
      <c r="D1239" s="2" t="s">
        <v>373</v>
      </c>
      <c r="E1239" t="s">
        <v>481</v>
      </c>
      <c r="F1239" s="11">
        <v>44218</v>
      </c>
      <c r="G1239" s="2">
        <f>VLOOKUP(E1239,Produtos!$A:$E,5,FALSE)</f>
        <v>850</v>
      </c>
      <c r="H1239" s="2">
        <f>VLOOKUP(E1239,Produtos!$A:$E,4,FALSE)</f>
        <v>400</v>
      </c>
      <c r="I1239" s="2">
        <v>1</v>
      </c>
    </row>
    <row r="1240" spans="1:9" x14ac:dyDescent="0.25">
      <c r="A1240" s="2" t="str">
        <f>CONCATENATE(Códigos!S1239,Códigos!T1239,Códigos!U1239)</f>
        <v>svv1238v</v>
      </c>
      <c r="B1240" t="s">
        <v>407</v>
      </c>
      <c r="C1240" t="s">
        <v>479</v>
      </c>
      <c r="D1240" s="2" t="s">
        <v>373</v>
      </c>
      <c r="E1240" t="s">
        <v>481</v>
      </c>
      <c r="F1240" s="11">
        <v>44219</v>
      </c>
      <c r="G1240" s="2">
        <f>VLOOKUP(E1240,Produtos!$A:$E,5,FALSE)</f>
        <v>850</v>
      </c>
      <c r="H1240" s="2">
        <f>VLOOKUP(E1240,Produtos!$A:$E,4,FALSE)</f>
        <v>400</v>
      </c>
      <c r="I1240" s="2">
        <v>1</v>
      </c>
    </row>
    <row r="1241" spans="1:9" x14ac:dyDescent="0.25">
      <c r="A1241" s="2" t="str">
        <f>CONCATENATE(Códigos!S1240,Códigos!T1240,Códigos!U1240)</f>
        <v>svv1239v</v>
      </c>
      <c r="B1241" t="s">
        <v>407</v>
      </c>
      <c r="C1241" t="s">
        <v>479</v>
      </c>
      <c r="D1241" s="2" t="s">
        <v>373</v>
      </c>
      <c r="E1241" t="s">
        <v>481</v>
      </c>
      <c r="F1241" s="11">
        <v>44220</v>
      </c>
      <c r="G1241" s="2">
        <f>VLOOKUP(E1241,Produtos!$A:$E,5,FALSE)</f>
        <v>850</v>
      </c>
      <c r="H1241" s="2">
        <f>VLOOKUP(E1241,Produtos!$A:$E,4,FALSE)</f>
        <v>400</v>
      </c>
      <c r="I1241" s="2">
        <v>1</v>
      </c>
    </row>
    <row r="1242" spans="1:9" x14ac:dyDescent="0.25">
      <c r="A1242" s="2" t="str">
        <f>CONCATENATE(Códigos!S1241,Códigos!T1241,Códigos!U1241)</f>
        <v>svv1240v</v>
      </c>
      <c r="B1242" t="s">
        <v>407</v>
      </c>
      <c r="C1242" t="s">
        <v>479</v>
      </c>
      <c r="D1242" s="2" t="s">
        <v>373</v>
      </c>
      <c r="E1242" t="s">
        <v>481</v>
      </c>
      <c r="F1242" s="11">
        <v>44221</v>
      </c>
      <c r="G1242" s="2">
        <f>VLOOKUP(E1242,Produtos!$A:$E,5,FALSE)</f>
        <v>850</v>
      </c>
      <c r="H1242" s="2">
        <f>VLOOKUP(E1242,Produtos!$A:$E,4,FALSE)</f>
        <v>400</v>
      </c>
      <c r="I1242" s="2">
        <v>1</v>
      </c>
    </row>
    <row r="1243" spans="1:9" x14ac:dyDescent="0.25">
      <c r="A1243" s="2" t="str">
        <f>CONCATENATE(Códigos!S1242,Códigos!T1242,Códigos!U1242)</f>
        <v>svv1241v</v>
      </c>
      <c r="B1243" t="s">
        <v>407</v>
      </c>
      <c r="C1243" t="s">
        <v>479</v>
      </c>
      <c r="D1243" s="2" t="s">
        <v>373</v>
      </c>
      <c r="E1243" t="s">
        <v>481</v>
      </c>
      <c r="F1243" s="11">
        <v>44222</v>
      </c>
      <c r="G1243" s="2">
        <f>VLOOKUP(E1243,Produtos!$A:$E,5,FALSE)</f>
        <v>850</v>
      </c>
      <c r="H1243" s="2">
        <f>VLOOKUP(E1243,Produtos!$A:$E,4,FALSE)</f>
        <v>400</v>
      </c>
      <c r="I1243" s="2">
        <v>1</v>
      </c>
    </row>
    <row r="1244" spans="1:9" x14ac:dyDescent="0.25">
      <c r="A1244" s="2" t="str">
        <f>CONCATENATE(Códigos!S1243,Códigos!T1243,Códigos!U1243)</f>
        <v>svv1242v</v>
      </c>
      <c r="B1244" t="s">
        <v>407</v>
      </c>
      <c r="C1244" t="s">
        <v>479</v>
      </c>
      <c r="D1244" s="2" t="s">
        <v>373</v>
      </c>
      <c r="E1244" t="s">
        <v>481</v>
      </c>
      <c r="F1244" s="11">
        <v>44223</v>
      </c>
      <c r="G1244" s="2">
        <f>VLOOKUP(E1244,Produtos!$A:$E,5,FALSE)</f>
        <v>850</v>
      </c>
      <c r="H1244" s="2">
        <f>VLOOKUP(E1244,Produtos!$A:$E,4,FALSE)</f>
        <v>400</v>
      </c>
      <c r="I1244" s="2">
        <v>1</v>
      </c>
    </row>
    <row r="1245" spans="1:9" x14ac:dyDescent="0.25">
      <c r="A1245" s="2" t="str">
        <f>CONCATENATE(Códigos!S1244,Códigos!T1244,Códigos!U1244)</f>
        <v>svv1243v</v>
      </c>
      <c r="B1245" t="s">
        <v>407</v>
      </c>
      <c r="C1245" t="s">
        <v>479</v>
      </c>
      <c r="D1245" s="2" t="s">
        <v>373</v>
      </c>
      <c r="E1245" t="s">
        <v>481</v>
      </c>
      <c r="F1245" s="11">
        <v>44224</v>
      </c>
      <c r="G1245" s="2">
        <f>VLOOKUP(E1245,Produtos!$A:$E,5,FALSE)</f>
        <v>850</v>
      </c>
      <c r="H1245" s="2">
        <f>VLOOKUP(E1245,Produtos!$A:$E,4,FALSE)</f>
        <v>400</v>
      </c>
      <c r="I1245" s="2">
        <v>1</v>
      </c>
    </row>
    <row r="1246" spans="1:9" x14ac:dyDescent="0.25">
      <c r="A1246" s="2" t="str">
        <f>CONCATENATE(Códigos!S1245,Códigos!T1245,Códigos!U1245)</f>
        <v>svv1244v</v>
      </c>
      <c r="B1246" t="s">
        <v>407</v>
      </c>
      <c r="C1246" t="s">
        <v>479</v>
      </c>
      <c r="D1246" s="2" t="s">
        <v>373</v>
      </c>
      <c r="E1246" t="s">
        <v>481</v>
      </c>
      <c r="F1246" s="11">
        <v>44225</v>
      </c>
      <c r="G1246" s="2">
        <f>VLOOKUP(E1246,Produtos!$A:$E,5,FALSE)</f>
        <v>850</v>
      </c>
      <c r="H1246" s="2">
        <f>VLOOKUP(E1246,Produtos!$A:$E,4,FALSE)</f>
        <v>400</v>
      </c>
      <c r="I1246" s="2">
        <v>1</v>
      </c>
    </row>
    <row r="1247" spans="1:9" x14ac:dyDescent="0.25">
      <c r="A1247" s="2" t="str">
        <f>CONCATENATE(Códigos!S1246,Códigos!T1246,Códigos!U1246)</f>
        <v>svv1245v</v>
      </c>
      <c r="B1247" t="s">
        <v>407</v>
      </c>
      <c r="C1247" t="s">
        <v>479</v>
      </c>
      <c r="D1247" s="2" t="s">
        <v>373</v>
      </c>
      <c r="E1247" t="s">
        <v>481</v>
      </c>
      <c r="F1247" s="11">
        <v>44226</v>
      </c>
      <c r="G1247" s="2">
        <f>VLOOKUP(E1247,Produtos!$A:$E,5,FALSE)</f>
        <v>850</v>
      </c>
      <c r="H1247" s="2">
        <f>VLOOKUP(E1247,Produtos!$A:$E,4,FALSE)</f>
        <v>400</v>
      </c>
      <c r="I1247" s="2">
        <v>1</v>
      </c>
    </row>
    <row r="1248" spans="1:9" x14ac:dyDescent="0.25">
      <c r="A1248" s="2" t="str">
        <f>CONCATENATE(Códigos!S1247,Códigos!T1247,Códigos!U1247)</f>
        <v>svv1246v</v>
      </c>
      <c r="B1248" t="s">
        <v>407</v>
      </c>
      <c r="C1248" t="s">
        <v>479</v>
      </c>
      <c r="D1248" s="2" t="s">
        <v>373</v>
      </c>
      <c r="E1248" t="s">
        <v>481</v>
      </c>
      <c r="F1248" s="11">
        <v>44227</v>
      </c>
      <c r="G1248" s="2">
        <f>VLOOKUP(E1248,Produtos!$A:$E,5,FALSE)</f>
        <v>850</v>
      </c>
      <c r="H1248" s="2">
        <f>VLOOKUP(E1248,Produtos!$A:$E,4,FALSE)</f>
        <v>400</v>
      </c>
      <c r="I1248" s="2">
        <v>1</v>
      </c>
    </row>
    <row r="1249" spans="1:9" x14ac:dyDescent="0.25">
      <c r="A1249" s="2" t="str">
        <f>CONCATENATE(Códigos!S1248,Códigos!T1248,Códigos!U1248)</f>
        <v>svv1247v</v>
      </c>
      <c r="B1249" t="s">
        <v>407</v>
      </c>
      <c r="C1249" t="s">
        <v>479</v>
      </c>
      <c r="D1249" s="2" t="s">
        <v>373</v>
      </c>
      <c r="E1249" t="s">
        <v>481</v>
      </c>
      <c r="F1249" s="11">
        <v>44228</v>
      </c>
      <c r="G1249" s="2">
        <f>VLOOKUP(E1249,Produtos!$A:$E,5,FALSE)</f>
        <v>850</v>
      </c>
      <c r="H1249" s="2">
        <f>VLOOKUP(E1249,Produtos!$A:$E,4,FALSE)</f>
        <v>400</v>
      </c>
      <c r="I1249" s="2">
        <v>1</v>
      </c>
    </row>
    <row r="1250" spans="1:9" x14ac:dyDescent="0.25">
      <c r="A1250" s="2" t="str">
        <f>CONCATENATE(Códigos!S1249,Códigos!T1249,Códigos!U1249)</f>
        <v>svv1248v</v>
      </c>
      <c r="B1250" t="s">
        <v>407</v>
      </c>
      <c r="C1250" t="s">
        <v>524</v>
      </c>
      <c r="D1250" s="2" t="s">
        <v>525</v>
      </c>
      <c r="E1250" t="s">
        <v>481</v>
      </c>
      <c r="F1250" s="11">
        <v>44229</v>
      </c>
      <c r="G1250" s="2">
        <f>VLOOKUP(E1250,Produtos!$A:$E,5,FALSE)</f>
        <v>850</v>
      </c>
      <c r="H1250" s="2">
        <f>VLOOKUP(E1250,Produtos!$A:$E,4,FALSE)</f>
        <v>400</v>
      </c>
      <c r="I1250" s="2">
        <v>1</v>
      </c>
    </row>
    <row r="1251" spans="1:9" x14ac:dyDescent="0.25">
      <c r="A1251" s="2" t="str">
        <f>CONCATENATE(Códigos!S1250,Códigos!T1250,Códigos!U1250)</f>
        <v>svv1249v</v>
      </c>
      <c r="B1251" t="s">
        <v>407</v>
      </c>
      <c r="C1251" t="s">
        <v>524</v>
      </c>
      <c r="D1251" s="2" t="s">
        <v>525</v>
      </c>
      <c r="E1251" t="s">
        <v>481</v>
      </c>
      <c r="F1251" s="11">
        <v>44230</v>
      </c>
      <c r="G1251" s="2">
        <f>VLOOKUP(E1251,Produtos!$A:$E,5,FALSE)</f>
        <v>850</v>
      </c>
      <c r="H1251" s="2">
        <f>VLOOKUP(E1251,Produtos!$A:$E,4,FALSE)</f>
        <v>400</v>
      </c>
      <c r="I1251" s="2">
        <v>1</v>
      </c>
    </row>
    <row r="1252" spans="1:9" x14ac:dyDescent="0.25">
      <c r="A1252" s="2" t="str">
        <f>CONCATENATE(Códigos!S1251,Códigos!T1251,Códigos!U1251)</f>
        <v>svv1250v</v>
      </c>
      <c r="B1252" t="s">
        <v>407</v>
      </c>
      <c r="C1252" t="s">
        <v>524</v>
      </c>
      <c r="D1252" s="2" t="s">
        <v>525</v>
      </c>
      <c r="E1252" t="s">
        <v>481</v>
      </c>
      <c r="F1252" s="11">
        <v>44231</v>
      </c>
      <c r="G1252" s="2">
        <f>VLOOKUP(E1252,Produtos!$A:$E,5,FALSE)</f>
        <v>850</v>
      </c>
      <c r="H1252" s="2">
        <f>VLOOKUP(E1252,Produtos!$A:$E,4,FALSE)</f>
        <v>400</v>
      </c>
      <c r="I1252" s="2">
        <v>1</v>
      </c>
    </row>
    <row r="1253" spans="1:9" x14ac:dyDescent="0.25">
      <c r="A1253" s="2" t="str">
        <f>CONCATENATE(Códigos!S1252,Códigos!T1252,Códigos!U1252)</f>
        <v>svv1251v</v>
      </c>
      <c r="B1253" t="s">
        <v>407</v>
      </c>
      <c r="C1253" t="s">
        <v>524</v>
      </c>
      <c r="D1253" s="2" t="s">
        <v>525</v>
      </c>
      <c r="E1253" t="s">
        <v>481</v>
      </c>
      <c r="F1253" s="11">
        <v>44232</v>
      </c>
      <c r="G1253" s="2">
        <f>VLOOKUP(E1253,Produtos!$A:$E,5,FALSE)</f>
        <v>850</v>
      </c>
      <c r="H1253" s="2">
        <f>VLOOKUP(E1253,Produtos!$A:$E,4,FALSE)</f>
        <v>400</v>
      </c>
      <c r="I1253" s="2">
        <v>1</v>
      </c>
    </row>
    <row r="1254" spans="1:9" x14ac:dyDescent="0.25">
      <c r="A1254" s="2" t="str">
        <f>CONCATENATE(Códigos!S1253,Códigos!T1253,Códigos!U1253)</f>
        <v>svv1252v</v>
      </c>
      <c r="B1254" t="s">
        <v>407</v>
      </c>
      <c r="C1254" t="s">
        <v>524</v>
      </c>
      <c r="D1254" s="2" t="s">
        <v>525</v>
      </c>
      <c r="E1254" t="s">
        <v>481</v>
      </c>
      <c r="F1254" s="11">
        <v>44233</v>
      </c>
      <c r="G1254" s="2">
        <f>VLOOKUP(E1254,Produtos!$A:$E,5,FALSE)</f>
        <v>850</v>
      </c>
      <c r="H1254" s="2">
        <f>VLOOKUP(E1254,Produtos!$A:$E,4,FALSE)</f>
        <v>400</v>
      </c>
      <c r="I1254" s="2">
        <v>1</v>
      </c>
    </row>
    <row r="1255" spans="1:9" x14ac:dyDescent="0.25">
      <c r="A1255" s="2" t="str">
        <f>CONCATENATE(Códigos!S1254,Códigos!T1254,Códigos!U1254)</f>
        <v>svv1253v</v>
      </c>
      <c r="B1255" t="s">
        <v>407</v>
      </c>
      <c r="C1255" t="s">
        <v>524</v>
      </c>
      <c r="D1255" s="2" t="s">
        <v>525</v>
      </c>
      <c r="E1255" t="s">
        <v>481</v>
      </c>
      <c r="F1255" s="11">
        <v>44234</v>
      </c>
      <c r="G1255" s="2">
        <f>VLOOKUP(E1255,Produtos!$A:$E,5,FALSE)</f>
        <v>850</v>
      </c>
      <c r="H1255" s="2">
        <f>VLOOKUP(E1255,Produtos!$A:$E,4,FALSE)</f>
        <v>400</v>
      </c>
      <c r="I1255" s="2">
        <v>1</v>
      </c>
    </row>
    <row r="1256" spans="1:9" x14ac:dyDescent="0.25">
      <c r="A1256" s="2" t="str">
        <f>CONCATENATE(Códigos!S1255,Códigos!T1255,Códigos!U1255)</f>
        <v>svv1254v</v>
      </c>
      <c r="B1256" t="s">
        <v>407</v>
      </c>
      <c r="C1256" t="s">
        <v>524</v>
      </c>
      <c r="D1256" s="2" t="s">
        <v>525</v>
      </c>
      <c r="E1256" t="s">
        <v>481</v>
      </c>
      <c r="F1256" s="11">
        <v>44235</v>
      </c>
      <c r="G1256" s="2">
        <f>VLOOKUP(E1256,Produtos!$A:$E,5,FALSE)</f>
        <v>850</v>
      </c>
      <c r="H1256" s="2">
        <f>VLOOKUP(E1256,Produtos!$A:$E,4,FALSE)</f>
        <v>400</v>
      </c>
      <c r="I1256" s="2">
        <v>1</v>
      </c>
    </row>
    <row r="1257" spans="1:9" x14ac:dyDescent="0.25">
      <c r="A1257" s="2" t="str">
        <f>CONCATENATE(Códigos!S1256,Códigos!T1256,Códigos!U1256)</f>
        <v>svv1255v</v>
      </c>
      <c r="B1257" t="s">
        <v>407</v>
      </c>
      <c r="C1257" t="s">
        <v>524</v>
      </c>
      <c r="D1257" s="2" t="s">
        <v>525</v>
      </c>
      <c r="E1257" t="s">
        <v>481</v>
      </c>
      <c r="F1257" s="11">
        <v>44236</v>
      </c>
      <c r="G1257" s="2">
        <f>VLOOKUP(E1257,Produtos!$A:$E,5,FALSE)</f>
        <v>850</v>
      </c>
      <c r="H1257" s="2">
        <f>VLOOKUP(E1257,Produtos!$A:$E,4,FALSE)</f>
        <v>400</v>
      </c>
      <c r="I1257" s="2">
        <v>1</v>
      </c>
    </row>
    <row r="1258" spans="1:9" x14ac:dyDescent="0.25">
      <c r="A1258" s="2" t="str">
        <f>CONCATENATE(Códigos!S1257,Códigos!T1257,Códigos!U1257)</f>
        <v>svv1256v</v>
      </c>
      <c r="B1258" t="s">
        <v>407</v>
      </c>
      <c r="C1258" t="s">
        <v>524</v>
      </c>
      <c r="D1258" s="2" t="s">
        <v>525</v>
      </c>
      <c r="E1258" t="s">
        <v>481</v>
      </c>
      <c r="F1258" s="11">
        <v>44237</v>
      </c>
      <c r="G1258" s="2">
        <f>VLOOKUP(E1258,Produtos!$A:$E,5,FALSE)</f>
        <v>850</v>
      </c>
      <c r="H1258" s="2">
        <f>VLOOKUP(E1258,Produtos!$A:$E,4,FALSE)</f>
        <v>400</v>
      </c>
      <c r="I1258" s="2">
        <v>1</v>
      </c>
    </row>
    <row r="1259" spans="1:9" x14ac:dyDescent="0.25">
      <c r="A1259" s="2" t="str">
        <f>CONCATENATE(Códigos!S1258,Códigos!T1258,Códigos!U1258)</f>
        <v>svv1257v</v>
      </c>
      <c r="B1259" t="s">
        <v>407</v>
      </c>
      <c r="C1259" t="s">
        <v>524</v>
      </c>
      <c r="D1259" s="2" t="s">
        <v>525</v>
      </c>
      <c r="E1259" t="s">
        <v>481</v>
      </c>
      <c r="F1259" s="11">
        <v>44238</v>
      </c>
      <c r="G1259" s="2">
        <f>VLOOKUP(E1259,Produtos!$A:$E,5,FALSE)</f>
        <v>850</v>
      </c>
      <c r="H1259" s="2">
        <f>VLOOKUP(E1259,Produtos!$A:$E,4,FALSE)</f>
        <v>400</v>
      </c>
      <c r="I1259" s="2">
        <v>1</v>
      </c>
    </row>
    <row r="1260" spans="1:9" x14ac:dyDescent="0.25">
      <c r="A1260" s="2" t="str">
        <f>CONCATENATE(Códigos!S1259,Códigos!T1259,Códigos!U1259)</f>
        <v>svv1258v</v>
      </c>
      <c r="B1260" t="s">
        <v>407</v>
      </c>
      <c r="C1260" t="s">
        <v>524</v>
      </c>
      <c r="D1260" s="2" t="s">
        <v>525</v>
      </c>
      <c r="E1260" t="s">
        <v>481</v>
      </c>
      <c r="F1260" s="11">
        <v>44239</v>
      </c>
      <c r="G1260" s="2">
        <f>VLOOKUP(E1260,Produtos!$A:$E,5,FALSE)</f>
        <v>850</v>
      </c>
      <c r="H1260" s="2">
        <f>VLOOKUP(E1260,Produtos!$A:$E,4,FALSE)</f>
        <v>400</v>
      </c>
      <c r="I1260" s="2">
        <v>1</v>
      </c>
    </row>
    <row r="1261" spans="1:9" x14ac:dyDescent="0.25">
      <c r="A1261" s="2" t="str">
        <f>CONCATENATE(Códigos!S1260,Códigos!T1260,Códigos!U1260)</f>
        <v>svv1259v</v>
      </c>
      <c r="B1261" t="s">
        <v>407</v>
      </c>
      <c r="C1261" t="s">
        <v>524</v>
      </c>
      <c r="D1261" s="2" t="s">
        <v>525</v>
      </c>
      <c r="E1261" t="s">
        <v>481</v>
      </c>
      <c r="F1261" s="11">
        <v>44240</v>
      </c>
      <c r="G1261" s="2">
        <f>VLOOKUP(E1261,Produtos!$A:$E,5,FALSE)</f>
        <v>850</v>
      </c>
      <c r="H1261" s="2">
        <f>VLOOKUP(E1261,Produtos!$A:$E,4,FALSE)</f>
        <v>400</v>
      </c>
      <c r="I1261" s="2">
        <v>1</v>
      </c>
    </row>
    <row r="1262" spans="1:9" x14ac:dyDescent="0.25">
      <c r="A1262" s="2" t="str">
        <f>CONCATENATE(Códigos!S1261,Códigos!T1261,Códigos!U1261)</f>
        <v>svv1260v</v>
      </c>
      <c r="B1262" t="s">
        <v>407</v>
      </c>
      <c r="C1262" t="s">
        <v>524</v>
      </c>
      <c r="D1262" s="2" t="s">
        <v>525</v>
      </c>
      <c r="E1262" t="s">
        <v>481</v>
      </c>
      <c r="F1262" s="11">
        <v>44241</v>
      </c>
      <c r="G1262" s="2">
        <f>VLOOKUP(E1262,Produtos!$A:$E,5,FALSE)</f>
        <v>850</v>
      </c>
      <c r="H1262" s="2">
        <f>VLOOKUP(E1262,Produtos!$A:$E,4,FALSE)</f>
        <v>400</v>
      </c>
      <c r="I1262" s="2">
        <v>1</v>
      </c>
    </row>
    <row r="1263" spans="1:9" x14ac:dyDescent="0.25">
      <c r="A1263" s="2" t="str">
        <f>CONCATENATE(Códigos!S1262,Códigos!T1262,Códigos!U1262)</f>
        <v>svv1261v</v>
      </c>
      <c r="B1263" t="s">
        <v>407</v>
      </c>
      <c r="C1263" t="s">
        <v>524</v>
      </c>
      <c r="D1263" s="2" t="s">
        <v>525</v>
      </c>
      <c r="E1263" t="s">
        <v>481</v>
      </c>
      <c r="F1263" s="11">
        <v>44242</v>
      </c>
      <c r="G1263" s="2">
        <f>VLOOKUP(E1263,Produtos!$A:$E,5,FALSE)</f>
        <v>850</v>
      </c>
      <c r="H1263" s="2">
        <f>VLOOKUP(E1263,Produtos!$A:$E,4,FALSE)</f>
        <v>400</v>
      </c>
      <c r="I1263" s="2">
        <v>1</v>
      </c>
    </row>
    <row r="1264" spans="1:9" x14ac:dyDescent="0.25">
      <c r="A1264" s="2" t="str">
        <f>CONCATENATE(Códigos!S1263,Códigos!T1263,Códigos!U1263)</f>
        <v>svv1262v</v>
      </c>
      <c r="B1264" t="s">
        <v>407</v>
      </c>
      <c r="C1264" t="s">
        <v>524</v>
      </c>
      <c r="D1264" s="2" t="s">
        <v>525</v>
      </c>
      <c r="E1264" t="s">
        <v>481</v>
      </c>
      <c r="F1264" s="11">
        <v>44243</v>
      </c>
      <c r="G1264" s="2">
        <f>VLOOKUP(E1264,Produtos!$A:$E,5,FALSE)</f>
        <v>850</v>
      </c>
      <c r="H1264" s="2">
        <f>VLOOKUP(E1264,Produtos!$A:$E,4,FALSE)</f>
        <v>400</v>
      </c>
      <c r="I1264" s="2">
        <v>1</v>
      </c>
    </row>
    <row r="1265" spans="1:9" x14ac:dyDescent="0.25">
      <c r="A1265" s="2" t="str">
        <f>CONCATENATE(Códigos!S1264,Códigos!T1264,Códigos!U1264)</f>
        <v>svv1263v</v>
      </c>
      <c r="B1265" t="s">
        <v>407</v>
      </c>
      <c r="C1265" t="s">
        <v>524</v>
      </c>
      <c r="D1265" s="2" t="s">
        <v>525</v>
      </c>
      <c r="E1265" t="s">
        <v>481</v>
      </c>
      <c r="F1265" s="11">
        <v>44244</v>
      </c>
      <c r="G1265" s="2">
        <f>VLOOKUP(E1265,Produtos!$A:$E,5,FALSE)</f>
        <v>850</v>
      </c>
      <c r="H1265" s="2">
        <f>VLOOKUP(E1265,Produtos!$A:$E,4,FALSE)</f>
        <v>400</v>
      </c>
      <c r="I1265" s="2">
        <v>1</v>
      </c>
    </row>
    <row r="1266" spans="1:9" x14ac:dyDescent="0.25">
      <c r="A1266" s="2" t="str">
        <f>CONCATENATE(Códigos!S1265,Códigos!T1265,Códigos!U1265)</f>
        <v>svv1264v</v>
      </c>
      <c r="B1266" t="s">
        <v>407</v>
      </c>
      <c r="C1266" t="s">
        <v>524</v>
      </c>
      <c r="D1266" s="2" t="s">
        <v>525</v>
      </c>
      <c r="E1266" t="s">
        <v>481</v>
      </c>
      <c r="F1266" s="11">
        <v>44245</v>
      </c>
      <c r="G1266" s="2">
        <f>VLOOKUP(E1266,Produtos!$A:$E,5,FALSE)</f>
        <v>850</v>
      </c>
      <c r="H1266" s="2">
        <f>VLOOKUP(E1266,Produtos!$A:$E,4,FALSE)</f>
        <v>400</v>
      </c>
      <c r="I1266" s="2">
        <v>1</v>
      </c>
    </row>
    <row r="1267" spans="1:9" x14ac:dyDescent="0.25">
      <c r="A1267" s="2" t="str">
        <f>CONCATENATE(Códigos!S1266,Códigos!T1266,Códigos!U1266)</f>
        <v>svv1265v</v>
      </c>
      <c r="B1267" t="s">
        <v>407</v>
      </c>
      <c r="C1267" t="s">
        <v>524</v>
      </c>
      <c r="D1267" s="2" t="s">
        <v>525</v>
      </c>
      <c r="E1267" t="s">
        <v>481</v>
      </c>
      <c r="F1267" s="11">
        <v>44246</v>
      </c>
      <c r="G1267" s="2">
        <f>VLOOKUP(E1267,Produtos!$A:$E,5,FALSE)</f>
        <v>850</v>
      </c>
      <c r="H1267" s="2">
        <f>VLOOKUP(E1267,Produtos!$A:$E,4,FALSE)</f>
        <v>400</v>
      </c>
      <c r="I1267" s="2">
        <v>1</v>
      </c>
    </row>
    <row r="1268" spans="1:9" x14ac:dyDescent="0.25">
      <c r="A1268" s="2" t="str">
        <f>CONCATENATE(Códigos!S1267,Códigos!T1267,Códigos!U1267)</f>
        <v>svv1266v</v>
      </c>
      <c r="B1268" t="s">
        <v>407</v>
      </c>
      <c r="C1268" t="s">
        <v>524</v>
      </c>
      <c r="D1268" s="2" t="s">
        <v>525</v>
      </c>
      <c r="E1268" t="s">
        <v>481</v>
      </c>
      <c r="F1268" s="11">
        <v>44247</v>
      </c>
      <c r="G1268" s="2">
        <f>VLOOKUP(E1268,Produtos!$A:$E,5,FALSE)</f>
        <v>850</v>
      </c>
      <c r="H1268" s="2">
        <f>VLOOKUP(E1268,Produtos!$A:$E,4,FALSE)</f>
        <v>400</v>
      </c>
      <c r="I1268" s="2">
        <v>1</v>
      </c>
    </row>
    <row r="1269" spans="1:9" x14ac:dyDescent="0.25">
      <c r="A1269" s="2" t="str">
        <f>CONCATENATE(Códigos!S1268,Códigos!T1268,Códigos!U1268)</f>
        <v>svv1267v</v>
      </c>
      <c r="B1269" t="s">
        <v>407</v>
      </c>
      <c r="C1269" t="s">
        <v>524</v>
      </c>
      <c r="D1269" s="2" t="s">
        <v>525</v>
      </c>
      <c r="E1269" t="s">
        <v>481</v>
      </c>
      <c r="F1269" s="11">
        <v>44248</v>
      </c>
      <c r="G1269" s="2">
        <f>VLOOKUP(E1269,Produtos!$A:$E,5,FALSE)</f>
        <v>850</v>
      </c>
      <c r="H1269" s="2">
        <f>VLOOKUP(E1269,Produtos!$A:$E,4,FALSE)</f>
        <v>400</v>
      </c>
      <c r="I1269" s="2">
        <v>1</v>
      </c>
    </row>
    <row r="1270" spans="1:9" x14ac:dyDescent="0.25">
      <c r="A1270" s="2" t="str">
        <f>CONCATENATE(Códigos!S1269,Códigos!T1269,Códigos!U1269)</f>
        <v>svv1268v</v>
      </c>
      <c r="B1270" t="s">
        <v>407</v>
      </c>
      <c r="C1270" t="s">
        <v>524</v>
      </c>
      <c r="D1270" s="2" t="s">
        <v>525</v>
      </c>
      <c r="E1270" t="s">
        <v>481</v>
      </c>
      <c r="F1270" s="11">
        <v>44249</v>
      </c>
      <c r="G1270" s="2">
        <f>VLOOKUP(E1270,Produtos!$A:$E,5,FALSE)</f>
        <v>850</v>
      </c>
      <c r="H1270" s="2">
        <f>VLOOKUP(E1270,Produtos!$A:$E,4,FALSE)</f>
        <v>400</v>
      </c>
      <c r="I1270" s="2">
        <v>1</v>
      </c>
    </row>
    <row r="1271" spans="1:9" x14ac:dyDescent="0.25">
      <c r="A1271" s="2" t="str">
        <f>CONCATENATE(Códigos!S1270,Códigos!T1270,Códigos!U1270)</f>
        <v>svv1269v</v>
      </c>
      <c r="B1271" t="s">
        <v>407</v>
      </c>
      <c r="C1271" t="s">
        <v>524</v>
      </c>
      <c r="D1271" s="2" t="s">
        <v>525</v>
      </c>
      <c r="E1271" t="s">
        <v>481</v>
      </c>
      <c r="F1271" s="11">
        <v>44250</v>
      </c>
      <c r="G1271" s="2">
        <f>VLOOKUP(E1271,Produtos!$A:$E,5,FALSE)</f>
        <v>850</v>
      </c>
      <c r="H1271" s="2">
        <f>VLOOKUP(E1271,Produtos!$A:$E,4,FALSE)</f>
        <v>400</v>
      </c>
      <c r="I1271" s="2">
        <v>1</v>
      </c>
    </row>
    <row r="1272" spans="1:9" x14ac:dyDescent="0.25">
      <c r="A1272" s="2" t="str">
        <f>CONCATENATE(Códigos!S1271,Códigos!T1271,Códigos!U1271)</f>
        <v>svv1270v</v>
      </c>
      <c r="B1272" t="s">
        <v>407</v>
      </c>
      <c r="C1272" t="s">
        <v>524</v>
      </c>
      <c r="D1272" s="2" t="s">
        <v>525</v>
      </c>
      <c r="E1272" t="s">
        <v>481</v>
      </c>
      <c r="F1272" s="11">
        <v>44251</v>
      </c>
      <c r="G1272" s="2">
        <f>VLOOKUP(E1272,Produtos!$A:$E,5,FALSE)</f>
        <v>850</v>
      </c>
      <c r="H1272" s="2">
        <f>VLOOKUP(E1272,Produtos!$A:$E,4,FALSE)</f>
        <v>400</v>
      </c>
      <c r="I1272" s="2">
        <v>1</v>
      </c>
    </row>
    <row r="1273" spans="1:9" x14ac:dyDescent="0.25">
      <c r="A1273" s="2" t="str">
        <f>CONCATENATE(Códigos!S1272,Códigos!T1272,Códigos!U1272)</f>
        <v>svv1271v</v>
      </c>
      <c r="B1273" t="s">
        <v>407</v>
      </c>
      <c r="C1273" t="s">
        <v>524</v>
      </c>
      <c r="D1273" s="2" t="s">
        <v>525</v>
      </c>
      <c r="E1273" t="s">
        <v>515</v>
      </c>
      <c r="F1273" s="11">
        <v>44252</v>
      </c>
      <c r="G1273" s="2">
        <f>VLOOKUP(E1273,Produtos!$A:$E,5,FALSE)</f>
        <v>400</v>
      </c>
      <c r="H1273" s="2">
        <f>VLOOKUP(E1273,Produtos!$A:$E,4,FALSE)</f>
        <v>150</v>
      </c>
      <c r="I1273" s="2">
        <v>1</v>
      </c>
    </row>
    <row r="1274" spans="1:9" x14ac:dyDescent="0.25">
      <c r="A1274" s="2" t="str">
        <f>CONCATENATE(Códigos!S1273,Códigos!T1273,Códigos!U1273)</f>
        <v>svv1272v</v>
      </c>
      <c r="B1274" t="s">
        <v>407</v>
      </c>
      <c r="C1274" t="s">
        <v>524</v>
      </c>
      <c r="D1274" s="2" t="s">
        <v>525</v>
      </c>
      <c r="E1274" t="s">
        <v>515</v>
      </c>
      <c r="F1274" s="11">
        <v>44253</v>
      </c>
      <c r="G1274" s="2">
        <f>VLOOKUP(E1274,Produtos!$A:$E,5,FALSE)</f>
        <v>400</v>
      </c>
      <c r="H1274" s="2">
        <f>VLOOKUP(E1274,Produtos!$A:$E,4,FALSE)</f>
        <v>150</v>
      </c>
      <c r="I1274" s="2">
        <v>1</v>
      </c>
    </row>
    <row r="1275" spans="1:9" x14ac:dyDescent="0.25">
      <c r="A1275" s="2" t="str">
        <f>CONCATENATE(Códigos!S1274,Códigos!T1274,Códigos!U1274)</f>
        <v>svv1273v</v>
      </c>
      <c r="B1275" t="s">
        <v>407</v>
      </c>
      <c r="C1275" t="s">
        <v>524</v>
      </c>
      <c r="D1275" s="2" t="s">
        <v>525</v>
      </c>
      <c r="E1275" t="s">
        <v>515</v>
      </c>
      <c r="F1275" s="11">
        <v>44254</v>
      </c>
      <c r="G1275" s="2">
        <f>VLOOKUP(E1275,Produtos!$A:$E,5,FALSE)</f>
        <v>400</v>
      </c>
      <c r="H1275" s="2">
        <f>VLOOKUP(E1275,Produtos!$A:$E,4,FALSE)</f>
        <v>150</v>
      </c>
      <c r="I1275" s="2">
        <v>1</v>
      </c>
    </row>
    <row r="1276" spans="1:9" x14ac:dyDescent="0.25">
      <c r="A1276" s="2" t="str">
        <f>CONCATENATE(Códigos!S1275,Códigos!T1275,Códigos!U1275)</f>
        <v>svv1274v</v>
      </c>
      <c r="B1276" t="s">
        <v>407</v>
      </c>
      <c r="C1276" t="s">
        <v>380</v>
      </c>
      <c r="D1276" s="2" t="s">
        <v>381</v>
      </c>
      <c r="E1276" t="s">
        <v>515</v>
      </c>
      <c r="F1276" s="11">
        <v>44255</v>
      </c>
      <c r="G1276" s="2">
        <f>VLOOKUP(E1276,Produtos!$A:$E,5,FALSE)</f>
        <v>400</v>
      </c>
      <c r="H1276" s="2">
        <f>VLOOKUP(E1276,Produtos!$A:$E,4,FALSE)</f>
        <v>150</v>
      </c>
      <c r="I1276" s="2">
        <v>1</v>
      </c>
    </row>
    <row r="1277" spans="1:9" x14ac:dyDescent="0.25">
      <c r="A1277" s="2" t="str">
        <f>CONCATENATE(Códigos!S1276,Códigos!T1276,Códigos!U1276)</f>
        <v>svv1275v</v>
      </c>
      <c r="B1277" t="s">
        <v>407</v>
      </c>
      <c r="C1277" t="s">
        <v>380</v>
      </c>
      <c r="D1277" s="2" t="s">
        <v>381</v>
      </c>
      <c r="E1277" t="s">
        <v>515</v>
      </c>
      <c r="F1277" s="11">
        <v>44256</v>
      </c>
      <c r="G1277" s="2">
        <f>VLOOKUP(E1277,Produtos!$A:$E,5,FALSE)</f>
        <v>400</v>
      </c>
      <c r="H1277" s="2">
        <f>VLOOKUP(E1277,Produtos!$A:$E,4,FALSE)</f>
        <v>150</v>
      </c>
      <c r="I1277" s="2">
        <v>1</v>
      </c>
    </row>
    <row r="1278" spans="1:9" x14ac:dyDescent="0.25">
      <c r="A1278" s="2" t="str">
        <f>CONCATENATE(Códigos!S1277,Códigos!T1277,Códigos!U1277)</f>
        <v>svv1276v</v>
      </c>
      <c r="B1278" t="s">
        <v>407</v>
      </c>
      <c r="C1278" t="s">
        <v>380</v>
      </c>
      <c r="D1278" s="2" t="s">
        <v>381</v>
      </c>
      <c r="E1278" t="s">
        <v>515</v>
      </c>
      <c r="F1278" s="11">
        <v>44257</v>
      </c>
      <c r="G1278" s="2">
        <f>VLOOKUP(E1278,Produtos!$A:$E,5,FALSE)</f>
        <v>400</v>
      </c>
      <c r="H1278" s="2">
        <f>VLOOKUP(E1278,Produtos!$A:$E,4,FALSE)</f>
        <v>150</v>
      </c>
      <c r="I1278" s="2">
        <v>1</v>
      </c>
    </row>
    <row r="1279" spans="1:9" x14ac:dyDescent="0.25">
      <c r="A1279" s="2" t="str">
        <f>CONCATENATE(Códigos!S1278,Códigos!T1278,Códigos!U1278)</f>
        <v>svv1277v</v>
      </c>
      <c r="B1279" t="s">
        <v>407</v>
      </c>
      <c r="C1279" t="s">
        <v>380</v>
      </c>
      <c r="D1279" s="2" t="s">
        <v>381</v>
      </c>
      <c r="E1279" t="s">
        <v>515</v>
      </c>
      <c r="F1279" s="11">
        <v>44258</v>
      </c>
      <c r="G1279" s="2">
        <f>VLOOKUP(E1279,Produtos!$A:$E,5,FALSE)</f>
        <v>400</v>
      </c>
      <c r="H1279" s="2">
        <f>VLOOKUP(E1279,Produtos!$A:$E,4,FALSE)</f>
        <v>150</v>
      </c>
      <c r="I1279" s="2">
        <v>1</v>
      </c>
    </row>
    <row r="1280" spans="1:9" x14ac:dyDescent="0.25">
      <c r="A1280" s="2" t="str">
        <f>CONCATENATE(Códigos!S1279,Códigos!T1279,Códigos!U1279)</f>
        <v>svv1278v</v>
      </c>
      <c r="B1280" t="s">
        <v>407</v>
      </c>
      <c r="C1280" t="s">
        <v>380</v>
      </c>
      <c r="D1280" s="2" t="s">
        <v>381</v>
      </c>
      <c r="E1280" t="s">
        <v>515</v>
      </c>
      <c r="F1280" s="11">
        <v>44259</v>
      </c>
      <c r="G1280" s="2">
        <f>VLOOKUP(E1280,Produtos!$A:$E,5,FALSE)</f>
        <v>400</v>
      </c>
      <c r="H1280" s="2">
        <f>VLOOKUP(E1280,Produtos!$A:$E,4,FALSE)</f>
        <v>150</v>
      </c>
      <c r="I1280" s="2">
        <v>1</v>
      </c>
    </row>
    <row r="1281" spans="1:9" x14ac:dyDescent="0.25">
      <c r="A1281" s="2" t="str">
        <f>CONCATENATE(Códigos!S1280,Códigos!T1280,Códigos!U1280)</f>
        <v>svv1279v</v>
      </c>
      <c r="B1281" t="s">
        <v>407</v>
      </c>
      <c r="C1281" t="s">
        <v>380</v>
      </c>
      <c r="D1281" s="2" t="s">
        <v>381</v>
      </c>
      <c r="E1281" t="s">
        <v>515</v>
      </c>
      <c r="F1281" s="11">
        <v>44260</v>
      </c>
      <c r="G1281" s="2">
        <f>VLOOKUP(E1281,Produtos!$A:$E,5,FALSE)</f>
        <v>400</v>
      </c>
      <c r="H1281" s="2">
        <f>VLOOKUP(E1281,Produtos!$A:$E,4,FALSE)</f>
        <v>150</v>
      </c>
      <c r="I1281" s="2">
        <v>1</v>
      </c>
    </row>
    <row r="1282" spans="1:9" x14ac:dyDescent="0.25">
      <c r="A1282" s="2" t="str">
        <f>CONCATENATE(Códigos!S1281,Códigos!T1281,Códigos!U1281)</f>
        <v>svv1280v</v>
      </c>
      <c r="B1282" t="s">
        <v>407</v>
      </c>
      <c r="C1282" t="s">
        <v>380</v>
      </c>
      <c r="D1282" s="2" t="s">
        <v>381</v>
      </c>
      <c r="E1282" t="s">
        <v>515</v>
      </c>
      <c r="F1282" s="11">
        <v>44261</v>
      </c>
      <c r="G1282" s="2">
        <f>VLOOKUP(E1282,Produtos!$A:$E,5,FALSE)</f>
        <v>400</v>
      </c>
      <c r="H1282" s="2">
        <f>VLOOKUP(E1282,Produtos!$A:$E,4,FALSE)</f>
        <v>150</v>
      </c>
      <c r="I1282" s="2">
        <v>1</v>
      </c>
    </row>
    <row r="1283" spans="1:9" x14ac:dyDescent="0.25">
      <c r="A1283" s="2" t="str">
        <f>CONCATENATE(Códigos!S1282,Códigos!T1282,Códigos!U1282)</f>
        <v>svv1281v</v>
      </c>
      <c r="B1283" t="s">
        <v>407</v>
      </c>
      <c r="C1283" t="s">
        <v>380</v>
      </c>
      <c r="D1283" s="2" t="s">
        <v>381</v>
      </c>
      <c r="E1283" t="s">
        <v>515</v>
      </c>
      <c r="F1283" s="11">
        <v>44262</v>
      </c>
      <c r="G1283" s="2">
        <f>VLOOKUP(E1283,Produtos!$A:$E,5,FALSE)</f>
        <v>400</v>
      </c>
      <c r="H1283" s="2">
        <f>VLOOKUP(E1283,Produtos!$A:$E,4,FALSE)</f>
        <v>150</v>
      </c>
      <c r="I1283" s="2">
        <v>1</v>
      </c>
    </row>
    <row r="1284" spans="1:9" x14ac:dyDescent="0.25">
      <c r="A1284" s="2" t="str">
        <f>CONCATENATE(Códigos!S1283,Códigos!T1283,Códigos!U1283)</f>
        <v>svv1282v</v>
      </c>
      <c r="B1284" t="s">
        <v>407</v>
      </c>
      <c r="C1284" t="s">
        <v>380</v>
      </c>
      <c r="D1284" s="2" t="s">
        <v>381</v>
      </c>
      <c r="E1284" t="s">
        <v>515</v>
      </c>
      <c r="F1284" s="11">
        <v>44263</v>
      </c>
      <c r="G1284" s="2">
        <f>VLOOKUP(E1284,Produtos!$A:$E,5,FALSE)</f>
        <v>400</v>
      </c>
      <c r="H1284" s="2">
        <f>VLOOKUP(E1284,Produtos!$A:$E,4,FALSE)</f>
        <v>150</v>
      </c>
      <c r="I1284" s="2">
        <v>1</v>
      </c>
    </row>
    <row r="1285" spans="1:9" x14ac:dyDescent="0.25">
      <c r="A1285" s="2" t="str">
        <f>CONCATENATE(Códigos!S1284,Códigos!T1284,Códigos!U1284)</f>
        <v>svv1283v</v>
      </c>
      <c r="B1285" t="s">
        <v>407</v>
      </c>
      <c r="C1285" t="s">
        <v>380</v>
      </c>
      <c r="D1285" s="2" t="s">
        <v>381</v>
      </c>
      <c r="E1285" t="s">
        <v>515</v>
      </c>
      <c r="F1285" s="11">
        <v>44264</v>
      </c>
      <c r="G1285" s="2">
        <f>VLOOKUP(E1285,Produtos!$A:$E,5,FALSE)</f>
        <v>400</v>
      </c>
      <c r="H1285" s="2">
        <f>VLOOKUP(E1285,Produtos!$A:$E,4,FALSE)</f>
        <v>150</v>
      </c>
      <c r="I1285" s="2">
        <v>1</v>
      </c>
    </row>
    <row r="1286" spans="1:9" x14ac:dyDescent="0.25">
      <c r="A1286" s="2" t="str">
        <f>CONCATENATE(Códigos!S1285,Códigos!T1285,Códigos!U1285)</f>
        <v>svv1284v</v>
      </c>
      <c r="B1286" t="s">
        <v>407</v>
      </c>
      <c r="C1286" t="s">
        <v>380</v>
      </c>
      <c r="D1286" s="2" t="s">
        <v>381</v>
      </c>
      <c r="E1286" t="s">
        <v>515</v>
      </c>
      <c r="F1286" s="11">
        <v>44265</v>
      </c>
      <c r="G1286" s="2">
        <f>VLOOKUP(E1286,Produtos!$A:$E,5,FALSE)</f>
        <v>400</v>
      </c>
      <c r="H1286" s="2">
        <f>VLOOKUP(E1286,Produtos!$A:$E,4,FALSE)</f>
        <v>150</v>
      </c>
      <c r="I1286" s="2">
        <v>1</v>
      </c>
    </row>
    <row r="1287" spans="1:9" x14ac:dyDescent="0.25">
      <c r="A1287" s="2" t="str">
        <f>CONCATENATE(Códigos!S1286,Códigos!T1286,Códigos!U1286)</f>
        <v>svv1285v</v>
      </c>
      <c r="B1287" t="s">
        <v>407</v>
      </c>
      <c r="C1287" t="s">
        <v>380</v>
      </c>
      <c r="D1287" s="2" t="s">
        <v>381</v>
      </c>
      <c r="E1287" t="s">
        <v>515</v>
      </c>
      <c r="F1287" s="11">
        <v>44266</v>
      </c>
      <c r="G1287" s="2">
        <f>VLOOKUP(E1287,Produtos!$A:$E,5,FALSE)</f>
        <v>400</v>
      </c>
      <c r="H1287" s="2">
        <f>VLOOKUP(E1287,Produtos!$A:$E,4,FALSE)</f>
        <v>150</v>
      </c>
      <c r="I1287" s="2">
        <v>1</v>
      </c>
    </row>
    <row r="1288" spans="1:9" x14ac:dyDescent="0.25">
      <c r="A1288" s="2" t="str">
        <f>CONCATENATE(Códigos!S1287,Códigos!T1287,Códigos!U1287)</f>
        <v>svv1286v</v>
      </c>
      <c r="B1288" t="s">
        <v>407</v>
      </c>
      <c r="C1288" t="s">
        <v>380</v>
      </c>
      <c r="D1288" s="2" t="s">
        <v>381</v>
      </c>
      <c r="E1288" t="s">
        <v>515</v>
      </c>
      <c r="F1288" s="11">
        <v>44267</v>
      </c>
      <c r="G1288" s="2">
        <f>VLOOKUP(E1288,Produtos!$A:$E,5,FALSE)</f>
        <v>400</v>
      </c>
      <c r="H1288" s="2">
        <f>VLOOKUP(E1288,Produtos!$A:$E,4,FALSE)</f>
        <v>150</v>
      </c>
      <c r="I1288" s="2">
        <v>1</v>
      </c>
    </row>
    <row r="1289" spans="1:9" x14ac:dyDescent="0.25">
      <c r="A1289" s="2" t="str">
        <f>CONCATENATE(Códigos!S1288,Códigos!T1288,Códigos!U1288)</f>
        <v>svv1287v</v>
      </c>
      <c r="B1289" t="s">
        <v>407</v>
      </c>
      <c r="C1289" t="s">
        <v>380</v>
      </c>
      <c r="D1289" s="2" t="s">
        <v>381</v>
      </c>
      <c r="E1289" t="s">
        <v>515</v>
      </c>
      <c r="F1289" s="11">
        <v>44268</v>
      </c>
      <c r="G1289" s="2">
        <f>VLOOKUP(E1289,Produtos!$A:$E,5,FALSE)</f>
        <v>400</v>
      </c>
      <c r="H1289" s="2">
        <f>VLOOKUP(E1289,Produtos!$A:$E,4,FALSE)</f>
        <v>150</v>
      </c>
      <c r="I1289" s="2">
        <v>1</v>
      </c>
    </row>
    <row r="1290" spans="1:9" x14ac:dyDescent="0.25">
      <c r="A1290" s="2" t="str">
        <f>CONCATENATE(Códigos!S1289,Códigos!T1289,Códigos!U1289)</f>
        <v>svv1288v</v>
      </c>
      <c r="B1290" t="s">
        <v>407</v>
      </c>
      <c r="C1290" t="s">
        <v>380</v>
      </c>
      <c r="D1290" s="2" t="s">
        <v>381</v>
      </c>
      <c r="E1290" t="s">
        <v>515</v>
      </c>
      <c r="F1290" s="11">
        <v>44269</v>
      </c>
      <c r="G1290" s="2">
        <f>VLOOKUP(E1290,Produtos!$A:$E,5,FALSE)</f>
        <v>400</v>
      </c>
      <c r="H1290" s="2">
        <f>VLOOKUP(E1290,Produtos!$A:$E,4,FALSE)</f>
        <v>150</v>
      </c>
      <c r="I1290" s="2">
        <v>1</v>
      </c>
    </row>
    <row r="1291" spans="1:9" x14ac:dyDescent="0.25">
      <c r="A1291" s="2" t="str">
        <f>CONCATENATE(Códigos!S1290,Códigos!T1290,Códigos!U1290)</f>
        <v>svv1289v</v>
      </c>
      <c r="B1291" t="s">
        <v>407</v>
      </c>
      <c r="C1291" t="s">
        <v>380</v>
      </c>
      <c r="D1291" s="2" t="s">
        <v>381</v>
      </c>
      <c r="E1291" t="s">
        <v>515</v>
      </c>
      <c r="F1291" s="11">
        <v>44270</v>
      </c>
      <c r="G1291" s="2">
        <f>VLOOKUP(E1291,Produtos!$A:$E,5,FALSE)</f>
        <v>400</v>
      </c>
      <c r="H1291" s="2">
        <f>VLOOKUP(E1291,Produtos!$A:$E,4,FALSE)</f>
        <v>150</v>
      </c>
      <c r="I1291" s="2">
        <v>5</v>
      </c>
    </row>
    <row r="1292" spans="1:9" x14ac:dyDescent="0.25">
      <c r="A1292" s="2" t="str">
        <f>CONCATENATE(Códigos!S1291,Códigos!T1291,Códigos!U1291)</f>
        <v>svv1290v</v>
      </c>
      <c r="B1292" t="s">
        <v>407</v>
      </c>
      <c r="C1292" t="s">
        <v>380</v>
      </c>
      <c r="D1292" s="2" t="s">
        <v>381</v>
      </c>
      <c r="E1292" t="s">
        <v>515</v>
      </c>
      <c r="F1292" s="11">
        <v>44271</v>
      </c>
      <c r="G1292" s="2">
        <f>VLOOKUP(E1292,Produtos!$A:$E,5,FALSE)</f>
        <v>400</v>
      </c>
      <c r="H1292" s="2">
        <f>VLOOKUP(E1292,Produtos!$A:$E,4,FALSE)</f>
        <v>150</v>
      </c>
      <c r="I1292" s="2">
        <v>5</v>
      </c>
    </row>
    <row r="1293" spans="1:9" x14ac:dyDescent="0.25">
      <c r="A1293" s="2" t="str">
        <f>CONCATENATE(Códigos!S1292,Códigos!T1292,Códigos!U1292)</f>
        <v>svv1291v</v>
      </c>
      <c r="B1293" t="s">
        <v>407</v>
      </c>
      <c r="C1293" t="s">
        <v>380</v>
      </c>
      <c r="D1293" s="2" t="s">
        <v>381</v>
      </c>
      <c r="E1293" t="s">
        <v>515</v>
      </c>
      <c r="F1293" s="11">
        <v>44272</v>
      </c>
      <c r="G1293" s="2">
        <f>VLOOKUP(E1293,Produtos!$A:$E,5,FALSE)</f>
        <v>400</v>
      </c>
      <c r="H1293" s="2">
        <f>VLOOKUP(E1293,Produtos!$A:$E,4,FALSE)</f>
        <v>150</v>
      </c>
      <c r="I1293" s="2">
        <v>5</v>
      </c>
    </row>
    <row r="1294" spans="1:9" x14ac:dyDescent="0.25">
      <c r="A1294" s="2" t="str">
        <f>CONCATENATE(Códigos!S1293,Códigos!T1293,Códigos!U1293)</f>
        <v>svv1292v</v>
      </c>
      <c r="B1294" t="s">
        <v>407</v>
      </c>
      <c r="C1294" t="s">
        <v>380</v>
      </c>
      <c r="D1294" s="2" t="s">
        <v>381</v>
      </c>
      <c r="E1294" t="s">
        <v>515</v>
      </c>
      <c r="F1294" s="11">
        <v>44273</v>
      </c>
      <c r="G1294" s="2">
        <f>VLOOKUP(E1294,Produtos!$A:$E,5,FALSE)</f>
        <v>400</v>
      </c>
      <c r="H1294" s="2">
        <f>VLOOKUP(E1294,Produtos!$A:$E,4,FALSE)</f>
        <v>150</v>
      </c>
      <c r="I1294" s="2">
        <v>5</v>
      </c>
    </row>
    <row r="1295" spans="1:9" x14ac:dyDescent="0.25">
      <c r="A1295" s="2" t="str">
        <f>CONCATENATE(Códigos!S1294,Códigos!T1294,Códigos!U1294)</f>
        <v>svv1293v</v>
      </c>
      <c r="B1295" t="s">
        <v>407</v>
      </c>
      <c r="C1295" t="s">
        <v>380</v>
      </c>
      <c r="D1295" s="2" t="s">
        <v>381</v>
      </c>
      <c r="E1295" t="s">
        <v>515</v>
      </c>
      <c r="F1295" s="11">
        <v>44274</v>
      </c>
      <c r="G1295" s="2">
        <f>VLOOKUP(E1295,Produtos!$A:$E,5,FALSE)</f>
        <v>400</v>
      </c>
      <c r="H1295" s="2">
        <f>VLOOKUP(E1295,Produtos!$A:$E,4,FALSE)</f>
        <v>150</v>
      </c>
      <c r="I1295" s="2">
        <v>5</v>
      </c>
    </row>
    <row r="1296" spans="1:9" x14ac:dyDescent="0.25">
      <c r="A1296" s="2" t="str">
        <f>CONCATENATE(Códigos!S1295,Códigos!T1295,Códigos!U1295)</f>
        <v>svv1294v</v>
      </c>
      <c r="B1296" t="s">
        <v>407</v>
      </c>
      <c r="C1296" t="s">
        <v>380</v>
      </c>
      <c r="D1296" s="2" t="s">
        <v>381</v>
      </c>
      <c r="E1296" t="s">
        <v>515</v>
      </c>
      <c r="F1296" s="11">
        <v>44275</v>
      </c>
      <c r="G1296" s="2">
        <f>VLOOKUP(E1296,Produtos!$A:$E,5,FALSE)</f>
        <v>400</v>
      </c>
      <c r="H1296" s="2">
        <f>VLOOKUP(E1296,Produtos!$A:$E,4,FALSE)</f>
        <v>150</v>
      </c>
      <c r="I1296" s="2">
        <v>5</v>
      </c>
    </row>
    <row r="1297" spans="1:9" x14ac:dyDescent="0.25">
      <c r="A1297" s="2" t="str">
        <f>CONCATENATE(Códigos!S1296,Códigos!T1296,Códigos!U1296)</f>
        <v>svv1295v</v>
      </c>
      <c r="B1297" t="s">
        <v>407</v>
      </c>
      <c r="C1297" t="s">
        <v>380</v>
      </c>
      <c r="D1297" s="2" t="s">
        <v>381</v>
      </c>
      <c r="E1297" t="s">
        <v>515</v>
      </c>
      <c r="F1297" s="11">
        <v>44276</v>
      </c>
      <c r="G1297" s="2">
        <f>VLOOKUP(E1297,Produtos!$A:$E,5,FALSE)</f>
        <v>400</v>
      </c>
      <c r="H1297" s="2">
        <f>VLOOKUP(E1297,Produtos!$A:$E,4,FALSE)</f>
        <v>150</v>
      </c>
      <c r="I1297" s="2">
        <v>5</v>
      </c>
    </row>
    <row r="1298" spans="1:9" x14ac:dyDescent="0.25">
      <c r="A1298" s="2" t="str">
        <f>CONCATENATE(Códigos!S1297,Códigos!T1297,Códigos!U1297)</f>
        <v>svv1296v</v>
      </c>
      <c r="B1298" t="s">
        <v>407</v>
      </c>
      <c r="C1298" t="s">
        <v>380</v>
      </c>
      <c r="D1298" s="2" t="s">
        <v>381</v>
      </c>
      <c r="E1298" t="s">
        <v>515</v>
      </c>
      <c r="F1298" s="11">
        <v>44277</v>
      </c>
      <c r="G1298" s="2">
        <f>VLOOKUP(E1298,Produtos!$A:$E,5,FALSE)</f>
        <v>400</v>
      </c>
      <c r="H1298" s="2">
        <f>VLOOKUP(E1298,Produtos!$A:$E,4,FALSE)</f>
        <v>150</v>
      </c>
      <c r="I1298" s="2">
        <v>5</v>
      </c>
    </row>
    <row r="1299" spans="1:9" x14ac:dyDescent="0.25">
      <c r="A1299" s="2" t="str">
        <f>CONCATENATE(Códigos!S1298,Códigos!T1298,Códigos!U1298)</f>
        <v>svv1297v</v>
      </c>
      <c r="B1299" t="s">
        <v>407</v>
      </c>
      <c r="C1299" t="s">
        <v>380</v>
      </c>
      <c r="D1299" s="2" t="s">
        <v>381</v>
      </c>
      <c r="E1299" t="s">
        <v>515</v>
      </c>
      <c r="F1299" s="11">
        <v>44278</v>
      </c>
      <c r="G1299" s="2">
        <f>VLOOKUP(E1299,Produtos!$A:$E,5,FALSE)</f>
        <v>400</v>
      </c>
      <c r="H1299" s="2">
        <f>VLOOKUP(E1299,Produtos!$A:$E,4,FALSE)</f>
        <v>150</v>
      </c>
      <c r="I1299" s="2">
        <v>5</v>
      </c>
    </row>
    <row r="1300" spans="1:9" x14ac:dyDescent="0.25">
      <c r="A1300" s="2" t="str">
        <f>CONCATENATE(Códigos!S1299,Códigos!T1299,Códigos!U1299)</f>
        <v>svv1298v</v>
      </c>
      <c r="B1300" t="s">
        <v>407</v>
      </c>
      <c r="C1300" t="s">
        <v>380</v>
      </c>
      <c r="D1300" s="2" t="s">
        <v>381</v>
      </c>
      <c r="E1300" t="s">
        <v>515</v>
      </c>
      <c r="F1300" s="11">
        <v>44279</v>
      </c>
      <c r="G1300" s="2">
        <f>VLOOKUP(E1300,Produtos!$A:$E,5,FALSE)</f>
        <v>400</v>
      </c>
      <c r="H1300" s="2">
        <f>VLOOKUP(E1300,Produtos!$A:$E,4,FALSE)</f>
        <v>150</v>
      </c>
      <c r="I1300" s="2">
        <v>5</v>
      </c>
    </row>
    <row r="1301" spans="1:9" x14ac:dyDescent="0.25">
      <c r="A1301" s="2" t="str">
        <f>CONCATENATE(Códigos!S1300,Códigos!T1300,Códigos!U1300)</f>
        <v>svv1299v</v>
      </c>
      <c r="B1301" t="s">
        <v>407</v>
      </c>
      <c r="C1301" t="s">
        <v>380</v>
      </c>
      <c r="D1301" s="2" t="s">
        <v>381</v>
      </c>
      <c r="E1301" t="s">
        <v>515</v>
      </c>
      <c r="F1301" s="11">
        <v>44280</v>
      </c>
      <c r="G1301" s="2">
        <f>VLOOKUP(E1301,Produtos!$A:$E,5,FALSE)</f>
        <v>400</v>
      </c>
      <c r="H1301" s="2">
        <f>VLOOKUP(E1301,Produtos!$A:$E,4,FALSE)</f>
        <v>150</v>
      </c>
      <c r="I1301" s="2">
        <v>5</v>
      </c>
    </row>
    <row r="1302" spans="1:9" x14ac:dyDescent="0.25">
      <c r="A1302" s="2" t="str">
        <f>CONCATENATE(Códigos!S1301,Códigos!T1301,Códigos!U1301)</f>
        <v>svv1300v</v>
      </c>
      <c r="B1302" t="s">
        <v>407</v>
      </c>
      <c r="C1302" t="s">
        <v>380</v>
      </c>
      <c r="D1302" s="2" t="s">
        <v>381</v>
      </c>
      <c r="E1302" t="s">
        <v>515</v>
      </c>
      <c r="F1302" s="11">
        <v>44281</v>
      </c>
      <c r="G1302" s="2">
        <f>VLOOKUP(E1302,Produtos!$A:$E,5,FALSE)</f>
        <v>400</v>
      </c>
      <c r="H1302" s="2">
        <f>VLOOKUP(E1302,Produtos!$A:$E,4,FALSE)</f>
        <v>150</v>
      </c>
      <c r="I1302" s="2">
        <v>5</v>
      </c>
    </row>
    <row r="1303" spans="1:9" x14ac:dyDescent="0.25">
      <c r="A1303" s="2" t="str">
        <f>CONCATENATE(Códigos!S1302,Códigos!T1302,Códigos!U1302)</f>
        <v>svv1301v</v>
      </c>
      <c r="B1303" t="s">
        <v>407</v>
      </c>
      <c r="C1303" t="s">
        <v>380</v>
      </c>
      <c r="D1303" s="2" t="s">
        <v>381</v>
      </c>
      <c r="E1303" t="s">
        <v>515</v>
      </c>
      <c r="F1303" s="11">
        <v>44282</v>
      </c>
      <c r="G1303" s="2">
        <f>VLOOKUP(E1303,Produtos!$A:$E,5,FALSE)</f>
        <v>400</v>
      </c>
      <c r="H1303" s="2">
        <f>VLOOKUP(E1303,Produtos!$A:$E,4,FALSE)</f>
        <v>150</v>
      </c>
      <c r="I1303" s="2">
        <v>5</v>
      </c>
    </row>
    <row r="1304" spans="1:9" x14ac:dyDescent="0.25">
      <c r="A1304" s="2" t="str">
        <f>CONCATENATE(Códigos!S1303,Códigos!T1303,Códigos!U1303)</f>
        <v>svv1302v</v>
      </c>
      <c r="B1304" t="s">
        <v>407</v>
      </c>
      <c r="C1304" t="s">
        <v>380</v>
      </c>
      <c r="D1304" s="2" t="s">
        <v>381</v>
      </c>
      <c r="E1304" t="s">
        <v>515</v>
      </c>
      <c r="F1304" s="11">
        <v>44283</v>
      </c>
      <c r="G1304" s="2">
        <f>VLOOKUP(E1304,Produtos!$A:$E,5,FALSE)</f>
        <v>400</v>
      </c>
      <c r="H1304" s="2">
        <f>VLOOKUP(E1304,Produtos!$A:$E,4,FALSE)</f>
        <v>150</v>
      </c>
      <c r="I1304" s="2">
        <v>5</v>
      </c>
    </row>
    <row r="1305" spans="1:9" x14ac:dyDescent="0.25">
      <c r="A1305" s="2" t="str">
        <f>CONCATENATE(Códigos!S1304,Códigos!T1304,Códigos!U1304)</f>
        <v>svv1303v</v>
      </c>
      <c r="B1305" t="s">
        <v>406</v>
      </c>
      <c r="C1305" t="s">
        <v>388</v>
      </c>
      <c r="D1305" s="2" t="s">
        <v>389</v>
      </c>
      <c r="E1305" t="s">
        <v>516</v>
      </c>
      <c r="F1305" s="11">
        <v>44284</v>
      </c>
      <c r="G1305" s="2">
        <f>VLOOKUP(E1305,Produtos!$A:$E,5,FALSE)</f>
        <v>120</v>
      </c>
      <c r="H1305" s="2">
        <f>VLOOKUP(E1305,Produtos!$A:$E,4,FALSE)</f>
        <v>60</v>
      </c>
      <c r="I1305" s="2">
        <v>5</v>
      </c>
    </row>
    <row r="1306" spans="1:9" x14ac:dyDescent="0.25">
      <c r="A1306" s="2" t="str">
        <f>CONCATENATE(Códigos!S1305,Códigos!T1305,Códigos!U1305)</f>
        <v>svv1304v</v>
      </c>
      <c r="B1306" t="s">
        <v>406</v>
      </c>
      <c r="C1306" t="s">
        <v>388</v>
      </c>
      <c r="D1306" s="2" t="s">
        <v>389</v>
      </c>
      <c r="E1306" t="s">
        <v>516</v>
      </c>
      <c r="F1306" s="11">
        <v>44285</v>
      </c>
      <c r="G1306" s="2">
        <f>VLOOKUP(E1306,Produtos!$A:$E,5,FALSE)</f>
        <v>120</v>
      </c>
      <c r="H1306" s="2">
        <f>VLOOKUP(E1306,Produtos!$A:$E,4,FALSE)</f>
        <v>60</v>
      </c>
      <c r="I1306" s="2">
        <v>5</v>
      </c>
    </row>
    <row r="1307" spans="1:9" x14ac:dyDescent="0.25">
      <c r="A1307" s="2" t="str">
        <f>CONCATENATE(Códigos!S1306,Códigos!T1306,Códigos!U1306)</f>
        <v>svv1305v</v>
      </c>
      <c r="B1307" t="s">
        <v>406</v>
      </c>
      <c r="C1307" t="s">
        <v>388</v>
      </c>
      <c r="D1307" s="2" t="s">
        <v>389</v>
      </c>
      <c r="E1307" t="s">
        <v>516</v>
      </c>
      <c r="F1307" s="11">
        <v>44286</v>
      </c>
      <c r="G1307" s="2">
        <f>VLOOKUP(E1307,Produtos!$A:$E,5,FALSE)</f>
        <v>120</v>
      </c>
      <c r="H1307" s="2">
        <f>VLOOKUP(E1307,Produtos!$A:$E,4,FALSE)</f>
        <v>60</v>
      </c>
      <c r="I1307" s="2">
        <v>5</v>
      </c>
    </row>
    <row r="1308" spans="1:9" x14ac:dyDescent="0.25">
      <c r="A1308" s="2" t="str">
        <f>CONCATENATE(Códigos!S1307,Códigos!T1307,Códigos!U1307)</f>
        <v>svv1306v</v>
      </c>
      <c r="B1308" t="s">
        <v>406</v>
      </c>
      <c r="C1308" t="s">
        <v>388</v>
      </c>
      <c r="D1308" s="2" t="s">
        <v>389</v>
      </c>
      <c r="E1308" t="s">
        <v>516</v>
      </c>
      <c r="F1308" s="11">
        <v>44287</v>
      </c>
      <c r="G1308" s="2">
        <f>VLOOKUP(E1308,Produtos!$A:$E,5,FALSE)</f>
        <v>120</v>
      </c>
      <c r="H1308" s="2">
        <f>VLOOKUP(E1308,Produtos!$A:$E,4,FALSE)</f>
        <v>60</v>
      </c>
      <c r="I1308" s="2">
        <v>5</v>
      </c>
    </row>
    <row r="1309" spans="1:9" x14ac:dyDescent="0.25">
      <c r="A1309" s="2" t="str">
        <f>CONCATENATE(Códigos!S1308,Códigos!T1308,Códigos!U1308)</f>
        <v>svv1307v</v>
      </c>
      <c r="B1309" t="s">
        <v>406</v>
      </c>
      <c r="C1309" t="s">
        <v>388</v>
      </c>
      <c r="D1309" s="2" t="s">
        <v>389</v>
      </c>
      <c r="E1309" t="s">
        <v>516</v>
      </c>
      <c r="F1309" s="11">
        <v>44288</v>
      </c>
      <c r="G1309" s="2">
        <f>VLOOKUP(E1309,Produtos!$A:$E,5,FALSE)</f>
        <v>120</v>
      </c>
      <c r="H1309" s="2">
        <f>VLOOKUP(E1309,Produtos!$A:$E,4,FALSE)</f>
        <v>60</v>
      </c>
      <c r="I1309" s="2">
        <v>5</v>
      </c>
    </row>
    <row r="1310" spans="1:9" x14ac:dyDescent="0.25">
      <c r="A1310" s="2" t="str">
        <f>CONCATENATE(Códigos!S1309,Códigos!T1309,Códigos!U1309)</f>
        <v>svv1308v</v>
      </c>
      <c r="B1310" t="s">
        <v>406</v>
      </c>
      <c r="C1310" t="s">
        <v>388</v>
      </c>
      <c r="D1310" s="2" t="s">
        <v>389</v>
      </c>
      <c r="E1310" t="s">
        <v>516</v>
      </c>
      <c r="F1310" s="11">
        <v>44289</v>
      </c>
      <c r="G1310" s="2">
        <f>VLOOKUP(E1310,Produtos!$A:$E,5,FALSE)</f>
        <v>120</v>
      </c>
      <c r="H1310" s="2">
        <f>VLOOKUP(E1310,Produtos!$A:$E,4,FALSE)</f>
        <v>60</v>
      </c>
      <c r="I1310" s="2">
        <v>5</v>
      </c>
    </row>
    <row r="1311" spans="1:9" x14ac:dyDescent="0.25">
      <c r="A1311" s="2" t="str">
        <f>CONCATENATE(Códigos!S1310,Códigos!T1310,Códigos!U1310)</f>
        <v>svv1309v</v>
      </c>
      <c r="B1311" t="s">
        <v>406</v>
      </c>
      <c r="C1311" t="s">
        <v>388</v>
      </c>
      <c r="D1311" s="2" t="s">
        <v>389</v>
      </c>
      <c r="E1311" t="s">
        <v>516</v>
      </c>
      <c r="F1311" s="11">
        <v>44290</v>
      </c>
      <c r="G1311" s="2">
        <f>VLOOKUP(E1311,Produtos!$A:$E,5,FALSE)</f>
        <v>120</v>
      </c>
      <c r="H1311" s="2">
        <f>VLOOKUP(E1311,Produtos!$A:$E,4,FALSE)</f>
        <v>60</v>
      </c>
      <c r="I1311" s="2">
        <v>5</v>
      </c>
    </row>
    <row r="1312" spans="1:9" x14ac:dyDescent="0.25">
      <c r="A1312" s="2" t="str">
        <f>CONCATENATE(Códigos!S1311,Códigos!T1311,Códigos!U1311)</f>
        <v>svv1310v</v>
      </c>
      <c r="B1312" t="s">
        <v>406</v>
      </c>
      <c r="C1312" t="s">
        <v>388</v>
      </c>
      <c r="D1312" s="2" t="s">
        <v>389</v>
      </c>
      <c r="E1312" t="s">
        <v>516</v>
      </c>
      <c r="F1312" s="11">
        <v>44291</v>
      </c>
      <c r="G1312" s="2">
        <f>VLOOKUP(E1312,Produtos!$A:$E,5,FALSE)</f>
        <v>120</v>
      </c>
      <c r="H1312" s="2">
        <f>VLOOKUP(E1312,Produtos!$A:$E,4,FALSE)</f>
        <v>60</v>
      </c>
      <c r="I1312" s="2">
        <v>5</v>
      </c>
    </row>
    <row r="1313" spans="1:9" x14ac:dyDescent="0.25">
      <c r="A1313" s="2" t="str">
        <f>CONCATENATE(Códigos!S1312,Códigos!T1312,Códigos!U1312)</f>
        <v>svv1311v</v>
      </c>
      <c r="B1313" t="s">
        <v>406</v>
      </c>
      <c r="C1313" t="s">
        <v>388</v>
      </c>
      <c r="D1313" s="2" t="s">
        <v>389</v>
      </c>
      <c r="E1313" t="s">
        <v>516</v>
      </c>
      <c r="F1313" s="11">
        <v>44292</v>
      </c>
      <c r="G1313" s="2">
        <f>VLOOKUP(E1313,Produtos!$A:$E,5,FALSE)</f>
        <v>120</v>
      </c>
      <c r="H1313" s="2">
        <f>VLOOKUP(E1313,Produtos!$A:$E,4,FALSE)</f>
        <v>60</v>
      </c>
      <c r="I1313" s="2">
        <v>5</v>
      </c>
    </row>
    <row r="1314" spans="1:9" x14ac:dyDescent="0.25">
      <c r="A1314" s="2" t="str">
        <f>CONCATENATE(Códigos!S1313,Códigos!T1313,Códigos!U1313)</f>
        <v>svv1312v</v>
      </c>
      <c r="B1314" t="s">
        <v>406</v>
      </c>
      <c r="C1314" t="s">
        <v>388</v>
      </c>
      <c r="D1314" s="2" t="s">
        <v>389</v>
      </c>
      <c r="E1314" t="s">
        <v>516</v>
      </c>
      <c r="F1314" s="11">
        <v>44293</v>
      </c>
      <c r="G1314" s="2">
        <f>VLOOKUP(E1314,Produtos!$A:$E,5,FALSE)</f>
        <v>120</v>
      </c>
      <c r="H1314" s="2">
        <f>VLOOKUP(E1314,Produtos!$A:$E,4,FALSE)</f>
        <v>60</v>
      </c>
      <c r="I1314" s="2">
        <v>5</v>
      </c>
    </row>
    <row r="1315" spans="1:9" x14ac:dyDescent="0.25">
      <c r="A1315" s="2" t="str">
        <f>CONCATENATE(Códigos!S1314,Códigos!T1314,Códigos!U1314)</f>
        <v>svv1313v</v>
      </c>
      <c r="B1315" t="s">
        <v>406</v>
      </c>
      <c r="C1315" t="s">
        <v>388</v>
      </c>
      <c r="D1315" s="2" t="s">
        <v>389</v>
      </c>
      <c r="E1315" t="s">
        <v>516</v>
      </c>
      <c r="F1315" s="11">
        <v>44294</v>
      </c>
      <c r="G1315" s="2">
        <f>VLOOKUP(E1315,Produtos!$A:$E,5,FALSE)</f>
        <v>120</v>
      </c>
      <c r="H1315" s="2">
        <f>VLOOKUP(E1315,Produtos!$A:$E,4,FALSE)</f>
        <v>60</v>
      </c>
      <c r="I1315" s="2">
        <v>5</v>
      </c>
    </row>
    <row r="1316" spans="1:9" x14ac:dyDescent="0.25">
      <c r="A1316" s="2" t="str">
        <f>CONCATENATE(Códigos!S1315,Códigos!T1315,Códigos!U1315)</f>
        <v>svv1314v</v>
      </c>
      <c r="B1316" t="s">
        <v>406</v>
      </c>
      <c r="C1316" t="s">
        <v>388</v>
      </c>
      <c r="D1316" s="2" t="s">
        <v>389</v>
      </c>
      <c r="E1316" t="s">
        <v>516</v>
      </c>
      <c r="F1316" s="11">
        <v>44295</v>
      </c>
      <c r="G1316" s="2">
        <f>VLOOKUP(E1316,Produtos!$A:$E,5,FALSE)</f>
        <v>120</v>
      </c>
      <c r="H1316" s="2">
        <f>VLOOKUP(E1316,Produtos!$A:$E,4,FALSE)</f>
        <v>60</v>
      </c>
      <c r="I1316" s="2">
        <v>5</v>
      </c>
    </row>
    <row r="1317" spans="1:9" x14ac:dyDescent="0.25">
      <c r="A1317" s="2" t="str">
        <f>CONCATENATE(Códigos!S1316,Códigos!T1316,Códigos!U1316)</f>
        <v>svv1315v</v>
      </c>
      <c r="B1317" t="s">
        <v>406</v>
      </c>
      <c r="C1317" t="s">
        <v>388</v>
      </c>
      <c r="D1317" s="2" t="s">
        <v>389</v>
      </c>
      <c r="E1317" t="s">
        <v>516</v>
      </c>
      <c r="F1317" s="11">
        <v>44296</v>
      </c>
      <c r="G1317" s="2">
        <f>VLOOKUP(E1317,Produtos!$A:$E,5,FALSE)</f>
        <v>120</v>
      </c>
      <c r="H1317" s="2">
        <f>VLOOKUP(E1317,Produtos!$A:$E,4,FALSE)</f>
        <v>60</v>
      </c>
      <c r="I1317" s="2">
        <v>5</v>
      </c>
    </row>
    <row r="1318" spans="1:9" x14ac:dyDescent="0.25">
      <c r="A1318" s="2" t="str">
        <f>CONCATENATE(Códigos!S1317,Códigos!T1317,Códigos!U1317)</f>
        <v>svv1316v</v>
      </c>
      <c r="B1318" t="s">
        <v>406</v>
      </c>
      <c r="C1318" t="s">
        <v>388</v>
      </c>
      <c r="D1318" s="2" t="s">
        <v>389</v>
      </c>
      <c r="E1318" t="s">
        <v>516</v>
      </c>
      <c r="F1318" s="11">
        <v>44297</v>
      </c>
      <c r="G1318" s="2">
        <f>VLOOKUP(E1318,Produtos!$A:$E,5,FALSE)</f>
        <v>120</v>
      </c>
      <c r="H1318" s="2">
        <f>VLOOKUP(E1318,Produtos!$A:$E,4,FALSE)</f>
        <v>60</v>
      </c>
      <c r="I1318" s="2">
        <v>5</v>
      </c>
    </row>
    <row r="1319" spans="1:9" x14ac:dyDescent="0.25">
      <c r="A1319" s="2" t="str">
        <f>CONCATENATE(Códigos!S1318,Códigos!T1318,Códigos!U1318)</f>
        <v>svv1317v</v>
      </c>
      <c r="B1319" t="s">
        <v>406</v>
      </c>
      <c r="C1319" t="s">
        <v>388</v>
      </c>
      <c r="D1319" s="2" t="s">
        <v>389</v>
      </c>
      <c r="E1319" t="s">
        <v>516</v>
      </c>
      <c r="F1319" s="11">
        <v>44298</v>
      </c>
      <c r="G1319" s="2">
        <f>VLOOKUP(E1319,Produtos!$A:$E,5,FALSE)</f>
        <v>120</v>
      </c>
      <c r="H1319" s="2">
        <f>VLOOKUP(E1319,Produtos!$A:$E,4,FALSE)</f>
        <v>60</v>
      </c>
      <c r="I1319" s="2">
        <v>5</v>
      </c>
    </row>
    <row r="1320" spans="1:9" x14ac:dyDescent="0.25">
      <c r="A1320" s="2" t="str">
        <f>CONCATENATE(Códigos!S1319,Códigos!T1319,Códigos!U1319)</f>
        <v>svv1318v</v>
      </c>
      <c r="B1320" t="s">
        <v>406</v>
      </c>
      <c r="C1320" t="s">
        <v>388</v>
      </c>
      <c r="D1320" s="2" t="s">
        <v>389</v>
      </c>
      <c r="E1320" t="s">
        <v>516</v>
      </c>
      <c r="F1320" s="11">
        <v>44299</v>
      </c>
      <c r="G1320" s="2">
        <f>VLOOKUP(E1320,Produtos!$A:$E,5,FALSE)</f>
        <v>120</v>
      </c>
      <c r="H1320" s="2">
        <f>VLOOKUP(E1320,Produtos!$A:$E,4,FALSE)</f>
        <v>60</v>
      </c>
      <c r="I1320" s="2">
        <v>5</v>
      </c>
    </row>
    <row r="1321" spans="1:9" x14ac:dyDescent="0.25">
      <c r="A1321" s="2" t="str">
        <f>CONCATENATE(Códigos!S1320,Códigos!T1320,Códigos!U1320)</f>
        <v>svv1319v</v>
      </c>
      <c r="B1321" t="s">
        <v>406</v>
      </c>
      <c r="C1321" t="s">
        <v>388</v>
      </c>
      <c r="D1321" s="2" t="s">
        <v>389</v>
      </c>
      <c r="E1321" t="s">
        <v>516</v>
      </c>
      <c r="F1321" s="11">
        <v>44300</v>
      </c>
      <c r="G1321" s="2">
        <f>VLOOKUP(E1321,Produtos!$A:$E,5,FALSE)</f>
        <v>120</v>
      </c>
      <c r="H1321" s="2">
        <f>VLOOKUP(E1321,Produtos!$A:$E,4,FALSE)</f>
        <v>60</v>
      </c>
      <c r="I1321" s="2">
        <v>5</v>
      </c>
    </row>
    <row r="1322" spans="1:9" x14ac:dyDescent="0.25">
      <c r="A1322" s="2" t="str">
        <f>CONCATENATE(Códigos!S1321,Códigos!T1321,Códigos!U1321)</f>
        <v>svv1320v</v>
      </c>
      <c r="B1322" t="s">
        <v>406</v>
      </c>
      <c r="C1322" t="s">
        <v>388</v>
      </c>
      <c r="D1322" s="2" t="s">
        <v>389</v>
      </c>
      <c r="E1322" t="s">
        <v>516</v>
      </c>
      <c r="F1322" s="11">
        <v>44301</v>
      </c>
      <c r="G1322" s="2">
        <f>VLOOKUP(E1322,Produtos!$A:$E,5,FALSE)</f>
        <v>120</v>
      </c>
      <c r="H1322" s="2">
        <f>VLOOKUP(E1322,Produtos!$A:$E,4,FALSE)</f>
        <v>60</v>
      </c>
      <c r="I1322" s="2">
        <v>5</v>
      </c>
    </row>
    <row r="1323" spans="1:9" x14ac:dyDescent="0.25">
      <c r="A1323" s="2" t="str">
        <f>CONCATENATE(Códigos!S1322,Códigos!T1322,Códigos!U1322)</f>
        <v>svv1321v</v>
      </c>
      <c r="B1323" t="s">
        <v>406</v>
      </c>
      <c r="C1323" t="s">
        <v>388</v>
      </c>
      <c r="D1323" s="2" t="s">
        <v>389</v>
      </c>
      <c r="E1323" t="s">
        <v>516</v>
      </c>
      <c r="F1323" s="11">
        <v>44302</v>
      </c>
      <c r="G1323" s="2">
        <f>VLOOKUP(E1323,Produtos!$A:$E,5,FALSE)</f>
        <v>120</v>
      </c>
      <c r="H1323" s="2">
        <f>VLOOKUP(E1323,Produtos!$A:$E,4,FALSE)</f>
        <v>60</v>
      </c>
      <c r="I1323" s="2">
        <v>5</v>
      </c>
    </row>
    <row r="1324" spans="1:9" x14ac:dyDescent="0.25">
      <c r="A1324" s="2" t="str">
        <f>CONCATENATE(Códigos!S1323,Códigos!T1323,Códigos!U1323)</f>
        <v>svv1322v</v>
      </c>
      <c r="B1324" t="s">
        <v>406</v>
      </c>
      <c r="C1324" t="s">
        <v>388</v>
      </c>
      <c r="D1324" s="2" t="s">
        <v>389</v>
      </c>
      <c r="E1324" t="s">
        <v>516</v>
      </c>
      <c r="F1324" s="11">
        <v>44303</v>
      </c>
      <c r="G1324" s="2">
        <f>VLOOKUP(E1324,Produtos!$A:$E,5,FALSE)</f>
        <v>120</v>
      </c>
      <c r="H1324" s="2">
        <f>VLOOKUP(E1324,Produtos!$A:$E,4,FALSE)</f>
        <v>60</v>
      </c>
      <c r="I1324" s="2">
        <v>5</v>
      </c>
    </row>
    <row r="1325" spans="1:9" x14ac:dyDescent="0.25">
      <c r="A1325" s="2" t="str">
        <f>CONCATENATE(Códigos!S1324,Códigos!T1324,Códigos!U1324)</f>
        <v>svv1323v</v>
      </c>
      <c r="B1325" t="s">
        <v>406</v>
      </c>
      <c r="C1325" t="s">
        <v>388</v>
      </c>
      <c r="D1325" s="2" t="s">
        <v>389</v>
      </c>
      <c r="E1325" t="s">
        <v>516</v>
      </c>
      <c r="F1325" s="11">
        <v>44304</v>
      </c>
      <c r="G1325" s="2">
        <f>VLOOKUP(E1325,Produtos!$A:$E,5,FALSE)</f>
        <v>120</v>
      </c>
      <c r="H1325" s="2">
        <f>VLOOKUP(E1325,Produtos!$A:$E,4,FALSE)</f>
        <v>60</v>
      </c>
      <c r="I1325" s="2">
        <v>5</v>
      </c>
    </row>
    <row r="1326" spans="1:9" x14ac:dyDescent="0.25">
      <c r="A1326" s="2" t="str">
        <f>CONCATENATE(Códigos!S1325,Códigos!T1325,Códigos!U1325)</f>
        <v>svv1324v</v>
      </c>
      <c r="B1326" t="s">
        <v>406</v>
      </c>
      <c r="C1326" t="s">
        <v>388</v>
      </c>
      <c r="D1326" s="2" t="s">
        <v>389</v>
      </c>
      <c r="E1326" t="s">
        <v>516</v>
      </c>
      <c r="F1326" s="11">
        <v>44305</v>
      </c>
      <c r="G1326" s="2">
        <f>VLOOKUP(E1326,Produtos!$A:$E,5,FALSE)</f>
        <v>120</v>
      </c>
      <c r="H1326" s="2">
        <f>VLOOKUP(E1326,Produtos!$A:$E,4,FALSE)</f>
        <v>60</v>
      </c>
      <c r="I1326" s="2">
        <v>5</v>
      </c>
    </row>
    <row r="1327" spans="1:9" x14ac:dyDescent="0.25">
      <c r="A1327" s="2" t="str">
        <f>CONCATENATE(Códigos!S1326,Códigos!T1326,Códigos!U1326)</f>
        <v>svv1325v</v>
      </c>
      <c r="B1327" t="s">
        <v>406</v>
      </c>
      <c r="C1327" t="s">
        <v>388</v>
      </c>
      <c r="D1327" s="2" t="s">
        <v>389</v>
      </c>
      <c r="E1327" t="s">
        <v>516</v>
      </c>
      <c r="F1327" s="11">
        <v>44306</v>
      </c>
      <c r="G1327" s="2">
        <f>VLOOKUP(E1327,Produtos!$A:$E,5,FALSE)</f>
        <v>120</v>
      </c>
      <c r="H1327" s="2">
        <f>VLOOKUP(E1327,Produtos!$A:$E,4,FALSE)</f>
        <v>60</v>
      </c>
      <c r="I1327" s="2">
        <v>5</v>
      </c>
    </row>
    <row r="1328" spans="1:9" x14ac:dyDescent="0.25">
      <c r="A1328" s="2" t="str">
        <f>CONCATENATE(Códigos!S1327,Códigos!T1327,Códigos!U1327)</f>
        <v>svv1326v</v>
      </c>
      <c r="B1328" t="s">
        <v>406</v>
      </c>
      <c r="C1328" t="s">
        <v>388</v>
      </c>
      <c r="D1328" s="2" t="s">
        <v>389</v>
      </c>
      <c r="E1328" t="s">
        <v>516</v>
      </c>
      <c r="F1328" s="11">
        <v>44307</v>
      </c>
      <c r="G1328" s="2">
        <f>VLOOKUP(E1328,Produtos!$A:$E,5,FALSE)</f>
        <v>120</v>
      </c>
      <c r="H1328" s="2">
        <f>VLOOKUP(E1328,Produtos!$A:$E,4,FALSE)</f>
        <v>60</v>
      </c>
      <c r="I1328" s="2">
        <v>5</v>
      </c>
    </row>
    <row r="1329" spans="1:9" x14ac:dyDescent="0.25">
      <c r="A1329" s="2" t="str">
        <f>CONCATENATE(Códigos!S1328,Códigos!T1328,Códigos!U1328)</f>
        <v>svv1327v</v>
      </c>
      <c r="B1329" t="s">
        <v>406</v>
      </c>
      <c r="C1329" t="s">
        <v>388</v>
      </c>
      <c r="D1329" s="2" t="s">
        <v>389</v>
      </c>
      <c r="E1329" t="s">
        <v>516</v>
      </c>
      <c r="F1329" s="11">
        <v>44308</v>
      </c>
      <c r="G1329" s="2">
        <f>VLOOKUP(E1329,Produtos!$A:$E,5,FALSE)</f>
        <v>120</v>
      </c>
      <c r="H1329" s="2">
        <f>VLOOKUP(E1329,Produtos!$A:$E,4,FALSE)</f>
        <v>60</v>
      </c>
      <c r="I1329" s="2">
        <v>5</v>
      </c>
    </row>
    <row r="1330" spans="1:9" x14ac:dyDescent="0.25">
      <c r="A1330" s="2" t="str">
        <f>CONCATENATE(Códigos!S1329,Códigos!T1329,Códigos!U1329)</f>
        <v>svv1328v</v>
      </c>
      <c r="B1330" t="s">
        <v>406</v>
      </c>
      <c r="C1330" t="s">
        <v>388</v>
      </c>
      <c r="D1330" s="2" t="s">
        <v>389</v>
      </c>
      <c r="E1330" t="s">
        <v>516</v>
      </c>
      <c r="F1330" s="11">
        <v>44309</v>
      </c>
      <c r="G1330" s="2">
        <f>VLOOKUP(E1330,Produtos!$A:$E,5,FALSE)</f>
        <v>120</v>
      </c>
      <c r="H1330" s="2">
        <f>VLOOKUP(E1330,Produtos!$A:$E,4,FALSE)</f>
        <v>60</v>
      </c>
      <c r="I1330" s="2">
        <v>5</v>
      </c>
    </row>
    <row r="1331" spans="1:9" x14ac:dyDescent="0.25">
      <c r="A1331" s="2" t="str">
        <f>CONCATENATE(Códigos!S1330,Códigos!T1330,Códigos!U1330)</f>
        <v>svv1329v</v>
      </c>
      <c r="B1331" t="s">
        <v>406</v>
      </c>
      <c r="C1331" t="s">
        <v>388</v>
      </c>
      <c r="D1331" s="2" t="s">
        <v>389</v>
      </c>
      <c r="E1331" t="s">
        <v>516</v>
      </c>
      <c r="F1331" s="11">
        <v>44310</v>
      </c>
      <c r="G1331" s="2">
        <f>VLOOKUP(E1331,Produtos!$A:$E,5,FALSE)</f>
        <v>120</v>
      </c>
      <c r="H1331" s="2">
        <f>VLOOKUP(E1331,Produtos!$A:$E,4,FALSE)</f>
        <v>60</v>
      </c>
      <c r="I1331" s="2">
        <v>5</v>
      </c>
    </row>
    <row r="1332" spans="1:9" x14ac:dyDescent="0.25">
      <c r="A1332" s="2" t="str">
        <f>CONCATENATE(Códigos!S1331,Códigos!T1331,Códigos!U1331)</f>
        <v>svv1330v</v>
      </c>
      <c r="B1332" t="s">
        <v>406</v>
      </c>
      <c r="C1332" t="s">
        <v>388</v>
      </c>
      <c r="D1332" s="2" t="s">
        <v>389</v>
      </c>
      <c r="E1332" t="s">
        <v>516</v>
      </c>
      <c r="F1332" s="11">
        <v>44311</v>
      </c>
      <c r="G1332" s="2">
        <f>VLOOKUP(E1332,Produtos!$A:$E,5,FALSE)</f>
        <v>120</v>
      </c>
      <c r="H1332" s="2">
        <f>VLOOKUP(E1332,Produtos!$A:$E,4,FALSE)</f>
        <v>60</v>
      </c>
      <c r="I1332" s="2">
        <v>5</v>
      </c>
    </row>
    <row r="1333" spans="1:9" x14ac:dyDescent="0.25">
      <c r="A1333" s="2" t="str">
        <f>CONCATENATE(Códigos!S1332,Códigos!T1332,Códigos!U1332)</f>
        <v>svv1331v</v>
      </c>
      <c r="B1333" t="s">
        <v>406</v>
      </c>
      <c r="C1333" t="s">
        <v>388</v>
      </c>
      <c r="D1333" s="2" t="s">
        <v>389</v>
      </c>
      <c r="E1333" t="s">
        <v>516</v>
      </c>
      <c r="F1333" s="11">
        <v>44312</v>
      </c>
      <c r="G1333" s="2">
        <f>VLOOKUP(E1333,Produtos!$A:$E,5,FALSE)</f>
        <v>120</v>
      </c>
      <c r="H1333" s="2">
        <f>VLOOKUP(E1333,Produtos!$A:$E,4,FALSE)</f>
        <v>60</v>
      </c>
      <c r="I1333" s="2">
        <v>5</v>
      </c>
    </row>
    <row r="1334" spans="1:9" x14ac:dyDescent="0.25">
      <c r="A1334" s="2" t="str">
        <f>CONCATENATE(Códigos!S1333,Códigos!T1333,Códigos!U1333)</f>
        <v>svv1332v</v>
      </c>
      <c r="B1334" t="s">
        <v>406</v>
      </c>
      <c r="C1334" t="s">
        <v>388</v>
      </c>
      <c r="D1334" s="2" t="s">
        <v>389</v>
      </c>
      <c r="E1334" t="s">
        <v>516</v>
      </c>
      <c r="F1334" s="11">
        <v>44313</v>
      </c>
      <c r="G1334" s="2">
        <f>VLOOKUP(E1334,Produtos!$A:$E,5,FALSE)</f>
        <v>120</v>
      </c>
      <c r="H1334" s="2">
        <f>VLOOKUP(E1334,Produtos!$A:$E,4,FALSE)</f>
        <v>60</v>
      </c>
      <c r="I1334" s="2">
        <v>5</v>
      </c>
    </row>
    <row r="1335" spans="1:9" x14ac:dyDescent="0.25">
      <c r="A1335" s="2" t="str">
        <f>CONCATENATE(Códigos!S1334,Códigos!T1334,Códigos!U1334)</f>
        <v>svv1333v</v>
      </c>
      <c r="B1335" t="s">
        <v>406</v>
      </c>
      <c r="C1335" t="s">
        <v>388</v>
      </c>
      <c r="D1335" s="2" t="s">
        <v>389</v>
      </c>
      <c r="E1335" t="s">
        <v>516</v>
      </c>
      <c r="F1335" s="11">
        <v>44314</v>
      </c>
      <c r="G1335" s="2">
        <f>VLOOKUP(E1335,Produtos!$A:$E,5,FALSE)</f>
        <v>120</v>
      </c>
      <c r="H1335" s="2">
        <f>VLOOKUP(E1335,Produtos!$A:$E,4,FALSE)</f>
        <v>60</v>
      </c>
      <c r="I1335" s="2">
        <v>5</v>
      </c>
    </row>
    <row r="1336" spans="1:9" x14ac:dyDescent="0.25">
      <c r="A1336" s="2" t="str">
        <f>CONCATENATE(Códigos!S1335,Códigos!T1335,Códigos!U1335)</f>
        <v>svv1334v</v>
      </c>
      <c r="B1336" t="s">
        <v>406</v>
      </c>
      <c r="C1336" t="s">
        <v>388</v>
      </c>
      <c r="D1336" s="2" t="s">
        <v>389</v>
      </c>
      <c r="E1336" t="s">
        <v>516</v>
      </c>
      <c r="F1336" s="11">
        <v>44315</v>
      </c>
      <c r="G1336" s="2">
        <f>VLOOKUP(E1336,Produtos!$A:$E,5,FALSE)</f>
        <v>120</v>
      </c>
      <c r="H1336" s="2">
        <f>VLOOKUP(E1336,Produtos!$A:$E,4,FALSE)</f>
        <v>60</v>
      </c>
      <c r="I1336" s="2">
        <v>5</v>
      </c>
    </row>
    <row r="1337" spans="1:9" x14ac:dyDescent="0.25">
      <c r="A1337" s="2" t="str">
        <f>CONCATENATE(Códigos!S1336,Códigos!T1336,Códigos!U1336)</f>
        <v>svv1335v</v>
      </c>
      <c r="B1337" t="s">
        <v>406</v>
      </c>
      <c r="C1337" t="s">
        <v>388</v>
      </c>
      <c r="D1337" s="2" t="s">
        <v>389</v>
      </c>
      <c r="E1337" t="s">
        <v>516</v>
      </c>
      <c r="F1337" s="11">
        <v>44316</v>
      </c>
      <c r="G1337" s="2">
        <f>VLOOKUP(E1337,Produtos!$A:$E,5,FALSE)</f>
        <v>120</v>
      </c>
      <c r="H1337" s="2">
        <f>VLOOKUP(E1337,Produtos!$A:$E,4,FALSE)</f>
        <v>60</v>
      </c>
      <c r="I1337" s="2">
        <v>5</v>
      </c>
    </row>
    <row r="1338" spans="1:9" x14ac:dyDescent="0.25">
      <c r="A1338" s="2" t="str">
        <f>CONCATENATE(Códigos!S1337,Códigos!T1337,Códigos!U1337)</f>
        <v>svv1336v</v>
      </c>
      <c r="B1338" t="s">
        <v>406</v>
      </c>
      <c r="C1338" t="s">
        <v>388</v>
      </c>
      <c r="D1338" s="2" t="s">
        <v>389</v>
      </c>
      <c r="E1338" t="s">
        <v>516</v>
      </c>
      <c r="F1338" s="11">
        <v>44317</v>
      </c>
      <c r="G1338" s="2">
        <f>VLOOKUP(E1338,Produtos!$A:$E,5,FALSE)</f>
        <v>120</v>
      </c>
      <c r="H1338" s="2">
        <f>VLOOKUP(E1338,Produtos!$A:$E,4,FALSE)</f>
        <v>60</v>
      </c>
      <c r="I1338" s="2">
        <v>5</v>
      </c>
    </row>
    <row r="1339" spans="1:9" x14ac:dyDescent="0.25">
      <c r="A1339" s="2" t="str">
        <f>CONCATENATE(Códigos!S1338,Códigos!T1338,Códigos!U1338)</f>
        <v>svv1337v</v>
      </c>
      <c r="B1339" t="s">
        <v>406</v>
      </c>
      <c r="C1339" t="s">
        <v>388</v>
      </c>
      <c r="D1339" s="2" t="s">
        <v>389</v>
      </c>
      <c r="E1339" t="s">
        <v>516</v>
      </c>
      <c r="F1339" s="11">
        <v>44318</v>
      </c>
      <c r="G1339" s="2">
        <f>VLOOKUP(E1339,Produtos!$A:$E,5,FALSE)</f>
        <v>120</v>
      </c>
      <c r="H1339" s="2">
        <f>VLOOKUP(E1339,Produtos!$A:$E,4,FALSE)</f>
        <v>60</v>
      </c>
      <c r="I1339" s="2">
        <v>5</v>
      </c>
    </row>
    <row r="1340" spans="1:9" x14ac:dyDescent="0.25">
      <c r="A1340" s="2" t="str">
        <f>CONCATENATE(Códigos!S1339,Códigos!T1339,Códigos!U1339)</f>
        <v>svv1338v</v>
      </c>
      <c r="B1340" t="s">
        <v>406</v>
      </c>
      <c r="C1340" t="s">
        <v>388</v>
      </c>
      <c r="D1340" s="2" t="s">
        <v>389</v>
      </c>
      <c r="E1340" t="s">
        <v>516</v>
      </c>
      <c r="F1340" s="11">
        <v>44319</v>
      </c>
      <c r="G1340" s="2">
        <f>VLOOKUP(E1340,Produtos!$A:$E,5,FALSE)</f>
        <v>120</v>
      </c>
      <c r="H1340" s="2">
        <f>VLOOKUP(E1340,Produtos!$A:$E,4,FALSE)</f>
        <v>60</v>
      </c>
      <c r="I1340" s="2">
        <v>5</v>
      </c>
    </row>
    <row r="1341" spans="1:9" x14ac:dyDescent="0.25">
      <c r="A1341" s="2" t="str">
        <f>CONCATENATE(Códigos!S1340,Códigos!T1340,Códigos!U1340)</f>
        <v>svv1339v</v>
      </c>
      <c r="B1341" t="s">
        <v>406</v>
      </c>
      <c r="C1341" t="s">
        <v>458</v>
      </c>
      <c r="D1341" s="2" t="s">
        <v>459</v>
      </c>
      <c r="E1341" t="s">
        <v>515</v>
      </c>
      <c r="F1341" s="11">
        <v>44320</v>
      </c>
      <c r="G1341" s="2">
        <f>VLOOKUP(E1341,Produtos!$A:$E,5,FALSE)</f>
        <v>400</v>
      </c>
      <c r="H1341" s="2">
        <f>VLOOKUP(E1341,Produtos!$A:$E,4,FALSE)</f>
        <v>150</v>
      </c>
      <c r="I1341" s="2">
        <v>5</v>
      </c>
    </row>
    <row r="1342" spans="1:9" x14ac:dyDescent="0.25">
      <c r="A1342" s="2" t="str">
        <f>CONCATENATE(Códigos!S1341,Códigos!T1341,Códigos!U1341)</f>
        <v>svv1340v</v>
      </c>
      <c r="B1342" t="s">
        <v>406</v>
      </c>
      <c r="C1342" t="s">
        <v>458</v>
      </c>
      <c r="D1342" s="2" t="s">
        <v>459</v>
      </c>
      <c r="E1342" t="s">
        <v>515</v>
      </c>
      <c r="F1342" s="11">
        <v>44321</v>
      </c>
      <c r="G1342" s="2">
        <f>VLOOKUP(E1342,Produtos!$A:$E,5,FALSE)</f>
        <v>400</v>
      </c>
      <c r="H1342" s="2">
        <f>VLOOKUP(E1342,Produtos!$A:$E,4,FALSE)</f>
        <v>150</v>
      </c>
      <c r="I1342" s="2">
        <v>5</v>
      </c>
    </row>
    <row r="1343" spans="1:9" x14ac:dyDescent="0.25">
      <c r="A1343" s="2" t="str">
        <f>CONCATENATE(Códigos!S1342,Códigos!T1342,Códigos!U1342)</f>
        <v>svv1341v</v>
      </c>
      <c r="B1343" t="s">
        <v>406</v>
      </c>
      <c r="C1343" t="s">
        <v>458</v>
      </c>
      <c r="D1343" s="2" t="s">
        <v>459</v>
      </c>
      <c r="E1343" t="s">
        <v>515</v>
      </c>
      <c r="F1343" s="11">
        <v>44322</v>
      </c>
      <c r="G1343" s="2">
        <f>VLOOKUP(E1343,Produtos!$A:$E,5,FALSE)</f>
        <v>400</v>
      </c>
      <c r="H1343" s="2">
        <f>VLOOKUP(E1343,Produtos!$A:$E,4,FALSE)</f>
        <v>150</v>
      </c>
      <c r="I1343" s="2">
        <v>5</v>
      </c>
    </row>
    <row r="1344" spans="1:9" x14ac:dyDescent="0.25">
      <c r="A1344" s="2" t="str">
        <f>CONCATENATE(Códigos!S1343,Códigos!T1343,Códigos!U1343)</f>
        <v>svv1342v</v>
      </c>
      <c r="B1344" t="s">
        <v>406</v>
      </c>
      <c r="C1344" t="s">
        <v>458</v>
      </c>
      <c r="D1344" s="2" t="s">
        <v>459</v>
      </c>
      <c r="E1344" t="s">
        <v>515</v>
      </c>
      <c r="F1344" s="11">
        <v>44323</v>
      </c>
      <c r="G1344" s="2">
        <f>VLOOKUP(E1344,Produtos!$A:$E,5,FALSE)</f>
        <v>400</v>
      </c>
      <c r="H1344" s="2">
        <f>VLOOKUP(E1344,Produtos!$A:$E,4,FALSE)</f>
        <v>150</v>
      </c>
      <c r="I1344" s="2">
        <v>5</v>
      </c>
    </row>
    <row r="1345" spans="1:9" x14ac:dyDescent="0.25">
      <c r="A1345" s="2" t="str">
        <f>CONCATENATE(Códigos!S1344,Códigos!T1344,Códigos!U1344)</f>
        <v>svv1343v</v>
      </c>
      <c r="B1345" t="s">
        <v>406</v>
      </c>
      <c r="C1345" t="s">
        <v>458</v>
      </c>
      <c r="D1345" s="2" t="s">
        <v>459</v>
      </c>
      <c r="E1345" t="s">
        <v>515</v>
      </c>
      <c r="F1345" s="11">
        <v>44324</v>
      </c>
      <c r="G1345" s="2">
        <f>VLOOKUP(E1345,Produtos!$A:$E,5,FALSE)</f>
        <v>400</v>
      </c>
      <c r="H1345" s="2">
        <f>VLOOKUP(E1345,Produtos!$A:$E,4,FALSE)</f>
        <v>150</v>
      </c>
      <c r="I1345" s="2">
        <v>5</v>
      </c>
    </row>
    <row r="1346" spans="1:9" x14ac:dyDescent="0.25">
      <c r="A1346" s="2" t="str">
        <f>CONCATENATE(Códigos!S1345,Códigos!T1345,Códigos!U1345)</f>
        <v>svv1344v</v>
      </c>
      <c r="B1346" t="s">
        <v>406</v>
      </c>
      <c r="C1346" t="s">
        <v>458</v>
      </c>
      <c r="D1346" s="2" t="s">
        <v>459</v>
      </c>
      <c r="E1346" t="s">
        <v>515</v>
      </c>
      <c r="F1346" s="11">
        <v>44325</v>
      </c>
      <c r="G1346" s="2">
        <f>VLOOKUP(E1346,Produtos!$A:$E,5,FALSE)</f>
        <v>400</v>
      </c>
      <c r="H1346" s="2">
        <f>VLOOKUP(E1346,Produtos!$A:$E,4,FALSE)</f>
        <v>150</v>
      </c>
      <c r="I1346" s="2">
        <v>5</v>
      </c>
    </row>
    <row r="1347" spans="1:9" x14ac:dyDescent="0.25">
      <c r="A1347" s="2" t="str">
        <f>CONCATENATE(Códigos!S1346,Códigos!T1346,Códigos!U1346)</f>
        <v>svv1345v</v>
      </c>
      <c r="B1347" t="s">
        <v>406</v>
      </c>
      <c r="C1347" t="s">
        <v>458</v>
      </c>
      <c r="D1347" s="2" t="s">
        <v>459</v>
      </c>
      <c r="E1347" t="s">
        <v>515</v>
      </c>
      <c r="F1347" s="11">
        <v>44326</v>
      </c>
      <c r="G1347" s="2">
        <f>VLOOKUP(E1347,Produtos!$A:$E,5,FALSE)</f>
        <v>400</v>
      </c>
      <c r="H1347" s="2">
        <f>VLOOKUP(E1347,Produtos!$A:$E,4,FALSE)</f>
        <v>150</v>
      </c>
      <c r="I1347" s="2">
        <v>5</v>
      </c>
    </row>
    <row r="1348" spans="1:9" x14ac:dyDescent="0.25">
      <c r="A1348" s="2" t="str">
        <f>CONCATENATE(Códigos!S1347,Códigos!T1347,Códigos!U1347)</f>
        <v>svv1346v</v>
      </c>
      <c r="B1348" t="s">
        <v>406</v>
      </c>
      <c r="C1348" t="s">
        <v>458</v>
      </c>
      <c r="D1348" s="2" t="s">
        <v>459</v>
      </c>
      <c r="E1348" t="s">
        <v>515</v>
      </c>
      <c r="F1348" s="11">
        <v>44327</v>
      </c>
      <c r="G1348" s="2">
        <f>VLOOKUP(E1348,Produtos!$A:$E,5,FALSE)</f>
        <v>400</v>
      </c>
      <c r="H1348" s="2">
        <f>VLOOKUP(E1348,Produtos!$A:$E,4,FALSE)</f>
        <v>150</v>
      </c>
      <c r="I1348" s="2">
        <v>5</v>
      </c>
    </row>
    <row r="1349" spans="1:9" x14ac:dyDescent="0.25">
      <c r="A1349" s="2" t="str">
        <f>CONCATENATE(Códigos!S1348,Códigos!T1348,Códigos!U1348)</f>
        <v>svv1347v</v>
      </c>
      <c r="B1349" t="s">
        <v>406</v>
      </c>
      <c r="C1349" t="s">
        <v>458</v>
      </c>
      <c r="D1349" s="2" t="s">
        <v>459</v>
      </c>
      <c r="E1349" t="s">
        <v>515</v>
      </c>
      <c r="F1349" s="11">
        <v>44328</v>
      </c>
      <c r="G1349" s="2">
        <f>VLOOKUP(E1349,Produtos!$A:$E,5,FALSE)</f>
        <v>400</v>
      </c>
      <c r="H1349" s="2">
        <f>VLOOKUP(E1349,Produtos!$A:$E,4,FALSE)</f>
        <v>150</v>
      </c>
      <c r="I1349" s="2">
        <v>5</v>
      </c>
    </row>
    <row r="1350" spans="1:9" x14ac:dyDescent="0.25">
      <c r="A1350" s="2" t="str">
        <f>CONCATENATE(Códigos!S1349,Códigos!T1349,Códigos!U1349)</f>
        <v>svv1348v</v>
      </c>
      <c r="B1350" t="s">
        <v>406</v>
      </c>
      <c r="C1350" t="s">
        <v>458</v>
      </c>
      <c r="D1350" s="2" t="s">
        <v>459</v>
      </c>
      <c r="E1350" t="s">
        <v>515</v>
      </c>
      <c r="F1350" s="11">
        <v>44329</v>
      </c>
      <c r="G1350" s="2">
        <f>VLOOKUP(E1350,Produtos!$A:$E,5,FALSE)</f>
        <v>400</v>
      </c>
      <c r="H1350" s="2">
        <f>VLOOKUP(E1350,Produtos!$A:$E,4,FALSE)</f>
        <v>150</v>
      </c>
      <c r="I1350" s="2">
        <v>5</v>
      </c>
    </row>
    <row r="1351" spans="1:9" x14ac:dyDescent="0.25">
      <c r="A1351" s="2" t="str">
        <f>CONCATENATE(Códigos!S1350,Códigos!T1350,Códigos!U1350)</f>
        <v>svv1349v</v>
      </c>
      <c r="B1351" t="s">
        <v>406</v>
      </c>
      <c r="C1351" t="s">
        <v>458</v>
      </c>
      <c r="D1351" s="2" t="s">
        <v>459</v>
      </c>
      <c r="E1351" t="s">
        <v>515</v>
      </c>
      <c r="F1351" s="11">
        <v>44330</v>
      </c>
      <c r="G1351" s="2">
        <f>VLOOKUP(E1351,Produtos!$A:$E,5,FALSE)</f>
        <v>400</v>
      </c>
      <c r="H1351" s="2">
        <f>VLOOKUP(E1351,Produtos!$A:$E,4,FALSE)</f>
        <v>150</v>
      </c>
      <c r="I1351" s="2">
        <v>5</v>
      </c>
    </row>
    <row r="1352" spans="1:9" x14ac:dyDescent="0.25">
      <c r="A1352" s="2" t="str">
        <f>CONCATENATE(Códigos!S1351,Códigos!T1351,Códigos!U1351)</f>
        <v>svv1350v</v>
      </c>
      <c r="B1352" t="s">
        <v>406</v>
      </c>
      <c r="C1352" t="s">
        <v>458</v>
      </c>
      <c r="D1352" s="2" t="s">
        <v>459</v>
      </c>
      <c r="E1352" t="s">
        <v>515</v>
      </c>
      <c r="F1352" s="11">
        <v>44331</v>
      </c>
      <c r="G1352" s="2">
        <f>VLOOKUP(E1352,Produtos!$A:$E,5,FALSE)</f>
        <v>400</v>
      </c>
      <c r="H1352" s="2">
        <f>VLOOKUP(E1352,Produtos!$A:$E,4,FALSE)</f>
        <v>150</v>
      </c>
      <c r="I1352" s="2">
        <v>5</v>
      </c>
    </row>
    <row r="1353" spans="1:9" x14ac:dyDescent="0.25">
      <c r="A1353" s="2" t="str">
        <f>CONCATENATE(Códigos!S1352,Códigos!T1352,Códigos!U1352)</f>
        <v>svv1351v</v>
      </c>
      <c r="B1353" t="s">
        <v>406</v>
      </c>
      <c r="C1353" t="s">
        <v>458</v>
      </c>
      <c r="D1353" s="2" t="s">
        <v>459</v>
      </c>
      <c r="E1353" t="s">
        <v>515</v>
      </c>
      <c r="F1353" s="11">
        <v>44332</v>
      </c>
      <c r="G1353" s="2">
        <f>VLOOKUP(E1353,Produtos!$A:$E,5,FALSE)</f>
        <v>400</v>
      </c>
      <c r="H1353" s="2">
        <f>VLOOKUP(E1353,Produtos!$A:$E,4,FALSE)</f>
        <v>150</v>
      </c>
      <c r="I1353" s="2">
        <v>5</v>
      </c>
    </row>
    <row r="1354" spans="1:9" x14ac:dyDescent="0.25">
      <c r="A1354" s="2" t="str">
        <f>CONCATENATE(Códigos!S1353,Códigos!T1353,Códigos!U1353)</f>
        <v>svv1352v</v>
      </c>
      <c r="B1354" t="s">
        <v>406</v>
      </c>
      <c r="C1354" t="s">
        <v>458</v>
      </c>
      <c r="D1354" s="2" t="s">
        <v>459</v>
      </c>
      <c r="E1354" t="s">
        <v>515</v>
      </c>
      <c r="F1354" s="11">
        <v>44333</v>
      </c>
      <c r="G1354" s="2">
        <f>VLOOKUP(E1354,Produtos!$A:$E,5,FALSE)</f>
        <v>400</v>
      </c>
      <c r="H1354" s="2">
        <f>VLOOKUP(E1354,Produtos!$A:$E,4,FALSE)</f>
        <v>150</v>
      </c>
      <c r="I1354" s="2">
        <v>5</v>
      </c>
    </row>
    <row r="1355" spans="1:9" x14ac:dyDescent="0.25">
      <c r="A1355" s="2" t="str">
        <f>CONCATENATE(Códigos!S1354,Códigos!T1354,Códigos!U1354)</f>
        <v>svv1353v</v>
      </c>
      <c r="B1355" t="s">
        <v>406</v>
      </c>
      <c r="C1355" t="s">
        <v>458</v>
      </c>
      <c r="D1355" s="2" t="s">
        <v>459</v>
      </c>
      <c r="E1355" t="s">
        <v>515</v>
      </c>
      <c r="F1355" s="11">
        <v>44334</v>
      </c>
      <c r="G1355" s="2">
        <f>VLOOKUP(E1355,Produtos!$A:$E,5,FALSE)</f>
        <v>400</v>
      </c>
      <c r="H1355" s="2">
        <f>VLOOKUP(E1355,Produtos!$A:$E,4,FALSE)</f>
        <v>150</v>
      </c>
      <c r="I1355" s="2">
        <v>5</v>
      </c>
    </row>
    <row r="1356" spans="1:9" x14ac:dyDescent="0.25">
      <c r="A1356" s="2" t="str">
        <f>CONCATENATE(Códigos!S1355,Códigos!T1355,Códigos!U1355)</f>
        <v>svv1354v</v>
      </c>
      <c r="B1356" t="s">
        <v>406</v>
      </c>
      <c r="C1356" t="s">
        <v>458</v>
      </c>
      <c r="D1356" s="2" t="s">
        <v>459</v>
      </c>
      <c r="E1356" t="s">
        <v>515</v>
      </c>
      <c r="F1356" s="11">
        <v>44335</v>
      </c>
      <c r="G1356" s="2">
        <f>VLOOKUP(E1356,Produtos!$A:$E,5,FALSE)</f>
        <v>400</v>
      </c>
      <c r="H1356" s="2">
        <f>VLOOKUP(E1356,Produtos!$A:$E,4,FALSE)</f>
        <v>150</v>
      </c>
      <c r="I1356" s="2">
        <v>5</v>
      </c>
    </row>
    <row r="1357" spans="1:9" x14ac:dyDescent="0.25">
      <c r="A1357" s="2" t="str">
        <f>CONCATENATE(Códigos!S1356,Códigos!T1356,Códigos!U1356)</f>
        <v>svv1355v</v>
      </c>
      <c r="B1357" t="s">
        <v>406</v>
      </c>
      <c r="C1357" t="s">
        <v>458</v>
      </c>
      <c r="D1357" s="2" t="s">
        <v>459</v>
      </c>
      <c r="E1357" t="s">
        <v>515</v>
      </c>
      <c r="F1357" s="11">
        <v>44336</v>
      </c>
      <c r="G1357" s="2">
        <f>VLOOKUP(E1357,Produtos!$A:$E,5,FALSE)</f>
        <v>400</v>
      </c>
      <c r="H1357" s="2">
        <f>VLOOKUP(E1357,Produtos!$A:$E,4,FALSE)</f>
        <v>150</v>
      </c>
      <c r="I1357" s="2">
        <v>5</v>
      </c>
    </row>
    <row r="1358" spans="1:9" x14ac:dyDescent="0.25">
      <c r="A1358" s="2" t="str">
        <f>CONCATENATE(Códigos!S1357,Códigos!T1357,Códigos!U1357)</f>
        <v>svv1356v</v>
      </c>
      <c r="B1358" t="s">
        <v>406</v>
      </c>
      <c r="C1358" t="s">
        <v>458</v>
      </c>
      <c r="D1358" s="2" t="s">
        <v>459</v>
      </c>
      <c r="E1358" t="s">
        <v>515</v>
      </c>
      <c r="F1358" s="11">
        <v>44337</v>
      </c>
      <c r="G1358" s="2">
        <f>VLOOKUP(E1358,Produtos!$A:$E,5,FALSE)</f>
        <v>400</v>
      </c>
      <c r="H1358" s="2">
        <f>VLOOKUP(E1358,Produtos!$A:$E,4,FALSE)</f>
        <v>150</v>
      </c>
      <c r="I1358" s="2">
        <v>5</v>
      </c>
    </row>
    <row r="1359" spans="1:9" x14ac:dyDescent="0.25">
      <c r="A1359" s="2" t="str">
        <f>CONCATENATE(Códigos!S1358,Códigos!T1358,Códigos!U1358)</f>
        <v>svv1357v</v>
      </c>
      <c r="B1359" t="s">
        <v>406</v>
      </c>
      <c r="C1359" t="s">
        <v>458</v>
      </c>
      <c r="D1359" s="2" t="s">
        <v>459</v>
      </c>
      <c r="E1359" t="s">
        <v>515</v>
      </c>
      <c r="F1359" s="11">
        <v>44338</v>
      </c>
      <c r="G1359" s="2">
        <f>VLOOKUP(E1359,Produtos!$A:$E,5,FALSE)</f>
        <v>400</v>
      </c>
      <c r="H1359" s="2">
        <f>VLOOKUP(E1359,Produtos!$A:$E,4,FALSE)</f>
        <v>150</v>
      </c>
      <c r="I1359" s="2">
        <v>5</v>
      </c>
    </row>
    <row r="1360" spans="1:9" x14ac:dyDescent="0.25">
      <c r="A1360" s="2" t="str">
        <f>CONCATENATE(Códigos!S1359,Códigos!T1359,Códigos!U1359)</f>
        <v>svv1358v</v>
      </c>
      <c r="B1360" t="s">
        <v>406</v>
      </c>
      <c r="C1360" t="s">
        <v>458</v>
      </c>
      <c r="D1360" s="2" t="s">
        <v>459</v>
      </c>
      <c r="E1360" t="s">
        <v>515</v>
      </c>
      <c r="F1360" s="11">
        <v>44339</v>
      </c>
      <c r="G1360" s="2">
        <f>VLOOKUP(E1360,Produtos!$A:$E,5,FALSE)</f>
        <v>400</v>
      </c>
      <c r="H1360" s="2">
        <f>VLOOKUP(E1360,Produtos!$A:$E,4,FALSE)</f>
        <v>150</v>
      </c>
      <c r="I1360" s="2">
        <v>5</v>
      </c>
    </row>
    <row r="1361" spans="1:9" x14ac:dyDescent="0.25">
      <c r="A1361" s="2" t="str">
        <f>CONCATENATE(Códigos!S1360,Códigos!T1360,Códigos!U1360)</f>
        <v>svv1359v</v>
      </c>
      <c r="B1361" t="s">
        <v>406</v>
      </c>
      <c r="C1361" t="s">
        <v>458</v>
      </c>
      <c r="D1361" s="2" t="s">
        <v>459</v>
      </c>
      <c r="E1361" t="s">
        <v>523</v>
      </c>
      <c r="F1361" s="11">
        <v>44340</v>
      </c>
      <c r="G1361" s="2">
        <f>VLOOKUP(E1361,Produtos!$A:$E,5,FALSE)</f>
        <v>500</v>
      </c>
      <c r="H1361" s="2">
        <f>VLOOKUP(E1361,Produtos!$A:$E,4,FALSE)</f>
        <v>200</v>
      </c>
      <c r="I1361" s="2">
        <v>5</v>
      </c>
    </row>
    <row r="1362" spans="1:9" x14ac:dyDescent="0.25">
      <c r="A1362" s="2" t="str">
        <f>CONCATENATE(Códigos!S1361,Códigos!T1361,Códigos!U1361)</f>
        <v>svv1360v</v>
      </c>
      <c r="B1362" t="s">
        <v>406</v>
      </c>
      <c r="C1362" t="s">
        <v>458</v>
      </c>
      <c r="D1362" s="2" t="s">
        <v>459</v>
      </c>
      <c r="E1362" t="s">
        <v>523</v>
      </c>
      <c r="F1362" s="11">
        <v>44341</v>
      </c>
      <c r="G1362" s="2">
        <f>VLOOKUP(E1362,Produtos!$A:$E,5,FALSE)</f>
        <v>500</v>
      </c>
      <c r="H1362" s="2">
        <f>VLOOKUP(E1362,Produtos!$A:$E,4,FALSE)</f>
        <v>200</v>
      </c>
      <c r="I1362" s="2">
        <v>5</v>
      </c>
    </row>
    <row r="1363" spans="1:9" x14ac:dyDescent="0.25">
      <c r="A1363" s="2" t="str">
        <f>CONCATENATE(Códigos!S1362,Códigos!T1362,Códigos!U1362)</f>
        <v>svv1361v</v>
      </c>
      <c r="B1363" t="s">
        <v>406</v>
      </c>
      <c r="C1363" t="s">
        <v>458</v>
      </c>
      <c r="D1363" s="2" t="s">
        <v>459</v>
      </c>
      <c r="E1363" t="s">
        <v>523</v>
      </c>
      <c r="F1363" s="11">
        <v>44342</v>
      </c>
      <c r="G1363" s="2">
        <f>VLOOKUP(E1363,Produtos!$A:$E,5,FALSE)</f>
        <v>500</v>
      </c>
      <c r="H1363" s="2">
        <f>VLOOKUP(E1363,Produtos!$A:$E,4,FALSE)</f>
        <v>200</v>
      </c>
      <c r="I1363" s="2">
        <v>5</v>
      </c>
    </row>
    <row r="1364" spans="1:9" x14ac:dyDescent="0.25">
      <c r="A1364" s="2" t="str">
        <f>CONCATENATE(Códigos!S1363,Códigos!T1363,Códigos!U1363)</f>
        <v>svv1362v</v>
      </c>
      <c r="B1364" t="s">
        <v>406</v>
      </c>
      <c r="C1364" t="s">
        <v>458</v>
      </c>
      <c r="D1364" s="2" t="s">
        <v>459</v>
      </c>
      <c r="E1364" t="s">
        <v>523</v>
      </c>
      <c r="F1364" s="11">
        <v>44343</v>
      </c>
      <c r="G1364" s="2">
        <f>VLOOKUP(E1364,Produtos!$A:$E,5,FALSE)</f>
        <v>500</v>
      </c>
      <c r="H1364" s="2">
        <f>VLOOKUP(E1364,Produtos!$A:$E,4,FALSE)</f>
        <v>200</v>
      </c>
      <c r="I1364" s="2">
        <v>5</v>
      </c>
    </row>
    <row r="1365" spans="1:9" x14ac:dyDescent="0.25">
      <c r="A1365" s="2" t="str">
        <f>CONCATENATE(Códigos!S1364,Códigos!T1364,Códigos!U1364)</f>
        <v>svv1363v</v>
      </c>
      <c r="B1365" t="s">
        <v>406</v>
      </c>
      <c r="C1365" t="s">
        <v>458</v>
      </c>
      <c r="D1365" s="2" t="s">
        <v>459</v>
      </c>
      <c r="E1365" t="s">
        <v>523</v>
      </c>
      <c r="F1365" s="11">
        <v>44344</v>
      </c>
      <c r="G1365" s="2">
        <f>VLOOKUP(E1365,Produtos!$A:$E,5,FALSE)</f>
        <v>500</v>
      </c>
      <c r="H1365" s="2">
        <f>VLOOKUP(E1365,Produtos!$A:$E,4,FALSE)</f>
        <v>200</v>
      </c>
      <c r="I1365" s="2">
        <v>5</v>
      </c>
    </row>
    <row r="1366" spans="1:9" x14ac:dyDescent="0.25">
      <c r="A1366" s="2" t="str">
        <f>CONCATENATE(Códigos!S1365,Códigos!T1365,Códigos!U1365)</f>
        <v>svv1364v</v>
      </c>
      <c r="B1366" t="s">
        <v>406</v>
      </c>
      <c r="C1366" t="s">
        <v>458</v>
      </c>
      <c r="D1366" s="2" t="s">
        <v>459</v>
      </c>
      <c r="E1366" t="s">
        <v>523</v>
      </c>
      <c r="F1366" s="11">
        <v>44345</v>
      </c>
      <c r="G1366" s="2">
        <f>VLOOKUP(E1366,Produtos!$A:$E,5,FALSE)</f>
        <v>500</v>
      </c>
      <c r="H1366" s="2">
        <f>VLOOKUP(E1366,Produtos!$A:$E,4,FALSE)</f>
        <v>200</v>
      </c>
      <c r="I1366" s="2">
        <v>5</v>
      </c>
    </row>
    <row r="1367" spans="1:9" x14ac:dyDescent="0.25">
      <c r="A1367" s="2" t="str">
        <f>CONCATENATE(Códigos!S1366,Códigos!T1366,Códigos!U1366)</f>
        <v>svv1365v</v>
      </c>
      <c r="B1367" t="s">
        <v>406</v>
      </c>
      <c r="C1367" t="s">
        <v>458</v>
      </c>
      <c r="D1367" s="2" t="s">
        <v>459</v>
      </c>
      <c r="E1367" t="s">
        <v>523</v>
      </c>
      <c r="F1367" s="11">
        <v>44346</v>
      </c>
      <c r="G1367" s="2">
        <f>VLOOKUP(E1367,Produtos!$A:$E,5,FALSE)</f>
        <v>500</v>
      </c>
      <c r="H1367" s="2">
        <f>VLOOKUP(E1367,Produtos!$A:$E,4,FALSE)</f>
        <v>200</v>
      </c>
      <c r="I1367" s="2">
        <v>5</v>
      </c>
    </row>
    <row r="1368" spans="1:9" x14ac:dyDescent="0.25">
      <c r="A1368" s="2" t="str">
        <f>CONCATENATE(Códigos!S1367,Códigos!T1367,Códigos!U1367)</f>
        <v>svv1366v</v>
      </c>
      <c r="B1368" t="s">
        <v>406</v>
      </c>
      <c r="C1368" t="s">
        <v>458</v>
      </c>
      <c r="D1368" s="2" t="s">
        <v>459</v>
      </c>
      <c r="E1368" t="s">
        <v>523</v>
      </c>
      <c r="F1368" s="11">
        <v>44347</v>
      </c>
      <c r="G1368" s="2">
        <f>VLOOKUP(E1368,Produtos!$A:$E,5,FALSE)</f>
        <v>500</v>
      </c>
      <c r="H1368" s="2">
        <f>VLOOKUP(E1368,Produtos!$A:$E,4,FALSE)</f>
        <v>200</v>
      </c>
      <c r="I1368" s="2">
        <v>5</v>
      </c>
    </row>
    <row r="1369" spans="1:9" x14ac:dyDescent="0.25">
      <c r="A1369" s="2" t="str">
        <f>CONCATENATE(Códigos!S1368,Códigos!T1368,Códigos!U1368)</f>
        <v>svv1367v</v>
      </c>
      <c r="B1369" t="s">
        <v>406</v>
      </c>
      <c r="C1369" t="s">
        <v>458</v>
      </c>
      <c r="D1369" s="2" t="s">
        <v>459</v>
      </c>
      <c r="E1369" t="s">
        <v>523</v>
      </c>
      <c r="F1369" s="11">
        <v>44348</v>
      </c>
      <c r="G1369" s="2">
        <f>VLOOKUP(E1369,Produtos!$A:$E,5,FALSE)</f>
        <v>500</v>
      </c>
      <c r="H1369" s="2">
        <f>VLOOKUP(E1369,Produtos!$A:$E,4,FALSE)</f>
        <v>200</v>
      </c>
      <c r="I1369" s="2">
        <v>5</v>
      </c>
    </row>
    <row r="1370" spans="1:9" x14ac:dyDescent="0.25">
      <c r="A1370" s="2" t="str">
        <f>CONCATENATE(Códigos!S1369,Códigos!T1369,Códigos!U1369)</f>
        <v>svv1368v</v>
      </c>
      <c r="B1370" t="s">
        <v>406</v>
      </c>
      <c r="C1370" t="s">
        <v>458</v>
      </c>
      <c r="D1370" s="2" t="s">
        <v>459</v>
      </c>
      <c r="E1370" t="s">
        <v>523</v>
      </c>
      <c r="F1370" s="11">
        <v>44349</v>
      </c>
      <c r="G1370" s="2">
        <f>VLOOKUP(E1370,Produtos!$A:$E,5,FALSE)</f>
        <v>500</v>
      </c>
      <c r="H1370" s="2">
        <f>VLOOKUP(E1370,Produtos!$A:$E,4,FALSE)</f>
        <v>200</v>
      </c>
      <c r="I1370" s="2">
        <v>5</v>
      </c>
    </row>
    <row r="1371" spans="1:9" x14ac:dyDescent="0.25">
      <c r="A1371" s="2" t="str">
        <f>CONCATENATE(Códigos!S1370,Códigos!T1370,Códigos!U1370)</f>
        <v>svv1369v</v>
      </c>
      <c r="B1371" t="s">
        <v>406</v>
      </c>
      <c r="C1371" t="s">
        <v>458</v>
      </c>
      <c r="D1371" s="2" t="s">
        <v>459</v>
      </c>
      <c r="E1371" t="s">
        <v>523</v>
      </c>
      <c r="F1371" s="11">
        <v>44350</v>
      </c>
      <c r="G1371" s="2">
        <f>VLOOKUP(E1371,Produtos!$A:$E,5,FALSE)</f>
        <v>500</v>
      </c>
      <c r="H1371" s="2">
        <f>VLOOKUP(E1371,Produtos!$A:$E,4,FALSE)</f>
        <v>200</v>
      </c>
      <c r="I1371" s="2">
        <v>5</v>
      </c>
    </row>
    <row r="1372" spans="1:9" x14ac:dyDescent="0.25">
      <c r="A1372" s="2" t="str">
        <f>CONCATENATE(Códigos!S1371,Códigos!T1371,Códigos!U1371)</f>
        <v>svv1370v</v>
      </c>
      <c r="B1372" t="s">
        <v>406</v>
      </c>
      <c r="C1372" t="s">
        <v>458</v>
      </c>
      <c r="D1372" s="2" t="s">
        <v>459</v>
      </c>
      <c r="E1372" t="s">
        <v>523</v>
      </c>
      <c r="F1372" s="11">
        <v>44351</v>
      </c>
      <c r="G1372" s="2">
        <f>VLOOKUP(E1372,Produtos!$A:$E,5,FALSE)</f>
        <v>500</v>
      </c>
      <c r="H1372" s="2">
        <f>VLOOKUP(E1372,Produtos!$A:$E,4,FALSE)</f>
        <v>200</v>
      </c>
      <c r="I1372" s="2">
        <v>5</v>
      </c>
    </row>
    <row r="1373" spans="1:9" x14ac:dyDescent="0.25">
      <c r="A1373" s="2" t="str">
        <f>CONCATENATE(Códigos!S1372,Códigos!T1372,Códigos!U1372)</f>
        <v>svv1371v</v>
      </c>
      <c r="B1373" t="s">
        <v>406</v>
      </c>
      <c r="C1373" t="s">
        <v>458</v>
      </c>
      <c r="D1373" s="2" t="s">
        <v>459</v>
      </c>
      <c r="E1373" t="s">
        <v>523</v>
      </c>
      <c r="F1373" s="11">
        <v>44352</v>
      </c>
      <c r="G1373" s="2">
        <f>VLOOKUP(E1373,Produtos!$A:$E,5,FALSE)</f>
        <v>500</v>
      </c>
      <c r="H1373" s="2">
        <f>VLOOKUP(E1373,Produtos!$A:$E,4,FALSE)</f>
        <v>200</v>
      </c>
      <c r="I1373" s="2">
        <v>5</v>
      </c>
    </row>
    <row r="1374" spans="1:9" x14ac:dyDescent="0.25">
      <c r="A1374" s="2" t="str">
        <f>CONCATENATE(Códigos!S1373,Códigos!T1373,Códigos!U1373)</f>
        <v>svv1372v</v>
      </c>
      <c r="B1374" t="s">
        <v>406</v>
      </c>
      <c r="C1374" t="s">
        <v>458</v>
      </c>
      <c r="D1374" s="2" t="s">
        <v>459</v>
      </c>
      <c r="E1374" t="s">
        <v>523</v>
      </c>
      <c r="F1374" s="11">
        <v>44353</v>
      </c>
      <c r="G1374" s="2">
        <f>VLOOKUP(E1374,Produtos!$A:$E,5,FALSE)</f>
        <v>500</v>
      </c>
      <c r="H1374" s="2">
        <f>VLOOKUP(E1374,Produtos!$A:$E,4,FALSE)</f>
        <v>200</v>
      </c>
      <c r="I1374" s="2">
        <v>5</v>
      </c>
    </row>
    <row r="1375" spans="1:9" x14ac:dyDescent="0.25">
      <c r="A1375" s="2" t="str">
        <f>CONCATENATE(Códigos!S1374,Códigos!T1374,Códigos!U1374)</f>
        <v>svv1373v</v>
      </c>
      <c r="B1375" t="s">
        <v>406</v>
      </c>
      <c r="C1375" t="s">
        <v>458</v>
      </c>
      <c r="D1375" s="2" t="s">
        <v>459</v>
      </c>
      <c r="E1375" t="s">
        <v>523</v>
      </c>
      <c r="F1375" s="11">
        <v>44354</v>
      </c>
      <c r="G1375" s="2">
        <f>VLOOKUP(E1375,Produtos!$A:$E,5,FALSE)</f>
        <v>500</v>
      </c>
      <c r="H1375" s="2">
        <f>VLOOKUP(E1375,Produtos!$A:$E,4,FALSE)</f>
        <v>200</v>
      </c>
      <c r="I1375" s="2">
        <v>5</v>
      </c>
    </row>
    <row r="1376" spans="1:9" x14ac:dyDescent="0.25">
      <c r="A1376" s="2" t="str">
        <f>CONCATENATE(Códigos!S1375,Códigos!T1375,Códigos!U1375)</f>
        <v>svv1374v</v>
      </c>
      <c r="B1376" t="s">
        <v>406</v>
      </c>
      <c r="C1376" t="s">
        <v>458</v>
      </c>
      <c r="D1376" s="2" t="s">
        <v>459</v>
      </c>
      <c r="E1376" t="s">
        <v>523</v>
      </c>
      <c r="F1376" s="11">
        <v>44355</v>
      </c>
      <c r="G1376" s="2">
        <f>VLOOKUP(E1376,Produtos!$A:$E,5,FALSE)</f>
        <v>500</v>
      </c>
      <c r="H1376" s="2">
        <f>VLOOKUP(E1376,Produtos!$A:$E,4,FALSE)</f>
        <v>200</v>
      </c>
      <c r="I1376" s="2">
        <v>5</v>
      </c>
    </row>
    <row r="1377" spans="1:9" x14ac:dyDescent="0.25">
      <c r="A1377" s="2" t="str">
        <f>CONCATENATE(Códigos!S1376,Códigos!T1376,Códigos!U1376)</f>
        <v>svv1375v</v>
      </c>
      <c r="B1377" t="s">
        <v>406</v>
      </c>
      <c r="C1377" t="s">
        <v>458</v>
      </c>
      <c r="D1377" s="2" t="s">
        <v>459</v>
      </c>
      <c r="E1377" t="s">
        <v>523</v>
      </c>
      <c r="F1377" s="11">
        <v>44356</v>
      </c>
      <c r="G1377" s="2">
        <f>VLOOKUP(E1377,Produtos!$A:$E,5,FALSE)</f>
        <v>500</v>
      </c>
      <c r="H1377" s="2">
        <f>VLOOKUP(E1377,Produtos!$A:$E,4,FALSE)</f>
        <v>200</v>
      </c>
      <c r="I1377" s="2">
        <v>5</v>
      </c>
    </row>
    <row r="1378" spans="1:9" x14ac:dyDescent="0.25">
      <c r="A1378" s="2" t="str">
        <f>CONCATENATE(Códigos!S1377,Códigos!T1377,Códigos!U1377)</f>
        <v>svv1376v</v>
      </c>
      <c r="B1378" t="s">
        <v>406</v>
      </c>
      <c r="C1378" t="s">
        <v>458</v>
      </c>
      <c r="D1378" s="2" t="s">
        <v>459</v>
      </c>
      <c r="E1378" t="s">
        <v>523</v>
      </c>
      <c r="F1378" s="11">
        <v>44357</v>
      </c>
      <c r="G1378" s="2">
        <f>VLOOKUP(E1378,Produtos!$A:$E,5,FALSE)</f>
        <v>500</v>
      </c>
      <c r="H1378" s="2">
        <f>VLOOKUP(E1378,Produtos!$A:$E,4,FALSE)</f>
        <v>200</v>
      </c>
      <c r="I1378" s="2">
        <v>5</v>
      </c>
    </row>
    <row r="1379" spans="1:9" x14ac:dyDescent="0.25">
      <c r="A1379" s="2" t="str">
        <f>CONCATENATE(Códigos!S1378,Códigos!T1378,Códigos!U1378)</f>
        <v>svv1377v</v>
      </c>
      <c r="B1379" t="s">
        <v>406</v>
      </c>
      <c r="C1379" t="s">
        <v>458</v>
      </c>
      <c r="D1379" s="2" t="s">
        <v>459</v>
      </c>
      <c r="E1379" t="s">
        <v>523</v>
      </c>
      <c r="F1379" s="11">
        <v>44358</v>
      </c>
      <c r="G1379" s="2">
        <f>VLOOKUP(E1379,Produtos!$A:$E,5,FALSE)</f>
        <v>500</v>
      </c>
      <c r="H1379" s="2">
        <f>VLOOKUP(E1379,Produtos!$A:$E,4,FALSE)</f>
        <v>200</v>
      </c>
      <c r="I1379" s="2">
        <v>5</v>
      </c>
    </row>
    <row r="1380" spans="1:9" x14ac:dyDescent="0.25">
      <c r="A1380" s="2" t="str">
        <f>CONCATENATE(Códigos!S1379,Códigos!T1379,Códigos!U1379)</f>
        <v>svv1378v</v>
      </c>
      <c r="B1380" t="s">
        <v>406</v>
      </c>
      <c r="C1380" t="s">
        <v>458</v>
      </c>
      <c r="D1380" s="2" t="s">
        <v>459</v>
      </c>
      <c r="E1380" t="s">
        <v>523</v>
      </c>
      <c r="F1380" s="11">
        <v>44359</v>
      </c>
      <c r="G1380" s="2">
        <f>VLOOKUP(E1380,Produtos!$A:$E,5,FALSE)</f>
        <v>500</v>
      </c>
      <c r="H1380" s="2">
        <f>VLOOKUP(E1380,Produtos!$A:$E,4,FALSE)</f>
        <v>200</v>
      </c>
      <c r="I1380" s="2">
        <v>5</v>
      </c>
    </row>
    <row r="1381" spans="1:9" x14ac:dyDescent="0.25">
      <c r="A1381" s="2" t="str">
        <f>CONCATENATE(Códigos!S1380,Códigos!T1380,Códigos!U1380)</f>
        <v>svv1379v</v>
      </c>
      <c r="B1381" t="s">
        <v>406</v>
      </c>
      <c r="C1381" t="s">
        <v>458</v>
      </c>
      <c r="D1381" s="2" t="s">
        <v>459</v>
      </c>
      <c r="E1381" t="s">
        <v>523</v>
      </c>
      <c r="F1381" s="11">
        <v>44360</v>
      </c>
      <c r="G1381" s="2">
        <f>VLOOKUP(E1381,Produtos!$A:$E,5,FALSE)</f>
        <v>500</v>
      </c>
      <c r="H1381" s="2">
        <f>VLOOKUP(E1381,Produtos!$A:$E,4,FALSE)</f>
        <v>200</v>
      </c>
      <c r="I1381" s="2">
        <v>5</v>
      </c>
    </row>
    <row r="1382" spans="1:9" x14ac:dyDescent="0.25">
      <c r="A1382" s="2" t="str">
        <f>CONCATENATE(Códigos!S1381,Códigos!T1381,Códigos!U1381)</f>
        <v>svv1380v</v>
      </c>
      <c r="B1382" t="s">
        <v>406</v>
      </c>
      <c r="C1382" t="s">
        <v>458</v>
      </c>
      <c r="D1382" s="2" t="s">
        <v>459</v>
      </c>
      <c r="E1382" t="s">
        <v>523</v>
      </c>
      <c r="F1382" s="11">
        <v>44361</v>
      </c>
      <c r="G1382" s="2">
        <f>VLOOKUP(E1382,Produtos!$A:$E,5,FALSE)</f>
        <v>500</v>
      </c>
      <c r="H1382" s="2">
        <f>VLOOKUP(E1382,Produtos!$A:$E,4,FALSE)</f>
        <v>200</v>
      </c>
      <c r="I1382" s="2">
        <v>5</v>
      </c>
    </row>
    <row r="1383" spans="1:9" x14ac:dyDescent="0.25">
      <c r="A1383" s="2" t="str">
        <f>CONCATENATE(Códigos!S1382,Códigos!T1382,Códigos!U1382)</f>
        <v>svv1381v</v>
      </c>
      <c r="B1383" t="s">
        <v>406</v>
      </c>
      <c r="C1383" t="s">
        <v>458</v>
      </c>
      <c r="D1383" s="2" t="s">
        <v>459</v>
      </c>
      <c r="E1383" t="s">
        <v>523</v>
      </c>
      <c r="F1383" s="11">
        <v>44362</v>
      </c>
      <c r="G1383" s="2">
        <f>VLOOKUP(E1383,Produtos!$A:$E,5,FALSE)</f>
        <v>500</v>
      </c>
      <c r="H1383" s="2">
        <f>VLOOKUP(E1383,Produtos!$A:$E,4,FALSE)</f>
        <v>200</v>
      </c>
      <c r="I1383" s="2">
        <v>5</v>
      </c>
    </row>
    <row r="1384" spans="1:9" x14ac:dyDescent="0.25">
      <c r="A1384" s="2" t="str">
        <f>CONCATENATE(Códigos!S1383,Códigos!T1383,Códigos!U1383)</f>
        <v>svv1382v</v>
      </c>
      <c r="B1384" t="s">
        <v>406</v>
      </c>
      <c r="C1384" t="s">
        <v>458</v>
      </c>
      <c r="D1384" s="2" t="s">
        <v>459</v>
      </c>
      <c r="E1384" t="s">
        <v>523</v>
      </c>
      <c r="F1384" s="11">
        <v>44363</v>
      </c>
      <c r="G1384" s="2">
        <f>VLOOKUP(E1384,Produtos!$A:$E,5,FALSE)</f>
        <v>500</v>
      </c>
      <c r="H1384" s="2">
        <f>VLOOKUP(E1384,Produtos!$A:$E,4,FALSE)</f>
        <v>200</v>
      </c>
      <c r="I1384" s="2">
        <v>5</v>
      </c>
    </row>
    <row r="1385" spans="1:9" x14ac:dyDescent="0.25">
      <c r="A1385" s="2" t="str">
        <f>CONCATENATE(Códigos!S1384,Códigos!T1384,Códigos!U1384)</f>
        <v>svv1383v</v>
      </c>
      <c r="B1385" t="s">
        <v>406</v>
      </c>
      <c r="C1385" t="s">
        <v>458</v>
      </c>
      <c r="D1385" s="2" t="s">
        <v>459</v>
      </c>
      <c r="E1385" t="s">
        <v>523</v>
      </c>
      <c r="F1385" s="11">
        <v>44364</v>
      </c>
      <c r="G1385" s="2">
        <f>VLOOKUP(E1385,Produtos!$A:$E,5,FALSE)</f>
        <v>500</v>
      </c>
      <c r="H1385" s="2">
        <f>VLOOKUP(E1385,Produtos!$A:$E,4,FALSE)</f>
        <v>200</v>
      </c>
      <c r="I1385" s="2">
        <v>5</v>
      </c>
    </row>
    <row r="1386" spans="1:9" x14ac:dyDescent="0.25">
      <c r="A1386" s="2" t="str">
        <f>CONCATENATE(Códigos!S1385,Códigos!T1385,Códigos!U1385)</f>
        <v>svv1384v</v>
      </c>
      <c r="B1386" t="s">
        <v>406</v>
      </c>
      <c r="C1386" t="s">
        <v>458</v>
      </c>
      <c r="D1386" s="2" t="s">
        <v>459</v>
      </c>
      <c r="E1386" t="s">
        <v>523</v>
      </c>
      <c r="F1386" s="11">
        <v>44365</v>
      </c>
      <c r="G1386" s="2">
        <f>VLOOKUP(E1386,Produtos!$A:$E,5,FALSE)</f>
        <v>500</v>
      </c>
      <c r="H1386" s="2">
        <f>VLOOKUP(E1386,Produtos!$A:$E,4,FALSE)</f>
        <v>200</v>
      </c>
      <c r="I1386" s="2">
        <v>5</v>
      </c>
    </row>
    <row r="1387" spans="1:9" x14ac:dyDescent="0.25">
      <c r="A1387" s="2" t="str">
        <f>CONCATENATE(Códigos!S1386,Códigos!T1386,Códigos!U1386)</f>
        <v>svv1385v</v>
      </c>
      <c r="B1387" t="s">
        <v>406</v>
      </c>
      <c r="C1387" t="s">
        <v>458</v>
      </c>
      <c r="D1387" s="2" t="s">
        <v>459</v>
      </c>
      <c r="E1387" t="s">
        <v>523</v>
      </c>
      <c r="F1387" s="11">
        <v>44366</v>
      </c>
      <c r="G1387" s="2">
        <f>VLOOKUP(E1387,Produtos!$A:$E,5,FALSE)</f>
        <v>500</v>
      </c>
      <c r="H1387" s="2">
        <f>VLOOKUP(E1387,Produtos!$A:$E,4,FALSE)</f>
        <v>200</v>
      </c>
      <c r="I1387" s="2">
        <v>5</v>
      </c>
    </row>
    <row r="1388" spans="1:9" x14ac:dyDescent="0.25">
      <c r="A1388" s="2" t="str">
        <f>CONCATENATE(Códigos!S1387,Códigos!T1387,Códigos!U1387)</f>
        <v>svv1386v</v>
      </c>
      <c r="B1388" t="s">
        <v>406</v>
      </c>
      <c r="C1388" t="s">
        <v>458</v>
      </c>
      <c r="D1388" s="2" t="s">
        <v>459</v>
      </c>
      <c r="E1388" t="s">
        <v>522</v>
      </c>
      <c r="F1388" s="11">
        <v>44367</v>
      </c>
      <c r="G1388" s="2">
        <f>VLOOKUP(E1388,Produtos!$A:$E,5,FALSE)</f>
        <v>800</v>
      </c>
      <c r="H1388" s="2">
        <f>VLOOKUP(E1388,Produtos!$A:$E,4,FALSE)</f>
        <v>350</v>
      </c>
      <c r="I1388" s="2">
        <v>5</v>
      </c>
    </row>
    <row r="1389" spans="1:9" x14ac:dyDescent="0.25">
      <c r="A1389" s="2" t="str">
        <f>CONCATENATE(Códigos!S1388,Códigos!T1388,Códigos!U1388)</f>
        <v>svv1387v</v>
      </c>
      <c r="B1389" t="s">
        <v>406</v>
      </c>
      <c r="C1389" t="s">
        <v>458</v>
      </c>
      <c r="D1389" s="2" t="s">
        <v>459</v>
      </c>
      <c r="E1389" t="s">
        <v>522</v>
      </c>
      <c r="F1389" s="11">
        <v>44368</v>
      </c>
      <c r="G1389" s="2">
        <f>VLOOKUP(E1389,Produtos!$A:$E,5,FALSE)</f>
        <v>800</v>
      </c>
      <c r="H1389" s="2">
        <f>VLOOKUP(E1389,Produtos!$A:$E,4,FALSE)</f>
        <v>350</v>
      </c>
      <c r="I1389" s="2">
        <v>5</v>
      </c>
    </row>
    <row r="1390" spans="1:9" x14ac:dyDescent="0.25">
      <c r="A1390" s="2" t="str">
        <f>CONCATENATE(Códigos!S1389,Códigos!T1389,Códigos!U1389)</f>
        <v>svv1388v</v>
      </c>
      <c r="B1390" t="s">
        <v>406</v>
      </c>
      <c r="C1390" t="s">
        <v>458</v>
      </c>
      <c r="D1390" s="2" t="s">
        <v>459</v>
      </c>
      <c r="E1390" t="s">
        <v>522</v>
      </c>
      <c r="F1390" s="11">
        <v>44369</v>
      </c>
      <c r="G1390" s="2">
        <f>VLOOKUP(E1390,Produtos!$A:$E,5,FALSE)</f>
        <v>800</v>
      </c>
      <c r="H1390" s="2">
        <f>VLOOKUP(E1390,Produtos!$A:$E,4,FALSE)</f>
        <v>350</v>
      </c>
      <c r="I1390" s="2">
        <v>5</v>
      </c>
    </row>
    <row r="1391" spans="1:9" x14ac:dyDescent="0.25">
      <c r="A1391" s="2" t="str">
        <f>CONCATENATE(Códigos!S1390,Códigos!T1390,Códigos!U1390)</f>
        <v>svv1389v</v>
      </c>
      <c r="B1391" t="s">
        <v>406</v>
      </c>
      <c r="C1391" t="s">
        <v>458</v>
      </c>
      <c r="D1391" s="2" t="s">
        <v>459</v>
      </c>
      <c r="E1391" t="s">
        <v>522</v>
      </c>
      <c r="F1391" s="11">
        <v>44370</v>
      </c>
      <c r="G1391" s="2">
        <f>VLOOKUP(E1391,Produtos!$A:$E,5,FALSE)</f>
        <v>800</v>
      </c>
      <c r="H1391" s="2">
        <f>VLOOKUP(E1391,Produtos!$A:$E,4,FALSE)</f>
        <v>350</v>
      </c>
      <c r="I1391" s="2">
        <v>5</v>
      </c>
    </row>
    <row r="1392" spans="1:9" x14ac:dyDescent="0.25">
      <c r="A1392" s="2" t="str">
        <f>CONCATENATE(Códigos!S1391,Códigos!T1391,Códigos!U1391)</f>
        <v>svv1390v</v>
      </c>
      <c r="B1392" t="s">
        <v>406</v>
      </c>
      <c r="C1392" t="s">
        <v>458</v>
      </c>
      <c r="D1392" s="2" t="s">
        <v>459</v>
      </c>
      <c r="E1392" t="s">
        <v>522</v>
      </c>
      <c r="F1392" s="11">
        <v>44371</v>
      </c>
      <c r="G1392" s="2">
        <f>VLOOKUP(E1392,Produtos!$A:$E,5,FALSE)</f>
        <v>800</v>
      </c>
      <c r="H1392" s="2">
        <f>VLOOKUP(E1392,Produtos!$A:$E,4,FALSE)</f>
        <v>350</v>
      </c>
      <c r="I1392" s="2">
        <v>5</v>
      </c>
    </row>
    <row r="1393" spans="1:9" x14ac:dyDescent="0.25">
      <c r="A1393" s="2" t="str">
        <f>CONCATENATE(Códigos!S1392,Códigos!T1392,Códigos!U1392)</f>
        <v>svv1391v</v>
      </c>
      <c r="B1393" t="s">
        <v>406</v>
      </c>
      <c r="C1393" t="s">
        <v>458</v>
      </c>
      <c r="D1393" s="2" t="s">
        <v>459</v>
      </c>
      <c r="E1393" t="s">
        <v>522</v>
      </c>
      <c r="F1393" s="11">
        <v>44372</v>
      </c>
      <c r="G1393" s="2">
        <f>VLOOKUP(E1393,Produtos!$A:$E,5,FALSE)</f>
        <v>800</v>
      </c>
      <c r="H1393" s="2">
        <f>VLOOKUP(E1393,Produtos!$A:$E,4,FALSE)</f>
        <v>350</v>
      </c>
      <c r="I1393" s="2">
        <v>5</v>
      </c>
    </row>
    <row r="1394" spans="1:9" x14ac:dyDescent="0.25">
      <c r="A1394" s="2" t="str">
        <f>CONCATENATE(Códigos!S1393,Códigos!T1393,Códigos!U1393)</f>
        <v>svv1392v</v>
      </c>
      <c r="B1394" t="s">
        <v>406</v>
      </c>
      <c r="C1394" t="s">
        <v>458</v>
      </c>
      <c r="D1394" s="2" t="s">
        <v>459</v>
      </c>
      <c r="E1394" t="s">
        <v>522</v>
      </c>
      <c r="F1394" s="11">
        <v>44373</v>
      </c>
      <c r="G1394" s="2">
        <f>VLOOKUP(E1394,Produtos!$A:$E,5,FALSE)</f>
        <v>800</v>
      </c>
      <c r="H1394" s="2">
        <f>VLOOKUP(E1394,Produtos!$A:$E,4,FALSE)</f>
        <v>350</v>
      </c>
      <c r="I1394" s="2">
        <v>5</v>
      </c>
    </row>
    <row r="1395" spans="1:9" x14ac:dyDescent="0.25">
      <c r="A1395" s="2" t="str">
        <f>CONCATENATE(Códigos!S1394,Códigos!T1394,Códigos!U1394)</f>
        <v>svv1393v</v>
      </c>
      <c r="B1395" t="s">
        <v>406</v>
      </c>
      <c r="C1395" t="s">
        <v>458</v>
      </c>
      <c r="D1395" s="2" t="s">
        <v>459</v>
      </c>
      <c r="E1395" t="s">
        <v>522</v>
      </c>
      <c r="F1395" s="11">
        <v>44374</v>
      </c>
      <c r="G1395" s="2">
        <f>VLOOKUP(E1395,Produtos!$A:$E,5,FALSE)</f>
        <v>800</v>
      </c>
      <c r="H1395" s="2">
        <f>VLOOKUP(E1395,Produtos!$A:$E,4,FALSE)</f>
        <v>350</v>
      </c>
      <c r="I1395" s="2">
        <v>5</v>
      </c>
    </row>
    <row r="1396" spans="1:9" x14ac:dyDescent="0.25">
      <c r="A1396" s="2" t="str">
        <f>CONCATENATE(Códigos!S1395,Códigos!T1395,Códigos!U1395)</f>
        <v>svv1394v</v>
      </c>
      <c r="B1396" t="s">
        <v>406</v>
      </c>
      <c r="C1396" t="s">
        <v>458</v>
      </c>
      <c r="D1396" s="2" t="s">
        <v>459</v>
      </c>
      <c r="E1396" t="s">
        <v>522</v>
      </c>
      <c r="F1396" s="11">
        <v>44375</v>
      </c>
      <c r="G1396" s="2">
        <f>VLOOKUP(E1396,Produtos!$A:$E,5,FALSE)</f>
        <v>800</v>
      </c>
      <c r="H1396" s="2">
        <f>VLOOKUP(E1396,Produtos!$A:$E,4,FALSE)</f>
        <v>350</v>
      </c>
      <c r="I1396" s="2">
        <v>5</v>
      </c>
    </row>
    <row r="1397" spans="1:9" x14ac:dyDescent="0.25">
      <c r="A1397" s="2" t="str">
        <f>CONCATENATE(Códigos!S1396,Códigos!T1396,Códigos!U1396)</f>
        <v>svv1395v</v>
      </c>
      <c r="B1397" t="s">
        <v>406</v>
      </c>
      <c r="C1397" t="s">
        <v>458</v>
      </c>
      <c r="D1397" s="2" t="s">
        <v>459</v>
      </c>
      <c r="E1397" t="s">
        <v>522</v>
      </c>
      <c r="F1397" s="11">
        <v>44376</v>
      </c>
      <c r="G1397" s="2">
        <f>VLOOKUP(E1397,Produtos!$A:$E,5,FALSE)</f>
        <v>800</v>
      </c>
      <c r="H1397" s="2">
        <f>VLOOKUP(E1397,Produtos!$A:$E,4,FALSE)</f>
        <v>350</v>
      </c>
      <c r="I1397" s="2">
        <v>5</v>
      </c>
    </row>
    <row r="1398" spans="1:9" x14ac:dyDescent="0.25">
      <c r="A1398" s="2" t="str">
        <f>CONCATENATE(Códigos!S1397,Códigos!T1397,Códigos!U1397)</f>
        <v>svv1396v</v>
      </c>
      <c r="B1398" t="s">
        <v>406</v>
      </c>
      <c r="C1398" t="s">
        <v>458</v>
      </c>
      <c r="D1398" s="2" t="s">
        <v>459</v>
      </c>
      <c r="E1398" t="s">
        <v>522</v>
      </c>
      <c r="F1398" s="11">
        <v>44377</v>
      </c>
      <c r="G1398" s="2">
        <f>VLOOKUP(E1398,Produtos!$A:$E,5,FALSE)</f>
        <v>800</v>
      </c>
      <c r="H1398" s="2">
        <f>VLOOKUP(E1398,Produtos!$A:$E,4,FALSE)</f>
        <v>350</v>
      </c>
      <c r="I1398" s="2">
        <v>5</v>
      </c>
    </row>
    <row r="1399" spans="1:9" x14ac:dyDescent="0.25">
      <c r="A1399" s="2" t="str">
        <f>CONCATENATE(Códigos!S1398,Códigos!T1398,Códigos!U1398)</f>
        <v>svv1397v</v>
      </c>
      <c r="B1399" t="s">
        <v>406</v>
      </c>
      <c r="C1399" t="s">
        <v>458</v>
      </c>
      <c r="D1399" s="2" t="s">
        <v>459</v>
      </c>
      <c r="E1399" t="s">
        <v>522</v>
      </c>
      <c r="F1399" s="11">
        <v>44378</v>
      </c>
      <c r="G1399" s="2">
        <f>VLOOKUP(E1399,Produtos!$A:$E,5,FALSE)</f>
        <v>800</v>
      </c>
      <c r="H1399" s="2">
        <f>VLOOKUP(E1399,Produtos!$A:$E,4,FALSE)</f>
        <v>350</v>
      </c>
      <c r="I1399" s="2">
        <v>5</v>
      </c>
    </row>
    <row r="1400" spans="1:9" x14ac:dyDescent="0.25">
      <c r="A1400" s="2" t="str">
        <f>CONCATENATE(Códigos!S1399,Códigos!T1399,Códigos!U1399)</f>
        <v>svv1398v</v>
      </c>
      <c r="B1400" t="s">
        <v>406</v>
      </c>
      <c r="C1400" t="s">
        <v>458</v>
      </c>
      <c r="D1400" s="2" t="s">
        <v>459</v>
      </c>
      <c r="E1400" t="s">
        <v>522</v>
      </c>
      <c r="F1400" s="11">
        <v>44379</v>
      </c>
      <c r="G1400" s="2">
        <f>VLOOKUP(E1400,Produtos!$A:$E,5,FALSE)</f>
        <v>800</v>
      </c>
      <c r="H1400" s="2">
        <f>VLOOKUP(E1400,Produtos!$A:$E,4,FALSE)</f>
        <v>350</v>
      </c>
      <c r="I1400" s="2">
        <v>5</v>
      </c>
    </row>
    <row r="1401" spans="1:9" x14ac:dyDescent="0.25">
      <c r="A1401" s="2" t="str">
        <f>CONCATENATE(Códigos!S1400,Códigos!T1400,Códigos!U1400)</f>
        <v>svv1399v</v>
      </c>
      <c r="B1401" t="s">
        <v>406</v>
      </c>
      <c r="C1401" t="s">
        <v>458</v>
      </c>
      <c r="D1401" s="2" t="s">
        <v>459</v>
      </c>
      <c r="E1401" t="s">
        <v>522</v>
      </c>
      <c r="F1401" s="11">
        <v>44380</v>
      </c>
      <c r="G1401" s="2">
        <f>VLOOKUP(E1401,Produtos!$A:$E,5,FALSE)</f>
        <v>800</v>
      </c>
      <c r="H1401" s="2">
        <f>VLOOKUP(E1401,Produtos!$A:$E,4,FALSE)</f>
        <v>350</v>
      </c>
      <c r="I1401" s="2">
        <v>5</v>
      </c>
    </row>
    <row r="1402" spans="1:9" x14ac:dyDescent="0.25">
      <c r="A1402" s="2" t="str">
        <f>CONCATENATE(Códigos!S1401,Códigos!T1401,Códigos!U1401)</f>
        <v>svv1400v</v>
      </c>
      <c r="B1402" t="s">
        <v>406</v>
      </c>
      <c r="C1402" t="s">
        <v>458</v>
      </c>
      <c r="D1402" s="2" t="s">
        <v>459</v>
      </c>
      <c r="E1402" t="s">
        <v>522</v>
      </c>
      <c r="F1402" s="11">
        <v>44381</v>
      </c>
      <c r="G1402" s="2">
        <f>VLOOKUP(E1402,Produtos!$A:$E,5,FALSE)</f>
        <v>800</v>
      </c>
      <c r="H1402" s="2">
        <f>VLOOKUP(E1402,Produtos!$A:$E,4,FALSE)</f>
        <v>350</v>
      </c>
      <c r="I1402" s="2">
        <v>5</v>
      </c>
    </row>
    <row r="1403" spans="1:9" x14ac:dyDescent="0.25">
      <c r="A1403" s="2" t="str">
        <f>CONCATENATE(Códigos!S1402,Códigos!T1402,Códigos!U1402)</f>
        <v>svv1401v</v>
      </c>
      <c r="B1403" t="s">
        <v>406</v>
      </c>
      <c r="C1403" t="s">
        <v>458</v>
      </c>
      <c r="D1403" s="2" t="s">
        <v>459</v>
      </c>
      <c r="E1403" t="s">
        <v>522</v>
      </c>
      <c r="F1403" s="11">
        <v>44382</v>
      </c>
      <c r="G1403" s="2">
        <f>VLOOKUP(E1403,Produtos!$A:$E,5,FALSE)</f>
        <v>800</v>
      </c>
      <c r="H1403" s="2">
        <f>VLOOKUP(E1403,Produtos!$A:$E,4,FALSE)</f>
        <v>350</v>
      </c>
      <c r="I1403" s="2">
        <v>5</v>
      </c>
    </row>
    <row r="1404" spans="1:9" x14ac:dyDescent="0.25">
      <c r="A1404" s="2" t="str">
        <f>CONCATENATE(Códigos!S1403,Códigos!T1403,Códigos!U1403)</f>
        <v>svv1402v</v>
      </c>
      <c r="B1404" t="s">
        <v>406</v>
      </c>
      <c r="C1404" t="s">
        <v>458</v>
      </c>
      <c r="D1404" s="2" t="s">
        <v>459</v>
      </c>
      <c r="E1404" t="s">
        <v>522</v>
      </c>
      <c r="F1404" s="11">
        <v>44383</v>
      </c>
      <c r="G1404" s="2">
        <f>VLOOKUP(E1404,Produtos!$A:$E,5,FALSE)</f>
        <v>800</v>
      </c>
      <c r="H1404" s="2">
        <f>VLOOKUP(E1404,Produtos!$A:$E,4,FALSE)</f>
        <v>350</v>
      </c>
      <c r="I1404" s="2">
        <v>5</v>
      </c>
    </row>
    <row r="1405" spans="1:9" x14ac:dyDescent="0.25">
      <c r="A1405" s="2" t="str">
        <f>CONCATENATE(Códigos!S1404,Códigos!T1404,Códigos!U1404)</f>
        <v>svv1403v</v>
      </c>
      <c r="B1405" t="s">
        <v>406</v>
      </c>
      <c r="C1405" t="s">
        <v>458</v>
      </c>
      <c r="D1405" s="2" t="s">
        <v>459</v>
      </c>
      <c r="E1405" t="s">
        <v>522</v>
      </c>
      <c r="F1405" s="11">
        <v>44384</v>
      </c>
      <c r="G1405" s="2">
        <f>VLOOKUP(E1405,Produtos!$A:$E,5,FALSE)</f>
        <v>800</v>
      </c>
      <c r="H1405" s="2">
        <f>VLOOKUP(E1405,Produtos!$A:$E,4,FALSE)</f>
        <v>350</v>
      </c>
      <c r="I1405" s="2">
        <v>5</v>
      </c>
    </row>
    <row r="1406" spans="1:9" x14ac:dyDescent="0.25">
      <c r="A1406" s="2" t="str">
        <f>CONCATENATE(Códigos!S1405,Códigos!T1405,Códigos!U1405)</f>
        <v>svv1404v</v>
      </c>
      <c r="B1406" t="s">
        <v>406</v>
      </c>
      <c r="C1406" t="s">
        <v>458</v>
      </c>
      <c r="D1406" s="2" t="s">
        <v>459</v>
      </c>
      <c r="E1406" t="s">
        <v>522</v>
      </c>
      <c r="F1406" s="11">
        <v>44385</v>
      </c>
      <c r="G1406" s="2">
        <f>VLOOKUP(E1406,Produtos!$A:$E,5,FALSE)</f>
        <v>800</v>
      </c>
      <c r="H1406" s="2">
        <f>VLOOKUP(E1406,Produtos!$A:$E,4,FALSE)</f>
        <v>350</v>
      </c>
      <c r="I1406" s="2">
        <v>5</v>
      </c>
    </row>
    <row r="1407" spans="1:9" x14ac:dyDescent="0.25">
      <c r="A1407" s="2" t="str">
        <f>CONCATENATE(Códigos!S1406,Códigos!T1406,Códigos!U1406)</f>
        <v>svv1405v</v>
      </c>
      <c r="B1407" t="s">
        <v>406</v>
      </c>
      <c r="C1407" t="s">
        <v>458</v>
      </c>
      <c r="D1407" s="2" t="s">
        <v>459</v>
      </c>
      <c r="E1407" t="s">
        <v>522</v>
      </c>
      <c r="F1407" s="11">
        <v>44386</v>
      </c>
      <c r="G1407" s="2">
        <f>VLOOKUP(E1407,Produtos!$A:$E,5,FALSE)</f>
        <v>800</v>
      </c>
      <c r="H1407" s="2">
        <f>VLOOKUP(E1407,Produtos!$A:$E,4,FALSE)</f>
        <v>350</v>
      </c>
      <c r="I1407" s="2">
        <v>5</v>
      </c>
    </row>
    <row r="1408" spans="1:9" x14ac:dyDescent="0.25">
      <c r="A1408" s="2" t="str">
        <f>CONCATENATE(Códigos!S1407,Códigos!T1407,Códigos!U1407)</f>
        <v>svv1406v</v>
      </c>
      <c r="B1408" t="s">
        <v>406</v>
      </c>
      <c r="C1408" t="s">
        <v>458</v>
      </c>
      <c r="D1408" s="2" t="s">
        <v>459</v>
      </c>
      <c r="E1408" t="s">
        <v>522</v>
      </c>
      <c r="F1408" s="11">
        <v>44387</v>
      </c>
      <c r="G1408" s="2">
        <f>VLOOKUP(E1408,Produtos!$A:$E,5,FALSE)</f>
        <v>800</v>
      </c>
      <c r="H1408" s="2">
        <f>VLOOKUP(E1408,Produtos!$A:$E,4,FALSE)</f>
        <v>350</v>
      </c>
      <c r="I1408" s="2">
        <v>5</v>
      </c>
    </row>
    <row r="1409" spans="1:9" x14ac:dyDescent="0.25">
      <c r="A1409" s="2" t="str">
        <f>CONCATENATE(Códigos!S1408,Códigos!T1408,Códigos!U1408)</f>
        <v>svv1407v</v>
      </c>
      <c r="B1409" t="s">
        <v>406</v>
      </c>
      <c r="C1409" t="s">
        <v>458</v>
      </c>
      <c r="D1409" s="2" t="s">
        <v>459</v>
      </c>
      <c r="E1409" t="s">
        <v>522</v>
      </c>
      <c r="F1409" s="11">
        <v>44388</v>
      </c>
      <c r="G1409" s="2">
        <f>VLOOKUP(E1409,Produtos!$A:$E,5,FALSE)</f>
        <v>800</v>
      </c>
      <c r="H1409" s="2">
        <f>VLOOKUP(E1409,Produtos!$A:$E,4,FALSE)</f>
        <v>350</v>
      </c>
      <c r="I1409" s="2">
        <v>5</v>
      </c>
    </row>
    <row r="1410" spans="1:9" x14ac:dyDescent="0.25">
      <c r="A1410" s="2" t="str">
        <f>CONCATENATE(Códigos!S1409,Códigos!T1409,Códigos!U1409)</f>
        <v>svv1408v</v>
      </c>
      <c r="B1410" t="s">
        <v>406</v>
      </c>
      <c r="C1410" t="s">
        <v>458</v>
      </c>
      <c r="D1410" s="2" t="s">
        <v>459</v>
      </c>
      <c r="E1410" t="s">
        <v>522</v>
      </c>
      <c r="F1410" s="11">
        <v>44389</v>
      </c>
      <c r="G1410" s="2">
        <f>VLOOKUP(E1410,Produtos!$A:$E,5,FALSE)</f>
        <v>800</v>
      </c>
      <c r="H1410" s="2">
        <f>VLOOKUP(E1410,Produtos!$A:$E,4,FALSE)</f>
        <v>350</v>
      </c>
      <c r="I1410" s="2">
        <v>5</v>
      </c>
    </row>
    <row r="1411" spans="1:9" x14ac:dyDescent="0.25">
      <c r="A1411" s="2" t="str">
        <f>CONCATENATE(Códigos!S1410,Códigos!T1410,Códigos!U1410)</f>
        <v>svv1409v</v>
      </c>
      <c r="B1411" t="s">
        <v>406</v>
      </c>
      <c r="C1411" t="s">
        <v>458</v>
      </c>
      <c r="D1411" s="2" t="s">
        <v>459</v>
      </c>
      <c r="E1411" t="s">
        <v>522</v>
      </c>
      <c r="F1411" s="11">
        <v>44390</v>
      </c>
      <c r="G1411" s="2">
        <f>VLOOKUP(E1411,Produtos!$A:$E,5,FALSE)</f>
        <v>800</v>
      </c>
      <c r="H1411" s="2">
        <f>VLOOKUP(E1411,Produtos!$A:$E,4,FALSE)</f>
        <v>350</v>
      </c>
      <c r="I1411" s="2">
        <v>5</v>
      </c>
    </row>
    <row r="1412" spans="1:9" x14ac:dyDescent="0.25">
      <c r="A1412" s="2" t="str">
        <f>CONCATENATE(Códigos!S1411,Códigos!T1411,Códigos!U1411)</f>
        <v>svv1410v</v>
      </c>
      <c r="B1412" t="s">
        <v>406</v>
      </c>
      <c r="C1412" t="s">
        <v>458</v>
      </c>
      <c r="D1412" s="2" t="s">
        <v>459</v>
      </c>
      <c r="E1412" t="s">
        <v>522</v>
      </c>
      <c r="F1412" s="11">
        <v>44391</v>
      </c>
      <c r="G1412" s="2">
        <f>VLOOKUP(E1412,Produtos!$A:$E,5,FALSE)</f>
        <v>800</v>
      </c>
      <c r="H1412" s="2">
        <f>VLOOKUP(E1412,Produtos!$A:$E,4,FALSE)</f>
        <v>350</v>
      </c>
      <c r="I1412" s="2">
        <v>5</v>
      </c>
    </row>
    <row r="1413" spans="1:9" x14ac:dyDescent="0.25">
      <c r="A1413" s="2" t="str">
        <f>CONCATENATE(Códigos!S1412,Códigos!T1412,Códigos!U1412)</f>
        <v>svv1411v</v>
      </c>
      <c r="B1413" t="s">
        <v>406</v>
      </c>
      <c r="C1413" t="s">
        <v>458</v>
      </c>
      <c r="D1413" s="2" t="s">
        <v>459</v>
      </c>
      <c r="E1413" t="s">
        <v>522</v>
      </c>
      <c r="F1413" s="11">
        <v>43120</v>
      </c>
      <c r="G1413" s="2">
        <f>VLOOKUP(E1413,Produtos!$A:$E,5,FALSE)</f>
        <v>800</v>
      </c>
      <c r="H1413" s="2">
        <f>VLOOKUP(E1413,Produtos!$A:$E,4,FALSE)</f>
        <v>350</v>
      </c>
      <c r="I1413" s="2">
        <v>5</v>
      </c>
    </row>
    <row r="1414" spans="1:9" x14ac:dyDescent="0.25">
      <c r="A1414" s="2" t="str">
        <f>CONCATENATE(Códigos!S1413,Códigos!T1413,Códigos!U1413)</f>
        <v>svv1412v</v>
      </c>
      <c r="B1414" t="s">
        <v>406</v>
      </c>
      <c r="C1414" t="s">
        <v>458</v>
      </c>
      <c r="D1414" s="2" t="s">
        <v>459</v>
      </c>
      <c r="E1414" t="s">
        <v>522</v>
      </c>
      <c r="F1414" s="11">
        <v>43121</v>
      </c>
      <c r="G1414" s="2">
        <f>VLOOKUP(E1414,Produtos!$A:$E,5,FALSE)</f>
        <v>800</v>
      </c>
      <c r="H1414" s="2">
        <f>VLOOKUP(E1414,Produtos!$A:$E,4,FALSE)</f>
        <v>350</v>
      </c>
      <c r="I1414" s="2">
        <v>5</v>
      </c>
    </row>
    <row r="1415" spans="1:9" x14ac:dyDescent="0.25">
      <c r="A1415" s="2" t="str">
        <f>CONCATENATE(Códigos!S1414,Códigos!T1414,Códigos!U1414)</f>
        <v>svv1413v</v>
      </c>
      <c r="B1415" t="s">
        <v>406</v>
      </c>
      <c r="C1415" t="s">
        <v>458</v>
      </c>
      <c r="D1415" s="2" t="s">
        <v>459</v>
      </c>
      <c r="E1415" t="s">
        <v>522</v>
      </c>
      <c r="F1415" s="11">
        <v>43122</v>
      </c>
      <c r="G1415" s="2">
        <f>VLOOKUP(E1415,Produtos!$A:$E,5,FALSE)</f>
        <v>800</v>
      </c>
      <c r="H1415" s="2">
        <f>VLOOKUP(E1415,Produtos!$A:$E,4,FALSE)</f>
        <v>350</v>
      </c>
      <c r="I1415" s="2">
        <v>5</v>
      </c>
    </row>
    <row r="1416" spans="1:9" x14ac:dyDescent="0.25">
      <c r="A1416" s="2" t="str">
        <f>CONCATENATE(Códigos!S1415,Códigos!T1415,Códigos!U1415)</f>
        <v>svv1414v</v>
      </c>
      <c r="B1416" t="s">
        <v>406</v>
      </c>
      <c r="C1416" t="s">
        <v>458</v>
      </c>
      <c r="D1416" s="2" t="s">
        <v>459</v>
      </c>
      <c r="E1416" t="s">
        <v>522</v>
      </c>
      <c r="F1416" s="11">
        <v>43123</v>
      </c>
      <c r="G1416" s="2">
        <f>VLOOKUP(E1416,Produtos!$A:$E,5,FALSE)</f>
        <v>800</v>
      </c>
      <c r="H1416" s="2">
        <f>VLOOKUP(E1416,Produtos!$A:$E,4,FALSE)</f>
        <v>350</v>
      </c>
      <c r="I1416" s="2">
        <v>5</v>
      </c>
    </row>
    <row r="1417" spans="1:9" x14ac:dyDescent="0.25">
      <c r="A1417" s="2" t="str">
        <f>CONCATENATE(Códigos!S1416,Códigos!T1416,Códigos!U1416)</f>
        <v>svv1415v</v>
      </c>
      <c r="B1417" t="s">
        <v>406</v>
      </c>
      <c r="C1417" t="s">
        <v>458</v>
      </c>
      <c r="D1417" s="2" t="s">
        <v>459</v>
      </c>
      <c r="E1417" t="s">
        <v>522</v>
      </c>
      <c r="F1417" s="11">
        <v>43124</v>
      </c>
      <c r="G1417" s="2">
        <f>VLOOKUP(E1417,Produtos!$A:$E,5,FALSE)</f>
        <v>800</v>
      </c>
      <c r="H1417" s="2">
        <f>VLOOKUP(E1417,Produtos!$A:$E,4,FALSE)</f>
        <v>350</v>
      </c>
      <c r="I1417" s="2">
        <v>5</v>
      </c>
    </row>
    <row r="1418" spans="1:9" x14ac:dyDescent="0.25">
      <c r="A1418" s="2" t="str">
        <f>CONCATENATE(Códigos!S1417,Códigos!T1417,Códigos!U1417)</f>
        <v>svv1416v</v>
      </c>
      <c r="B1418" t="s">
        <v>406</v>
      </c>
      <c r="C1418" t="s">
        <v>458</v>
      </c>
      <c r="D1418" s="2" t="s">
        <v>459</v>
      </c>
      <c r="E1418" t="s">
        <v>522</v>
      </c>
      <c r="F1418" s="11">
        <v>43125</v>
      </c>
      <c r="G1418" s="2">
        <f>VLOOKUP(E1418,Produtos!$A:$E,5,FALSE)</f>
        <v>800</v>
      </c>
      <c r="H1418" s="2">
        <f>VLOOKUP(E1418,Produtos!$A:$E,4,FALSE)</f>
        <v>350</v>
      </c>
      <c r="I1418" s="2">
        <v>5</v>
      </c>
    </row>
    <row r="1419" spans="1:9" x14ac:dyDescent="0.25">
      <c r="A1419" s="2" t="str">
        <f>CONCATENATE(Códigos!S1418,Códigos!T1418,Códigos!U1418)</f>
        <v>svv1417v</v>
      </c>
      <c r="B1419" t="s">
        <v>406</v>
      </c>
      <c r="C1419" t="s">
        <v>458</v>
      </c>
      <c r="D1419" s="2" t="s">
        <v>459</v>
      </c>
      <c r="E1419" t="s">
        <v>522</v>
      </c>
      <c r="F1419" s="11">
        <v>43126</v>
      </c>
      <c r="G1419" s="2">
        <f>VLOOKUP(E1419,Produtos!$A:$E,5,FALSE)</f>
        <v>800</v>
      </c>
      <c r="H1419" s="2">
        <f>VLOOKUP(E1419,Produtos!$A:$E,4,FALSE)</f>
        <v>350</v>
      </c>
      <c r="I1419" s="2">
        <v>5</v>
      </c>
    </row>
    <row r="1420" spans="1:9" x14ac:dyDescent="0.25">
      <c r="A1420" s="2" t="str">
        <f>CONCATENATE(Códigos!S1419,Códigos!T1419,Códigos!U1419)</f>
        <v>svv1418v</v>
      </c>
      <c r="B1420" t="s">
        <v>406</v>
      </c>
      <c r="C1420" t="s">
        <v>458</v>
      </c>
      <c r="D1420" s="2" t="s">
        <v>459</v>
      </c>
      <c r="E1420" t="s">
        <v>522</v>
      </c>
      <c r="F1420" s="11">
        <v>43127</v>
      </c>
      <c r="G1420" s="2">
        <f>VLOOKUP(E1420,Produtos!$A:$E,5,FALSE)</f>
        <v>800</v>
      </c>
      <c r="H1420" s="2">
        <f>VLOOKUP(E1420,Produtos!$A:$E,4,FALSE)</f>
        <v>350</v>
      </c>
      <c r="I1420" s="2">
        <v>5</v>
      </c>
    </row>
    <row r="1421" spans="1:9" x14ac:dyDescent="0.25">
      <c r="A1421" s="2" t="str">
        <f>CONCATENATE(Códigos!S1420,Códigos!T1420,Códigos!U1420)</f>
        <v>svv1419v</v>
      </c>
      <c r="B1421" t="s">
        <v>406</v>
      </c>
      <c r="C1421" t="s">
        <v>458</v>
      </c>
      <c r="D1421" s="2" t="s">
        <v>459</v>
      </c>
      <c r="E1421" t="s">
        <v>522</v>
      </c>
      <c r="F1421" s="11">
        <v>43128</v>
      </c>
      <c r="G1421" s="2">
        <f>VLOOKUP(E1421,Produtos!$A:$E,5,FALSE)</f>
        <v>800</v>
      </c>
      <c r="H1421" s="2">
        <f>VLOOKUP(E1421,Produtos!$A:$E,4,FALSE)</f>
        <v>350</v>
      </c>
      <c r="I1421" s="2">
        <v>5</v>
      </c>
    </row>
    <row r="1422" spans="1:9" x14ac:dyDescent="0.25">
      <c r="A1422" s="2" t="str">
        <f>CONCATENATE(Códigos!S1421,Códigos!T1421,Códigos!U1421)</f>
        <v>svv1420v</v>
      </c>
      <c r="B1422" t="s">
        <v>406</v>
      </c>
      <c r="C1422" t="s">
        <v>414</v>
      </c>
      <c r="D1422" s="2" t="s">
        <v>415</v>
      </c>
      <c r="E1422" t="s">
        <v>522</v>
      </c>
      <c r="F1422" s="11">
        <v>43129</v>
      </c>
      <c r="G1422" s="2">
        <f>VLOOKUP(E1422,Produtos!$A:$E,5,FALSE)</f>
        <v>800</v>
      </c>
      <c r="H1422" s="2">
        <f>VLOOKUP(E1422,Produtos!$A:$E,4,FALSE)</f>
        <v>350</v>
      </c>
      <c r="I1422" s="2">
        <v>5</v>
      </c>
    </row>
    <row r="1423" spans="1:9" x14ac:dyDescent="0.25">
      <c r="A1423" s="2" t="str">
        <f>CONCATENATE(Códigos!S1422,Códigos!T1422,Códigos!U1422)</f>
        <v>svv1421v</v>
      </c>
      <c r="B1423" t="s">
        <v>406</v>
      </c>
      <c r="C1423" t="s">
        <v>414</v>
      </c>
      <c r="D1423" s="2" t="s">
        <v>415</v>
      </c>
      <c r="E1423" t="s">
        <v>522</v>
      </c>
      <c r="F1423" s="11">
        <v>43130</v>
      </c>
      <c r="G1423" s="2">
        <f>VLOOKUP(E1423,Produtos!$A:$E,5,FALSE)</f>
        <v>800</v>
      </c>
      <c r="H1423" s="2">
        <f>VLOOKUP(E1423,Produtos!$A:$E,4,FALSE)</f>
        <v>350</v>
      </c>
      <c r="I1423" s="2">
        <v>5</v>
      </c>
    </row>
    <row r="1424" spans="1:9" x14ac:dyDescent="0.25">
      <c r="A1424" s="2" t="str">
        <f>CONCATENATE(Códigos!S1423,Códigos!T1423,Códigos!U1423)</f>
        <v>svv1422v</v>
      </c>
      <c r="B1424" t="s">
        <v>406</v>
      </c>
      <c r="C1424" t="s">
        <v>414</v>
      </c>
      <c r="D1424" s="2" t="s">
        <v>415</v>
      </c>
      <c r="E1424" t="s">
        <v>522</v>
      </c>
      <c r="F1424" s="11">
        <v>43131</v>
      </c>
      <c r="G1424" s="2">
        <f>VLOOKUP(E1424,Produtos!$A:$E,5,FALSE)</f>
        <v>800</v>
      </c>
      <c r="H1424" s="2">
        <f>VLOOKUP(E1424,Produtos!$A:$E,4,FALSE)</f>
        <v>350</v>
      </c>
      <c r="I1424" s="2">
        <v>5</v>
      </c>
    </row>
    <row r="1425" spans="1:9" x14ac:dyDescent="0.25">
      <c r="A1425" s="2" t="str">
        <f>CONCATENATE(Códigos!S1424,Códigos!T1424,Códigos!U1424)</f>
        <v>svv1423v</v>
      </c>
      <c r="B1425" t="s">
        <v>406</v>
      </c>
      <c r="C1425" t="s">
        <v>414</v>
      </c>
      <c r="D1425" s="2" t="s">
        <v>415</v>
      </c>
      <c r="E1425" t="s">
        <v>522</v>
      </c>
      <c r="F1425" s="11">
        <v>43132</v>
      </c>
      <c r="G1425" s="2">
        <f>VLOOKUP(E1425,Produtos!$A:$E,5,FALSE)</f>
        <v>800</v>
      </c>
      <c r="H1425" s="2">
        <f>VLOOKUP(E1425,Produtos!$A:$E,4,FALSE)</f>
        <v>350</v>
      </c>
      <c r="I1425" s="2">
        <v>5</v>
      </c>
    </row>
    <row r="1426" spans="1:9" x14ac:dyDescent="0.25">
      <c r="A1426" s="2" t="str">
        <f>CONCATENATE(Códigos!S1425,Códigos!T1425,Códigos!U1425)</f>
        <v>svv1424v</v>
      </c>
      <c r="B1426" t="s">
        <v>406</v>
      </c>
      <c r="C1426" t="s">
        <v>414</v>
      </c>
      <c r="D1426" s="2" t="s">
        <v>415</v>
      </c>
      <c r="E1426" t="s">
        <v>522</v>
      </c>
      <c r="F1426" s="11">
        <v>43133</v>
      </c>
      <c r="G1426" s="2">
        <f>VLOOKUP(E1426,Produtos!$A:$E,5,FALSE)</f>
        <v>800</v>
      </c>
      <c r="H1426" s="2">
        <f>VLOOKUP(E1426,Produtos!$A:$E,4,FALSE)</f>
        <v>350</v>
      </c>
      <c r="I1426" s="2">
        <v>5</v>
      </c>
    </row>
    <row r="1427" spans="1:9" x14ac:dyDescent="0.25">
      <c r="A1427" s="2" t="str">
        <f>CONCATENATE(Códigos!S1426,Códigos!T1426,Códigos!U1426)</f>
        <v>svv1425v</v>
      </c>
      <c r="B1427" t="s">
        <v>406</v>
      </c>
      <c r="C1427" t="s">
        <v>414</v>
      </c>
      <c r="D1427" s="2" t="s">
        <v>415</v>
      </c>
      <c r="E1427" t="s">
        <v>522</v>
      </c>
      <c r="F1427" s="11">
        <v>43134</v>
      </c>
      <c r="G1427" s="2">
        <f>VLOOKUP(E1427,Produtos!$A:$E,5,FALSE)</f>
        <v>800</v>
      </c>
      <c r="H1427" s="2">
        <f>VLOOKUP(E1427,Produtos!$A:$E,4,FALSE)</f>
        <v>350</v>
      </c>
      <c r="I1427" s="2">
        <v>5</v>
      </c>
    </row>
    <row r="1428" spans="1:9" x14ac:dyDescent="0.25">
      <c r="A1428" s="2" t="str">
        <f>CONCATENATE(Códigos!S1427,Códigos!T1427,Códigos!U1427)</f>
        <v>svv1426v</v>
      </c>
      <c r="B1428" t="s">
        <v>406</v>
      </c>
      <c r="C1428" t="s">
        <v>414</v>
      </c>
      <c r="D1428" s="2" t="s">
        <v>415</v>
      </c>
      <c r="E1428" t="s">
        <v>513</v>
      </c>
      <c r="F1428" s="11">
        <v>43135</v>
      </c>
      <c r="G1428" s="2">
        <f>VLOOKUP(E1428,Produtos!$A:$E,5,FALSE)</f>
        <v>700</v>
      </c>
      <c r="H1428" s="2">
        <f>VLOOKUP(E1428,Produtos!$A:$E,4,FALSE)</f>
        <v>350</v>
      </c>
      <c r="I1428" s="2">
        <v>5</v>
      </c>
    </row>
    <row r="1429" spans="1:9" x14ac:dyDescent="0.25">
      <c r="A1429" s="2" t="str">
        <f>CONCATENATE(Códigos!S1428,Códigos!T1428,Códigos!U1428)</f>
        <v>svv1427v</v>
      </c>
      <c r="B1429" t="s">
        <v>406</v>
      </c>
      <c r="C1429" t="s">
        <v>414</v>
      </c>
      <c r="D1429" s="2" t="s">
        <v>415</v>
      </c>
      <c r="E1429" t="s">
        <v>513</v>
      </c>
      <c r="F1429" s="11">
        <v>43136</v>
      </c>
      <c r="G1429" s="2">
        <f>VLOOKUP(E1429,Produtos!$A:$E,5,FALSE)</f>
        <v>700</v>
      </c>
      <c r="H1429" s="2">
        <f>VLOOKUP(E1429,Produtos!$A:$E,4,FALSE)</f>
        <v>350</v>
      </c>
      <c r="I1429" s="2">
        <v>5</v>
      </c>
    </row>
    <row r="1430" spans="1:9" x14ac:dyDescent="0.25">
      <c r="A1430" s="2" t="str">
        <f>CONCATENATE(Códigos!S1429,Códigos!T1429,Códigos!U1429)</f>
        <v>svv1428v</v>
      </c>
      <c r="B1430" t="s">
        <v>406</v>
      </c>
      <c r="C1430" t="s">
        <v>414</v>
      </c>
      <c r="D1430" s="2" t="s">
        <v>415</v>
      </c>
      <c r="E1430" t="s">
        <v>513</v>
      </c>
      <c r="F1430" s="11">
        <v>43137</v>
      </c>
      <c r="G1430" s="2">
        <f>VLOOKUP(E1430,Produtos!$A:$E,5,FALSE)</f>
        <v>700</v>
      </c>
      <c r="H1430" s="2">
        <f>VLOOKUP(E1430,Produtos!$A:$E,4,FALSE)</f>
        <v>350</v>
      </c>
      <c r="I1430" s="2">
        <v>5</v>
      </c>
    </row>
    <row r="1431" spans="1:9" x14ac:dyDescent="0.25">
      <c r="A1431" s="2" t="str">
        <f>CONCATENATE(Códigos!S1430,Códigos!T1430,Códigos!U1430)</f>
        <v>svv1429v</v>
      </c>
      <c r="B1431" t="s">
        <v>406</v>
      </c>
      <c r="C1431" t="s">
        <v>414</v>
      </c>
      <c r="D1431" s="2" t="s">
        <v>415</v>
      </c>
      <c r="E1431" t="s">
        <v>513</v>
      </c>
      <c r="F1431" s="11">
        <v>43138</v>
      </c>
      <c r="G1431" s="2">
        <f>VLOOKUP(E1431,Produtos!$A:$E,5,FALSE)</f>
        <v>700</v>
      </c>
      <c r="H1431" s="2">
        <f>VLOOKUP(E1431,Produtos!$A:$E,4,FALSE)</f>
        <v>350</v>
      </c>
      <c r="I1431" s="2">
        <v>5</v>
      </c>
    </row>
    <row r="1432" spans="1:9" x14ac:dyDescent="0.25">
      <c r="A1432" s="2" t="str">
        <f>CONCATENATE(Códigos!S1431,Códigos!T1431,Códigos!U1431)</f>
        <v>svv1430v</v>
      </c>
      <c r="B1432" t="s">
        <v>406</v>
      </c>
      <c r="C1432" t="s">
        <v>414</v>
      </c>
      <c r="D1432" s="2" t="s">
        <v>415</v>
      </c>
      <c r="E1432" t="s">
        <v>513</v>
      </c>
      <c r="F1432" s="11">
        <v>43139</v>
      </c>
      <c r="G1432" s="2">
        <f>VLOOKUP(E1432,Produtos!$A:$E,5,FALSE)</f>
        <v>700</v>
      </c>
      <c r="H1432" s="2">
        <f>VLOOKUP(E1432,Produtos!$A:$E,4,FALSE)</f>
        <v>350</v>
      </c>
      <c r="I1432" s="2">
        <v>5</v>
      </c>
    </row>
    <row r="1433" spans="1:9" x14ac:dyDescent="0.25">
      <c r="A1433" s="2" t="str">
        <f>CONCATENATE(Códigos!S1432,Códigos!T1432,Códigos!U1432)</f>
        <v>svv1431v</v>
      </c>
      <c r="B1433" t="s">
        <v>406</v>
      </c>
      <c r="C1433" t="s">
        <v>414</v>
      </c>
      <c r="D1433" s="2" t="s">
        <v>415</v>
      </c>
      <c r="E1433" t="s">
        <v>513</v>
      </c>
      <c r="F1433" s="11">
        <v>43140</v>
      </c>
      <c r="G1433" s="2">
        <f>VLOOKUP(E1433,Produtos!$A:$E,5,FALSE)</f>
        <v>700</v>
      </c>
      <c r="H1433" s="2">
        <f>VLOOKUP(E1433,Produtos!$A:$E,4,FALSE)</f>
        <v>350</v>
      </c>
      <c r="I1433" s="2">
        <v>5</v>
      </c>
    </row>
    <row r="1434" spans="1:9" x14ac:dyDescent="0.25">
      <c r="A1434" s="2" t="str">
        <f>CONCATENATE(Códigos!S1433,Códigos!T1433,Códigos!U1433)</f>
        <v>svv1432v</v>
      </c>
      <c r="B1434" t="s">
        <v>406</v>
      </c>
      <c r="C1434" t="s">
        <v>414</v>
      </c>
      <c r="D1434" s="2" t="s">
        <v>415</v>
      </c>
      <c r="E1434" t="s">
        <v>513</v>
      </c>
      <c r="F1434" s="11">
        <v>43141</v>
      </c>
      <c r="G1434" s="2">
        <f>VLOOKUP(E1434,Produtos!$A:$E,5,FALSE)</f>
        <v>700</v>
      </c>
      <c r="H1434" s="2">
        <f>VLOOKUP(E1434,Produtos!$A:$E,4,FALSE)</f>
        <v>350</v>
      </c>
      <c r="I1434" s="2">
        <v>5</v>
      </c>
    </row>
    <row r="1435" spans="1:9" x14ac:dyDescent="0.25">
      <c r="A1435" s="2" t="str">
        <f>CONCATENATE(Códigos!S1434,Códigos!T1434,Códigos!U1434)</f>
        <v>svv1433v</v>
      </c>
      <c r="B1435" t="s">
        <v>406</v>
      </c>
      <c r="C1435" t="s">
        <v>414</v>
      </c>
      <c r="D1435" s="2" t="s">
        <v>415</v>
      </c>
      <c r="E1435" t="s">
        <v>513</v>
      </c>
      <c r="F1435" s="11">
        <v>43142</v>
      </c>
      <c r="G1435" s="2">
        <f>VLOOKUP(E1435,Produtos!$A:$E,5,FALSE)</f>
        <v>700</v>
      </c>
      <c r="H1435" s="2">
        <f>VLOOKUP(E1435,Produtos!$A:$E,4,FALSE)</f>
        <v>350</v>
      </c>
      <c r="I1435" s="2">
        <v>5</v>
      </c>
    </row>
    <row r="1436" spans="1:9" x14ac:dyDescent="0.25">
      <c r="A1436" s="2" t="str">
        <f>CONCATENATE(Códigos!S1435,Códigos!T1435,Códigos!U1435)</f>
        <v>svv1434v</v>
      </c>
      <c r="B1436" t="s">
        <v>406</v>
      </c>
      <c r="C1436" t="s">
        <v>414</v>
      </c>
      <c r="D1436" s="2" t="s">
        <v>415</v>
      </c>
      <c r="E1436" t="s">
        <v>513</v>
      </c>
      <c r="F1436" s="11">
        <v>43143</v>
      </c>
      <c r="G1436" s="2">
        <f>VLOOKUP(E1436,Produtos!$A:$E,5,FALSE)</f>
        <v>700</v>
      </c>
      <c r="H1436" s="2">
        <f>VLOOKUP(E1436,Produtos!$A:$E,4,FALSE)</f>
        <v>350</v>
      </c>
      <c r="I1436" s="2">
        <v>5</v>
      </c>
    </row>
    <row r="1437" spans="1:9" x14ac:dyDescent="0.25">
      <c r="A1437" s="2" t="str">
        <f>CONCATENATE(Códigos!S1436,Códigos!T1436,Códigos!U1436)</f>
        <v>svv1435v</v>
      </c>
      <c r="B1437" t="s">
        <v>406</v>
      </c>
      <c r="C1437" t="s">
        <v>414</v>
      </c>
      <c r="D1437" s="2" t="s">
        <v>415</v>
      </c>
      <c r="E1437" t="s">
        <v>513</v>
      </c>
      <c r="F1437" s="11">
        <v>43144</v>
      </c>
      <c r="G1437" s="2">
        <f>VLOOKUP(E1437,Produtos!$A:$E,5,FALSE)</f>
        <v>700</v>
      </c>
      <c r="H1437" s="2">
        <f>VLOOKUP(E1437,Produtos!$A:$E,4,FALSE)</f>
        <v>350</v>
      </c>
      <c r="I1437" s="2">
        <v>5</v>
      </c>
    </row>
    <row r="1438" spans="1:9" x14ac:dyDescent="0.25">
      <c r="A1438" s="2" t="str">
        <f>CONCATENATE(Códigos!S1437,Códigos!T1437,Códigos!U1437)</f>
        <v>svv1436v</v>
      </c>
      <c r="B1438" t="s">
        <v>406</v>
      </c>
      <c r="C1438" t="s">
        <v>447</v>
      </c>
      <c r="D1438" s="2" t="s">
        <v>448</v>
      </c>
      <c r="E1438" t="s">
        <v>513</v>
      </c>
      <c r="F1438" s="11">
        <v>43145</v>
      </c>
      <c r="G1438" s="2">
        <f>VLOOKUP(E1438,Produtos!$A:$E,5,FALSE)</f>
        <v>700</v>
      </c>
      <c r="H1438" s="2">
        <f>VLOOKUP(E1438,Produtos!$A:$E,4,FALSE)</f>
        <v>350</v>
      </c>
      <c r="I1438" s="2">
        <v>5</v>
      </c>
    </row>
    <row r="1439" spans="1:9" x14ac:dyDescent="0.25">
      <c r="A1439" s="2" t="str">
        <f>CONCATENATE(Códigos!S1438,Códigos!T1438,Códigos!U1438)</f>
        <v>svv1437v</v>
      </c>
      <c r="B1439" t="s">
        <v>406</v>
      </c>
      <c r="C1439" t="s">
        <v>447</v>
      </c>
      <c r="D1439" s="2" t="s">
        <v>448</v>
      </c>
      <c r="E1439" t="s">
        <v>513</v>
      </c>
      <c r="F1439" s="11">
        <v>43146</v>
      </c>
      <c r="G1439" s="2">
        <f>VLOOKUP(E1439,Produtos!$A:$E,5,FALSE)</f>
        <v>700</v>
      </c>
      <c r="H1439" s="2">
        <f>VLOOKUP(E1439,Produtos!$A:$E,4,FALSE)</f>
        <v>350</v>
      </c>
      <c r="I1439" s="2">
        <v>5</v>
      </c>
    </row>
    <row r="1440" spans="1:9" x14ac:dyDescent="0.25">
      <c r="A1440" s="2" t="str">
        <f>CONCATENATE(Códigos!S1439,Códigos!T1439,Códigos!U1439)</f>
        <v>svv1438v</v>
      </c>
      <c r="B1440" t="s">
        <v>406</v>
      </c>
      <c r="C1440" t="s">
        <v>447</v>
      </c>
      <c r="D1440" s="2" t="s">
        <v>448</v>
      </c>
      <c r="E1440" t="s">
        <v>513</v>
      </c>
      <c r="F1440" s="11">
        <v>43147</v>
      </c>
      <c r="G1440" s="2">
        <f>VLOOKUP(E1440,Produtos!$A:$E,5,FALSE)</f>
        <v>700</v>
      </c>
      <c r="H1440" s="2">
        <f>VLOOKUP(E1440,Produtos!$A:$E,4,FALSE)</f>
        <v>350</v>
      </c>
      <c r="I1440" s="2">
        <v>5</v>
      </c>
    </row>
    <row r="1441" spans="1:9" x14ac:dyDescent="0.25">
      <c r="A1441" s="2" t="str">
        <f>CONCATENATE(Códigos!S1440,Códigos!T1440,Códigos!U1440)</f>
        <v>svv1439v</v>
      </c>
      <c r="B1441" t="s">
        <v>406</v>
      </c>
      <c r="C1441" t="s">
        <v>447</v>
      </c>
      <c r="D1441" s="2" t="s">
        <v>448</v>
      </c>
      <c r="E1441" t="s">
        <v>513</v>
      </c>
      <c r="F1441" s="11">
        <v>43148</v>
      </c>
      <c r="G1441" s="2">
        <f>VLOOKUP(E1441,Produtos!$A:$E,5,FALSE)</f>
        <v>700</v>
      </c>
      <c r="H1441" s="2">
        <f>VLOOKUP(E1441,Produtos!$A:$E,4,FALSE)</f>
        <v>350</v>
      </c>
      <c r="I1441" s="2">
        <v>5</v>
      </c>
    </row>
    <row r="1442" spans="1:9" x14ac:dyDescent="0.25">
      <c r="A1442" s="2" t="str">
        <f>CONCATENATE(Códigos!S1441,Códigos!T1441,Códigos!U1441)</f>
        <v>svv1440v</v>
      </c>
      <c r="B1442" t="s">
        <v>406</v>
      </c>
      <c r="C1442" t="s">
        <v>447</v>
      </c>
      <c r="D1442" s="2" t="s">
        <v>448</v>
      </c>
      <c r="E1442" t="s">
        <v>513</v>
      </c>
      <c r="F1442" s="11">
        <v>43149</v>
      </c>
      <c r="G1442" s="2">
        <f>VLOOKUP(E1442,Produtos!$A:$E,5,FALSE)</f>
        <v>700</v>
      </c>
      <c r="H1442" s="2">
        <f>VLOOKUP(E1442,Produtos!$A:$E,4,FALSE)</f>
        <v>350</v>
      </c>
      <c r="I1442" s="2">
        <v>5</v>
      </c>
    </row>
    <row r="1443" spans="1:9" x14ac:dyDescent="0.25">
      <c r="A1443" s="2" t="str">
        <f>CONCATENATE(Códigos!S1442,Códigos!T1442,Códigos!U1442)</f>
        <v>svv1441v</v>
      </c>
      <c r="B1443" t="s">
        <v>406</v>
      </c>
      <c r="C1443" t="s">
        <v>447</v>
      </c>
      <c r="D1443" s="2" t="s">
        <v>448</v>
      </c>
      <c r="E1443" t="s">
        <v>513</v>
      </c>
      <c r="F1443" s="11">
        <v>43150</v>
      </c>
      <c r="G1443" s="2">
        <f>VLOOKUP(E1443,Produtos!$A:$E,5,FALSE)</f>
        <v>700</v>
      </c>
      <c r="H1443" s="2">
        <f>VLOOKUP(E1443,Produtos!$A:$E,4,FALSE)</f>
        <v>350</v>
      </c>
      <c r="I1443" s="2">
        <v>5</v>
      </c>
    </row>
    <row r="1444" spans="1:9" x14ac:dyDescent="0.25">
      <c r="A1444" s="2" t="str">
        <f>CONCATENATE(Códigos!S1443,Códigos!T1443,Códigos!U1443)</f>
        <v>svv1442v</v>
      </c>
      <c r="B1444" t="s">
        <v>406</v>
      </c>
      <c r="C1444" t="s">
        <v>447</v>
      </c>
      <c r="D1444" s="2" t="s">
        <v>448</v>
      </c>
      <c r="E1444" t="s">
        <v>513</v>
      </c>
      <c r="F1444" s="11">
        <v>43151</v>
      </c>
      <c r="G1444" s="2">
        <f>VLOOKUP(E1444,Produtos!$A:$E,5,FALSE)</f>
        <v>700</v>
      </c>
      <c r="H1444" s="2">
        <f>VLOOKUP(E1444,Produtos!$A:$E,4,FALSE)</f>
        <v>350</v>
      </c>
      <c r="I1444" s="2">
        <v>5</v>
      </c>
    </row>
    <row r="1445" spans="1:9" x14ac:dyDescent="0.25">
      <c r="A1445" s="2" t="str">
        <f>CONCATENATE(Códigos!S1444,Códigos!T1444,Códigos!U1444)</f>
        <v>svv1443v</v>
      </c>
      <c r="B1445" t="s">
        <v>406</v>
      </c>
      <c r="C1445" t="s">
        <v>447</v>
      </c>
      <c r="D1445" s="2" t="s">
        <v>448</v>
      </c>
      <c r="E1445" t="s">
        <v>513</v>
      </c>
      <c r="F1445" s="11">
        <v>43152</v>
      </c>
      <c r="G1445" s="2">
        <f>VLOOKUP(E1445,Produtos!$A:$E,5,FALSE)</f>
        <v>700</v>
      </c>
      <c r="H1445" s="2">
        <f>VLOOKUP(E1445,Produtos!$A:$E,4,FALSE)</f>
        <v>350</v>
      </c>
      <c r="I1445" s="2">
        <v>5</v>
      </c>
    </row>
    <row r="1446" spans="1:9" x14ac:dyDescent="0.25">
      <c r="A1446" s="2" t="str">
        <f>CONCATENATE(Códigos!S1445,Códigos!T1445,Códigos!U1445)</f>
        <v>svv1444v</v>
      </c>
      <c r="B1446" t="s">
        <v>406</v>
      </c>
      <c r="C1446" t="s">
        <v>447</v>
      </c>
      <c r="D1446" s="2" t="s">
        <v>448</v>
      </c>
      <c r="E1446" t="s">
        <v>513</v>
      </c>
      <c r="F1446" s="11">
        <v>43153</v>
      </c>
      <c r="G1446" s="2">
        <f>VLOOKUP(E1446,Produtos!$A:$E,5,FALSE)</f>
        <v>700</v>
      </c>
      <c r="H1446" s="2">
        <f>VLOOKUP(E1446,Produtos!$A:$E,4,FALSE)</f>
        <v>350</v>
      </c>
      <c r="I1446" s="2">
        <v>5</v>
      </c>
    </row>
    <row r="1447" spans="1:9" x14ac:dyDescent="0.25">
      <c r="A1447" s="2" t="str">
        <f>CONCATENATE(Códigos!S1446,Códigos!T1446,Códigos!U1446)</f>
        <v>svv1445v</v>
      </c>
      <c r="B1447" t="s">
        <v>406</v>
      </c>
      <c r="C1447" t="s">
        <v>447</v>
      </c>
      <c r="D1447" s="2" t="s">
        <v>448</v>
      </c>
      <c r="E1447" t="s">
        <v>513</v>
      </c>
      <c r="F1447" s="11">
        <v>43154</v>
      </c>
      <c r="G1447" s="2">
        <f>VLOOKUP(E1447,Produtos!$A:$E,5,FALSE)</f>
        <v>700</v>
      </c>
      <c r="H1447" s="2">
        <f>VLOOKUP(E1447,Produtos!$A:$E,4,FALSE)</f>
        <v>350</v>
      </c>
      <c r="I1447" s="2">
        <v>5</v>
      </c>
    </row>
    <row r="1448" spans="1:9" x14ac:dyDescent="0.25">
      <c r="A1448" s="2" t="str">
        <f>CONCATENATE(Códigos!S1447,Códigos!T1447,Códigos!U1447)</f>
        <v>svv1446v</v>
      </c>
      <c r="B1448" t="s">
        <v>406</v>
      </c>
      <c r="C1448" t="s">
        <v>447</v>
      </c>
      <c r="D1448" s="2" t="s">
        <v>448</v>
      </c>
      <c r="E1448" t="s">
        <v>513</v>
      </c>
      <c r="F1448" s="11">
        <v>43155</v>
      </c>
      <c r="G1448" s="2">
        <f>VLOOKUP(E1448,Produtos!$A:$E,5,FALSE)</f>
        <v>700</v>
      </c>
      <c r="H1448" s="2">
        <f>VLOOKUP(E1448,Produtos!$A:$E,4,FALSE)</f>
        <v>350</v>
      </c>
      <c r="I1448" s="2">
        <v>5</v>
      </c>
    </row>
    <row r="1449" spans="1:9" x14ac:dyDescent="0.25">
      <c r="A1449" s="2" t="str">
        <f>CONCATENATE(Códigos!S1448,Códigos!T1448,Códigos!U1448)</f>
        <v>svv1447v</v>
      </c>
      <c r="B1449" t="s">
        <v>406</v>
      </c>
      <c r="C1449" t="s">
        <v>447</v>
      </c>
      <c r="D1449" s="2" t="s">
        <v>448</v>
      </c>
      <c r="E1449" t="s">
        <v>513</v>
      </c>
      <c r="F1449" s="11">
        <v>43156</v>
      </c>
      <c r="G1449" s="2">
        <f>VLOOKUP(E1449,Produtos!$A:$E,5,FALSE)</f>
        <v>700</v>
      </c>
      <c r="H1449" s="2">
        <f>VLOOKUP(E1449,Produtos!$A:$E,4,FALSE)</f>
        <v>350</v>
      </c>
      <c r="I1449" s="2">
        <v>5</v>
      </c>
    </row>
    <row r="1450" spans="1:9" x14ac:dyDescent="0.25">
      <c r="A1450" s="2" t="str">
        <f>CONCATENATE(Códigos!S1449,Códigos!T1449,Códigos!U1449)</f>
        <v>svv1448v</v>
      </c>
      <c r="B1450" t="s">
        <v>406</v>
      </c>
      <c r="C1450" t="s">
        <v>447</v>
      </c>
      <c r="D1450" s="2" t="s">
        <v>448</v>
      </c>
      <c r="E1450" t="s">
        <v>513</v>
      </c>
      <c r="F1450" s="11">
        <v>43157</v>
      </c>
      <c r="G1450" s="2">
        <f>VLOOKUP(E1450,Produtos!$A:$E,5,FALSE)</f>
        <v>700</v>
      </c>
      <c r="H1450" s="2">
        <f>VLOOKUP(E1450,Produtos!$A:$E,4,FALSE)</f>
        <v>350</v>
      </c>
      <c r="I1450" s="2">
        <v>5</v>
      </c>
    </row>
    <row r="1451" spans="1:9" x14ac:dyDescent="0.25">
      <c r="A1451" s="2" t="str">
        <f>CONCATENATE(Códigos!S1450,Códigos!T1450,Códigos!U1450)</f>
        <v>svv1449v</v>
      </c>
      <c r="B1451" t="s">
        <v>406</v>
      </c>
      <c r="C1451" t="s">
        <v>447</v>
      </c>
      <c r="D1451" s="2" t="s">
        <v>448</v>
      </c>
      <c r="E1451" t="s">
        <v>513</v>
      </c>
      <c r="F1451" s="11">
        <v>43158</v>
      </c>
      <c r="G1451" s="2">
        <f>VLOOKUP(E1451,Produtos!$A:$E,5,FALSE)</f>
        <v>700</v>
      </c>
      <c r="H1451" s="2">
        <f>VLOOKUP(E1451,Produtos!$A:$E,4,FALSE)</f>
        <v>350</v>
      </c>
      <c r="I1451" s="2">
        <v>5</v>
      </c>
    </row>
    <row r="1452" spans="1:9" x14ac:dyDescent="0.25">
      <c r="A1452" s="2" t="str">
        <f>CONCATENATE(Códigos!S1451,Códigos!T1451,Códigos!U1451)</f>
        <v>svv1450v</v>
      </c>
      <c r="B1452" t="s">
        <v>406</v>
      </c>
      <c r="C1452" t="s">
        <v>447</v>
      </c>
      <c r="D1452" s="2" t="s">
        <v>448</v>
      </c>
      <c r="E1452" t="s">
        <v>513</v>
      </c>
      <c r="F1452" s="11">
        <v>43159</v>
      </c>
      <c r="G1452" s="2">
        <f>VLOOKUP(E1452,Produtos!$A:$E,5,FALSE)</f>
        <v>700</v>
      </c>
      <c r="H1452" s="2">
        <f>VLOOKUP(E1452,Produtos!$A:$E,4,FALSE)</f>
        <v>350</v>
      </c>
      <c r="I1452" s="2">
        <v>5</v>
      </c>
    </row>
    <row r="1453" spans="1:9" x14ac:dyDescent="0.25">
      <c r="A1453" s="2" t="str">
        <f>CONCATENATE(Códigos!S1452,Códigos!T1452,Códigos!U1452)</f>
        <v>svv1451v</v>
      </c>
      <c r="B1453" t="s">
        <v>406</v>
      </c>
      <c r="C1453" t="s">
        <v>447</v>
      </c>
      <c r="D1453" s="2" t="s">
        <v>448</v>
      </c>
      <c r="E1453" t="s">
        <v>513</v>
      </c>
      <c r="F1453" s="11">
        <v>43160</v>
      </c>
      <c r="G1453" s="2">
        <f>VLOOKUP(E1453,Produtos!$A:$E,5,FALSE)</f>
        <v>700</v>
      </c>
      <c r="H1453" s="2">
        <f>VLOOKUP(E1453,Produtos!$A:$E,4,FALSE)</f>
        <v>350</v>
      </c>
      <c r="I1453" s="2">
        <v>5</v>
      </c>
    </row>
    <row r="1454" spans="1:9" x14ac:dyDescent="0.25">
      <c r="A1454" s="2" t="str">
        <f>CONCATENATE(Códigos!S1453,Códigos!T1453,Códigos!U1453)</f>
        <v>svv1452v</v>
      </c>
      <c r="B1454" t="s">
        <v>406</v>
      </c>
      <c r="C1454" t="s">
        <v>447</v>
      </c>
      <c r="D1454" s="2" t="s">
        <v>448</v>
      </c>
      <c r="E1454" t="s">
        <v>513</v>
      </c>
      <c r="F1454" s="11">
        <v>43161</v>
      </c>
      <c r="G1454" s="2">
        <f>VLOOKUP(E1454,Produtos!$A:$E,5,FALSE)</f>
        <v>700</v>
      </c>
      <c r="H1454" s="2">
        <f>VLOOKUP(E1454,Produtos!$A:$E,4,FALSE)</f>
        <v>350</v>
      </c>
      <c r="I1454" s="2">
        <v>5</v>
      </c>
    </row>
    <row r="1455" spans="1:9" x14ac:dyDescent="0.25">
      <c r="A1455" s="2" t="str">
        <f>CONCATENATE(Códigos!S1454,Códigos!T1454,Códigos!U1454)</f>
        <v>svv1453v</v>
      </c>
      <c r="B1455" t="s">
        <v>406</v>
      </c>
      <c r="C1455" t="s">
        <v>447</v>
      </c>
      <c r="D1455" s="2" t="s">
        <v>448</v>
      </c>
      <c r="E1455" t="s">
        <v>513</v>
      </c>
      <c r="F1455" s="11">
        <v>43162</v>
      </c>
      <c r="G1455" s="2">
        <f>VLOOKUP(E1455,Produtos!$A:$E,5,FALSE)</f>
        <v>700</v>
      </c>
      <c r="H1455" s="2">
        <f>VLOOKUP(E1455,Produtos!$A:$E,4,FALSE)</f>
        <v>350</v>
      </c>
      <c r="I1455" s="2">
        <v>5</v>
      </c>
    </row>
    <row r="1456" spans="1:9" x14ac:dyDescent="0.25">
      <c r="A1456" s="2" t="str">
        <f>CONCATENATE(Códigos!S1455,Códigos!T1455,Códigos!U1455)</f>
        <v>svv1454v</v>
      </c>
      <c r="B1456" t="s">
        <v>406</v>
      </c>
      <c r="C1456" t="s">
        <v>447</v>
      </c>
      <c r="D1456" s="2" t="s">
        <v>448</v>
      </c>
      <c r="E1456" t="s">
        <v>513</v>
      </c>
      <c r="F1456" s="11">
        <v>43163</v>
      </c>
      <c r="G1456" s="2">
        <f>VLOOKUP(E1456,Produtos!$A:$E,5,FALSE)</f>
        <v>700</v>
      </c>
      <c r="H1456" s="2">
        <f>VLOOKUP(E1456,Produtos!$A:$E,4,FALSE)</f>
        <v>350</v>
      </c>
      <c r="I1456" s="2">
        <v>5</v>
      </c>
    </row>
    <row r="1457" spans="1:9" x14ac:dyDescent="0.25">
      <c r="A1457" s="2" t="str">
        <f>CONCATENATE(Códigos!S1456,Códigos!T1456,Códigos!U1456)</f>
        <v>svv1455v</v>
      </c>
      <c r="B1457" t="s">
        <v>406</v>
      </c>
      <c r="C1457" t="s">
        <v>447</v>
      </c>
      <c r="D1457" s="2" t="s">
        <v>448</v>
      </c>
      <c r="E1457" t="s">
        <v>513</v>
      </c>
      <c r="F1457" s="11">
        <v>43164</v>
      </c>
      <c r="G1457" s="2">
        <f>VLOOKUP(E1457,Produtos!$A:$E,5,FALSE)</f>
        <v>700</v>
      </c>
      <c r="H1457" s="2">
        <f>VLOOKUP(E1457,Produtos!$A:$E,4,FALSE)</f>
        <v>350</v>
      </c>
      <c r="I1457" s="2">
        <v>5</v>
      </c>
    </row>
    <row r="1458" spans="1:9" x14ac:dyDescent="0.25">
      <c r="A1458" s="2" t="str">
        <f>CONCATENATE(Códigos!S1457,Códigos!T1457,Códigos!U1457)</f>
        <v>svv1456v</v>
      </c>
      <c r="B1458" t="s">
        <v>406</v>
      </c>
      <c r="C1458" t="s">
        <v>447</v>
      </c>
      <c r="D1458" s="2" t="s">
        <v>448</v>
      </c>
      <c r="E1458" t="s">
        <v>513</v>
      </c>
      <c r="F1458" s="11">
        <v>43165</v>
      </c>
      <c r="G1458" s="2">
        <f>VLOOKUP(E1458,Produtos!$A:$E,5,FALSE)</f>
        <v>700</v>
      </c>
      <c r="H1458" s="2">
        <f>VLOOKUP(E1458,Produtos!$A:$E,4,FALSE)</f>
        <v>350</v>
      </c>
      <c r="I1458" s="2">
        <v>5</v>
      </c>
    </row>
    <row r="1459" spans="1:9" x14ac:dyDescent="0.25">
      <c r="A1459" s="2" t="str">
        <f>CONCATENATE(Códigos!S1458,Códigos!T1458,Códigos!U1458)</f>
        <v>svv1457v</v>
      </c>
      <c r="B1459" t="s">
        <v>406</v>
      </c>
      <c r="C1459" t="s">
        <v>447</v>
      </c>
      <c r="D1459" s="2" t="s">
        <v>448</v>
      </c>
      <c r="E1459" t="s">
        <v>513</v>
      </c>
      <c r="F1459" s="11">
        <v>43166</v>
      </c>
      <c r="G1459" s="2">
        <f>VLOOKUP(E1459,Produtos!$A:$E,5,FALSE)</f>
        <v>700</v>
      </c>
      <c r="H1459" s="2">
        <f>VLOOKUP(E1459,Produtos!$A:$E,4,FALSE)</f>
        <v>350</v>
      </c>
      <c r="I1459" s="2">
        <v>5</v>
      </c>
    </row>
    <row r="1460" spans="1:9" x14ac:dyDescent="0.25">
      <c r="A1460" s="2" t="str">
        <f>CONCATENATE(Códigos!S1459,Códigos!T1459,Códigos!U1459)</f>
        <v>svv1458v</v>
      </c>
      <c r="B1460" t="s">
        <v>406</v>
      </c>
      <c r="C1460" t="s">
        <v>447</v>
      </c>
      <c r="D1460" s="2" t="s">
        <v>448</v>
      </c>
      <c r="E1460" t="s">
        <v>513</v>
      </c>
      <c r="F1460" s="11">
        <v>43167</v>
      </c>
      <c r="G1460" s="2">
        <f>VLOOKUP(E1460,Produtos!$A:$E,5,FALSE)</f>
        <v>700</v>
      </c>
      <c r="H1460" s="2">
        <f>VLOOKUP(E1460,Produtos!$A:$E,4,FALSE)</f>
        <v>350</v>
      </c>
      <c r="I1460" s="2">
        <v>5</v>
      </c>
    </row>
    <row r="1461" spans="1:9" x14ac:dyDescent="0.25">
      <c r="A1461" s="2" t="str">
        <f>CONCATENATE(Códigos!S1460,Códigos!T1460,Códigos!U1460)</f>
        <v>svv1459v</v>
      </c>
      <c r="B1461" t="s">
        <v>406</v>
      </c>
      <c r="C1461" t="s">
        <v>447</v>
      </c>
      <c r="D1461" s="2" t="s">
        <v>448</v>
      </c>
      <c r="E1461" t="s">
        <v>513</v>
      </c>
      <c r="F1461" s="11">
        <v>43168</v>
      </c>
      <c r="G1461" s="2">
        <f>VLOOKUP(E1461,Produtos!$A:$E,5,FALSE)</f>
        <v>700</v>
      </c>
      <c r="H1461" s="2">
        <f>VLOOKUP(E1461,Produtos!$A:$E,4,FALSE)</f>
        <v>350</v>
      </c>
      <c r="I1461" s="2">
        <v>5</v>
      </c>
    </row>
    <row r="1462" spans="1:9" x14ac:dyDescent="0.25">
      <c r="A1462" s="2" t="str">
        <f>CONCATENATE(Códigos!S1461,Códigos!T1461,Códigos!U1461)</f>
        <v>svv1460v</v>
      </c>
      <c r="B1462" t="s">
        <v>406</v>
      </c>
      <c r="C1462" t="s">
        <v>447</v>
      </c>
      <c r="D1462" s="2" t="s">
        <v>448</v>
      </c>
      <c r="E1462" t="s">
        <v>513</v>
      </c>
      <c r="F1462" s="11">
        <v>43169</v>
      </c>
      <c r="G1462" s="2">
        <f>VLOOKUP(E1462,Produtos!$A:$E,5,FALSE)</f>
        <v>700</v>
      </c>
      <c r="H1462" s="2">
        <f>VLOOKUP(E1462,Produtos!$A:$E,4,FALSE)</f>
        <v>350</v>
      </c>
      <c r="I1462" s="2">
        <v>5</v>
      </c>
    </row>
    <row r="1463" spans="1:9" x14ac:dyDescent="0.25">
      <c r="A1463" s="2" t="str">
        <f>CONCATENATE(Códigos!S1462,Códigos!T1462,Códigos!U1462)</f>
        <v>svv1461v</v>
      </c>
      <c r="B1463" t="s">
        <v>406</v>
      </c>
      <c r="C1463" t="s">
        <v>447</v>
      </c>
      <c r="D1463" s="2" t="s">
        <v>448</v>
      </c>
      <c r="E1463" t="s">
        <v>513</v>
      </c>
      <c r="F1463" s="11">
        <v>43170</v>
      </c>
      <c r="G1463" s="2">
        <f>VLOOKUP(E1463,Produtos!$A:$E,5,FALSE)</f>
        <v>700</v>
      </c>
      <c r="H1463" s="2">
        <f>VLOOKUP(E1463,Produtos!$A:$E,4,FALSE)</f>
        <v>350</v>
      </c>
      <c r="I1463" s="2">
        <v>5</v>
      </c>
    </row>
    <row r="1464" spans="1:9" x14ac:dyDescent="0.25">
      <c r="A1464" s="2" t="str">
        <f>CONCATENATE(Códigos!S1463,Códigos!T1463,Códigos!U1463)</f>
        <v>svv1462v</v>
      </c>
      <c r="B1464" t="s">
        <v>406</v>
      </c>
      <c r="C1464" t="s">
        <v>447</v>
      </c>
      <c r="D1464" s="2" t="s">
        <v>448</v>
      </c>
      <c r="E1464" t="s">
        <v>513</v>
      </c>
      <c r="F1464" s="11">
        <v>43171</v>
      </c>
      <c r="G1464" s="2">
        <f>VLOOKUP(E1464,Produtos!$A:$E,5,FALSE)</f>
        <v>700</v>
      </c>
      <c r="H1464" s="2">
        <f>VLOOKUP(E1464,Produtos!$A:$E,4,FALSE)</f>
        <v>350</v>
      </c>
      <c r="I1464" s="2">
        <v>5</v>
      </c>
    </row>
    <row r="1465" spans="1:9" x14ac:dyDescent="0.25">
      <c r="A1465" s="2" t="str">
        <f>CONCATENATE(Códigos!S1464,Códigos!T1464,Códigos!U1464)</f>
        <v>svv1463v</v>
      </c>
      <c r="B1465" t="s">
        <v>406</v>
      </c>
      <c r="C1465" t="s">
        <v>447</v>
      </c>
      <c r="D1465" s="2" t="s">
        <v>448</v>
      </c>
      <c r="E1465" t="s">
        <v>513</v>
      </c>
      <c r="F1465" s="11">
        <v>43172</v>
      </c>
      <c r="G1465" s="2">
        <f>VLOOKUP(E1465,Produtos!$A:$E,5,FALSE)</f>
        <v>700</v>
      </c>
      <c r="H1465" s="2">
        <f>VLOOKUP(E1465,Produtos!$A:$E,4,FALSE)</f>
        <v>350</v>
      </c>
      <c r="I1465" s="2">
        <v>5</v>
      </c>
    </row>
    <row r="1466" spans="1:9" x14ac:dyDescent="0.25">
      <c r="A1466" s="2" t="str">
        <f>CONCATENATE(Códigos!S1465,Códigos!T1465,Códigos!U1465)</f>
        <v>svv1464v</v>
      </c>
      <c r="B1466" t="s">
        <v>406</v>
      </c>
      <c r="C1466" t="s">
        <v>447</v>
      </c>
      <c r="D1466" s="2" t="s">
        <v>448</v>
      </c>
      <c r="E1466" t="s">
        <v>513</v>
      </c>
      <c r="F1466" s="11">
        <v>43173</v>
      </c>
      <c r="G1466" s="2">
        <f>VLOOKUP(E1466,Produtos!$A:$E,5,FALSE)</f>
        <v>700</v>
      </c>
      <c r="H1466" s="2">
        <f>VLOOKUP(E1466,Produtos!$A:$E,4,FALSE)</f>
        <v>350</v>
      </c>
      <c r="I1466" s="2">
        <v>5</v>
      </c>
    </row>
    <row r="1467" spans="1:9" x14ac:dyDescent="0.25">
      <c r="A1467" s="2" t="str">
        <f>CONCATENATE(Códigos!S1466,Códigos!T1466,Códigos!U1466)</f>
        <v>svv1465v</v>
      </c>
      <c r="B1467" t="s">
        <v>406</v>
      </c>
      <c r="C1467" t="s">
        <v>447</v>
      </c>
      <c r="D1467" s="2" t="s">
        <v>448</v>
      </c>
      <c r="E1467" t="s">
        <v>514</v>
      </c>
      <c r="F1467" s="11">
        <v>43174</v>
      </c>
      <c r="G1467" s="2">
        <f>VLOOKUP(E1467,Produtos!$A:$E,5,FALSE)</f>
        <v>900</v>
      </c>
      <c r="H1467" s="2">
        <f>VLOOKUP(E1467,Produtos!$A:$E,4,FALSE)</f>
        <v>400</v>
      </c>
      <c r="I1467" s="2">
        <v>5</v>
      </c>
    </row>
    <row r="1468" spans="1:9" x14ac:dyDescent="0.25">
      <c r="A1468" s="2" t="str">
        <f>CONCATENATE(Códigos!S1467,Códigos!T1467,Códigos!U1467)</f>
        <v>svv1466v</v>
      </c>
      <c r="B1468" t="s">
        <v>406</v>
      </c>
      <c r="C1468" t="s">
        <v>447</v>
      </c>
      <c r="D1468" s="2" t="s">
        <v>448</v>
      </c>
      <c r="E1468" t="s">
        <v>514</v>
      </c>
      <c r="F1468" s="11">
        <v>43175</v>
      </c>
      <c r="G1468" s="2">
        <f>VLOOKUP(E1468,Produtos!$A:$E,5,FALSE)</f>
        <v>900</v>
      </c>
      <c r="H1468" s="2">
        <f>VLOOKUP(E1468,Produtos!$A:$E,4,FALSE)</f>
        <v>400</v>
      </c>
      <c r="I1468" s="2">
        <v>5</v>
      </c>
    </row>
    <row r="1469" spans="1:9" x14ac:dyDescent="0.25">
      <c r="A1469" s="2" t="str">
        <f>CONCATENATE(Códigos!S1468,Códigos!T1468,Códigos!U1468)</f>
        <v>svv1467v</v>
      </c>
      <c r="B1469" t="s">
        <v>406</v>
      </c>
      <c r="C1469" t="s">
        <v>447</v>
      </c>
      <c r="D1469" s="2" t="s">
        <v>448</v>
      </c>
      <c r="E1469" t="s">
        <v>514</v>
      </c>
      <c r="F1469" s="11">
        <v>43176</v>
      </c>
      <c r="G1469" s="2">
        <f>VLOOKUP(E1469,Produtos!$A:$E,5,FALSE)</f>
        <v>900</v>
      </c>
      <c r="H1469" s="2">
        <f>VLOOKUP(E1469,Produtos!$A:$E,4,FALSE)</f>
        <v>400</v>
      </c>
      <c r="I1469" s="2">
        <v>5</v>
      </c>
    </row>
    <row r="1470" spans="1:9" x14ac:dyDescent="0.25">
      <c r="A1470" s="2" t="str">
        <f>CONCATENATE(Códigos!S1469,Códigos!T1469,Códigos!U1469)</f>
        <v>svv1468v</v>
      </c>
      <c r="B1470" t="s">
        <v>406</v>
      </c>
      <c r="C1470" t="s">
        <v>447</v>
      </c>
      <c r="D1470" s="2" t="s">
        <v>448</v>
      </c>
      <c r="E1470" t="s">
        <v>514</v>
      </c>
      <c r="F1470" s="11">
        <v>43177</v>
      </c>
      <c r="G1470" s="2">
        <f>VLOOKUP(E1470,Produtos!$A:$E,5,FALSE)</f>
        <v>900</v>
      </c>
      <c r="H1470" s="2">
        <f>VLOOKUP(E1470,Produtos!$A:$E,4,FALSE)</f>
        <v>400</v>
      </c>
      <c r="I1470" s="2">
        <v>5</v>
      </c>
    </row>
    <row r="1471" spans="1:9" x14ac:dyDescent="0.25">
      <c r="A1471" s="2" t="str">
        <f>CONCATENATE(Códigos!S1470,Códigos!T1470,Códigos!U1470)</f>
        <v>svv1469v</v>
      </c>
      <c r="B1471" t="s">
        <v>406</v>
      </c>
      <c r="C1471" t="s">
        <v>447</v>
      </c>
      <c r="D1471" s="2" t="s">
        <v>448</v>
      </c>
      <c r="E1471" t="s">
        <v>514</v>
      </c>
      <c r="F1471" s="11">
        <v>43178</v>
      </c>
      <c r="G1471" s="2">
        <f>VLOOKUP(E1471,Produtos!$A:$E,5,FALSE)</f>
        <v>900</v>
      </c>
      <c r="H1471" s="2">
        <f>VLOOKUP(E1471,Produtos!$A:$E,4,FALSE)</f>
        <v>400</v>
      </c>
      <c r="I1471" s="2">
        <v>5</v>
      </c>
    </row>
    <row r="1472" spans="1:9" x14ac:dyDescent="0.25">
      <c r="A1472" s="2" t="str">
        <f>CONCATENATE(Códigos!S1471,Códigos!T1471,Códigos!U1471)</f>
        <v>svv1470v</v>
      </c>
      <c r="B1472" t="s">
        <v>406</v>
      </c>
      <c r="C1472" t="s">
        <v>447</v>
      </c>
      <c r="D1472" s="2" t="s">
        <v>448</v>
      </c>
      <c r="E1472" t="s">
        <v>514</v>
      </c>
      <c r="F1472" s="11">
        <v>43179</v>
      </c>
      <c r="G1472" s="2">
        <f>VLOOKUP(E1472,Produtos!$A:$E,5,FALSE)</f>
        <v>900</v>
      </c>
      <c r="H1472" s="2">
        <f>VLOOKUP(E1472,Produtos!$A:$E,4,FALSE)</f>
        <v>400</v>
      </c>
      <c r="I1472" s="2">
        <v>5</v>
      </c>
    </row>
    <row r="1473" spans="1:9" x14ac:dyDescent="0.25">
      <c r="A1473" s="2" t="str">
        <f>CONCATENATE(Códigos!S1472,Códigos!T1472,Códigos!U1472)</f>
        <v>svv1471v</v>
      </c>
      <c r="B1473" t="s">
        <v>406</v>
      </c>
      <c r="C1473" t="s">
        <v>447</v>
      </c>
      <c r="D1473" s="2" t="s">
        <v>448</v>
      </c>
      <c r="E1473" t="s">
        <v>514</v>
      </c>
      <c r="F1473" s="11">
        <v>43180</v>
      </c>
      <c r="G1473" s="2">
        <f>VLOOKUP(E1473,Produtos!$A:$E,5,FALSE)</f>
        <v>900</v>
      </c>
      <c r="H1473" s="2">
        <f>VLOOKUP(E1473,Produtos!$A:$E,4,FALSE)</f>
        <v>400</v>
      </c>
      <c r="I1473" s="2">
        <v>5</v>
      </c>
    </row>
    <row r="1474" spans="1:9" x14ac:dyDescent="0.25">
      <c r="A1474" s="2" t="str">
        <f>CONCATENATE(Códigos!S1473,Códigos!T1473,Códigos!U1473)</f>
        <v>svv1472v</v>
      </c>
      <c r="B1474" t="s">
        <v>406</v>
      </c>
      <c r="C1474" t="s">
        <v>447</v>
      </c>
      <c r="D1474" s="2" t="s">
        <v>448</v>
      </c>
      <c r="E1474" t="s">
        <v>514</v>
      </c>
      <c r="F1474" s="11">
        <v>43181</v>
      </c>
      <c r="G1474" s="2">
        <f>VLOOKUP(E1474,Produtos!$A:$E,5,FALSE)</f>
        <v>900</v>
      </c>
      <c r="H1474" s="2">
        <f>VLOOKUP(E1474,Produtos!$A:$E,4,FALSE)</f>
        <v>400</v>
      </c>
      <c r="I1474" s="2">
        <v>5</v>
      </c>
    </row>
    <row r="1475" spans="1:9" x14ac:dyDescent="0.25">
      <c r="A1475" s="2" t="str">
        <f>CONCATENATE(Códigos!S1474,Códigos!T1474,Códigos!U1474)</f>
        <v>svv1473v</v>
      </c>
      <c r="B1475" t="s">
        <v>406</v>
      </c>
      <c r="C1475" t="s">
        <v>447</v>
      </c>
      <c r="D1475" s="2" t="s">
        <v>448</v>
      </c>
      <c r="E1475" t="s">
        <v>514</v>
      </c>
      <c r="F1475" s="11">
        <v>43182</v>
      </c>
      <c r="G1475" s="2">
        <f>VLOOKUP(E1475,Produtos!$A:$E,5,FALSE)</f>
        <v>900</v>
      </c>
      <c r="H1475" s="2">
        <f>VLOOKUP(E1475,Produtos!$A:$E,4,FALSE)</f>
        <v>400</v>
      </c>
      <c r="I1475" s="2">
        <v>5</v>
      </c>
    </row>
    <row r="1476" spans="1:9" x14ac:dyDescent="0.25">
      <c r="A1476" s="2" t="str">
        <f>CONCATENATE(Códigos!S1475,Códigos!T1475,Códigos!U1475)</f>
        <v>svv1474v</v>
      </c>
      <c r="B1476" t="s">
        <v>406</v>
      </c>
      <c r="C1476" t="s">
        <v>447</v>
      </c>
      <c r="D1476" s="2" t="s">
        <v>448</v>
      </c>
      <c r="E1476" t="s">
        <v>514</v>
      </c>
      <c r="F1476" s="11">
        <v>43183</v>
      </c>
      <c r="G1476" s="2">
        <f>VLOOKUP(E1476,Produtos!$A:$E,5,FALSE)</f>
        <v>900</v>
      </c>
      <c r="H1476" s="2">
        <f>VLOOKUP(E1476,Produtos!$A:$E,4,FALSE)</f>
        <v>400</v>
      </c>
      <c r="I1476" s="2">
        <v>5</v>
      </c>
    </row>
    <row r="1477" spans="1:9" x14ac:dyDescent="0.25">
      <c r="A1477" s="2" t="str">
        <f>CONCATENATE(Códigos!S1476,Códigos!T1476,Códigos!U1476)</f>
        <v>svv1475v</v>
      </c>
      <c r="B1477" t="s">
        <v>406</v>
      </c>
      <c r="C1477" t="s">
        <v>447</v>
      </c>
      <c r="D1477" s="2" t="s">
        <v>448</v>
      </c>
      <c r="E1477" t="s">
        <v>514</v>
      </c>
      <c r="F1477" s="11">
        <v>43184</v>
      </c>
      <c r="G1477" s="2">
        <f>VLOOKUP(E1477,Produtos!$A:$E,5,FALSE)</f>
        <v>900</v>
      </c>
      <c r="H1477" s="2">
        <f>VLOOKUP(E1477,Produtos!$A:$E,4,FALSE)</f>
        <v>400</v>
      </c>
      <c r="I1477" s="2">
        <v>5</v>
      </c>
    </row>
    <row r="1478" spans="1:9" x14ac:dyDescent="0.25">
      <c r="A1478" s="2" t="str">
        <f>CONCATENATE(Códigos!S1477,Códigos!T1477,Códigos!U1477)</f>
        <v>svv1476v</v>
      </c>
      <c r="B1478" t="s">
        <v>406</v>
      </c>
      <c r="C1478" t="s">
        <v>447</v>
      </c>
      <c r="D1478" s="2" t="s">
        <v>448</v>
      </c>
      <c r="E1478" t="s">
        <v>514</v>
      </c>
      <c r="F1478" s="11">
        <v>43185</v>
      </c>
      <c r="G1478" s="2">
        <f>VLOOKUP(E1478,Produtos!$A:$E,5,FALSE)</f>
        <v>900</v>
      </c>
      <c r="H1478" s="2">
        <f>VLOOKUP(E1478,Produtos!$A:$E,4,FALSE)</f>
        <v>400</v>
      </c>
      <c r="I1478" s="2">
        <v>5</v>
      </c>
    </row>
    <row r="1479" spans="1:9" x14ac:dyDescent="0.25">
      <c r="A1479" s="2" t="str">
        <f>CONCATENATE(Códigos!S1478,Códigos!T1478,Códigos!U1478)</f>
        <v>svv1477v</v>
      </c>
      <c r="B1479" t="s">
        <v>406</v>
      </c>
      <c r="C1479" t="s">
        <v>447</v>
      </c>
      <c r="D1479" s="2" t="s">
        <v>448</v>
      </c>
      <c r="E1479" t="s">
        <v>514</v>
      </c>
      <c r="F1479" s="11">
        <v>43186</v>
      </c>
      <c r="G1479" s="2">
        <f>VLOOKUP(E1479,Produtos!$A:$E,5,FALSE)</f>
        <v>900</v>
      </c>
      <c r="H1479" s="2">
        <f>VLOOKUP(E1479,Produtos!$A:$E,4,FALSE)</f>
        <v>400</v>
      </c>
      <c r="I1479" s="2">
        <v>5</v>
      </c>
    </row>
    <row r="1480" spans="1:9" x14ac:dyDescent="0.25">
      <c r="A1480" s="2" t="str">
        <f>CONCATENATE(Códigos!S1479,Códigos!T1479,Códigos!U1479)</f>
        <v>svv1478v</v>
      </c>
      <c r="B1480" t="s">
        <v>406</v>
      </c>
      <c r="C1480" t="s">
        <v>447</v>
      </c>
      <c r="D1480" s="2" t="s">
        <v>448</v>
      </c>
      <c r="E1480" t="s">
        <v>514</v>
      </c>
      <c r="F1480" s="11">
        <v>43187</v>
      </c>
      <c r="G1480" s="2">
        <f>VLOOKUP(E1480,Produtos!$A:$E,5,FALSE)</f>
        <v>900</v>
      </c>
      <c r="H1480" s="2">
        <f>VLOOKUP(E1480,Produtos!$A:$E,4,FALSE)</f>
        <v>400</v>
      </c>
      <c r="I1480" s="2">
        <v>5</v>
      </c>
    </row>
    <row r="1481" spans="1:9" x14ac:dyDescent="0.25">
      <c r="A1481" s="2" t="str">
        <f>CONCATENATE(Códigos!S1480,Códigos!T1480,Códigos!U1480)</f>
        <v>svv1479v</v>
      </c>
      <c r="B1481" t="s">
        <v>406</v>
      </c>
      <c r="C1481" t="s">
        <v>447</v>
      </c>
      <c r="D1481" s="2" t="s">
        <v>448</v>
      </c>
      <c r="E1481" t="s">
        <v>514</v>
      </c>
      <c r="F1481" s="11">
        <v>43188</v>
      </c>
      <c r="G1481" s="2">
        <f>VLOOKUP(E1481,Produtos!$A:$E,5,FALSE)</f>
        <v>900</v>
      </c>
      <c r="H1481" s="2">
        <f>VLOOKUP(E1481,Produtos!$A:$E,4,FALSE)</f>
        <v>400</v>
      </c>
      <c r="I1481" s="2">
        <v>5</v>
      </c>
    </row>
    <row r="1482" spans="1:9" x14ac:dyDescent="0.25">
      <c r="A1482" s="2" t="str">
        <f>CONCATENATE(Códigos!S1481,Códigos!T1481,Códigos!U1481)</f>
        <v>svv1480v</v>
      </c>
      <c r="B1482" t="s">
        <v>406</v>
      </c>
      <c r="C1482" t="s">
        <v>447</v>
      </c>
      <c r="D1482" s="2" t="s">
        <v>448</v>
      </c>
      <c r="E1482" t="s">
        <v>514</v>
      </c>
      <c r="F1482" s="11">
        <v>43189</v>
      </c>
      <c r="G1482" s="2">
        <f>VLOOKUP(E1482,Produtos!$A:$E,5,FALSE)</f>
        <v>900</v>
      </c>
      <c r="H1482" s="2">
        <f>VLOOKUP(E1482,Produtos!$A:$E,4,FALSE)</f>
        <v>400</v>
      </c>
      <c r="I1482" s="2">
        <v>5</v>
      </c>
    </row>
    <row r="1483" spans="1:9" x14ac:dyDescent="0.25">
      <c r="A1483" s="2" t="str">
        <f>CONCATENATE(Códigos!S1482,Códigos!T1482,Códigos!U1482)</f>
        <v>svv1481v</v>
      </c>
      <c r="B1483" t="s">
        <v>406</v>
      </c>
      <c r="C1483" t="s">
        <v>447</v>
      </c>
      <c r="D1483" s="2" t="s">
        <v>448</v>
      </c>
      <c r="E1483" t="s">
        <v>514</v>
      </c>
      <c r="F1483" s="11">
        <v>43190</v>
      </c>
      <c r="G1483" s="2">
        <f>VLOOKUP(E1483,Produtos!$A:$E,5,FALSE)</f>
        <v>900</v>
      </c>
      <c r="H1483" s="2">
        <f>VLOOKUP(E1483,Produtos!$A:$E,4,FALSE)</f>
        <v>400</v>
      </c>
      <c r="I1483" s="2">
        <v>5</v>
      </c>
    </row>
    <row r="1484" spans="1:9" x14ac:dyDescent="0.25">
      <c r="A1484" s="2" t="str">
        <f>CONCATENATE(Códigos!S1483,Códigos!T1483,Códigos!U1483)</f>
        <v>svv1482v</v>
      </c>
      <c r="B1484" t="s">
        <v>406</v>
      </c>
      <c r="C1484" t="s">
        <v>447</v>
      </c>
      <c r="D1484" s="2" t="s">
        <v>448</v>
      </c>
      <c r="E1484" t="s">
        <v>514</v>
      </c>
      <c r="F1484" s="11">
        <v>43191</v>
      </c>
      <c r="G1484" s="2">
        <f>VLOOKUP(E1484,Produtos!$A:$E,5,FALSE)</f>
        <v>900</v>
      </c>
      <c r="H1484" s="2">
        <f>VLOOKUP(E1484,Produtos!$A:$E,4,FALSE)</f>
        <v>400</v>
      </c>
      <c r="I1484" s="2">
        <v>5</v>
      </c>
    </row>
    <row r="1485" spans="1:9" x14ac:dyDescent="0.25">
      <c r="A1485" s="2" t="str">
        <f>CONCATENATE(Códigos!S1484,Códigos!T1484,Códigos!U1484)</f>
        <v>svv1483v</v>
      </c>
      <c r="B1485" t="s">
        <v>406</v>
      </c>
      <c r="C1485" t="s">
        <v>447</v>
      </c>
      <c r="D1485" s="2" t="s">
        <v>448</v>
      </c>
      <c r="E1485" t="s">
        <v>514</v>
      </c>
      <c r="F1485" s="11">
        <v>43192</v>
      </c>
      <c r="G1485" s="2">
        <f>VLOOKUP(E1485,Produtos!$A:$E,5,FALSE)</f>
        <v>900</v>
      </c>
      <c r="H1485" s="2">
        <f>VLOOKUP(E1485,Produtos!$A:$E,4,FALSE)</f>
        <v>400</v>
      </c>
      <c r="I1485" s="2">
        <v>5</v>
      </c>
    </row>
    <row r="1486" spans="1:9" x14ac:dyDescent="0.25">
      <c r="A1486" s="2" t="str">
        <f>CONCATENATE(Códigos!S1485,Códigos!T1485,Códigos!U1485)</f>
        <v>svv1484v</v>
      </c>
      <c r="B1486" t="s">
        <v>406</v>
      </c>
      <c r="C1486" t="s">
        <v>447</v>
      </c>
      <c r="D1486" s="2" t="s">
        <v>448</v>
      </c>
      <c r="E1486" t="s">
        <v>514</v>
      </c>
      <c r="F1486" s="11">
        <v>43193</v>
      </c>
      <c r="G1486" s="2">
        <f>VLOOKUP(E1486,Produtos!$A:$E,5,FALSE)</f>
        <v>900</v>
      </c>
      <c r="H1486" s="2">
        <f>VLOOKUP(E1486,Produtos!$A:$E,4,FALSE)</f>
        <v>400</v>
      </c>
      <c r="I1486" s="2">
        <v>5</v>
      </c>
    </row>
    <row r="1487" spans="1:9" x14ac:dyDescent="0.25">
      <c r="A1487" s="2" t="str">
        <f>CONCATENATE(Códigos!S1486,Códigos!T1486,Códigos!U1486)</f>
        <v>svv1485v</v>
      </c>
      <c r="B1487" t="s">
        <v>406</v>
      </c>
      <c r="C1487" t="s">
        <v>447</v>
      </c>
      <c r="D1487" s="2" t="s">
        <v>448</v>
      </c>
      <c r="E1487" t="s">
        <v>514</v>
      </c>
      <c r="F1487" s="11">
        <v>43194</v>
      </c>
      <c r="G1487" s="2">
        <f>VLOOKUP(E1487,Produtos!$A:$E,5,FALSE)</f>
        <v>900</v>
      </c>
      <c r="H1487" s="2">
        <f>VLOOKUP(E1487,Produtos!$A:$E,4,FALSE)</f>
        <v>400</v>
      </c>
      <c r="I1487" s="2">
        <v>5</v>
      </c>
    </row>
    <row r="1488" spans="1:9" x14ac:dyDescent="0.25">
      <c r="A1488" s="2" t="str">
        <f>CONCATENATE(Códigos!S1487,Códigos!T1487,Códigos!U1487)</f>
        <v>svv1486v</v>
      </c>
      <c r="B1488" t="s">
        <v>406</v>
      </c>
      <c r="C1488" t="s">
        <v>447</v>
      </c>
      <c r="D1488" s="2" t="s">
        <v>448</v>
      </c>
      <c r="E1488" t="s">
        <v>514</v>
      </c>
      <c r="F1488" s="11">
        <v>43195</v>
      </c>
      <c r="G1488" s="2">
        <f>VLOOKUP(E1488,Produtos!$A:$E,5,FALSE)</f>
        <v>900</v>
      </c>
      <c r="H1488" s="2">
        <f>VLOOKUP(E1488,Produtos!$A:$E,4,FALSE)</f>
        <v>400</v>
      </c>
      <c r="I1488" s="2">
        <v>5</v>
      </c>
    </row>
    <row r="1489" spans="1:9" x14ac:dyDescent="0.25">
      <c r="A1489" s="2" t="str">
        <f>CONCATENATE(Códigos!S1488,Códigos!T1488,Códigos!U1488)</f>
        <v>svv1487v</v>
      </c>
      <c r="B1489" t="s">
        <v>406</v>
      </c>
      <c r="C1489" t="s">
        <v>447</v>
      </c>
      <c r="D1489" s="2" t="s">
        <v>448</v>
      </c>
      <c r="E1489" t="s">
        <v>514</v>
      </c>
      <c r="F1489" s="11">
        <v>43196</v>
      </c>
      <c r="G1489" s="2">
        <f>VLOOKUP(E1489,Produtos!$A:$E,5,FALSE)</f>
        <v>900</v>
      </c>
      <c r="H1489" s="2">
        <f>VLOOKUP(E1489,Produtos!$A:$E,4,FALSE)</f>
        <v>400</v>
      </c>
      <c r="I1489" s="2">
        <v>5</v>
      </c>
    </row>
    <row r="1490" spans="1:9" x14ac:dyDescent="0.25">
      <c r="A1490" s="2" t="str">
        <f>CONCATENATE(Códigos!S1489,Códigos!T1489,Códigos!U1489)</f>
        <v>svv1488v</v>
      </c>
      <c r="B1490" t="s">
        <v>406</v>
      </c>
      <c r="C1490" t="s">
        <v>447</v>
      </c>
      <c r="D1490" s="2" t="s">
        <v>448</v>
      </c>
      <c r="E1490" t="s">
        <v>514</v>
      </c>
      <c r="F1490" s="11">
        <v>43197</v>
      </c>
      <c r="G1490" s="2">
        <f>VLOOKUP(E1490,Produtos!$A:$E,5,FALSE)</f>
        <v>900</v>
      </c>
      <c r="H1490" s="2">
        <f>VLOOKUP(E1490,Produtos!$A:$E,4,FALSE)</f>
        <v>400</v>
      </c>
      <c r="I1490" s="2">
        <v>5</v>
      </c>
    </row>
    <row r="1491" spans="1:9" x14ac:dyDescent="0.25">
      <c r="A1491" s="2" t="str">
        <f>CONCATENATE(Códigos!S1490,Códigos!T1490,Códigos!U1490)</f>
        <v>svv1489v</v>
      </c>
      <c r="B1491" t="s">
        <v>406</v>
      </c>
      <c r="C1491" t="s">
        <v>447</v>
      </c>
      <c r="D1491" s="2" t="s">
        <v>448</v>
      </c>
      <c r="E1491" t="s">
        <v>514</v>
      </c>
      <c r="F1491" s="11">
        <v>43198</v>
      </c>
      <c r="G1491" s="2">
        <f>VLOOKUP(E1491,Produtos!$A:$E,5,FALSE)</f>
        <v>900</v>
      </c>
      <c r="H1491" s="2">
        <f>VLOOKUP(E1491,Produtos!$A:$E,4,FALSE)</f>
        <v>400</v>
      </c>
      <c r="I1491" s="2">
        <v>5</v>
      </c>
    </row>
    <row r="1492" spans="1:9" x14ac:dyDescent="0.25">
      <c r="A1492" s="2" t="str">
        <f>CONCATENATE(Códigos!S1491,Códigos!T1491,Códigos!U1491)</f>
        <v>svv1490v</v>
      </c>
      <c r="B1492" t="s">
        <v>406</v>
      </c>
      <c r="C1492" t="s">
        <v>447</v>
      </c>
      <c r="D1492" s="2" t="s">
        <v>448</v>
      </c>
      <c r="E1492" t="s">
        <v>514</v>
      </c>
      <c r="F1492" s="11">
        <v>43199</v>
      </c>
      <c r="G1492" s="2">
        <f>VLOOKUP(E1492,Produtos!$A:$E,5,FALSE)</f>
        <v>900</v>
      </c>
      <c r="H1492" s="2">
        <f>VLOOKUP(E1492,Produtos!$A:$E,4,FALSE)</f>
        <v>400</v>
      </c>
      <c r="I1492" s="2">
        <v>5</v>
      </c>
    </row>
    <row r="1493" spans="1:9" x14ac:dyDescent="0.25">
      <c r="A1493" s="2" t="str">
        <f>CONCATENATE(Códigos!S1492,Códigos!T1492,Códigos!U1492)</f>
        <v>svv1491v</v>
      </c>
      <c r="B1493" t="s">
        <v>406</v>
      </c>
      <c r="C1493" t="s">
        <v>447</v>
      </c>
      <c r="D1493" s="2" t="s">
        <v>448</v>
      </c>
      <c r="E1493" t="s">
        <v>514</v>
      </c>
      <c r="F1493" s="11">
        <v>43200</v>
      </c>
      <c r="G1493" s="2">
        <f>VLOOKUP(E1493,Produtos!$A:$E,5,FALSE)</f>
        <v>900</v>
      </c>
      <c r="H1493" s="2">
        <f>VLOOKUP(E1493,Produtos!$A:$E,4,FALSE)</f>
        <v>400</v>
      </c>
      <c r="I1493" s="2">
        <v>5</v>
      </c>
    </row>
    <row r="1494" spans="1:9" x14ac:dyDescent="0.25">
      <c r="A1494" s="2" t="str">
        <f>CONCATENATE(Códigos!S1493,Códigos!T1493,Códigos!U1493)</f>
        <v>svv1492v</v>
      </c>
      <c r="B1494" t="s">
        <v>406</v>
      </c>
      <c r="C1494" t="s">
        <v>447</v>
      </c>
      <c r="D1494" s="2" t="s">
        <v>448</v>
      </c>
      <c r="E1494" t="s">
        <v>514</v>
      </c>
      <c r="F1494" s="11">
        <v>43201</v>
      </c>
      <c r="G1494" s="2">
        <f>VLOOKUP(E1494,Produtos!$A:$E,5,FALSE)</f>
        <v>900</v>
      </c>
      <c r="H1494" s="2">
        <f>VLOOKUP(E1494,Produtos!$A:$E,4,FALSE)</f>
        <v>400</v>
      </c>
      <c r="I1494" s="2">
        <v>5</v>
      </c>
    </row>
    <row r="1495" spans="1:9" x14ac:dyDescent="0.25">
      <c r="A1495" s="2" t="str">
        <f>CONCATENATE(Códigos!S1494,Códigos!T1494,Códigos!U1494)</f>
        <v>svv1493v</v>
      </c>
      <c r="B1495" t="s">
        <v>406</v>
      </c>
      <c r="C1495" t="s">
        <v>447</v>
      </c>
      <c r="D1495" s="2" t="s">
        <v>448</v>
      </c>
      <c r="E1495" t="s">
        <v>514</v>
      </c>
      <c r="F1495" s="11">
        <v>43202</v>
      </c>
      <c r="G1495" s="2">
        <f>VLOOKUP(E1495,Produtos!$A:$E,5,FALSE)</f>
        <v>900</v>
      </c>
      <c r="H1495" s="2">
        <f>VLOOKUP(E1495,Produtos!$A:$E,4,FALSE)</f>
        <v>400</v>
      </c>
      <c r="I1495" s="2">
        <v>5</v>
      </c>
    </row>
    <row r="1496" spans="1:9" x14ac:dyDescent="0.25">
      <c r="A1496" s="2" t="str">
        <f>CONCATENATE(Códigos!S1495,Códigos!T1495,Códigos!U1495)</f>
        <v>svv1494v</v>
      </c>
      <c r="B1496" t="s">
        <v>406</v>
      </c>
      <c r="C1496" t="s">
        <v>447</v>
      </c>
      <c r="D1496" s="2" t="s">
        <v>448</v>
      </c>
      <c r="E1496" t="s">
        <v>514</v>
      </c>
      <c r="F1496" s="11">
        <v>43203</v>
      </c>
      <c r="G1496" s="2">
        <f>VLOOKUP(E1496,Produtos!$A:$E,5,FALSE)</f>
        <v>900</v>
      </c>
      <c r="H1496" s="2">
        <f>VLOOKUP(E1496,Produtos!$A:$E,4,FALSE)</f>
        <v>400</v>
      </c>
      <c r="I1496" s="2">
        <v>5</v>
      </c>
    </row>
    <row r="1497" spans="1:9" x14ac:dyDescent="0.25">
      <c r="A1497" s="2" t="str">
        <f>CONCATENATE(Códigos!S1496,Códigos!T1496,Códigos!U1496)</f>
        <v>svv1495v</v>
      </c>
      <c r="B1497" t="s">
        <v>406</v>
      </c>
      <c r="C1497" t="s">
        <v>447</v>
      </c>
      <c r="D1497" s="2" t="s">
        <v>448</v>
      </c>
      <c r="E1497" t="s">
        <v>514</v>
      </c>
      <c r="F1497" s="11">
        <v>43204</v>
      </c>
      <c r="G1497" s="2">
        <f>VLOOKUP(E1497,Produtos!$A:$E,5,FALSE)</f>
        <v>900</v>
      </c>
      <c r="H1497" s="2">
        <f>VLOOKUP(E1497,Produtos!$A:$E,4,FALSE)</f>
        <v>400</v>
      </c>
      <c r="I1497" s="2">
        <v>5</v>
      </c>
    </row>
    <row r="1498" spans="1:9" x14ac:dyDescent="0.25">
      <c r="A1498" s="2" t="str">
        <f>CONCATENATE(Códigos!S1497,Códigos!T1497,Códigos!U1497)</f>
        <v>svv1496v</v>
      </c>
      <c r="B1498" t="s">
        <v>406</v>
      </c>
      <c r="C1498" t="s">
        <v>447</v>
      </c>
      <c r="D1498" s="2" t="s">
        <v>448</v>
      </c>
      <c r="E1498" t="s">
        <v>514</v>
      </c>
      <c r="F1498" s="11">
        <v>43205</v>
      </c>
      <c r="G1498" s="2">
        <f>VLOOKUP(E1498,Produtos!$A:$E,5,FALSE)</f>
        <v>900</v>
      </c>
      <c r="H1498" s="2">
        <f>VLOOKUP(E1498,Produtos!$A:$E,4,FALSE)</f>
        <v>400</v>
      </c>
      <c r="I1498" s="2">
        <v>5</v>
      </c>
    </row>
    <row r="1499" spans="1:9" x14ac:dyDescent="0.25">
      <c r="A1499" s="2" t="str">
        <f>CONCATENATE(Códigos!S1498,Códigos!T1498,Códigos!U1498)</f>
        <v>svv1497v</v>
      </c>
      <c r="B1499" t="s">
        <v>406</v>
      </c>
      <c r="C1499" t="s">
        <v>447</v>
      </c>
      <c r="D1499" s="2" t="s">
        <v>448</v>
      </c>
      <c r="E1499" t="s">
        <v>514</v>
      </c>
      <c r="F1499" s="11">
        <v>43206</v>
      </c>
      <c r="G1499" s="2">
        <f>VLOOKUP(E1499,Produtos!$A:$E,5,FALSE)</f>
        <v>900</v>
      </c>
      <c r="H1499" s="2">
        <f>VLOOKUP(E1499,Produtos!$A:$E,4,FALSE)</f>
        <v>400</v>
      </c>
      <c r="I1499" s="2">
        <v>2</v>
      </c>
    </row>
    <row r="1500" spans="1:9" x14ac:dyDescent="0.25">
      <c r="A1500" s="2" t="str">
        <f>CONCATENATE(Códigos!S1499,Códigos!T1499,Códigos!U1499)</f>
        <v>svv1498v</v>
      </c>
      <c r="B1500" t="s">
        <v>406</v>
      </c>
      <c r="C1500" t="s">
        <v>447</v>
      </c>
      <c r="D1500" s="2" t="s">
        <v>448</v>
      </c>
      <c r="E1500" t="s">
        <v>514</v>
      </c>
      <c r="F1500" s="11">
        <v>43207</v>
      </c>
      <c r="G1500" s="2">
        <f>VLOOKUP(E1500,Produtos!$A:$E,5,FALSE)</f>
        <v>900</v>
      </c>
      <c r="H1500" s="2">
        <f>VLOOKUP(E1500,Produtos!$A:$E,4,FALSE)</f>
        <v>400</v>
      </c>
      <c r="I1500" s="2">
        <v>2</v>
      </c>
    </row>
    <row r="1501" spans="1:9" x14ac:dyDescent="0.25">
      <c r="A1501" s="2" t="str">
        <f>CONCATENATE(Códigos!S1500,Códigos!T1500,Códigos!U1500)</f>
        <v>svv1499v</v>
      </c>
      <c r="B1501" t="s">
        <v>406</v>
      </c>
      <c r="C1501" t="s">
        <v>447</v>
      </c>
      <c r="D1501" s="2" t="s">
        <v>448</v>
      </c>
      <c r="E1501" t="s">
        <v>514</v>
      </c>
      <c r="F1501" s="11">
        <v>43208</v>
      </c>
      <c r="G1501" s="2">
        <f>VLOOKUP(E1501,Produtos!$A:$E,5,FALSE)</f>
        <v>900</v>
      </c>
      <c r="H1501" s="2">
        <f>VLOOKUP(E1501,Produtos!$A:$E,4,FALSE)</f>
        <v>400</v>
      </c>
      <c r="I1501" s="2">
        <v>2</v>
      </c>
    </row>
    <row r="1502" spans="1:9" x14ac:dyDescent="0.25">
      <c r="A1502" s="2" t="str">
        <f>CONCATENATE(Códigos!S1501,Códigos!T1501,Códigos!U1501)</f>
        <v>svv1500v</v>
      </c>
      <c r="B1502" t="s">
        <v>406</v>
      </c>
      <c r="C1502" t="s">
        <v>447</v>
      </c>
      <c r="D1502" s="2" t="s">
        <v>448</v>
      </c>
      <c r="E1502" t="s">
        <v>514</v>
      </c>
      <c r="F1502" s="11">
        <v>43209</v>
      </c>
      <c r="G1502" s="2">
        <f>VLOOKUP(E1502,Produtos!$A:$E,5,FALSE)</f>
        <v>900</v>
      </c>
      <c r="H1502" s="2">
        <f>VLOOKUP(E1502,Produtos!$A:$E,4,FALSE)</f>
        <v>400</v>
      </c>
      <c r="I1502" s="2">
        <v>2</v>
      </c>
    </row>
    <row r="1503" spans="1:9" x14ac:dyDescent="0.25">
      <c r="A1503" s="2" t="str">
        <f>CONCATENATE(Códigos!S1502,Códigos!T1502,Códigos!U1502)</f>
        <v>svv1501v</v>
      </c>
      <c r="B1503" t="s">
        <v>406</v>
      </c>
      <c r="C1503" t="s">
        <v>447</v>
      </c>
      <c r="D1503" s="2" t="s">
        <v>448</v>
      </c>
      <c r="E1503" t="s">
        <v>514</v>
      </c>
      <c r="F1503" s="11">
        <v>43210</v>
      </c>
      <c r="G1503" s="2">
        <f>VLOOKUP(E1503,Produtos!$A:$E,5,FALSE)</f>
        <v>900</v>
      </c>
      <c r="H1503" s="2">
        <f>VLOOKUP(E1503,Produtos!$A:$E,4,FALSE)</f>
        <v>400</v>
      </c>
      <c r="I1503" s="2">
        <v>2</v>
      </c>
    </row>
    <row r="1504" spans="1:9" x14ac:dyDescent="0.25">
      <c r="A1504" s="2" t="str">
        <f>CONCATENATE(Códigos!S1503,Códigos!T1503,Códigos!U1503)</f>
        <v>svv1502v</v>
      </c>
      <c r="B1504" t="s">
        <v>406</v>
      </c>
      <c r="C1504" t="s">
        <v>447</v>
      </c>
      <c r="D1504" s="2" t="s">
        <v>448</v>
      </c>
      <c r="E1504" t="s">
        <v>514</v>
      </c>
      <c r="F1504" s="11">
        <v>43211</v>
      </c>
      <c r="G1504" s="2">
        <f>VLOOKUP(E1504,Produtos!$A:$E,5,FALSE)</f>
        <v>900</v>
      </c>
      <c r="H1504" s="2">
        <f>VLOOKUP(E1504,Produtos!$A:$E,4,FALSE)</f>
        <v>400</v>
      </c>
      <c r="I1504" s="2">
        <v>2</v>
      </c>
    </row>
    <row r="1505" spans="1:9" x14ac:dyDescent="0.25">
      <c r="A1505" s="2" t="str">
        <f>CONCATENATE(Códigos!S1504,Códigos!T1504,Códigos!U1504)</f>
        <v>svv1503v</v>
      </c>
      <c r="B1505" t="s">
        <v>406</v>
      </c>
      <c r="C1505" t="s">
        <v>447</v>
      </c>
      <c r="D1505" s="2" t="s">
        <v>448</v>
      </c>
      <c r="E1505" t="s">
        <v>522</v>
      </c>
      <c r="F1505" s="11">
        <v>43212</v>
      </c>
      <c r="G1505" s="2">
        <f>VLOOKUP(E1505,Produtos!$A:$E,5,FALSE)</f>
        <v>800</v>
      </c>
      <c r="H1505" s="2">
        <f>VLOOKUP(E1505,Produtos!$A:$E,4,FALSE)</f>
        <v>350</v>
      </c>
      <c r="I1505" s="2">
        <v>2</v>
      </c>
    </row>
    <row r="1506" spans="1:9" x14ac:dyDescent="0.25">
      <c r="A1506" s="2" t="str">
        <f>CONCATENATE(Códigos!S1505,Códigos!T1505,Códigos!U1505)</f>
        <v>svv1504v</v>
      </c>
      <c r="B1506" t="s">
        <v>406</v>
      </c>
      <c r="C1506" t="s">
        <v>447</v>
      </c>
      <c r="D1506" s="2" t="s">
        <v>448</v>
      </c>
      <c r="E1506" t="s">
        <v>522</v>
      </c>
      <c r="F1506" s="11">
        <v>43213</v>
      </c>
      <c r="G1506" s="2">
        <f>VLOOKUP(E1506,Produtos!$A:$E,5,FALSE)</f>
        <v>800</v>
      </c>
      <c r="H1506" s="2">
        <f>VLOOKUP(E1506,Produtos!$A:$E,4,FALSE)</f>
        <v>350</v>
      </c>
      <c r="I1506" s="2">
        <v>2</v>
      </c>
    </row>
    <row r="1507" spans="1:9" x14ac:dyDescent="0.25">
      <c r="A1507" s="2" t="str">
        <f>CONCATENATE(Códigos!S1506,Códigos!T1506,Códigos!U1506)</f>
        <v>svv1505v</v>
      </c>
      <c r="B1507" t="s">
        <v>406</v>
      </c>
      <c r="C1507" t="s">
        <v>447</v>
      </c>
      <c r="D1507" s="2" t="s">
        <v>448</v>
      </c>
      <c r="E1507" t="s">
        <v>522</v>
      </c>
      <c r="F1507" s="11">
        <v>43214</v>
      </c>
      <c r="G1507" s="2">
        <f>VLOOKUP(E1507,Produtos!$A:$E,5,FALSE)</f>
        <v>800</v>
      </c>
      <c r="H1507" s="2">
        <f>VLOOKUP(E1507,Produtos!$A:$E,4,FALSE)</f>
        <v>350</v>
      </c>
      <c r="I1507" s="2">
        <v>2</v>
      </c>
    </row>
    <row r="1508" spans="1:9" x14ac:dyDescent="0.25">
      <c r="A1508" s="2" t="str">
        <f>CONCATENATE(Códigos!S1507,Códigos!T1507,Códigos!U1507)</f>
        <v>svv1506v</v>
      </c>
      <c r="B1508" t="s">
        <v>406</v>
      </c>
      <c r="C1508" t="s">
        <v>447</v>
      </c>
      <c r="D1508" s="2" t="s">
        <v>448</v>
      </c>
      <c r="E1508" t="s">
        <v>522</v>
      </c>
      <c r="F1508" s="11">
        <v>43215</v>
      </c>
      <c r="G1508" s="2">
        <f>VLOOKUP(E1508,Produtos!$A:$E,5,FALSE)</f>
        <v>800</v>
      </c>
      <c r="H1508" s="2">
        <f>VLOOKUP(E1508,Produtos!$A:$E,4,FALSE)</f>
        <v>350</v>
      </c>
      <c r="I1508" s="2">
        <v>2</v>
      </c>
    </row>
    <row r="1509" spans="1:9" x14ac:dyDescent="0.25">
      <c r="A1509" s="2" t="str">
        <f>CONCATENATE(Códigos!S1508,Códigos!T1508,Códigos!U1508)</f>
        <v>svv1507v</v>
      </c>
      <c r="B1509" t="s">
        <v>406</v>
      </c>
      <c r="C1509" t="s">
        <v>447</v>
      </c>
      <c r="D1509" s="2" t="s">
        <v>448</v>
      </c>
      <c r="E1509" t="s">
        <v>522</v>
      </c>
      <c r="F1509" s="11">
        <v>43216</v>
      </c>
      <c r="G1509" s="2">
        <f>VLOOKUP(E1509,Produtos!$A:$E,5,FALSE)</f>
        <v>800</v>
      </c>
      <c r="H1509" s="2">
        <f>VLOOKUP(E1509,Produtos!$A:$E,4,FALSE)</f>
        <v>350</v>
      </c>
      <c r="I1509" s="2">
        <v>2</v>
      </c>
    </row>
    <row r="1510" spans="1:9" x14ac:dyDescent="0.25">
      <c r="A1510" s="2" t="str">
        <f>CONCATENATE(Códigos!S1509,Códigos!T1509,Códigos!U1509)</f>
        <v>svv1508v</v>
      </c>
      <c r="B1510" t="s">
        <v>406</v>
      </c>
      <c r="C1510" t="s">
        <v>447</v>
      </c>
      <c r="D1510" s="2" t="s">
        <v>448</v>
      </c>
      <c r="E1510" t="s">
        <v>522</v>
      </c>
      <c r="F1510" s="11">
        <v>43217</v>
      </c>
      <c r="G1510" s="2">
        <f>VLOOKUP(E1510,Produtos!$A:$E,5,FALSE)</f>
        <v>800</v>
      </c>
      <c r="H1510" s="2">
        <f>VLOOKUP(E1510,Produtos!$A:$E,4,FALSE)</f>
        <v>350</v>
      </c>
      <c r="I1510" s="2">
        <v>2</v>
      </c>
    </row>
    <row r="1511" spans="1:9" x14ac:dyDescent="0.25">
      <c r="A1511" s="2" t="str">
        <f>CONCATENATE(Códigos!S1510,Códigos!T1510,Códigos!U1510)</f>
        <v>svv1509v</v>
      </c>
      <c r="B1511" t="s">
        <v>406</v>
      </c>
      <c r="C1511" t="s">
        <v>447</v>
      </c>
      <c r="D1511" s="2" t="s">
        <v>448</v>
      </c>
      <c r="E1511" t="s">
        <v>522</v>
      </c>
      <c r="F1511" s="11">
        <v>43218</v>
      </c>
      <c r="G1511" s="2">
        <f>VLOOKUP(E1511,Produtos!$A:$E,5,FALSE)</f>
        <v>800</v>
      </c>
      <c r="H1511" s="2">
        <f>VLOOKUP(E1511,Produtos!$A:$E,4,FALSE)</f>
        <v>350</v>
      </c>
      <c r="I1511" s="2">
        <v>2</v>
      </c>
    </row>
    <row r="1512" spans="1:9" x14ac:dyDescent="0.25">
      <c r="A1512" s="2" t="str">
        <f>CONCATENATE(Códigos!S1511,Códigos!T1511,Códigos!U1511)</f>
        <v>svv1510v</v>
      </c>
      <c r="B1512" t="s">
        <v>406</v>
      </c>
      <c r="C1512" t="s">
        <v>447</v>
      </c>
      <c r="D1512" s="2" t="s">
        <v>448</v>
      </c>
      <c r="E1512" t="s">
        <v>522</v>
      </c>
      <c r="F1512" s="11">
        <v>43219</v>
      </c>
      <c r="G1512" s="2">
        <f>VLOOKUP(E1512,Produtos!$A:$E,5,FALSE)</f>
        <v>800</v>
      </c>
      <c r="H1512" s="2">
        <f>VLOOKUP(E1512,Produtos!$A:$E,4,FALSE)</f>
        <v>350</v>
      </c>
      <c r="I1512" s="2">
        <v>2</v>
      </c>
    </row>
    <row r="1513" spans="1:9" x14ac:dyDescent="0.25">
      <c r="A1513" s="2" t="str">
        <f>CONCATENATE(Códigos!S1512,Códigos!T1512,Códigos!U1512)</f>
        <v>svv1511v</v>
      </c>
      <c r="B1513" t="s">
        <v>406</v>
      </c>
      <c r="C1513" t="s">
        <v>447</v>
      </c>
      <c r="D1513" s="2" t="s">
        <v>448</v>
      </c>
      <c r="E1513" t="s">
        <v>522</v>
      </c>
      <c r="F1513" s="11">
        <v>43220</v>
      </c>
      <c r="G1513" s="2">
        <f>VLOOKUP(E1513,Produtos!$A:$E,5,FALSE)</f>
        <v>800</v>
      </c>
      <c r="H1513" s="2">
        <f>VLOOKUP(E1513,Produtos!$A:$E,4,FALSE)</f>
        <v>350</v>
      </c>
      <c r="I1513" s="2">
        <v>2</v>
      </c>
    </row>
    <row r="1514" spans="1:9" x14ac:dyDescent="0.25">
      <c r="A1514" s="2" t="str">
        <f>CONCATENATE(Códigos!S1513,Códigos!T1513,Códigos!U1513)</f>
        <v>svv1512v</v>
      </c>
      <c r="B1514" t="s">
        <v>406</v>
      </c>
      <c r="C1514" t="s">
        <v>447</v>
      </c>
      <c r="D1514" s="2" t="s">
        <v>448</v>
      </c>
      <c r="E1514" t="s">
        <v>522</v>
      </c>
      <c r="F1514" s="11">
        <v>43221</v>
      </c>
      <c r="G1514" s="2">
        <f>VLOOKUP(E1514,Produtos!$A:$E,5,FALSE)</f>
        <v>800</v>
      </c>
      <c r="H1514" s="2">
        <f>VLOOKUP(E1514,Produtos!$A:$E,4,FALSE)</f>
        <v>350</v>
      </c>
      <c r="I1514" s="2">
        <v>2</v>
      </c>
    </row>
    <row r="1515" spans="1:9" x14ac:dyDescent="0.25">
      <c r="A1515" s="2" t="str">
        <f>CONCATENATE(Códigos!S1514,Códigos!T1514,Códigos!U1514)</f>
        <v>svv1513v</v>
      </c>
      <c r="B1515" t="s">
        <v>406</v>
      </c>
      <c r="C1515" t="s">
        <v>447</v>
      </c>
      <c r="D1515" s="2" t="s">
        <v>448</v>
      </c>
      <c r="E1515" t="s">
        <v>522</v>
      </c>
      <c r="F1515" s="11">
        <v>43222</v>
      </c>
      <c r="G1515" s="2">
        <f>VLOOKUP(E1515,Produtos!$A:$E,5,FALSE)</f>
        <v>800</v>
      </c>
      <c r="H1515" s="2">
        <f>VLOOKUP(E1515,Produtos!$A:$E,4,FALSE)</f>
        <v>350</v>
      </c>
      <c r="I1515" s="2">
        <v>2</v>
      </c>
    </row>
    <row r="1516" spans="1:9" x14ac:dyDescent="0.25">
      <c r="A1516" s="2" t="str">
        <f>CONCATENATE(Códigos!S1515,Códigos!T1515,Códigos!U1515)</f>
        <v>svv1514v</v>
      </c>
      <c r="B1516" t="s">
        <v>406</v>
      </c>
      <c r="C1516" t="s">
        <v>447</v>
      </c>
      <c r="D1516" s="2" t="s">
        <v>448</v>
      </c>
      <c r="E1516" t="s">
        <v>522</v>
      </c>
      <c r="F1516" s="11">
        <v>43223</v>
      </c>
      <c r="G1516" s="2">
        <f>VLOOKUP(E1516,Produtos!$A:$E,5,FALSE)</f>
        <v>800</v>
      </c>
      <c r="H1516" s="2">
        <f>VLOOKUP(E1516,Produtos!$A:$E,4,FALSE)</f>
        <v>350</v>
      </c>
      <c r="I1516" s="2">
        <v>2</v>
      </c>
    </row>
    <row r="1517" spans="1:9" x14ac:dyDescent="0.25">
      <c r="A1517" s="2" t="str">
        <f>CONCATENATE(Códigos!S1516,Códigos!T1516,Códigos!U1516)</f>
        <v>svv1515v</v>
      </c>
      <c r="B1517" t="s">
        <v>406</v>
      </c>
      <c r="C1517" t="s">
        <v>447</v>
      </c>
      <c r="D1517" s="2" t="s">
        <v>448</v>
      </c>
      <c r="E1517" t="s">
        <v>522</v>
      </c>
      <c r="F1517" s="11">
        <v>43224</v>
      </c>
      <c r="G1517" s="2">
        <f>VLOOKUP(E1517,Produtos!$A:$E,5,FALSE)</f>
        <v>800</v>
      </c>
      <c r="H1517" s="2">
        <f>VLOOKUP(E1517,Produtos!$A:$E,4,FALSE)</f>
        <v>350</v>
      </c>
      <c r="I1517" s="2">
        <v>2</v>
      </c>
    </row>
    <row r="1518" spans="1:9" x14ac:dyDescent="0.25">
      <c r="A1518" s="2" t="str">
        <f>CONCATENATE(Códigos!S1517,Códigos!T1517,Códigos!U1517)</f>
        <v>svv1516v</v>
      </c>
      <c r="B1518" t="s">
        <v>406</v>
      </c>
      <c r="C1518" t="s">
        <v>447</v>
      </c>
      <c r="D1518" s="2" t="s">
        <v>448</v>
      </c>
      <c r="E1518" t="s">
        <v>522</v>
      </c>
      <c r="F1518" s="11">
        <v>43225</v>
      </c>
      <c r="G1518" s="2">
        <f>VLOOKUP(E1518,Produtos!$A:$E,5,FALSE)</f>
        <v>800</v>
      </c>
      <c r="H1518" s="2">
        <f>VLOOKUP(E1518,Produtos!$A:$E,4,FALSE)</f>
        <v>350</v>
      </c>
      <c r="I1518" s="2">
        <v>2</v>
      </c>
    </row>
    <row r="1519" spans="1:9" x14ac:dyDescent="0.25">
      <c r="A1519" s="2" t="str">
        <f>CONCATENATE(Códigos!S1518,Códigos!T1518,Códigos!U1518)</f>
        <v>svv1517v</v>
      </c>
      <c r="B1519" t="s">
        <v>406</v>
      </c>
      <c r="C1519" t="s">
        <v>447</v>
      </c>
      <c r="D1519" s="2" t="s">
        <v>448</v>
      </c>
      <c r="E1519" t="s">
        <v>522</v>
      </c>
      <c r="F1519" s="11">
        <v>43226</v>
      </c>
      <c r="G1519" s="2">
        <f>VLOOKUP(E1519,Produtos!$A:$E,5,FALSE)</f>
        <v>800</v>
      </c>
      <c r="H1519" s="2">
        <f>VLOOKUP(E1519,Produtos!$A:$E,4,FALSE)</f>
        <v>350</v>
      </c>
      <c r="I1519" s="2">
        <v>2</v>
      </c>
    </row>
    <row r="1520" spans="1:9" x14ac:dyDescent="0.25">
      <c r="A1520" s="2" t="str">
        <f>CONCATENATE(Códigos!S1519,Códigos!T1519,Códigos!U1519)</f>
        <v>svv1518v</v>
      </c>
      <c r="B1520" t="s">
        <v>406</v>
      </c>
      <c r="C1520" t="s">
        <v>447</v>
      </c>
      <c r="D1520" s="2" t="s">
        <v>448</v>
      </c>
      <c r="E1520" t="s">
        <v>522</v>
      </c>
      <c r="F1520" s="11">
        <v>43227</v>
      </c>
      <c r="G1520" s="2">
        <f>VLOOKUP(E1520,Produtos!$A:$E,5,FALSE)</f>
        <v>800</v>
      </c>
      <c r="H1520" s="2">
        <f>VLOOKUP(E1520,Produtos!$A:$E,4,FALSE)</f>
        <v>350</v>
      </c>
      <c r="I1520" s="2">
        <v>2</v>
      </c>
    </row>
    <row r="1521" spans="1:9" x14ac:dyDescent="0.25">
      <c r="A1521" s="2" t="str">
        <f>CONCATENATE(Códigos!S1520,Códigos!T1520,Códigos!U1520)</f>
        <v>svv1519v</v>
      </c>
      <c r="B1521" t="s">
        <v>406</v>
      </c>
      <c r="C1521" t="s">
        <v>447</v>
      </c>
      <c r="D1521" s="2" t="s">
        <v>448</v>
      </c>
      <c r="E1521" t="s">
        <v>522</v>
      </c>
      <c r="F1521" s="11">
        <v>43228</v>
      </c>
      <c r="G1521" s="2">
        <f>VLOOKUP(E1521,Produtos!$A:$E,5,FALSE)</f>
        <v>800</v>
      </c>
      <c r="H1521" s="2">
        <f>VLOOKUP(E1521,Produtos!$A:$E,4,FALSE)</f>
        <v>350</v>
      </c>
      <c r="I1521" s="2">
        <v>2</v>
      </c>
    </row>
    <row r="1522" spans="1:9" x14ac:dyDescent="0.25">
      <c r="A1522" s="2" t="str">
        <f>CONCATENATE(Códigos!S1521,Códigos!T1521,Códigos!U1521)</f>
        <v>svv1520v</v>
      </c>
      <c r="B1522" t="s">
        <v>406</v>
      </c>
      <c r="C1522" t="s">
        <v>447</v>
      </c>
      <c r="D1522" s="2" t="s">
        <v>448</v>
      </c>
      <c r="E1522" t="s">
        <v>522</v>
      </c>
      <c r="F1522" s="11">
        <v>43229</v>
      </c>
      <c r="G1522" s="2">
        <f>VLOOKUP(E1522,Produtos!$A:$E,5,FALSE)</f>
        <v>800</v>
      </c>
      <c r="H1522" s="2">
        <f>VLOOKUP(E1522,Produtos!$A:$E,4,FALSE)</f>
        <v>350</v>
      </c>
      <c r="I1522" s="2">
        <v>2</v>
      </c>
    </row>
    <row r="1523" spans="1:9" x14ac:dyDescent="0.25">
      <c r="A1523" s="2" t="str">
        <f>CONCATENATE(Códigos!S1522,Códigos!T1522,Códigos!U1522)</f>
        <v>svv1521v</v>
      </c>
      <c r="B1523" t="s">
        <v>406</v>
      </c>
      <c r="C1523" t="s">
        <v>447</v>
      </c>
      <c r="D1523" s="2" t="s">
        <v>448</v>
      </c>
      <c r="E1523" t="s">
        <v>522</v>
      </c>
      <c r="F1523" s="11">
        <v>43230</v>
      </c>
      <c r="G1523" s="2">
        <f>VLOOKUP(E1523,Produtos!$A:$E,5,FALSE)</f>
        <v>800</v>
      </c>
      <c r="H1523" s="2">
        <f>VLOOKUP(E1523,Produtos!$A:$E,4,FALSE)</f>
        <v>350</v>
      </c>
      <c r="I1523" s="2">
        <v>2</v>
      </c>
    </row>
    <row r="1524" spans="1:9" x14ac:dyDescent="0.25">
      <c r="A1524" s="2" t="str">
        <f>CONCATENATE(Códigos!S1523,Códigos!T1523,Códigos!U1523)</f>
        <v>svv1522v</v>
      </c>
      <c r="B1524" t="s">
        <v>406</v>
      </c>
      <c r="C1524" t="s">
        <v>447</v>
      </c>
      <c r="D1524" s="2" t="s">
        <v>448</v>
      </c>
      <c r="E1524" t="s">
        <v>522</v>
      </c>
      <c r="F1524" s="11">
        <v>43231</v>
      </c>
      <c r="G1524" s="2">
        <f>VLOOKUP(E1524,Produtos!$A:$E,5,FALSE)</f>
        <v>800</v>
      </c>
      <c r="H1524" s="2">
        <f>VLOOKUP(E1524,Produtos!$A:$E,4,FALSE)</f>
        <v>350</v>
      </c>
      <c r="I1524" s="2">
        <v>2</v>
      </c>
    </row>
    <row r="1525" spans="1:9" x14ac:dyDescent="0.25">
      <c r="A1525" s="2" t="str">
        <f>CONCATENATE(Códigos!S1524,Códigos!T1524,Códigos!U1524)</f>
        <v>svv1523v</v>
      </c>
      <c r="B1525" t="s">
        <v>406</v>
      </c>
      <c r="C1525" t="s">
        <v>447</v>
      </c>
      <c r="D1525" s="2" t="s">
        <v>448</v>
      </c>
      <c r="E1525" t="s">
        <v>522</v>
      </c>
      <c r="F1525" s="11">
        <v>43232</v>
      </c>
      <c r="G1525" s="2">
        <f>VLOOKUP(E1525,Produtos!$A:$E,5,FALSE)</f>
        <v>800</v>
      </c>
      <c r="H1525" s="2">
        <f>VLOOKUP(E1525,Produtos!$A:$E,4,FALSE)</f>
        <v>350</v>
      </c>
      <c r="I1525" s="2">
        <v>2</v>
      </c>
    </row>
    <row r="1526" spans="1:9" x14ac:dyDescent="0.25">
      <c r="A1526" s="2" t="str">
        <f>CONCATENATE(Códigos!S1525,Códigos!T1525,Códigos!U1525)</f>
        <v>svv1524v</v>
      </c>
      <c r="B1526" t="s">
        <v>406</v>
      </c>
      <c r="C1526" t="s">
        <v>447</v>
      </c>
      <c r="D1526" s="2" t="s">
        <v>448</v>
      </c>
      <c r="E1526" t="s">
        <v>522</v>
      </c>
      <c r="F1526" s="11">
        <v>43233</v>
      </c>
      <c r="G1526" s="2">
        <f>VLOOKUP(E1526,Produtos!$A:$E,5,FALSE)</f>
        <v>800</v>
      </c>
      <c r="H1526" s="2">
        <f>VLOOKUP(E1526,Produtos!$A:$E,4,FALSE)</f>
        <v>350</v>
      </c>
      <c r="I1526" s="2">
        <v>2</v>
      </c>
    </row>
    <row r="1527" spans="1:9" x14ac:dyDescent="0.25">
      <c r="A1527" s="2" t="str">
        <f>CONCATENATE(Códigos!S1526,Códigos!T1526,Códigos!U1526)</f>
        <v>svv1525v</v>
      </c>
      <c r="B1527" t="s">
        <v>406</v>
      </c>
      <c r="C1527" t="s">
        <v>447</v>
      </c>
      <c r="D1527" s="2" t="s">
        <v>448</v>
      </c>
      <c r="E1527" t="s">
        <v>522</v>
      </c>
      <c r="F1527" s="11">
        <v>43234</v>
      </c>
      <c r="G1527" s="2">
        <f>VLOOKUP(E1527,Produtos!$A:$E,5,FALSE)</f>
        <v>800</v>
      </c>
      <c r="H1527" s="2">
        <f>VLOOKUP(E1527,Produtos!$A:$E,4,FALSE)</f>
        <v>350</v>
      </c>
      <c r="I1527" s="2">
        <v>2</v>
      </c>
    </row>
    <row r="1528" spans="1:9" x14ac:dyDescent="0.25">
      <c r="A1528" s="2" t="str">
        <f>CONCATENATE(Códigos!S1527,Códigos!T1527,Códigos!U1527)</f>
        <v>svv1526v</v>
      </c>
      <c r="B1528" t="s">
        <v>406</v>
      </c>
      <c r="C1528" t="s">
        <v>447</v>
      </c>
      <c r="D1528" s="2" t="s">
        <v>448</v>
      </c>
      <c r="E1528" t="s">
        <v>522</v>
      </c>
      <c r="F1528" s="11">
        <v>43235</v>
      </c>
      <c r="G1528" s="2">
        <f>VLOOKUP(E1528,Produtos!$A:$E,5,FALSE)</f>
        <v>800</v>
      </c>
      <c r="H1528" s="2">
        <f>VLOOKUP(E1528,Produtos!$A:$E,4,FALSE)</f>
        <v>350</v>
      </c>
      <c r="I1528" s="2">
        <v>2</v>
      </c>
    </row>
    <row r="1529" spans="1:9" x14ac:dyDescent="0.25">
      <c r="A1529" s="2" t="str">
        <f>CONCATENATE(Códigos!S1528,Códigos!T1528,Códigos!U1528)</f>
        <v>svv1527v</v>
      </c>
      <c r="B1529" t="s">
        <v>406</v>
      </c>
      <c r="C1529" t="s">
        <v>447</v>
      </c>
      <c r="D1529" s="2" t="s">
        <v>448</v>
      </c>
      <c r="E1529" t="s">
        <v>522</v>
      </c>
      <c r="F1529" s="11">
        <v>43236</v>
      </c>
      <c r="G1529" s="2">
        <f>VLOOKUP(E1529,Produtos!$A:$E,5,FALSE)</f>
        <v>800</v>
      </c>
      <c r="H1529" s="2">
        <f>VLOOKUP(E1529,Produtos!$A:$E,4,FALSE)</f>
        <v>350</v>
      </c>
      <c r="I1529" s="2">
        <v>2</v>
      </c>
    </row>
    <row r="1530" spans="1:9" x14ac:dyDescent="0.25">
      <c r="A1530" s="2" t="str">
        <f>CONCATENATE(Códigos!S1529,Códigos!T1529,Códigos!U1529)</f>
        <v>svv1528v</v>
      </c>
      <c r="B1530" t="s">
        <v>406</v>
      </c>
      <c r="C1530" t="s">
        <v>447</v>
      </c>
      <c r="D1530" s="2" t="s">
        <v>448</v>
      </c>
      <c r="E1530" t="s">
        <v>522</v>
      </c>
      <c r="F1530" s="11">
        <v>43237</v>
      </c>
      <c r="G1530" s="2">
        <f>VLOOKUP(E1530,Produtos!$A:$E,5,FALSE)</f>
        <v>800</v>
      </c>
      <c r="H1530" s="2">
        <f>VLOOKUP(E1530,Produtos!$A:$E,4,FALSE)</f>
        <v>350</v>
      </c>
      <c r="I1530" s="2">
        <v>2</v>
      </c>
    </row>
    <row r="1531" spans="1:9" x14ac:dyDescent="0.25">
      <c r="A1531" s="2" t="str">
        <f>CONCATENATE(Códigos!S1530,Códigos!T1530,Códigos!U1530)</f>
        <v>svv1529v</v>
      </c>
      <c r="B1531" t="s">
        <v>406</v>
      </c>
      <c r="C1531" t="s">
        <v>447</v>
      </c>
      <c r="D1531" s="2" t="s">
        <v>448</v>
      </c>
      <c r="E1531" t="s">
        <v>522</v>
      </c>
      <c r="F1531" s="11">
        <v>43238</v>
      </c>
      <c r="G1531" s="2">
        <f>VLOOKUP(E1531,Produtos!$A:$E,5,FALSE)</f>
        <v>800</v>
      </c>
      <c r="H1531" s="2">
        <f>VLOOKUP(E1531,Produtos!$A:$E,4,FALSE)</f>
        <v>350</v>
      </c>
      <c r="I1531" s="2">
        <v>2</v>
      </c>
    </row>
    <row r="1532" spans="1:9" x14ac:dyDescent="0.25">
      <c r="A1532" s="2" t="str">
        <f>CONCATENATE(Códigos!S1531,Códigos!T1531,Códigos!U1531)</f>
        <v>svv1530v</v>
      </c>
      <c r="B1532" t="s">
        <v>406</v>
      </c>
      <c r="C1532" t="s">
        <v>447</v>
      </c>
      <c r="D1532" s="2" t="s">
        <v>448</v>
      </c>
      <c r="E1532" t="s">
        <v>522</v>
      </c>
      <c r="F1532" s="11">
        <v>43239</v>
      </c>
      <c r="G1532" s="2">
        <f>VLOOKUP(E1532,Produtos!$A:$E,5,FALSE)</f>
        <v>800</v>
      </c>
      <c r="H1532" s="2">
        <f>VLOOKUP(E1532,Produtos!$A:$E,4,FALSE)</f>
        <v>350</v>
      </c>
      <c r="I1532" s="2">
        <v>2</v>
      </c>
    </row>
    <row r="1533" spans="1:9" x14ac:dyDescent="0.25">
      <c r="A1533" s="2" t="str">
        <f>CONCATENATE(Códigos!S1532,Códigos!T1532,Códigos!U1532)</f>
        <v>svv1531v</v>
      </c>
      <c r="B1533" t="s">
        <v>406</v>
      </c>
      <c r="C1533" t="s">
        <v>447</v>
      </c>
      <c r="D1533" s="2" t="s">
        <v>448</v>
      </c>
      <c r="E1533" t="s">
        <v>522</v>
      </c>
      <c r="F1533" s="11">
        <v>43240</v>
      </c>
      <c r="G1533" s="2">
        <f>VLOOKUP(E1533,Produtos!$A:$E,5,FALSE)</f>
        <v>800</v>
      </c>
      <c r="H1533" s="2">
        <f>VLOOKUP(E1533,Produtos!$A:$E,4,FALSE)</f>
        <v>350</v>
      </c>
      <c r="I1533" s="2">
        <v>2</v>
      </c>
    </row>
    <row r="1534" spans="1:9" x14ac:dyDescent="0.25">
      <c r="A1534" s="2" t="str">
        <f>CONCATENATE(Códigos!S1533,Códigos!T1533,Códigos!U1533)</f>
        <v>svv1532v</v>
      </c>
      <c r="B1534" t="s">
        <v>406</v>
      </c>
      <c r="C1534" t="s">
        <v>447</v>
      </c>
      <c r="D1534" s="2" t="s">
        <v>448</v>
      </c>
      <c r="E1534" t="s">
        <v>522</v>
      </c>
      <c r="F1534" s="11">
        <v>43241</v>
      </c>
      <c r="G1534" s="2">
        <f>VLOOKUP(E1534,Produtos!$A:$E,5,FALSE)</f>
        <v>800</v>
      </c>
      <c r="H1534" s="2">
        <f>VLOOKUP(E1534,Produtos!$A:$E,4,FALSE)</f>
        <v>350</v>
      </c>
      <c r="I1534" s="2">
        <v>2</v>
      </c>
    </row>
    <row r="1535" spans="1:9" x14ac:dyDescent="0.25">
      <c r="A1535" s="2" t="str">
        <f>CONCATENATE(Códigos!S1534,Códigos!T1534,Códigos!U1534)</f>
        <v>svv1533v</v>
      </c>
      <c r="B1535" t="s">
        <v>406</v>
      </c>
      <c r="C1535" t="s">
        <v>447</v>
      </c>
      <c r="D1535" s="2" t="s">
        <v>448</v>
      </c>
      <c r="E1535" t="s">
        <v>522</v>
      </c>
      <c r="F1535" s="11">
        <v>43242</v>
      </c>
      <c r="G1535" s="2">
        <f>VLOOKUP(E1535,Produtos!$A:$E,5,FALSE)</f>
        <v>800</v>
      </c>
      <c r="H1535" s="2">
        <f>VLOOKUP(E1535,Produtos!$A:$E,4,FALSE)</f>
        <v>350</v>
      </c>
      <c r="I1535" s="2">
        <v>2</v>
      </c>
    </row>
    <row r="1536" spans="1:9" x14ac:dyDescent="0.25">
      <c r="A1536" s="2" t="str">
        <f>CONCATENATE(Códigos!S1535,Códigos!T1535,Códigos!U1535)</f>
        <v>svv1534v</v>
      </c>
      <c r="B1536" t="s">
        <v>406</v>
      </c>
      <c r="C1536" t="s">
        <v>447</v>
      </c>
      <c r="D1536" s="2" t="s">
        <v>448</v>
      </c>
      <c r="E1536" t="s">
        <v>522</v>
      </c>
      <c r="F1536" s="11">
        <v>43243</v>
      </c>
      <c r="G1536" s="2">
        <f>VLOOKUP(E1536,Produtos!$A:$E,5,FALSE)</f>
        <v>800</v>
      </c>
      <c r="H1536" s="2">
        <f>VLOOKUP(E1536,Produtos!$A:$E,4,FALSE)</f>
        <v>350</v>
      </c>
      <c r="I1536" s="2">
        <v>2</v>
      </c>
    </row>
    <row r="1537" spans="1:9" x14ac:dyDescent="0.25">
      <c r="A1537" s="2" t="str">
        <f>CONCATENATE(Códigos!S1536,Códigos!T1536,Códigos!U1536)</f>
        <v>svv1535v</v>
      </c>
      <c r="B1537" t="s">
        <v>406</v>
      </c>
      <c r="C1537" t="s">
        <v>447</v>
      </c>
      <c r="D1537" s="2" t="s">
        <v>448</v>
      </c>
      <c r="E1537" t="s">
        <v>522</v>
      </c>
      <c r="F1537" s="11">
        <v>43244</v>
      </c>
      <c r="G1537" s="2">
        <f>VLOOKUP(E1537,Produtos!$A:$E,5,FALSE)</f>
        <v>800</v>
      </c>
      <c r="H1537" s="2">
        <f>VLOOKUP(E1537,Produtos!$A:$E,4,FALSE)</f>
        <v>350</v>
      </c>
      <c r="I1537" s="2">
        <v>2</v>
      </c>
    </row>
    <row r="1538" spans="1:9" x14ac:dyDescent="0.25">
      <c r="A1538" s="2" t="str">
        <f>CONCATENATE(Códigos!S1537,Códigos!T1537,Códigos!U1537)</f>
        <v>svv1536v</v>
      </c>
      <c r="B1538" t="s">
        <v>406</v>
      </c>
      <c r="C1538" t="s">
        <v>447</v>
      </c>
      <c r="D1538" s="2" t="s">
        <v>448</v>
      </c>
      <c r="E1538" t="s">
        <v>522</v>
      </c>
      <c r="F1538" s="11">
        <v>43245</v>
      </c>
      <c r="G1538" s="2">
        <f>VLOOKUP(E1538,Produtos!$A:$E,5,FALSE)</f>
        <v>800</v>
      </c>
      <c r="H1538" s="2">
        <f>VLOOKUP(E1538,Produtos!$A:$E,4,FALSE)</f>
        <v>350</v>
      </c>
      <c r="I1538" s="2">
        <v>2</v>
      </c>
    </row>
    <row r="1539" spans="1:9" x14ac:dyDescent="0.25">
      <c r="A1539" s="2" t="str">
        <f>CONCATENATE(Códigos!S1538,Códigos!T1538,Códigos!U1538)</f>
        <v>svv1537v</v>
      </c>
      <c r="B1539" t="s">
        <v>406</v>
      </c>
      <c r="C1539" t="s">
        <v>447</v>
      </c>
      <c r="D1539" s="2" t="s">
        <v>448</v>
      </c>
      <c r="E1539" t="s">
        <v>522</v>
      </c>
      <c r="F1539" s="11">
        <v>43246</v>
      </c>
      <c r="G1539" s="2">
        <f>VLOOKUP(E1539,Produtos!$A:$E,5,FALSE)</f>
        <v>800</v>
      </c>
      <c r="H1539" s="2">
        <f>VLOOKUP(E1539,Produtos!$A:$E,4,FALSE)</f>
        <v>350</v>
      </c>
      <c r="I1539" s="2">
        <v>2</v>
      </c>
    </row>
    <row r="1540" spans="1:9" x14ac:dyDescent="0.25">
      <c r="A1540" s="2" t="str">
        <f>CONCATENATE(Códigos!S1539,Códigos!T1539,Códigos!U1539)</f>
        <v>svv1538v</v>
      </c>
      <c r="B1540" t="s">
        <v>406</v>
      </c>
      <c r="C1540" t="s">
        <v>447</v>
      </c>
      <c r="D1540" s="2" t="s">
        <v>448</v>
      </c>
      <c r="E1540" t="s">
        <v>522</v>
      </c>
      <c r="F1540" s="11">
        <v>43247</v>
      </c>
      <c r="G1540" s="2">
        <f>VLOOKUP(E1540,Produtos!$A:$E,5,FALSE)</f>
        <v>800</v>
      </c>
      <c r="H1540" s="2">
        <f>VLOOKUP(E1540,Produtos!$A:$E,4,FALSE)</f>
        <v>350</v>
      </c>
      <c r="I1540" s="2">
        <v>2</v>
      </c>
    </row>
    <row r="1541" spans="1:9" x14ac:dyDescent="0.25">
      <c r="A1541" s="2" t="str">
        <f>CONCATENATE(Códigos!S1540,Códigos!T1540,Códigos!U1540)</f>
        <v>svv1539v</v>
      </c>
      <c r="B1541" t="s">
        <v>406</v>
      </c>
      <c r="C1541" t="s">
        <v>380</v>
      </c>
      <c r="D1541" s="2" t="s">
        <v>381</v>
      </c>
      <c r="E1541" t="s">
        <v>522</v>
      </c>
      <c r="F1541" s="11">
        <v>43248</v>
      </c>
      <c r="G1541" s="2">
        <f>VLOOKUP(E1541,Produtos!$A:$E,5,FALSE)</f>
        <v>800</v>
      </c>
      <c r="H1541" s="2">
        <f>VLOOKUP(E1541,Produtos!$A:$E,4,FALSE)</f>
        <v>350</v>
      </c>
      <c r="I1541" s="2">
        <v>2</v>
      </c>
    </row>
    <row r="1542" spans="1:9" x14ac:dyDescent="0.25">
      <c r="A1542" s="2" t="str">
        <f>CONCATENATE(Códigos!S1541,Códigos!T1541,Códigos!U1541)</f>
        <v>svv1540v</v>
      </c>
      <c r="B1542" t="s">
        <v>406</v>
      </c>
      <c r="C1542" t="s">
        <v>380</v>
      </c>
      <c r="D1542" s="2" t="s">
        <v>381</v>
      </c>
      <c r="E1542" t="s">
        <v>522</v>
      </c>
      <c r="F1542" s="11">
        <v>43249</v>
      </c>
      <c r="G1542" s="2">
        <f>VLOOKUP(E1542,Produtos!$A:$E,5,FALSE)</f>
        <v>800</v>
      </c>
      <c r="H1542" s="2">
        <f>VLOOKUP(E1542,Produtos!$A:$E,4,FALSE)</f>
        <v>350</v>
      </c>
      <c r="I1542" s="2">
        <v>2</v>
      </c>
    </row>
    <row r="1543" spans="1:9" x14ac:dyDescent="0.25">
      <c r="A1543" s="2" t="str">
        <f>CONCATENATE(Códigos!S1542,Códigos!T1542,Códigos!U1542)</f>
        <v>svv1541v</v>
      </c>
      <c r="B1543" t="s">
        <v>406</v>
      </c>
      <c r="C1543" t="s">
        <v>380</v>
      </c>
      <c r="D1543" s="2" t="s">
        <v>381</v>
      </c>
      <c r="E1543" t="s">
        <v>522</v>
      </c>
      <c r="F1543" s="11">
        <v>43250</v>
      </c>
      <c r="G1543" s="2">
        <f>VLOOKUP(E1543,Produtos!$A:$E,5,FALSE)</f>
        <v>800</v>
      </c>
      <c r="H1543" s="2">
        <f>VLOOKUP(E1543,Produtos!$A:$E,4,FALSE)</f>
        <v>350</v>
      </c>
      <c r="I1543" s="2">
        <v>2</v>
      </c>
    </row>
    <row r="1544" spans="1:9" x14ac:dyDescent="0.25">
      <c r="A1544" s="2" t="str">
        <f>CONCATENATE(Códigos!S1543,Códigos!T1543,Códigos!U1543)</f>
        <v>svv1542v</v>
      </c>
      <c r="B1544" t="s">
        <v>406</v>
      </c>
      <c r="C1544" t="s">
        <v>380</v>
      </c>
      <c r="D1544" s="2" t="s">
        <v>381</v>
      </c>
      <c r="E1544" t="s">
        <v>522</v>
      </c>
      <c r="F1544" s="11">
        <v>43251</v>
      </c>
      <c r="G1544" s="2">
        <f>VLOOKUP(E1544,Produtos!$A:$E,5,FALSE)</f>
        <v>800</v>
      </c>
      <c r="H1544" s="2">
        <f>VLOOKUP(E1544,Produtos!$A:$E,4,FALSE)</f>
        <v>350</v>
      </c>
      <c r="I1544" s="2">
        <v>2</v>
      </c>
    </row>
    <row r="1545" spans="1:9" x14ac:dyDescent="0.25">
      <c r="A1545" s="2" t="str">
        <f>CONCATENATE(Códigos!S1544,Códigos!T1544,Códigos!U1544)</f>
        <v>svv1543v</v>
      </c>
      <c r="B1545" t="s">
        <v>406</v>
      </c>
      <c r="C1545" t="s">
        <v>380</v>
      </c>
      <c r="D1545" s="2" t="s">
        <v>381</v>
      </c>
      <c r="E1545" t="s">
        <v>522</v>
      </c>
      <c r="F1545" s="11">
        <v>43252</v>
      </c>
      <c r="G1545" s="2">
        <f>VLOOKUP(E1545,Produtos!$A:$E,5,FALSE)</f>
        <v>800</v>
      </c>
      <c r="H1545" s="2">
        <f>VLOOKUP(E1545,Produtos!$A:$E,4,FALSE)</f>
        <v>350</v>
      </c>
      <c r="I1545" s="2">
        <v>2</v>
      </c>
    </row>
    <row r="1546" spans="1:9" x14ac:dyDescent="0.25">
      <c r="A1546" s="2" t="str">
        <f>CONCATENATE(Códigos!S1545,Códigos!T1545,Códigos!U1545)</f>
        <v>svv1544v</v>
      </c>
      <c r="B1546" t="s">
        <v>406</v>
      </c>
      <c r="C1546" t="s">
        <v>380</v>
      </c>
      <c r="D1546" s="2" t="s">
        <v>381</v>
      </c>
      <c r="E1546" t="s">
        <v>522</v>
      </c>
      <c r="F1546" s="11">
        <v>43253</v>
      </c>
      <c r="G1546" s="2">
        <f>VLOOKUP(E1546,Produtos!$A:$E,5,FALSE)</f>
        <v>800</v>
      </c>
      <c r="H1546" s="2">
        <f>VLOOKUP(E1546,Produtos!$A:$E,4,FALSE)</f>
        <v>350</v>
      </c>
      <c r="I1546" s="2">
        <v>2</v>
      </c>
    </row>
    <row r="1547" spans="1:9" x14ac:dyDescent="0.25">
      <c r="A1547" s="2" t="str">
        <f>CONCATENATE(Códigos!S1546,Códigos!T1546,Códigos!U1546)</f>
        <v>svv1545v</v>
      </c>
      <c r="B1547" t="s">
        <v>406</v>
      </c>
      <c r="C1547" t="s">
        <v>380</v>
      </c>
      <c r="D1547" s="2" t="s">
        <v>381</v>
      </c>
      <c r="E1547" t="s">
        <v>522</v>
      </c>
      <c r="F1547" s="11">
        <v>43254</v>
      </c>
      <c r="G1547" s="2">
        <f>VLOOKUP(E1547,Produtos!$A:$E,5,FALSE)</f>
        <v>800</v>
      </c>
      <c r="H1547" s="2">
        <f>VLOOKUP(E1547,Produtos!$A:$E,4,FALSE)</f>
        <v>350</v>
      </c>
      <c r="I1547" s="2">
        <v>2</v>
      </c>
    </row>
    <row r="1548" spans="1:9" x14ac:dyDescent="0.25">
      <c r="A1548" s="2" t="str">
        <f>CONCATENATE(Códigos!S1547,Códigos!T1547,Códigos!U1547)</f>
        <v>svv1546v</v>
      </c>
      <c r="B1548" t="s">
        <v>406</v>
      </c>
      <c r="C1548" t="s">
        <v>380</v>
      </c>
      <c r="D1548" s="2" t="s">
        <v>381</v>
      </c>
      <c r="E1548" t="s">
        <v>522</v>
      </c>
      <c r="F1548" s="11">
        <v>43255</v>
      </c>
      <c r="G1548" s="2">
        <f>VLOOKUP(E1548,Produtos!$A:$E,5,FALSE)</f>
        <v>800</v>
      </c>
      <c r="H1548" s="2">
        <f>VLOOKUP(E1548,Produtos!$A:$E,4,FALSE)</f>
        <v>350</v>
      </c>
      <c r="I1548" s="2">
        <v>2</v>
      </c>
    </row>
    <row r="1549" spans="1:9" x14ac:dyDescent="0.25">
      <c r="A1549" s="2" t="str">
        <f>CONCATENATE(Códigos!S1548,Códigos!T1548,Códigos!U1548)</f>
        <v>svv1547v</v>
      </c>
      <c r="B1549" t="s">
        <v>406</v>
      </c>
      <c r="C1549" t="s">
        <v>380</v>
      </c>
      <c r="D1549" s="2" t="s">
        <v>381</v>
      </c>
      <c r="E1549" t="s">
        <v>522</v>
      </c>
      <c r="F1549" s="11">
        <v>43256</v>
      </c>
      <c r="G1549" s="2">
        <f>VLOOKUP(E1549,Produtos!$A:$E,5,FALSE)</f>
        <v>800</v>
      </c>
      <c r="H1549" s="2">
        <f>VLOOKUP(E1549,Produtos!$A:$E,4,FALSE)</f>
        <v>350</v>
      </c>
      <c r="I1549" s="2">
        <v>2</v>
      </c>
    </row>
    <row r="1550" spans="1:9" x14ac:dyDescent="0.25">
      <c r="A1550" s="2" t="str">
        <f>CONCATENATE(Códigos!S1549,Códigos!T1549,Códigos!U1549)</f>
        <v>svv1548v</v>
      </c>
      <c r="B1550" t="s">
        <v>406</v>
      </c>
      <c r="C1550" t="s">
        <v>380</v>
      </c>
      <c r="D1550" s="2" t="s">
        <v>381</v>
      </c>
      <c r="E1550" t="s">
        <v>522</v>
      </c>
      <c r="F1550" s="11">
        <v>43257</v>
      </c>
      <c r="G1550" s="2">
        <f>VLOOKUP(E1550,Produtos!$A:$E,5,FALSE)</f>
        <v>800</v>
      </c>
      <c r="H1550" s="2">
        <f>VLOOKUP(E1550,Produtos!$A:$E,4,FALSE)</f>
        <v>350</v>
      </c>
      <c r="I1550" s="2">
        <v>2</v>
      </c>
    </row>
    <row r="1551" spans="1:9" x14ac:dyDescent="0.25">
      <c r="A1551" s="2" t="str">
        <f>CONCATENATE(Códigos!S1550,Códigos!T1550,Códigos!U1550)</f>
        <v>svv1549v</v>
      </c>
      <c r="B1551" t="s">
        <v>406</v>
      </c>
      <c r="C1551" t="s">
        <v>383</v>
      </c>
      <c r="D1551" s="2" t="s">
        <v>384</v>
      </c>
      <c r="E1551" t="s">
        <v>522</v>
      </c>
      <c r="F1551" s="11">
        <v>43258</v>
      </c>
      <c r="G1551" s="2">
        <f>VLOOKUP(E1551,Produtos!$A:$E,5,FALSE)</f>
        <v>800</v>
      </c>
      <c r="H1551" s="2">
        <f>VLOOKUP(E1551,Produtos!$A:$E,4,FALSE)</f>
        <v>350</v>
      </c>
      <c r="I1551" s="2">
        <v>2</v>
      </c>
    </row>
    <row r="1552" spans="1:9" x14ac:dyDescent="0.25">
      <c r="A1552" s="2" t="str">
        <f>CONCATENATE(Códigos!S1551,Códigos!T1551,Códigos!U1551)</f>
        <v>svv1550v</v>
      </c>
      <c r="B1552" t="s">
        <v>406</v>
      </c>
      <c r="C1552" t="s">
        <v>383</v>
      </c>
      <c r="D1552" s="2" t="s">
        <v>384</v>
      </c>
      <c r="E1552" t="s">
        <v>522</v>
      </c>
      <c r="F1552" s="11">
        <v>43259</v>
      </c>
      <c r="G1552" s="2">
        <f>VLOOKUP(E1552,Produtos!$A:$E,5,FALSE)</f>
        <v>800</v>
      </c>
      <c r="H1552" s="2">
        <f>VLOOKUP(E1552,Produtos!$A:$E,4,FALSE)</f>
        <v>350</v>
      </c>
      <c r="I1552" s="2">
        <v>2</v>
      </c>
    </row>
    <row r="1553" spans="1:9" x14ac:dyDescent="0.25">
      <c r="A1553" s="2" t="str">
        <f>CONCATENATE(Códigos!S1552,Códigos!T1552,Códigos!U1552)</f>
        <v>svv1551v</v>
      </c>
      <c r="B1553" t="s">
        <v>406</v>
      </c>
      <c r="C1553" t="s">
        <v>383</v>
      </c>
      <c r="D1553" s="2" t="s">
        <v>384</v>
      </c>
      <c r="E1553" t="s">
        <v>522</v>
      </c>
      <c r="F1553" s="11">
        <v>43260</v>
      </c>
      <c r="G1553" s="2">
        <f>VLOOKUP(E1553,Produtos!$A:$E,5,FALSE)</f>
        <v>800</v>
      </c>
      <c r="H1553" s="2">
        <f>VLOOKUP(E1553,Produtos!$A:$E,4,FALSE)</f>
        <v>350</v>
      </c>
      <c r="I1553" s="2">
        <v>2</v>
      </c>
    </row>
    <row r="1554" spans="1:9" x14ac:dyDescent="0.25">
      <c r="A1554" s="2" t="str">
        <f>CONCATENATE(Códigos!S1553,Códigos!T1553,Códigos!U1553)</f>
        <v>svv1552v</v>
      </c>
      <c r="B1554" t="s">
        <v>406</v>
      </c>
      <c r="C1554" t="s">
        <v>383</v>
      </c>
      <c r="D1554" s="2" t="s">
        <v>384</v>
      </c>
      <c r="E1554" t="s">
        <v>522</v>
      </c>
      <c r="F1554" s="11">
        <v>43261</v>
      </c>
      <c r="G1554" s="2">
        <f>VLOOKUP(E1554,Produtos!$A:$E,5,FALSE)</f>
        <v>800</v>
      </c>
      <c r="H1554" s="2">
        <f>VLOOKUP(E1554,Produtos!$A:$E,4,FALSE)</f>
        <v>350</v>
      </c>
      <c r="I1554" s="2">
        <v>2</v>
      </c>
    </row>
    <row r="1555" spans="1:9" x14ac:dyDescent="0.25">
      <c r="A1555" s="2" t="str">
        <f>CONCATENATE(Códigos!S1554,Códigos!T1554,Códigos!U1554)</f>
        <v>svv1553v</v>
      </c>
      <c r="B1555" t="s">
        <v>406</v>
      </c>
      <c r="C1555" t="s">
        <v>383</v>
      </c>
      <c r="D1555" s="2" t="s">
        <v>384</v>
      </c>
      <c r="E1555" t="s">
        <v>522</v>
      </c>
      <c r="F1555" s="11">
        <v>43262</v>
      </c>
      <c r="G1555" s="2">
        <f>VLOOKUP(E1555,Produtos!$A:$E,5,FALSE)</f>
        <v>800</v>
      </c>
      <c r="H1555" s="2">
        <f>VLOOKUP(E1555,Produtos!$A:$E,4,FALSE)</f>
        <v>350</v>
      </c>
      <c r="I1555" s="2">
        <v>2</v>
      </c>
    </row>
    <row r="1556" spans="1:9" x14ac:dyDescent="0.25">
      <c r="A1556" s="2" t="str">
        <f>CONCATENATE(Códigos!S1555,Códigos!T1555,Códigos!U1555)</f>
        <v>svv1554v</v>
      </c>
      <c r="B1556" t="s">
        <v>406</v>
      </c>
      <c r="C1556" t="s">
        <v>383</v>
      </c>
      <c r="D1556" s="2" t="s">
        <v>384</v>
      </c>
      <c r="E1556" t="s">
        <v>522</v>
      </c>
      <c r="F1556" s="11">
        <v>43263</v>
      </c>
      <c r="G1556" s="2">
        <f>VLOOKUP(E1556,Produtos!$A:$E,5,FALSE)</f>
        <v>800</v>
      </c>
      <c r="H1556" s="2">
        <f>VLOOKUP(E1556,Produtos!$A:$E,4,FALSE)</f>
        <v>350</v>
      </c>
      <c r="I1556" s="2">
        <v>2</v>
      </c>
    </row>
    <row r="1557" spans="1:9" x14ac:dyDescent="0.25">
      <c r="A1557" s="2" t="str">
        <f>CONCATENATE(Códigos!S1556,Códigos!T1556,Códigos!U1556)</f>
        <v>svv1555v</v>
      </c>
      <c r="B1557" t="s">
        <v>406</v>
      </c>
      <c r="C1557" t="s">
        <v>383</v>
      </c>
      <c r="D1557" s="2" t="s">
        <v>384</v>
      </c>
      <c r="E1557" t="s">
        <v>522</v>
      </c>
      <c r="F1557" s="11">
        <v>43264</v>
      </c>
      <c r="G1557" s="2">
        <f>VLOOKUP(E1557,Produtos!$A:$E,5,FALSE)</f>
        <v>800</v>
      </c>
      <c r="H1557" s="2">
        <f>VLOOKUP(E1557,Produtos!$A:$E,4,FALSE)</f>
        <v>350</v>
      </c>
      <c r="I1557" s="2">
        <v>2</v>
      </c>
    </row>
    <row r="1558" spans="1:9" x14ac:dyDescent="0.25">
      <c r="A1558" s="2" t="str">
        <f>CONCATENATE(Códigos!S1557,Códigos!T1557,Códigos!U1557)</f>
        <v>svv1556v</v>
      </c>
      <c r="B1558" t="s">
        <v>406</v>
      </c>
      <c r="C1558" t="s">
        <v>383</v>
      </c>
      <c r="D1558" s="2" t="s">
        <v>384</v>
      </c>
      <c r="E1558" t="s">
        <v>522</v>
      </c>
      <c r="F1558" s="11">
        <v>43265</v>
      </c>
      <c r="G1558" s="2">
        <f>VLOOKUP(E1558,Produtos!$A:$E,5,FALSE)</f>
        <v>800</v>
      </c>
      <c r="H1558" s="2">
        <f>VLOOKUP(E1558,Produtos!$A:$E,4,FALSE)</f>
        <v>350</v>
      </c>
      <c r="I1558" s="2">
        <v>2</v>
      </c>
    </row>
    <row r="1559" spans="1:9" x14ac:dyDescent="0.25">
      <c r="A1559" s="2" t="str">
        <f>CONCATENATE(Códigos!S1558,Códigos!T1558,Códigos!U1558)</f>
        <v>svv1557v</v>
      </c>
      <c r="B1559" t="s">
        <v>406</v>
      </c>
      <c r="C1559" t="s">
        <v>383</v>
      </c>
      <c r="D1559" s="2" t="s">
        <v>384</v>
      </c>
      <c r="E1559" t="s">
        <v>522</v>
      </c>
      <c r="F1559" s="11">
        <v>43266</v>
      </c>
      <c r="G1559" s="2">
        <f>VLOOKUP(E1559,Produtos!$A:$E,5,FALSE)</f>
        <v>800</v>
      </c>
      <c r="H1559" s="2">
        <f>VLOOKUP(E1559,Produtos!$A:$E,4,FALSE)</f>
        <v>350</v>
      </c>
      <c r="I1559" s="2">
        <v>2</v>
      </c>
    </row>
    <row r="1560" spans="1:9" x14ac:dyDescent="0.25">
      <c r="A1560" s="2" t="str">
        <f>CONCATENATE(Códigos!S1559,Códigos!T1559,Códigos!U1559)</f>
        <v>svv1558v</v>
      </c>
      <c r="B1560" t="s">
        <v>406</v>
      </c>
      <c r="C1560" t="s">
        <v>383</v>
      </c>
      <c r="D1560" s="2" t="s">
        <v>384</v>
      </c>
      <c r="E1560" t="s">
        <v>522</v>
      </c>
      <c r="F1560" s="11">
        <v>43267</v>
      </c>
      <c r="G1560" s="2">
        <f>VLOOKUP(E1560,Produtos!$A:$E,5,FALSE)</f>
        <v>800</v>
      </c>
      <c r="H1560" s="2">
        <f>VLOOKUP(E1560,Produtos!$A:$E,4,FALSE)</f>
        <v>350</v>
      </c>
      <c r="I1560" s="2">
        <v>2</v>
      </c>
    </row>
    <row r="1561" spans="1:9" x14ac:dyDescent="0.25">
      <c r="A1561" s="2" t="str">
        <f>CONCATENATE(Códigos!S1560,Códigos!T1560,Códigos!U1560)</f>
        <v>svv1559v</v>
      </c>
      <c r="B1561" t="s">
        <v>406</v>
      </c>
      <c r="C1561" t="s">
        <v>362</v>
      </c>
      <c r="D1561" s="2" t="s">
        <v>363</v>
      </c>
      <c r="E1561" t="s">
        <v>522</v>
      </c>
      <c r="F1561" s="11">
        <v>43268</v>
      </c>
      <c r="G1561" s="2">
        <f>VLOOKUP(E1561,Produtos!$A:$E,5,FALSE)</f>
        <v>800</v>
      </c>
      <c r="H1561" s="2">
        <f>VLOOKUP(E1561,Produtos!$A:$E,4,FALSE)</f>
        <v>350</v>
      </c>
      <c r="I1561" s="2">
        <v>2</v>
      </c>
    </row>
    <row r="1562" spans="1:9" x14ac:dyDescent="0.25">
      <c r="A1562" s="2" t="str">
        <f>CONCATENATE(Códigos!S1561,Códigos!T1561,Códigos!U1561)</f>
        <v>svv1560v</v>
      </c>
      <c r="B1562" t="s">
        <v>406</v>
      </c>
      <c r="C1562" t="s">
        <v>362</v>
      </c>
      <c r="D1562" s="2" t="s">
        <v>363</v>
      </c>
      <c r="E1562" t="s">
        <v>522</v>
      </c>
      <c r="F1562" s="11">
        <v>43269</v>
      </c>
      <c r="G1562" s="2">
        <f>VLOOKUP(E1562,Produtos!$A:$E,5,FALSE)</f>
        <v>800</v>
      </c>
      <c r="H1562" s="2">
        <f>VLOOKUP(E1562,Produtos!$A:$E,4,FALSE)</f>
        <v>350</v>
      </c>
      <c r="I1562" s="2">
        <v>2</v>
      </c>
    </row>
    <row r="1563" spans="1:9" x14ac:dyDescent="0.25">
      <c r="A1563" s="2" t="str">
        <f>CONCATENATE(Códigos!S1562,Códigos!T1562,Códigos!U1562)</f>
        <v>svv1561v</v>
      </c>
      <c r="B1563" t="s">
        <v>406</v>
      </c>
      <c r="C1563" t="s">
        <v>362</v>
      </c>
      <c r="D1563" s="2" t="s">
        <v>363</v>
      </c>
      <c r="E1563" t="s">
        <v>522</v>
      </c>
      <c r="F1563" s="11">
        <v>43270</v>
      </c>
      <c r="G1563" s="2">
        <f>VLOOKUP(E1563,Produtos!$A:$E,5,FALSE)</f>
        <v>800</v>
      </c>
      <c r="H1563" s="2">
        <f>VLOOKUP(E1563,Produtos!$A:$E,4,FALSE)</f>
        <v>350</v>
      </c>
      <c r="I1563" s="2">
        <v>2</v>
      </c>
    </row>
    <row r="1564" spans="1:9" x14ac:dyDescent="0.25">
      <c r="A1564" s="2" t="str">
        <f>CONCATENATE(Códigos!S1563,Códigos!T1563,Códigos!U1563)</f>
        <v>svv1562v</v>
      </c>
      <c r="B1564" t="s">
        <v>406</v>
      </c>
      <c r="C1564" t="s">
        <v>362</v>
      </c>
      <c r="D1564" s="2" t="s">
        <v>363</v>
      </c>
      <c r="E1564" t="s">
        <v>522</v>
      </c>
      <c r="F1564" s="11">
        <v>43271</v>
      </c>
      <c r="G1564" s="2">
        <f>VLOOKUP(E1564,Produtos!$A:$E,5,FALSE)</f>
        <v>800</v>
      </c>
      <c r="H1564" s="2">
        <f>VLOOKUP(E1564,Produtos!$A:$E,4,FALSE)</f>
        <v>350</v>
      </c>
      <c r="I1564" s="2">
        <v>2</v>
      </c>
    </row>
    <row r="1565" spans="1:9" x14ac:dyDescent="0.25">
      <c r="A1565" s="2" t="str">
        <f>CONCATENATE(Códigos!S1564,Códigos!T1564,Códigos!U1564)</f>
        <v>svv1563v</v>
      </c>
      <c r="B1565" t="s">
        <v>406</v>
      </c>
      <c r="C1565" t="s">
        <v>362</v>
      </c>
      <c r="D1565" s="2" t="s">
        <v>363</v>
      </c>
      <c r="E1565" t="s">
        <v>522</v>
      </c>
      <c r="F1565" s="11">
        <v>43272</v>
      </c>
      <c r="G1565" s="2">
        <f>VLOOKUP(E1565,Produtos!$A:$E,5,FALSE)</f>
        <v>800</v>
      </c>
      <c r="H1565" s="2">
        <f>VLOOKUP(E1565,Produtos!$A:$E,4,FALSE)</f>
        <v>350</v>
      </c>
      <c r="I1565" s="2">
        <v>2</v>
      </c>
    </row>
    <row r="1566" spans="1:9" x14ac:dyDescent="0.25">
      <c r="A1566" s="2" t="str">
        <f>CONCATENATE(Códigos!S1565,Códigos!T1565,Códigos!U1565)</f>
        <v>svv1564v</v>
      </c>
      <c r="B1566" t="s">
        <v>406</v>
      </c>
      <c r="C1566" t="s">
        <v>362</v>
      </c>
      <c r="D1566" s="2" t="s">
        <v>363</v>
      </c>
      <c r="E1566" t="s">
        <v>522</v>
      </c>
      <c r="F1566" s="11">
        <v>43273</v>
      </c>
      <c r="G1566" s="2">
        <f>VLOOKUP(E1566,Produtos!$A:$E,5,FALSE)</f>
        <v>800</v>
      </c>
      <c r="H1566" s="2">
        <f>VLOOKUP(E1566,Produtos!$A:$E,4,FALSE)</f>
        <v>350</v>
      </c>
      <c r="I1566" s="2">
        <v>2</v>
      </c>
    </row>
    <row r="1567" spans="1:9" x14ac:dyDescent="0.25">
      <c r="A1567" s="2" t="str">
        <f>CONCATENATE(Códigos!S1566,Códigos!T1566,Códigos!U1566)</f>
        <v>svv1565v</v>
      </c>
      <c r="B1567" t="s">
        <v>406</v>
      </c>
      <c r="C1567" t="s">
        <v>362</v>
      </c>
      <c r="D1567" s="2" t="s">
        <v>363</v>
      </c>
      <c r="E1567" t="s">
        <v>522</v>
      </c>
      <c r="F1567" s="11">
        <v>43274</v>
      </c>
      <c r="G1567" s="2">
        <f>VLOOKUP(E1567,Produtos!$A:$E,5,FALSE)</f>
        <v>800</v>
      </c>
      <c r="H1567" s="2">
        <f>VLOOKUP(E1567,Produtos!$A:$E,4,FALSE)</f>
        <v>350</v>
      </c>
      <c r="I1567" s="2">
        <v>2</v>
      </c>
    </row>
    <row r="1568" spans="1:9" x14ac:dyDescent="0.25">
      <c r="A1568" s="2" t="str">
        <f>CONCATENATE(Códigos!S1567,Códigos!T1567,Códigos!U1567)</f>
        <v>svv1566v</v>
      </c>
      <c r="B1568" t="s">
        <v>406</v>
      </c>
      <c r="C1568" t="s">
        <v>362</v>
      </c>
      <c r="D1568" s="2" t="s">
        <v>363</v>
      </c>
      <c r="E1568" t="s">
        <v>522</v>
      </c>
      <c r="F1568" s="11">
        <v>43275</v>
      </c>
      <c r="G1568" s="2">
        <f>VLOOKUP(E1568,Produtos!$A:$E,5,FALSE)</f>
        <v>800</v>
      </c>
      <c r="H1568" s="2">
        <f>VLOOKUP(E1568,Produtos!$A:$E,4,FALSE)</f>
        <v>350</v>
      </c>
      <c r="I1568" s="2">
        <v>2</v>
      </c>
    </row>
    <row r="1569" spans="1:9" x14ac:dyDescent="0.25">
      <c r="A1569" s="2" t="str">
        <f>CONCATENATE(Códigos!S1568,Códigos!T1568,Códigos!U1568)</f>
        <v>svv1567v</v>
      </c>
      <c r="B1569" t="s">
        <v>406</v>
      </c>
      <c r="C1569" t="s">
        <v>362</v>
      </c>
      <c r="D1569" s="2" t="s">
        <v>363</v>
      </c>
      <c r="E1569" t="s">
        <v>522</v>
      </c>
      <c r="F1569" s="11">
        <v>43276</v>
      </c>
      <c r="G1569" s="2">
        <f>VLOOKUP(E1569,Produtos!$A:$E,5,FALSE)</f>
        <v>800</v>
      </c>
      <c r="H1569" s="2">
        <f>VLOOKUP(E1569,Produtos!$A:$E,4,FALSE)</f>
        <v>350</v>
      </c>
      <c r="I1569" s="2">
        <v>2</v>
      </c>
    </row>
    <row r="1570" spans="1:9" x14ac:dyDescent="0.25">
      <c r="A1570" s="2" t="str">
        <f>CONCATENATE(Códigos!S1569,Códigos!T1569,Códigos!U1569)</f>
        <v>svv1568v</v>
      </c>
      <c r="B1570" t="s">
        <v>406</v>
      </c>
      <c r="C1570" t="s">
        <v>362</v>
      </c>
      <c r="D1570" s="2" t="s">
        <v>363</v>
      </c>
      <c r="E1570" t="s">
        <v>522</v>
      </c>
      <c r="F1570" s="11">
        <v>43277</v>
      </c>
      <c r="G1570" s="2">
        <f>VLOOKUP(E1570,Produtos!$A:$E,5,FALSE)</f>
        <v>800</v>
      </c>
      <c r="H1570" s="2">
        <f>VLOOKUP(E1570,Produtos!$A:$E,4,FALSE)</f>
        <v>350</v>
      </c>
      <c r="I1570" s="2">
        <v>2</v>
      </c>
    </row>
    <row r="1571" spans="1:9" x14ac:dyDescent="0.25">
      <c r="A1571" s="2" t="str">
        <f>CONCATENATE(Códigos!S1570,Códigos!T1570,Códigos!U1570)</f>
        <v>svv1569v</v>
      </c>
      <c r="B1571" t="s">
        <v>406</v>
      </c>
      <c r="C1571" t="s">
        <v>362</v>
      </c>
      <c r="D1571" s="2" t="s">
        <v>363</v>
      </c>
      <c r="E1571" t="s">
        <v>522</v>
      </c>
      <c r="F1571" s="11">
        <v>43278</v>
      </c>
      <c r="G1571" s="2">
        <f>VLOOKUP(E1571,Produtos!$A:$E,5,FALSE)</f>
        <v>800</v>
      </c>
      <c r="H1571" s="2">
        <f>VLOOKUP(E1571,Produtos!$A:$E,4,FALSE)</f>
        <v>350</v>
      </c>
      <c r="I1571" s="2">
        <v>2</v>
      </c>
    </row>
    <row r="1572" spans="1:9" x14ac:dyDescent="0.25">
      <c r="A1572" s="2" t="str">
        <f>CONCATENATE(Códigos!S1571,Códigos!T1571,Códigos!U1571)</f>
        <v>svv1570v</v>
      </c>
      <c r="B1572" t="s">
        <v>406</v>
      </c>
      <c r="C1572" t="s">
        <v>362</v>
      </c>
      <c r="D1572" s="2" t="s">
        <v>363</v>
      </c>
      <c r="E1572" t="s">
        <v>522</v>
      </c>
      <c r="F1572" s="11">
        <v>43279</v>
      </c>
      <c r="G1572" s="2">
        <f>VLOOKUP(E1572,Produtos!$A:$E,5,FALSE)</f>
        <v>800</v>
      </c>
      <c r="H1572" s="2">
        <f>VLOOKUP(E1572,Produtos!$A:$E,4,FALSE)</f>
        <v>350</v>
      </c>
      <c r="I1572" s="2">
        <v>2</v>
      </c>
    </row>
    <row r="1573" spans="1:9" x14ac:dyDescent="0.25">
      <c r="A1573" s="2" t="str">
        <f>CONCATENATE(Códigos!S1572,Códigos!T1572,Códigos!U1572)</f>
        <v>svv1571v</v>
      </c>
      <c r="B1573" t="s">
        <v>406</v>
      </c>
      <c r="C1573" t="s">
        <v>362</v>
      </c>
      <c r="D1573" s="2" t="s">
        <v>363</v>
      </c>
      <c r="E1573" t="s">
        <v>522</v>
      </c>
      <c r="F1573" s="11">
        <v>43280</v>
      </c>
      <c r="G1573" s="2">
        <f>VLOOKUP(E1573,Produtos!$A:$E,5,FALSE)</f>
        <v>800</v>
      </c>
      <c r="H1573" s="2">
        <f>VLOOKUP(E1573,Produtos!$A:$E,4,FALSE)</f>
        <v>350</v>
      </c>
      <c r="I1573" s="2">
        <v>2</v>
      </c>
    </row>
    <row r="1574" spans="1:9" x14ac:dyDescent="0.25">
      <c r="A1574" s="2" t="str">
        <f>CONCATENATE(Códigos!S1573,Códigos!T1573,Códigos!U1573)</f>
        <v>svv1572v</v>
      </c>
      <c r="B1574" t="s">
        <v>406</v>
      </c>
      <c r="C1574" t="s">
        <v>362</v>
      </c>
      <c r="D1574" s="2" t="s">
        <v>363</v>
      </c>
      <c r="E1574" t="s">
        <v>522</v>
      </c>
      <c r="F1574" s="11">
        <v>43281</v>
      </c>
      <c r="G1574" s="2">
        <f>VLOOKUP(E1574,Produtos!$A:$E,5,FALSE)</f>
        <v>800</v>
      </c>
      <c r="H1574" s="2">
        <f>VLOOKUP(E1574,Produtos!$A:$E,4,FALSE)</f>
        <v>350</v>
      </c>
      <c r="I1574" s="2">
        <v>2</v>
      </c>
    </row>
    <row r="1575" spans="1:9" x14ac:dyDescent="0.25">
      <c r="A1575" s="2" t="str">
        <f>CONCATENATE(Códigos!S1574,Códigos!T1574,Códigos!U1574)</f>
        <v>svv1573v</v>
      </c>
      <c r="B1575" t="s">
        <v>406</v>
      </c>
      <c r="C1575" t="s">
        <v>362</v>
      </c>
      <c r="D1575" s="2" t="s">
        <v>363</v>
      </c>
      <c r="E1575" t="s">
        <v>522</v>
      </c>
      <c r="F1575" s="11">
        <v>43282</v>
      </c>
      <c r="G1575" s="2">
        <f>VLOOKUP(E1575,Produtos!$A:$E,5,FALSE)</f>
        <v>800</v>
      </c>
      <c r="H1575" s="2">
        <f>VLOOKUP(E1575,Produtos!$A:$E,4,FALSE)</f>
        <v>350</v>
      </c>
      <c r="I1575" s="2">
        <v>2</v>
      </c>
    </row>
    <row r="1576" spans="1:9" x14ac:dyDescent="0.25">
      <c r="A1576" s="2" t="str">
        <f>CONCATENATE(Códigos!S1575,Códigos!T1575,Códigos!U1575)</f>
        <v>svv1574v</v>
      </c>
      <c r="B1576" t="s">
        <v>406</v>
      </c>
      <c r="C1576" t="s">
        <v>362</v>
      </c>
      <c r="D1576" s="2" t="s">
        <v>363</v>
      </c>
      <c r="E1576" t="s">
        <v>522</v>
      </c>
      <c r="F1576" s="11">
        <v>43283</v>
      </c>
      <c r="G1576" s="2">
        <f>VLOOKUP(E1576,Produtos!$A:$E,5,FALSE)</f>
        <v>800</v>
      </c>
      <c r="H1576" s="2">
        <f>VLOOKUP(E1576,Produtos!$A:$E,4,FALSE)</f>
        <v>350</v>
      </c>
      <c r="I1576" s="2">
        <v>2</v>
      </c>
    </row>
    <row r="1577" spans="1:9" x14ac:dyDescent="0.25">
      <c r="A1577" s="2" t="str">
        <f>CONCATENATE(Códigos!S1576,Códigos!T1576,Códigos!U1576)</f>
        <v>svv1575v</v>
      </c>
      <c r="B1577" t="s">
        <v>406</v>
      </c>
      <c r="C1577" t="s">
        <v>362</v>
      </c>
      <c r="D1577" s="2" t="s">
        <v>363</v>
      </c>
      <c r="E1577" t="s">
        <v>522</v>
      </c>
      <c r="F1577" s="11">
        <v>43284</v>
      </c>
      <c r="G1577" s="2">
        <f>VLOOKUP(E1577,Produtos!$A:$E,5,FALSE)</f>
        <v>800</v>
      </c>
      <c r="H1577" s="2">
        <f>VLOOKUP(E1577,Produtos!$A:$E,4,FALSE)</f>
        <v>350</v>
      </c>
      <c r="I1577" s="2">
        <v>2</v>
      </c>
    </row>
    <row r="1578" spans="1:9" x14ac:dyDescent="0.25">
      <c r="A1578" s="2" t="str">
        <f>CONCATENATE(Códigos!S1577,Códigos!T1577,Códigos!U1577)</f>
        <v>svv1576v</v>
      </c>
      <c r="B1578" t="s">
        <v>406</v>
      </c>
      <c r="C1578" t="s">
        <v>362</v>
      </c>
      <c r="D1578" s="2" t="s">
        <v>363</v>
      </c>
      <c r="E1578" t="s">
        <v>522</v>
      </c>
      <c r="F1578" s="11">
        <v>43285</v>
      </c>
      <c r="G1578" s="2">
        <f>VLOOKUP(E1578,Produtos!$A:$E,5,FALSE)</f>
        <v>800</v>
      </c>
      <c r="H1578" s="2">
        <f>VLOOKUP(E1578,Produtos!$A:$E,4,FALSE)</f>
        <v>350</v>
      </c>
      <c r="I1578" s="2">
        <v>2</v>
      </c>
    </row>
    <row r="1579" spans="1:9" x14ac:dyDescent="0.25">
      <c r="A1579" s="2" t="str">
        <f>CONCATENATE(Códigos!S1578,Códigos!T1578,Códigos!U1578)</f>
        <v>svv1577v</v>
      </c>
      <c r="B1579" t="s">
        <v>406</v>
      </c>
      <c r="C1579" t="s">
        <v>362</v>
      </c>
      <c r="D1579" s="2" t="s">
        <v>363</v>
      </c>
      <c r="E1579" t="s">
        <v>522</v>
      </c>
      <c r="F1579" s="11">
        <v>43286</v>
      </c>
      <c r="G1579" s="2">
        <f>VLOOKUP(E1579,Produtos!$A:$E,5,FALSE)</f>
        <v>800</v>
      </c>
      <c r="H1579" s="2">
        <f>VLOOKUP(E1579,Produtos!$A:$E,4,FALSE)</f>
        <v>350</v>
      </c>
      <c r="I1579" s="2">
        <v>2</v>
      </c>
    </row>
    <row r="1580" spans="1:9" x14ac:dyDescent="0.25">
      <c r="A1580" s="2" t="str">
        <f>CONCATENATE(Códigos!S1579,Códigos!T1579,Códigos!U1579)</f>
        <v>svv1578v</v>
      </c>
      <c r="B1580" t="s">
        <v>406</v>
      </c>
      <c r="C1580" t="s">
        <v>362</v>
      </c>
      <c r="D1580" s="2" t="s">
        <v>363</v>
      </c>
      <c r="E1580" t="s">
        <v>522</v>
      </c>
      <c r="F1580" s="11">
        <v>43287</v>
      </c>
      <c r="G1580" s="2">
        <f>VLOOKUP(E1580,Produtos!$A:$E,5,FALSE)</f>
        <v>800</v>
      </c>
      <c r="H1580" s="2">
        <f>VLOOKUP(E1580,Produtos!$A:$E,4,FALSE)</f>
        <v>350</v>
      </c>
      <c r="I1580" s="2">
        <v>2</v>
      </c>
    </row>
    <row r="1581" spans="1:9" x14ac:dyDescent="0.25">
      <c r="A1581" s="2" t="str">
        <f>CONCATENATE(Códigos!S1580,Códigos!T1580,Códigos!U1580)</f>
        <v>svv1579v</v>
      </c>
      <c r="B1581" t="s">
        <v>406</v>
      </c>
      <c r="C1581" t="s">
        <v>362</v>
      </c>
      <c r="D1581" s="2" t="s">
        <v>363</v>
      </c>
      <c r="E1581" t="s">
        <v>522</v>
      </c>
      <c r="F1581" s="11">
        <v>43288</v>
      </c>
      <c r="G1581" s="2">
        <f>VLOOKUP(E1581,Produtos!$A:$E,5,FALSE)</f>
        <v>800</v>
      </c>
      <c r="H1581" s="2">
        <f>VLOOKUP(E1581,Produtos!$A:$E,4,FALSE)</f>
        <v>350</v>
      </c>
      <c r="I1581" s="2">
        <v>2</v>
      </c>
    </row>
    <row r="1582" spans="1:9" x14ac:dyDescent="0.25">
      <c r="A1582" s="2" t="str">
        <f>CONCATENATE(Códigos!S1581,Códigos!T1581,Códigos!U1581)</f>
        <v>svv1580v</v>
      </c>
      <c r="B1582" t="s">
        <v>406</v>
      </c>
      <c r="C1582" t="s">
        <v>362</v>
      </c>
      <c r="D1582" s="2" t="s">
        <v>363</v>
      </c>
      <c r="E1582" t="s">
        <v>522</v>
      </c>
      <c r="F1582" s="11">
        <v>43289</v>
      </c>
      <c r="G1582" s="2">
        <f>VLOOKUP(E1582,Produtos!$A:$E,5,FALSE)</f>
        <v>800</v>
      </c>
      <c r="H1582" s="2">
        <f>VLOOKUP(E1582,Produtos!$A:$E,4,FALSE)</f>
        <v>350</v>
      </c>
      <c r="I1582" s="2">
        <v>2</v>
      </c>
    </row>
    <row r="1583" spans="1:9" x14ac:dyDescent="0.25">
      <c r="A1583" s="2" t="str">
        <f>CONCATENATE(Códigos!S1582,Códigos!T1582,Códigos!U1582)</f>
        <v>svv1581v</v>
      </c>
      <c r="B1583" t="s">
        <v>406</v>
      </c>
      <c r="C1583" t="s">
        <v>362</v>
      </c>
      <c r="D1583" s="2" t="s">
        <v>363</v>
      </c>
      <c r="E1583" t="s">
        <v>522</v>
      </c>
      <c r="F1583" s="11">
        <v>43290</v>
      </c>
      <c r="G1583" s="2">
        <f>VLOOKUP(E1583,Produtos!$A:$E,5,FALSE)</f>
        <v>800</v>
      </c>
      <c r="H1583" s="2">
        <f>VLOOKUP(E1583,Produtos!$A:$E,4,FALSE)</f>
        <v>350</v>
      </c>
      <c r="I1583" s="2">
        <v>2</v>
      </c>
    </row>
    <row r="1584" spans="1:9" x14ac:dyDescent="0.25">
      <c r="A1584" s="2" t="str">
        <f>CONCATENATE(Códigos!S1583,Códigos!T1583,Códigos!U1583)</f>
        <v>svv1582v</v>
      </c>
      <c r="B1584" t="s">
        <v>406</v>
      </c>
      <c r="C1584" t="s">
        <v>362</v>
      </c>
      <c r="D1584" s="2" t="s">
        <v>363</v>
      </c>
      <c r="E1584" t="s">
        <v>522</v>
      </c>
      <c r="F1584" s="11">
        <v>43291</v>
      </c>
      <c r="G1584" s="2">
        <f>VLOOKUP(E1584,Produtos!$A:$E,5,FALSE)</f>
        <v>800</v>
      </c>
      <c r="H1584" s="2">
        <f>VLOOKUP(E1584,Produtos!$A:$E,4,FALSE)</f>
        <v>350</v>
      </c>
      <c r="I1584" s="2">
        <v>2</v>
      </c>
    </row>
    <row r="1585" spans="1:9" x14ac:dyDescent="0.25">
      <c r="A1585" s="2" t="str">
        <f>CONCATENATE(Códigos!S1584,Códigos!T1584,Códigos!U1584)</f>
        <v>svv1583v</v>
      </c>
      <c r="B1585" t="s">
        <v>406</v>
      </c>
      <c r="C1585" t="s">
        <v>362</v>
      </c>
      <c r="D1585" s="2" t="s">
        <v>363</v>
      </c>
      <c r="E1585" t="s">
        <v>522</v>
      </c>
      <c r="F1585" s="11">
        <v>43292</v>
      </c>
      <c r="G1585" s="2">
        <f>VLOOKUP(E1585,Produtos!$A:$E,5,FALSE)</f>
        <v>800</v>
      </c>
      <c r="H1585" s="2">
        <f>VLOOKUP(E1585,Produtos!$A:$E,4,FALSE)</f>
        <v>350</v>
      </c>
      <c r="I1585" s="2">
        <v>2</v>
      </c>
    </row>
    <row r="1586" spans="1:9" x14ac:dyDescent="0.25">
      <c r="A1586" s="2" t="str">
        <f>CONCATENATE(Códigos!S1585,Códigos!T1585,Códigos!U1585)</f>
        <v>svv1584v</v>
      </c>
      <c r="B1586" t="s">
        <v>406</v>
      </c>
      <c r="C1586" t="s">
        <v>362</v>
      </c>
      <c r="D1586" s="2" t="s">
        <v>363</v>
      </c>
      <c r="E1586" t="s">
        <v>522</v>
      </c>
      <c r="F1586" s="11">
        <v>43293</v>
      </c>
      <c r="G1586" s="2">
        <f>VLOOKUP(E1586,Produtos!$A:$E,5,FALSE)</f>
        <v>800</v>
      </c>
      <c r="H1586" s="2">
        <f>VLOOKUP(E1586,Produtos!$A:$E,4,FALSE)</f>
        <v>350</v>
      </c>
      <c r="I1586" s="2">
        <v>2</v>
      </c>
    </row>
    <row r="1587" spans="1:9" x14ac:dyDescent="0.25">
      <c r="A1587" s="2" t="str">
        <f>CONCATENATE(Códigos!S1586,Códigos!T1586,Códigos!U1586)</f>
        <v>svv1585v</v>
      </c>
      <c r="B1587" t="s">
        <v>406</v>
      </c>
      <c r="C1587" t="s">
        <v>362</v>
      </c>
      <c r="D1587" s="2" t="s">
        <v>363</v>
      </c>
      <c r="E1587" t="s">
        <v>522</v>
      </c>
      <c r="F1587" s="11">
        <v>43294</v>
      </c>
      <c r="G1587" s="2">
        <f>VLOOKUP(E1587,Produtos!$A:$E,5,FALSE)</f>
        <v>800</v>
      </c>
      <c r="H1587" s="2">
        <f>VLOOKUP(E1587,Produtos!$A:$E,4,FALSE)</f>
        <v>350</v>
      </c>
      <c r="I1587" s="2">
        <v>2</v>
      </c>
    </row>
    <row r="1588" spans="1:9" x14ac:dyDescent="0.25">
      <c r="A1588" s="2" t="str">
        <f>CONCATENATE(Códigos!S1587,Códigos!T1587,Códigos!U1587)</f>
        <v>svv1586v</v>
      </c>
      <c r="B1588" t="s">
        <v>406</v>
      </c>
      <c r="C1588" t="s">
        <v>362</v>
      </c>
      <c r="D1588" s="2" t="s">
        <v>363</v>
      </c>
      <c r="E1588" t="s">
        <v>522</v>
      </c>
      <c r="F1588" s="11">
        <v>43295</v>
      </c>
      <c r="G1588" s="2">
        <f>VLOOKUP(E1588,Produtos!$A:$E,5,FALSE)</f>
        <v>800</v>
      </c>
      <c r="H1588" s="2">
        <f>VLOOKUP(E1588,Produtos!$A:$E,4,FALSE)</f>
        <v>350</v>
      </c>
      <c r="I1588" s="2">
        <v>2</v>
      </c>
    </row>
    <row r="1589" spans="1:9" x14ac:dyDescent="0.25">
      <c r="A1589" s="2" t="str">
        <f>CONCATENATE(Códigos!S1588,Códigos!T1588,Códigos!U1588)</f>
        <v>svv1587v</v>
      </c>
      <c r="B1589" t="s">
        <v>406</v>
      </c>
      <c r="C1589" t="s">
        <v>362</v>
      </c>
      <c r="D1589" s="2" t="s">
        <v>363</v>
      </c>
      <c r="E1589" t="s">
        <v>522</v>
      </c>
      <c r="F1589" s="11">
        <v>43296</v>
      </c>
      <c r="G1589" s="2">
        <f>VLOOKUP(E1589,Produtos!$A:$E,5,FALSE)</f>
        <v>800</v>
      </c>
      <c r="H1589" s="2">
        <f>VLOOKUP(E1589,Produtos!$A:$E,4,FALSE)</f>
        <v>350</v>
      </c>
      <c r="I1589" s="2">
        <v>2</v>
      </c>
    </row>
    <row r="1590" spans="1:9" x14ac:dyDescent="0.25">
      <c r="A1590" s="2" t="str">
        <f>CONCATENATE(Códigos!S1589,Códigos!T1589,Códigos!U1589)</f>
        <v>svv1588v</v>
      </c>
      <c r="B1590" t="s">
        <v>406</v>
      </c>
      <c r="C1590" t="s">
        <v>362</v>
      </c>
      <c r="D1590" s="2" t="s">
        <v>363</v>
      </c>
      <c r="E1590" t="s">
        <v>522</v>
      </c>
      <c r="F1590" s="11">
        <v>43297</v>
      </c>
      <c r="G1590" s="2">
        <f>VLOOKUP(E1590,Produtos!$A:$E,5,FALSE)</f>
        <v>800</v>
      </c>
      <c r="H1590" s="2">
        <f>VLOOKUP(E1590,Produtos!$A:$E,4,FALSE)</f>
        <v>350</v>
      </c>
      <c r="I1590" s="2">
        <v>2</v>
      </c>
    </row>
    <row r="1591" spans="1:9" x14ac:dyDescent="0.25">
      <c r="A1591" s="2" t="str">
        <f>CONCATENATE(Códigos!S1590,Códigos!T1590,Códigos!U1590)</f>
        <v>svv1589v</v>
      </c>
      <c r="B1591" t="s">
        <v>406</v>
      </c>
      <c r="C1591" t="s">
        <v>362</v>
      </c>
      <c r="D1591" s="2" t="s">
        <v>363</v>
      </c>
      <c r="E1591" t="s">
        <v>522</v>
      </c>
      <c r="F1591" s="11">
        <v>43298</v>
      </c>
      <c r="G1591" s="2">
        <f>VLOOKUP(E1591,Produtos!$A:$E,5,FALSE)</f>
        <v>800</v>
      </c>
      <c r="H1591" s="2">
        <f>VLOOKUP(E1591,Produtos!$A:$E,4,FALSE)</f>
        <v>350</v>
      </c>
      <c r="I1591" s="2">
        <v>2</v>
      </c>
    </row>
    <row r="1592" spans="1:9" x14ac:dyDescent="0.25">
      <c r="A1592" s="2" t="str">
        <f>CONCATENATE(Códigos!S1591,Códigos!T1591,Códigos!U1591)</f>
        <v>svv1590v</v>
      </c>
      <c r="B1592" t="s">
        <v>406</v>
      </c>
      <c r="C1592" t="s">
        <v>362</v>
      </c>
      <c r="D1592" s="2" t="s">
        <v>363</v>
      </c>
      <c r="E1592" t="s">
        <v>522</v>
      </c>
      <c r="F1592" s="11">
        <v>43299</v>
      </c>
      <c r="G1592" s="2">
        <f>VLOOKUP(E1592,Produtos!$A:$E,5,FALSE)</f>
        <v>800</v>
      </c>
      <c r="H1592" s="2">
        <f>VLOOKUP(E1592,Produtos!$A:$E,4,FALSE)</f>
        <v>350</v>
      </c>
      <c r="I1592" s="2">
        <v>2</v>
      </c>
    </row>
    <row r="1593" spans="1:9" x14ac:dyDescent="0.25">
      <c r="A1593" s="2" t="str">
        <f>CONCATENATE(Códigos!S1592,Códigos!T1592,Códigos!U1592)</f>
        <v>svv1591v</v>
      </c>
      <c r="B1593" t="s">
        <v>406</v>
      </c>
      <c r="C1593" t="s">
        <v>362</v>
      </c>
      <c r="D1593" s="2" t="s">
        <v>363</v>
      </c>
      <c r="E1593" t="s">
        <v>522</v>
      </c>
      <c r="F1593" s="11">
        <v>43300</v>
      </c>
      <c r="G1593" s="2">
        <f>VLOOKUP(E1593,Produtos!$A:$E,5,FALSE)</f>
        <v>800</v>
      </c>
      <c r="H1593" s="2">
        <f>VLOOKUP(E1593,Produtos!$A:$E,4,FALSE)</f>
        <v>350</v>
      </c>
      <c r="I1593" s="2">
        <v>2</v>
      </c>
    </row>
    <row r="1594" spans="1:9" x14ac:dyDescent="0.25">
      <c r="A1594" s="2" t="str">
        <f>CONCATENATE(Códigos!S1593,Códigos!T1593,Códigos!U1593)</f>
        <v>svv1592v</v>
      </c>
      <c r="B1594" t="s">
        <v>406</v>
      </c>
      <c r="C1594" t="s">
        <v>362</v>
      </c>
      <c r="D1594" s="2" t="s">
        <v>363</v>
      </c>
      <c r="E1594" t="s">
        <v>522</v>
      </c>
      <c r="F1594" s="11">
        <v>43301</v>
      </c>
      <c r="G1594" s="2">
        <f>VLOOKUP(E1594,Produtos!$A:$E,5,FALSE)</f>
        <v>800</v>
      </c>
      <c r="H1594" s="2">
        <f>VLOOKUP(E1594,Produtos!$A:$E,4,FALSE)</f>
        <v>350</v>
      </c>
      <c r="I1594" s="2">
        <v>2</v>
      </c>
    </row>
    <row r="1595" spans="1:9" x14ac:dyDescent="0.25">
      <c r="A1595" s="2" t="str">
        <f>CONCATENATE(Códigos!S1594,Códigos!T1594,Códigos!U1594)</f>
        <v>svv1593v</v>
      </c>
      <c r="B1595" t="s">
        <v>406</v>
      </c>
      <c r="C1595" t="s">
        <v>362</v>
      </c>
      <c r="D1595" s="2" t="s">
        <v>363</v>
      </c>
      <c r="E1595" t="s">
        <v>522</v>
      </c>
      <c r="F1595" s="11">
        <v>43302</v>
      </c>
      <c r="G1595" s="2">
        <f>VLOOKUP(E1595,Produtos!$A:$E,5,FALSE)</f>
        <v>800</v>
      </c>
      <c r="H1595" s="2">
        <f>VLOOKUP(E1595,Produtos!$A:$E,4,FALSE)</f>
        <v>350</v>
      </c>
      <c r="I1595" s="2">
        <v>2</v>
      </c>
    </row>
    <row r="1596" spans="1:9" x14ac:dyDescent="0.25">
      <c r="A1596" s="2" t="str">
        <f>CONCATENATE(Códigos!S1595,Códigos!T1595,Códigos!U1595)</f>
        <v>svv1594v</v>
      </c>
      <c r="B1596" t="s">
        <v>406</v>
      </c>
      <c r="C1596" t="s">
        <v>362</v>
      </c>
      <c r="D1596" s="2" t="s">
        <v>363</v>
      </c>
      <c r="E1596" t="s">
        <v>522</v>
      </c>
      <c r="F1596" s="11">
        <v>43303</v>
      </c>
      <c r="G1596" s="2">
        <f>VLOOKUP(E1596,Produtos!$A:$E,5,FALSE)</f>
        <v>800</v>
      </c>
      <c r="H1596" s="2">
        <f>VLOOKUP(E1596,Produtos!$A:$E,4,FALSE)</f>
        <v>350</v>
      </c>
      <c r="I1596" s="2">
        <v>2</v>
      </c>
    </row>
    <row r="1597" spans="1:9" x14ac:dyDescent="0.25">
      <c r="A1597" s="2" t="str">
        <f>CONCATENATE(Códigos!S1596,Códigos!T1596,Códigos!U1596)</f>
        <v>svv1595v</v>
      </c>
      <c r="B1597" t="s">
        <v>406</v>
      </c>
      <c r="C1597" t="s">
        <v>362</v>
      </c>
      <c r="D1597" s="2" t="s">
        <v>363</v>
      </c>
      <c r="E1597" t="s">
        <v>520</v>
      </c>
      <c r="F1597" s="11">
        <v>43304</v>
      </c>
      <c r="G1597" s="2">
        <f>VLOOKUP(E1597,Produtos!$A:$E,5,FALSE)</f>
        <v>700</v>
      </c>
      <c r="H1597" s="2">
        <f>VLOOKUP(E1597,Produtos!$A:$E,4,FALSE)</f>
        <v>300</v>
      </c>
      <c r="I1597" s="2">
        <v>2</v>
      </c>
    </row>
    <row r="1598" spans="1:9" x14ac:dyDescent="0.25">
      <c r="A1598" s="2" t="str">
        <f>CONCATENATE(Códigos!S1597,Códigos!T1597,Códigos!U1597)</f>
        <v>svv1596v</v>
      </c>
      <c r="B1598" t="s">
        <v>406</v>
      </c>
      <c r="C1598" t="s">
        <v>362</v>
      </c>
      <c r="D1598" s="2" t="s">
        <v>363</v>
      </c>
      <c r="E1598" t="s">
        <v>520</v>
      </c>
      <c r="F1598" s="11">
        <v>43305</v>
      </c>
      <c r="G1598" s="2">
        <f>VLOOKUP(E1598,Produtos!$A:$E,5,FALSE)</f>
        <v>700</v>
      </c>
      <c r="H1598" s="2">
        <f>VLOOKUP(E1598,Produtos!$A:$E,4,FALSE)</f>
        <v>300</v>
      </c>
      <c r="I1598" s="2">
        <v>2</v>
      </c>
    </row>
    <row r="1599" spans="1:9" x14ac:dyDescent="0.25">
      <c r="A1599" s="2" t="str">
        <f>CONCATENATE(Códigos!S1598,Códigos!T1598,Códigos!U1598)</f>
        <v>svv1597v</v>
      </c>
      <c r="B1599" t="s">
        <v>406</v>
      </c>
      <c r="C1599" t="s">
        <v>362</v>
      </c>
      <c r="D1599" s="2" t="s">
        <v>363</v>
      </c>
      <c r="E1599" t="s">
        <v>520</v>
      </c>
      <c r="F1599" s="11">
        <v>43306</v>
      </c>
      <c r="G1599" s="2">
        <f>VLOOKUP(E1599,Produtos!$A:$E,5,FALSE)</f>
        <v>700</v>
      </c>
      <c r="H1599" s="2">
        <f>VLOOKUP(E1599,Produtos!$A:$E,4,FALSE)</f>
        <v>300</v>
      </c>
      <c r="I1599" s="2">
        <v>2</v>
      </c>
    </row>
    <row r="1600" spans="1:9" x14ac:dyDescent="0.25">
      <c r="A1600" s="2" t="str">
        <f>CONCATENATE(Códigos!S1599,Códigos!T1599,Códigos!U1599)</f>
        <v>svv1598v</v>
      </c>
      <c r="B1600" t="s">
        <v>406</v>
      </c>
      <c r="C1600" t="s">
        <v>362</v>
      </c>
      <c r="D1600" s="2" t="s">
        <v>363</v>
      </c>
      <c r="E1600" t="s">
        <v>520</v>
      </c>
      <c r="F1600" s="11">
        <v>43307</v>
      </c>
      <c r="G1600" s="2">
        <f>VLOOKUP(E1600,Produtos!$A:$E,5,FALSE)</f>
        <v>700</v>
      </c>
      <c r="H1600" s="2">
        <f>VLOOKUP(E1600,Produtos!$A:$E,4,FALSE)</f>
        <v>300</v>
      </c>
      <c r="I1600" s="2">
        <v>2</v>
      </c>
    </row>
    <row r="1601" spans="1:9" x14ac:dyDescent="0.25">
      <c r="A1601" s="2" t="str">
        <f>CONCATENATE(Códigos!S1600,Códigos!T1600,Códigos!U1600)</f>
        <v>svv1599v</v>
      </c>
      <c r="B1601" t="s">
        <v>406</v>
      </c>
      <c r="C1601" t="s">
        <v>362</v>
      </c>
      <c r="D1601" s="2" t="s">
        <v>363</v>
      </c>
      <c r="E1601" t="s">
        <v>520</v>
      </c>
      <c r="F1601" s="11">
        <v>43308</v>
      </c>
      <c r="G1601" s="2">
        <f>VLOOKUP(E1601,Produtos!$A:$E,5,FALSE)</f>
        <v>700</v>
      </c>
      <c r="H1601" s="2">
        <f>VLOOKUP(E1601,Produtos!$A:$E,4,FALSE)</f>
        <v>300</v>
      </c>
      <c r="I1601" s="2">
        <v>2</v>
      </c>
    </row>
    <row r="1602" spans="1:9" x14ac:dyDescent="0.25">
      <c r="A1602" s="2" t="str">
        <f>CONCATENATE(Códigos!S1601,Códigos!T1601,Códigos!U1601)</f>
        <v>svv1600v</v>
      </c>
      <c r="B1602" t="s">
        <v>406</v>
      </c>
      <c r="C1602" t="s">
        <v>362</v>
      </c>
      <c r="D1602" s="2" t="s">
        <v>363</v>
      </c>
      <c r="E1602" t="s">
        <v>520</v>
      </c>
      <c r="F1602" s="11">
        <v>43309</v>
      </c>
      <c r="G1602" s="2">
        <f>VLOOKUP(E1602,Produtos!$A:$E,5,FALSE)</f>
        <v>700</v>
      </c>
      <c r="H1602" s="2">
        <f>VLOOKUP(E1602,Produtos!$A:$E,4,FALSE)</f>
        <v>300</v>
      </c>
      <c r="I1602" s="2">
        <v>2</v>
      </c>
    </row>
    <row r="1603" spans="1:9" x14ac:dyDescent="0.25">
      <c r="A1603" s="2" t="str">
        <f>CONCATENATE(Códigos!S1602,Códigos!T1602,Códigos!U1602)</f>
        <v>svv1601v</v>
      </c>
      <c r="B1603" t="s">
        <v>406</v>
      </c>
      <c r="C1603" t="s">
        <v>362</v>
      </c>
      <c r="D1603" s="2" t="s">
        <v>363</v>
      </c>
      <c r="E1603" t="s">
        <v>520</v>
      </c>
      <c r="F1603" s="11">
        <v>43310</v>
      </c>
      <c r="G1603" s="2">
        <f>VLOOKUP(E1603,Produtos!$A:$E,5,FALSE)</f>
        <v>700</v>
      </c>
      <c r="H1603" s="2">
        <f>VLOOKUP(E1603,Produtos!$A:$E,4,FALSE)</f>
        <v>300</v>
      </c>
      <c r="I1603" s="2">
        <v>2</v>
      </c>
    </row>
    <row r="1604" spans="1:9" x14ac:dyDescent="0.25">
      <c r="A1604" s="2" t="str">
        <f>CONCATENATE(Códigos!S1603,Códigos!T1603,Códigos!U1603)</f>
        <v>svv1602v</v>
      </c>
      <c r="B1604" t="s">
        <v>406</v>
      </c>
      <c r="C1604" t="s">
        <v>362</v>
      </c>
      <c r="D1604" s="2" t="s">
        <v>363</v>
      </c>
      <c r="E1604" t="s">
        <v>520</v>
      </c>
      <c r="F1604" s="11">
        <v>43311</v>
      </c>
      <c r="G1604" s="2">
        <f>VLOOKUP(E1604,Produtos!$A:$E,5,FALSE)</f>
        <v>700</v>
      </c>
      <c r="H1604" s="2">
        <f>VLOOKUP(E1604,Produtos!$A:$E,4,FALSE)</f>
        <v>300</v>
      </c>
      <c r="I1604" s="2">
        <v>2</v>
      </c>
    </row>
    <row r="1605" spans="1:9" x14ac:dyDescent="0.25">
      <c r="A1605" s="2" t="str">
        <f>CONCATENATE(Códigos!S1604,Códigos!T1604,Códigos!U1604)</f>
        <v>svv1603v</v>
      </c>
      <c r="B1605" t="s">
        <v>406</v>
      </c>
      <c r="C1605" t="s">
        <v>362</v>
      </c>
      <c r="D1605" s="2" t="s">
        <v>363</v>
      </c>
      <c r="E1605" t="s">
        <v>520</v>
      </c>
      <c r="F1605" s="11">
        <v>43312</v>
      </c>
      <c r="G1605" s="2">
        <f>VLOOKUP(E1605,Produtos!$A:$E,5,FALSE)</f>
        <v>700</v>
      </c>
      <c r="H1605" s="2">
        <f>VLOOKUP(E1605,Produtos!$A:$E,4,FALSE)</f>
        <v>300</v>
      </c>
      <c r="I1605" s="2">
        <v>2</v>
      </c>
    </row>
    <row r="1606" spans="1:9" x14ac:dyDescent="0.25">
      <c r="A1606" s="2" t="str">
        <f>CONCATENATE(Códigos!S1605,Códigos!T1605,Códigos!U1605)</f>
        <v>svv1604v</v>
      </c>
      <c r="B1606" t="s">
        <v>406</v>
      </c>
      <c r="C1606" t="s">
        <v>362</v>
      </c>
      <c r="D1606" s="2" t="s">
        <v>363</v>
      </c>
      <c r="E1606" t="s">
        <v>520</v>
      </c>
      <c r="F1606" s="11">
        <v>43313</v>
      </c>
      <c r="G1606" s="2">
        <f>VLOOKUP(E1606,Produtos!$A:$E,5,FALSE)</f>
        <v>700</v>
      </c>
      <c r="H1606" s="2">
        <f>VLOOKUP(E1606,Produtos!$A:$E,4,FALSE)</f>
        <v>300</v>
      </c>
      <c r="I1606" s="2">
        <v>2</v>
      </c>
    </row>
    <row r="1607" spans="1:9" x14ac:dyDescent="0.25">
      <c r="A1607" s="2" t="str">
        <f>CONCATENATE(Códigos!S1606,Códigos!T1606,Códigos!U1606)</f>
        <v>svv1605v</v>
      </c>
      <c r="B1607" t="s">
        <v>406</v>
      </c>
      <c r="C1607" t="s">
        <v>362</v>
      </c>
      <c r="D1607" s="2" t="s">
        <v>363</v>
      </c>
      <c r="E1607" t="s">
        <v>520</v>
      </c>
      <c r="F1607" s="11">
        <v>43314</v>
      </c>
      <c r="G1607" s="2">
        <f>VLOOKUP(E1607,Produtos!$A:$E,5,FALSE)</f>
        <v>700</v>
      </c>
      <c r="H1607" s="2">
        <f>VLOOKUP(E1607,Produtos!$A:$E,4,FALSE)</f>
        <v>300</v>
      </c>
      <c r="I1607" s="2">
        <v>2</v>
      </c>
    </row>
    <row r="1608" spans="1:9" x14ac:dyDescent="0.25">
      <c r="A1608" s="2" t="str">
        <f>CONCATENATE(Códigos!S1607,Códigos!T1607,Códigos!U1607)</f>
        <v>svv1606v</v>
      </c>
      <c r="B1608" t="s">
        <v>406</v>
      </c>
      <c r="C1608" t="s">
        <v>362</v>
      </c>
      <c r="D1608" s="2" t="s">
        <v>363</v>
      </c>
      <c r="E1608" t="s">
        <v>520</v>
      </c>
      <c r="F1608" s="11">
        <v>43315</v>
      </c>
      <c r="G1608" s="2">
        <f>VLOOKUP(E1608,Produtos!$A:$E,5,FALSE)</f>
        <v>700</v>
      </c>
      <c r="H1608" s="2">
        <f>VLOOKUP(E1608,Produtos!$A:$E,4,FALSE)</f>
        <v>300</v>
      </c>
      <c r="I1608" s="2">
        <v>2</v>
      </c>
    </row>
    <row r="1609" spans="1:9" x14ac:dyDescent="0.25">
      <c r="A1609" s="2" t="str">
        <f>CONCATENATE(Códigos!S1608,Códigos!T1608,Códigos!U1608)</f>
        <v>svv1607v</v>
      </c>
      <c r="B1609" t="s">
        <v>406</v>
      </c>
      <c r="C1609" t="s">
        <v>362</v>
      </c>
      <c r="D1609" s="2" t="s">
        <v>363</v>
      </c>
      <c r="E1609" t="s">
        <v>520</v>
      </c>
      <c r="F1609" s="11">
        <v>43316</v>
      </c>
      <c r="G1609" s="2">
        <f>VLOOKUP(E1609,Produtos!$A:$E,5,FALSE)</f>
        <v>700</v>
      </c>
      <c r="H1609" s="2">
        <f>VLOOKUP(E1609,Produtos!$A:$E,4,FALSE)</f>
        <v>300</v>
      </c>
      <c r="I1609" s="2">
        <v>2</v>
      </c>
    </row>
    <row r="1610" spans="1:9" x14ac:dyDescent="0.25">
      <c r="A1610" s="2" t="str">
        <f>CONCATENATE(Códigos!S1609,Códigos!T1609,Códigos!U1609)</f>
        <v>svv1608v</v>
      </c>
      <c r="B1610" t="s">
        <v>406</v>
      </c>
      <c r="C1610" t="s">
        <v>362</v>
      </c>
      <c r="D1610" s="2" t="s">
        <v>363</v>
      </c>
      <c r="E1610" t="s">
        <v>520</v>
      </c>
      <c r="F1610" s="11">
        <v>43317</v>
      </c>
      <c r="G1610" s="2">
        <f>VLOOKUP(E1610,Produtos!$A:$E,5,FALSE)</f>
        <v>700</v>
      </c>
      <c r="H1610" s="2">
        <f>VLOOKUP(E1610,Produtos!$A:$E,4,FALSE)</f>
        <v>300</v>
      </c>
      <c r="I1610" s="2">
        <v>2</v>
      </c>
    </row>
    <row r="1611" spans="1:9" x14ac:dyDescent="0.25">
      <c r="A1611" s="2" t="str">
        <f>CONCATENATE(Códigos!S1610,Códigos!T1610,Códigos!U1610)</f>
        <v>svv1609v</v>
      </c>
      <c r="B1611" t="s">
        <v>406</v>
      </c>
      <c r="C1611" t="s">
        <v>362</v>
      </c>
      <c r="D1611" s="2" t="s">
        <v>363</v>
      </c>
      <c r="E1611" t="s">
        <v>520</v>
      </c>
      <c r="F1611" s="11">
        <v>43318</v>
      </c>
      <c r="G1611" s="2">
        <f>VLOOKUP(E1611,Produtos!$A:$E,5,FALSE)</f>
        <v>700</v>
      </c>
      <c r="H1611" s="2">
        <f>VLOOKUP(E1611,Produtos!$A:$E,4,FALSE)</f>
        <v>300</v>
      </c>
      <c r="I1611" s="2">
        <v>2</v>
      </c>
    </row>
    <row r="1612" spans="1:9" x14ac:dyDescent="0.25">
      <c r="A1612" s="2" t="str">
        <f>CONCATENATE(Códigos!S1611,Códigos!T1611,Códigos!U1611)</f>
        <v>svv1610v</v>
      </c>
      <c r="B1612" t="s">
        <v>406</v>
      </c>
      <c r="C1612" t="s">
        <v>362</v>
      </c>
      <c r="D1612" s="2" t="s">
        <v>363</v>
      </c>
      <c r="E1612" t="s">
        <v>520</v>
      </c>
      <c r="F1612" s="11">
        <v>43319</v>
      </c>
      <c r="G1612" s="2">
        <f>VLOOKUP(E1612,Produtos!$A:$E,5,FALSE)</f>
        <v>700</v>
      </c>
      <c r="H1612" s="2">
        <f>VLOOKUP(E1612,Produtos!$A:$E,4,FALSE)</f>
        <v>300</v>
      </c>
      <c r="I1612" s="2">
        <v>2</v>
      </c>
    </row>
    <row r="1613" spans="1:9" x14ac:dyDescent="0.25">
      <c r="A1613" s="2" t="str">
        <f>CONCATENATE(Códigos!S1612,Códigos!T1612,Códigos!U1612)</f>
        <v>svv1611v</v>
      </c>
      <c r="B1613" t="s">
        <v>406</v>
      </c>
      <c r="C1613" t="s">
        <v>362</v>
      </c>
      <c r="D1613" s="2" t="s">
        <v>363</v>
      </c>
      <c r="E1613" t="s">
        <v>520</v>
      </c>
      <c r="F1613" s="11">
        <v>43320</v>
      </c>
      <c r="G1613" s="2">
        <f>VLOOKUP(E1613,Produtos!$A:$E,5,FALSE)</f>
        <v>700</v>
      </c>
      <c r="H1613" s="2">
        <f>VLOOKUP(E1613,Produtos!$A:$E,4,FALSE)</f>
        <v>300</v>
      </c>
      <c r="I1613" s="2">
        <v>2</v>
      </c>
    </row>
    <row r="1614" spans="1:9" x14ac:dyDescent="0.25">
      <c r="A1614" s="2" t="str">
        <f>CONCATENATE(Códigos!S1613,Códigos!T1613,Códigos!U1613)</f>
        <v>svv1612v</v>
      </c>
      <c r="B1614" t="s">
        <v>406</v>
      </c>
      <c r="C1614" t="s">
        <v>362</v>
      </c>
      <c r="D1614" s="2" t="s">
        <v>363</v>
      </c>
      <c r="E1614" t="s">
        <v>520</v>
      </c>
      <c r="F1614" s="11">
        <v>43321</v>
      </c>
      <c r="G1614" s="2">
        <f>VLOOKUP(E1614,Produtos!$A:$E,5,FALSE)</f>
        <v>700</v>
      </c>
      <c r="H1614" s="2">
        <f>VLOOKUP(E1614,Produtos!$A:$E,4,FALSE)</f>
        <v>300</v>
      </c>
      <c r="I1614" s="2">
        <v>2</v>
      </c>
    </row>
    <row r="1615" spans="1:9" x14ac:dyDescent="0.25">
      <c r="A1615" s="2" t="str">
        <f>CONCATENATE(Códigos!S1614,Códigos!T1614,Códigos!U1614)</f>
        <v>svv1613v</v>
      </c>
      <c r="B1615" t="s">
        <v>406</v>
      </c>
      <c r="C1615" t="s">
        <v>362</v>
      </c>
      <c r="D1615" s="2" t="s">
        <v>363</v>
      </c>
      <c r="E1615" t="s">
        <v>520</v>
      </c>
      <c r="F1615" s="11">
        <v>43322</v>
      </c>
      <c r="G1615" s="2">
        <f>VLOOKUP(E1615,Produtos!$A:$E,5,FALSE)</f>
        <v>700</v>
      </c>
      <c r="H1615" s="2">
        <f>VLOOKUP(E1615,Produtos!$A:$E,4,FALSE)</f>
        <v>300</v>
      </c>
      <c r="I1615" s="2">
        <v>2</v>
      </c>
    </row>
    <row r="1616" spans="1:9" x14ac:dyDescent="0.25">
      <c r="A1616" s="2" t="str">
        <f>CONCATENATE(Códigos!S1615,Códigos!T1615,Códigos!U1615)</f>
        <v>svv1614v</v>
      </c>
      <c r="B1616" t="s">
        <v>406</v>
      </c>
      <c r="C1616" t="s">
        <v>362</v>
      </c>
      <c r="D1616" s="2" t="s">
        <v>363</v>
      </c>
      <c r="E1616" t="s">
        <v>520</v>
      </c>
      <c r="F1616" s="11">
        <v>43323</v>
      </c>
      <c r="G1616" s="2">
        <f>VLOOKUP(E1616,Produtos!$A:$E,5,FALSE)</f>
        <v>700</v>
      </c>
      <c r="H1616" s="2">
        <f>VLOOKUP(E1616,Produtos!$A:$E,4,FALSE)</f>
        <v>300</v>
      </c>
      <c r="I1616" s="2">
        <v>2</v>
      </c>
    </row>
    <row r="1617" spans="1:9" x14ac:dyDescent="0.25">
      <c r="A1617" s="2" t="str">
        <f>CONCATENATE(Códigos!S1616,Códigos!T1616,Códigos!U1616)</f>
        <v>svv1615v</v>
      </c>
      <c r="B1617" t="s">
        <v>409</v>
      </c>
      <c r="C1617" t="s">
        <v>388</v>
      </c>
      <c r="D1617" s="2" t="s">
        <v>389</v>
      </c>
      <c r="E1617" t="s">
        <v>520</v>
      </c>
      <c r="F1617" s="11">
        <v>43324</v>
      </c>
      <c r="G1617" s="2">
        <f>VLOOKUP(E1617,Produtos!$A:$E,5,FALSE)</f>
        <v>700</v>
      </c>
      <c r="H1617" s="2">
        <f>VLOOKUP(E1617,Produtos!$A:$E,4,FALSE)</f>
        <v>300</v>
      </c>
      <c r="I1617" s="2">
        <v>2</v>
      </c>
    </row>
    <row r="1618" spans="1:9" x14ac:dyDescent="0.25">
      <c r="A1618" s="2" t="str">
        <f>CONCATENATE(Códigos!S1617,Códigos!T1617,Códigos!U1617)</f>
        <v>svv1616v</v>
      </c>
      <c r="B1618" t="s">
        <v>409</v>
      </c>
      <c r="C1618" t="s">
        <v>388</v>
      </c>
      <c r="D1618" s="2" t="s">
        <v>389</v>
      </c>
      <c r="E1618" t="s">
        <v>520</v>
      </c>
      <c r="F1618" s="11">
        <v>43325</v>
      </c>
      <c r="G1618" s="2">
        <f>VLOOKUP(E1618,Produtos!$A:$E,5,FALSE)</f>
        <v>700</v>
      </c>
      <c r="H1618" s="2">
        <f>VLOOKUP(E1618,Produtos!$A:$E,4,FALSE)</f>
        <v>300</v>
      </c>
      <c r="I1618" s="2">
        <v>2</v>
      </c>
    </row>
    <row r="1619" spans="1:9" x14ac:dyDescent="0.25">
      <c r="A1619" s="2" t="str">
        <f>CONCATENATE(Códigos!S1618,Códigos!T1618,Códigos!U1618)</f>
        <v>svv1617v</v>
      </c>
      <c r="B1619" t="s">
        <v>409</v>
      </c>
      <c r="C1619" t="s">
        <v>388</v>
      </c>
      <c r="D1619" s="2" t="s">
        <v>389</v>
      </c>
      <c r="E1619" t="s">
        <v>520</v>
      </c>
      <c r="F1619" s="11">
        <v>43326</v>
      </c>
      <c r="G1619" s="2">
        <f>VLOOKUP(E1619,Produtos!$A:$E,5,FALSE)</f>
        <v>700</v>
      </c>
      <c r="H1619" s="2">
        <f>VLOOKUP(E1619,Produtos!$A:$E,4,FALSE)</f>
        <v>300</v>
      </c>
      <c r="I1619" s="2">
        <v>2</v>
      </c>
    </row>
    <row r="1620" spans="1:9" x14ac:dyDescent="0.25">
      <c r="A1620" s="2" t="str">
        <f>CONCATENATE(Códigos!S1619,Códigos!T1619,Códigos!U1619)</f>
        <v>svv1618v</v>
      </c>
      <c r="B1620" t="s">
        <v>409</v>
      </c>
      <c r="C1620" t="s">
        <v>388</v>
      </c>
      <c r="D1620" s="2" t="s">
        <v>389</v>
      </c>
      <c r="E1620" t="s">
        <v>520</v>
      </c>
      <c r="F1620" s="11">
        <v>43327</v>
      </c>
      <c r="G1620" s="2">
        <f>VLOOKUP(E1620,Produtos!$A:$E,5,FALSE)</f>
        <v>700</v>
      </c>
      <c r="H1620" s="2">
        <f>VLOOKUP(E1620,Produtos!$A:$E,4,FALSE)</f>
        <v>300</v>
      </c>
      <c r="I1620" s="2">
        <v>2</v>
      </c>
    </row>
    <row r="1621" spans="1:9" x14ac:dyDescent="0.25">
      <c r="A1621" s="2" t="str">
        <f>CONCATENATE(Códigos!S1620,Códigos!T1620,Códigos!U1620)</f>
        <v>svv1619v</v>
      </c>
      <c r="B1621" t="s">
        <v>409</v>
      </c>
      <c r="C1621" t="s">
        <v>388</v>
      </c>
      <c r="D1621" s="2" t="s">
        <v>389</v>
      </c>
      <c r="E1621" t="s">
        <v>520</v>
      </c>
      <c r="F1621" s="11">
        <v>43328</v>
      </c>
      <c r="G1621" s="2">
        <f>VLOOKUP(E1621,Produtos!$A:$E,5,FALSE)</f>
        <v>700</v>
      </c>
      <c r="H1621" s="2">
        <f>VLOOKUP(E1621,Produtos!$A:$E,4,FALSE)</f>
        <v>300</v>
      </c>
      <c r="I1621" s="2">
        <v>2</v>
      </c>
    </row>
    <row r="1622" spans="1:9" x14ac:dyDescent="0.25">
      <c r="A1622" s="2" t="str">
        <f>CONCATENATE(Códigos!S1621,Códigos!T1621,Códigos!U1621)</f>
        <v>svv1620v</v>
      </c>
      <c r="B1622" t="s">
        <v>409</v>
      </c>
      <c r="C1622" t="s">
        <v>388</v>
      </c>
      <c r="D1622" s="2" t="s">
        <v>389</v>
      </c>
      <c r="E1622" t="s">
        <v>520</v>
      </c>
      <c r="F1622" s="11">
        <v>43329</v>
      </c>
      <c r="G1622" s="2">
        <f>VLOOKUP(E1622,Produtos!$A:$E,5,FALSE)</f>
        <v>700</v>
      </c>
      <c r="H1622" s="2">
        <f>VLOOKUP(E1622,Produtos!$A:$E,4,FALSE)</f>
        <v>300</v>
      </c>
      <c r="I1622" s="2">
        <v>2</v>
      </c>
    </row>
    <row r="1623" spans="1:9" x14ac:dyDescent="0.25">
      <c r="A1623" s="2" t="str">
        <f>CONCATENATE(Códigos!S1622,Códigos!T1622,Códigos!U1622)</f>
        <v>svv1621v</v>
      </c>
      <c r="B1623" t="s">
        <v>409</v>
      </c>
      <c r="C1623" t="s">
        <v>388</v>
      </c>
      <c r="D1623" s="2" t="s">
        <v>389</v>
      </c>
      <c r="E1623" t="s">
        <v>520</v>
      </c>
      <c r="F1623" s="11">
        <v>43330</v>
      </c>
      <c r="G1623" s="2">
        <f>VLOOKUP(E1623,Produtos!$A:$E,5,FALSE)</f>
        <v>700</v>
      </c>
      <c r="H1623" s="2">
        <f>VLOOKUP(E1623,Produtos!$A:$E,4,FALSE)</f>
        <v>300</v>
      </c>
      <c r="I1623" s="2">
        <v>2</v>
      </c>
    </row>
    <row r="1624" spans="1:9" x14ac:dyDescent="0.25">
      <c r="A1624" s="2" t="str">
        <f>CONCATENATE(Códigos!S1623,Códigos!T1623,Códigos!U1623)</f>
        <v>svv1622v</v>
      </c>
      <c r="B1624" t="s">
        <v>409</v>
      </c>
      <c r="C1624" t="s">
        <v>388</v>
      </c>
      <c r="D1624" s="2" t="s">
        <v>389</v>
      </c>
      <c r="E1624" t="s">
        <v>520</v>
      </c>
      <c r="F1624" s="11">
        <v>43331</v>
      </c>
      <c r="G1624" s="2">
        <f>VLOOKUP(E1624,Produtos!$A:$E,5,FALSE)</f>
        <v>700</v>
      </c>
      <c r="H1624" s="2">
        <f>VLOOKUP(E1624,Produtos!$A:$E,4,FALSE)</f>
        <v>300</v>
      </c>
      <c r="I1624" s="2">
        <v>2</v>
      </c>
    </row>
    <row r="1625" spans="1:9" x14ac:dyDescent="0.25">
      <c r="A1625" s="2" t="str">
        <f>CONCATENATE(Códigos!S1624,Códigos!T1624,Códigos!U1624)</f>
        <v>svv1623v</v>
      </c>
      <c r="B1625" t="s">
        <v>409</v>
      </c>
      <c r="C1625" t="s">
        <v>388</v>
      </c>
      <c r="D1625" s="2" t="s">
        <v>389</v>
      </c>
      <c r="E1625" t="s">
        <v>520</v>
      </c>
      <c r="F1625" s="11">
        <v>43332</v>
      </c>
      <c r="G1625" s="2">
        <f>VLOOKUP(E1625,Produtos!$A:$E,5,FALSE)</f>
        <v>700</v>
      </c>
      <c r="H1625" s="2">
        <f>VLOOKUP(E1625,Produtos!$A:$E,4,FALSE)</f>
        <v>300</v>
      </c>
      <c r="I1625" s="2">
        <v>2</v>
      </c>
    </row>
    <row r="1626" spans="1:9" x14ac:dyDescent="0.25">
      <c r="A1626" s="2" t="str">
        <f>CONCATENATE(Códigos!S1625,Códigos!T1625,Códigos!U1625)</f>
        <v>svv1624v</v>
      </c>
      <c r="B1626" t="s">
        <v>409</v>
      </c>
      <c r="C1626" t="s">
        <v>388</v>
      </c>
      <c r="D1626" s="2" t="s">
        <v>389</v>
      </c>
      <c r="E1626" t="s">
        <v>520</v>
      </c>
      <c r="F1626" s="11">
        <v>43333</v>
      </c>
      <c r="G1626" s="2">
        <f>VLOOKUP(E1626,Produtos!$A:$E,5,FALSE)</f>
        <v>700</v>
      </c>
      <c r="H1626" s="2">
        <f>VLOOKUP(E1626,Produtos!$A:$E,4,FALSE)</f>
        <v>300</v>
      </c>
      <c r="I1626" s="2">
        <v>2</v>
      </c>
    </row>
    <row r="1627" spans="1:9" x14ac:dyDescent="0.25">
      <c r="A1627" s="2" t="str">
        <f>CONCATENATE(Códigos!S1626,Códigos!T1626,Códigos!U1626)</f>
        <v>svv1625v</v>
      </c>
      <c r="B1627" t="s">
        <v>409</v>
      </c>
      <c r="C1627" t="s">
        <v>388</v>
      </c>
      <c r="D1627" s="2" t="s">
        <v>389</v>
      </c>
      <c r="E1627" t="s">
        <v>520</v>
      </c>
      <c r="F1627" s="11">
        <v>43334</v>
      </c>
      <c r="G1627" s="2">
        <f>VLOOKUP(E1627,Produtos!$A:$E,5,FALSE)</f>
        <v>700</v>
      </c>
      <c r="H1627" s="2">
        <f>VLOOKUP(E1627,Produtos!$A:$E,4,FALSE)</f>
        <v>300</v>
      </c>
      <c r="I1627" s="2">
        <v>2</v>
      </c>
    </row>
    <row r="1628" spans="1:9" x14ac:dyDescent="0.25">
      <c r="A1628" s="2" t="str">
        <f>CONCATENATE(Códigos!S1627,Códigos!T1627,Códigos!U1627)</f>
        <v>svv1626v</v>
      </c>
      <c r="B1628" t="s">
        <v>409</v>
      </c>
      <c r="C1628" t="s">
        <v>388</v>
      </c>
      <c r="D1628" s="2" t="s">
        <v>389</v>
      </c>
      <c r="E1628" t="s">
        <v>520</v>
      </c>
      <c r="F1628" s="11">
        <v>43335</v>
      </c>
      <c r="G1628" s="2">
        <f>VLOOKUP(E1628,Produtos!$A:$E,5,FALSE)</f>
        <v>700</v>
      </c>
      <c r="H1628" s="2">
        <f>VLOOKUP(E1628,Produtos!$A:$E,4,FALSE)</f>
        <v>300</v>
      </c>
      <c r="I1628" s="2">
        <v>2</v>
      </c>
    </row>
    <row r="1629" spans="1:9" x14ac:dyDescent="0.25">
      <c r="A1629" s="2" t="str">
        <f>CONCATENATE(Códigos!S1628,Códigos!T1628,Códigos!U1628)</f>
        <v>svv1627v</v>
      </c>
      <c r="B1629" t="s">
        <v>409</v>
      </c>
      <c r="C1629" t="s">
        <v>388</v>
      </c>
      <c r="D1629" s="2" t="s">
        <v>389</v>
      </c>
      <c r="E1629" t="s">
        <v>520</v>
      </c>
      <c r="F1629" s="11">
        <v>43336</v>
      </c>
      <c r="G1629" s="2">
        <f>VLOOKUP(E1629,Produtos!$A:$E,5,FALSE)</f>
        <v>700</v>
      </c>
      <c r="H1629" s="2">
        <f>VLOOKUP(E1629,Produtos!$A:$E,4,FALSE)</f>
        <v>300</v>
      </c>
      <c r="I1629" s="2">
        <v>2</v>
      </c>
    </row>
    <row r="1630" spans="1:9" x14ac:dyDescent="0.25">
      <c r="A1630" s="2" t="str">
        <f>CONCATENATE(Códigos!S1629,Códigos!T1629,Códigos!U1629)</f>
        <v>svv1628v</v>
      </c>
      <c r="B1630" t="s">
        <v>409</v>
      </c>
      <c r="C1630" t="s">
        <v>388</v>
      </c>
      <c r="D1630" s="2" t="s">
        <v>389</v>
      </c>
      <c r="E1630" t="s">
        <v>520</v>
      </c>
      <c r="F1630" s="11">
        <v>43337</v>
      </c>
      <c r="G1630" s="2">
        <f>VLOOKUP(E1630,Produtos!$A:$E,5,FALSE)</f>
        <v>700</v>
      </c>
      <c r="H1630" s="2">
        <f>VLOOKUP(E1630,Produtos!$A:$E,4,FALSE)</f>
        <v>300</v>
      </c>
      <c r="I1630" s="2">
        <v>2</v>
      </c>
    </row>
    <row r="1631" spans="1:9" x14ac:dyDescent="0.25">
      <c r="A1631" s="2" t="str">
        <f>CONCATENATE(Códigos!S1630,Códigos!T1630,Códigos!U1630)</f>
        <v>svv1629v</v>
      </c>
      <c r="B1631" t="s">
        <v>409</v>
      </c>
      <c r="C1631" t="s">
        <v>388</v>
      </c>
      <c r="D1631" s="2" t="s">
        <v>389</v>
      </c>
      <c r="E1631" t="s">
        <v>520</v>
      </c>
      <c r="F1631" s="11">
        <v>43338</v>
      </c>
      <c r="G1631" s="2">
        <f>VLOOKUP(E1631,Produtos!$A:$E,5,FALSE)</f>
        <v>700</v>
      </c>
      <c r="H1631" s="2">
        <f>VLOOKUP(E1631,Produtos!$A:$E,4,FALSE)</f>
        <v>300</v>
      </c>
      <c r="I1631" s="2">
        <v>2</v>
      </c>
    </row>
    <row r="1632" spans="1:9" x14ac:dyDescent="0.25">
      <c r="A1632" s="2" t="str">
        <f>CONCATENATE(Códigos!S1631,Códigos!T1631,Códigos!U1631)</f>
        <v>svv1630v</v>
      </c>
      <c r="B1632" t="s">
        <v>409</v>
      </c>
      <c r="C1632" t="s">
        <v>388</v>
      </c>
      <c r="D1632" s="2" t="s">
        <v>389</v>
      </c>
      <c r="E1632" t="s">
        <v>520</v>
      </c>
      <c r="F1632" s="11">
        <v>43339</v>
      </c>
      <c r="G1632" s="2">
        <f>VLOOKUP(E1632,Produtos!$A:$E,5,FALSE)</f>
        <v>700</v>
      </c>
      <c r="H1632" s="2">
        <f>VLOOKUP(E1632,Produtos!$A:$E,4,FALSE)</f>
        <v>300</v>
      </c>
      <c r="I1632" s="2">
        <v>2</v>
      </c>
    </row>
    <row r="1633" spans="1:9" x14ac:dyDescent="0.25">
      <c r="A1633" s="2" t="str">
        <f>CONCATENATE(Códigos!S1632,Códigos!T1632,Códigos!U1632)</f>
        <v>svv1631v</v>
      </c>
      <c r="B1633" t="s">
        <v>409</v>
      </c>
      <c r="C1633" t="s">
        <v>388</v>
      </c>
      <c r="D1633" s="2" t="s">
        <v>389</v>
      </c>
      <c r="E1633" t="s">
        <v>520</v>
      </c>
      <c r="F1633" s="11">
        <v>43340</v>
      </c>
      <c r="G1633" s="2">
        <f>VLOOKUP(E1633,Produtos!$A:$E,5,FALSE)</f>
        <v>700</v>
      </c>
      <c r="H1633" s="2">
        <f>VLOOKUP(E1633,Produtos!$A:$E,4,FALSE)</f>
        <v>300</v>
      </c>
      <c r="I1633" s="2">
        <v>2</v>
      </c>
    </row>
    <row r="1634" spans="1:9" x14ac:dyDescent="0.25">
      <c r="A1634" s="2" t="str">
        <f>CONCATENATE(Códigos!S1633,Códigos!T1633,Códigos!U1633)</f>
        <v>svv1632v</v>
      </c>
      <c r="B1634" t="s">
        <v>409</v>
      </c>
      <c r="C1634" t="s">
        <v>388</v>
      </c>
      <c r="D1634" s="2" t="s">
        <v>389</v>
      </c>
      <c r="E1634" t="s">
        <v>520</v>
      </c>
      <c r="F1634" s="11">
        <v>43341</v>
      </c>
      <c r="G1634" s="2">
        <f>VLOOKUP(E1634,Produtos!$A:$E,5,FALSE)</f>
        <v>700</v>
      </c>
      <c r="H1634" s="2">
        <f>VLOOKUP(E1634,Produtos!$A:$E,4,FALSE)</f>
        <v>300</v>
      </c>
      <c r="I1634" s="2">
        <v>2</v>
      </c>
    </row>
    <row r="1635" spans="1:9" x14ac:dyDescent="0.25">
      <c r="A1635" s="2" t="str">
        <f>CONCATENATE(Códigos!S1634,Códigos!T1634,Códigos!U1634)</f>
        <v>svv1633v</v>
      </c>
      <c r="B1635" t="s">
        <v>409</v>
      </c>
      <c r="C1635" t="s">
        <v>388</v>
      </c>
      <c r="D1635" s="2" t="s">
        <v>389</v>
      </c>
      <c r="E1635" t="s">
        <v>520</v>
      </c>
      <c r="F1635" s="11">
        <v>43342</v>
      </c>
      <c r="G1635" s="2">
        <f>VLOOKUP(E1635,Produtos!$A:$E,5,FALSE)</f>
        <v>700</v>
      </c>
      <c r="H1635" s="2">
        <f>VLOOKUP(E1635,Produtos!$A:$E,4,FALSE)</f>
        <v>300</v>
      </c>
      <c r="I1635" s="2">
        <v>2</v>
      </c>
    </row>
    <row r="1636" spans="1:9" x14ac:dyDescent="0.25">
      <c r="A1636" s="2" t="str">
        <f>CONCATENATE(Códigos!S1635,Códigos!T1635,Códigos!U1635)</f>
        <v>svv1634v</v>
      </c>
      <c r="B1636" t="s">
        <v>409</v>
      </c>
      <c r="C1636" t="s">
        <v>388</v>
      </c>
      <c r="D1636" s="2" t="s">
        <v>389</v>
      </c>
      <c r="E1636" t="s">
        <v>520</v>
      </c>
      <c r="F1636" s="11">
        <v>43343</v>
      </c>
      <c r="G1636" s="2">
        <f>VLOOKUP(E1636,Produtos!$A:$E,5,FALSE)</f>
        <v>700</v>
      </c>
      <c r="H1636" s="2">
        <f>VLOOKUP(E1636,Produtos!$A:$E,4,FALSE)</f>
        <v>300</v>
      </c>
      <c r="I1636" s="2">
        <v>2</v>
      </c>
    </row>
    <row r="1637" spans="1:9" x14ac:dyDescent="0.25">
      <c r="A1637" s="2" t="str">
        <f>CONCATENATE(Códigos!S1636,Códigos!T1636,Códigos!U1636)</f>
        <v>svv1635v</v>
      </c>
      <c r="B1637" t="s">
        <v>409</v>
      </c>
      <c r="C1637" t="s">
        <v>388</v>
      </c>
      <c r="D1637" s="2" t="s">
        <v>389</v>
      </c>
      <c r="E1637" t="s">
        <v>520</v>
      </c>
      <c r="F1637" s="11">
        <v>43344</v>
      </c>
      <c r="G1637" s="2">
        <f>VLOOKUP(E1637,Produtos!$A:$E,5,FALSE)</f>
        <v>700</v>
      </c>
      <c r="H1637" s="2">
        <f>VLOOKUP(E1637,Produtos!$A:$E,4,FALSE)</f>
        <v>300</v>
      </c>
      <c r="I1637" s="2">
        <v>2</v>
      </c>
    </row>
    <row r="1638" spans="1:9" x14ac:dyDescent="0.25">
      <c r="A1638" s="2" t="str">
        <f>CONCATENATE(Códigos!S1637,Códigos!T1637,Códigos!U1637)</f>
        <v>svv1636v</v>
      </c>
      <c r="B1638" t="s">
        <v>409</v>
      </c>
      <c r="C1638" t="s">
        <v>388</v>
      </c>
      <c r="D1638" s="2" t="s">
        <v>389</v>
      </c>
      <c r="E1638" t="s">
        <v>520</v>
      </c>
      <c r="F1638" s="11">
        <v>43345</v>
      </c>
      <c r="G1638" s="2">
        <f>VLOOKUP(E1638,Produtos!$A:$E,5,FALSE)</f>
        <v>700</v>
      </c>
      <c r="H1638" s="2">
        <f>VLOOKUP(E1638,Produtos!$A:$E,4,FALSE)</f>
        <v>300</v>
      </c>
      <c r="I1638" s="2">
        <v>2</v>
      </c>
    </row>
    <row r="1639" spans="1:9" x14ac:dyDescent="0.25">
      <c r="A1639" s="2" t="str">
        <f>CONCATENATE(Códigos!S1638,Códigos!T1638,Códigos!U1638)</f>
        <v>svv1637v</v>
      </c>
      <c r="B1639" t="s">
        <v>409</v>
      </c>
      <c r="C1639" t="s">
        <v>388</v>
      </c>
      <c r="D1639" s="2" t="s">
        <v>389</v>
      </c>
      <c r="E1639" t="s">
        <v>520</v>
      </c>
      <c r="F1639" s="11">
        <v>43346</v>
      </c>
      <c r="G1639" s="2">
        <f>VLOOKUP(E1639,Produtos!$A:$E,5,FALSE)</f>
        <v>700</v>
      </c>
      <c r="H1639" s="2">
        <f>VLOOKUP(E1639,Produtos!$A:$E,4,FALSE)</f>
        <v>300</v>
      </c>
      <c r="I1639" s="2">
        <v>2</v>
      </c>
    </row>
    <row r="1640" spans="1:9" x14ac:dyDescent="0.25">
      <c r="A1640" s="2" t="str">
        <f>CONCATENATE(Códigos!S1639,Códigos!T1639,Códigos!U1639)</f>
        <v>svv1638v</v>
      </c>
      <c r="B1640" t="s">
        <v>409</v>
      </c>
      <c r="C1640" t="s">
        <v>388</v>
      </c>
      <c r="D1640" s="2" t="s">
        <v>389</v>
      </c>
      <c r="E1640" t="s">
        <v>520</v>
      </c>
      <c r="F1640" s="11">
        <v>43347</v>
      </c>
      <c r="G1640" s="2">
        <f>VLOOKUP(E1640,Produtos!$A:$E,5,FALSE)</f>
        <v>700</v>
      </c>
      <c r="H1640" s="2">
        <f>VLOOKUP(E1640,Produtos!$A:$E,4,FALSE)</f>
        <v>300</v>
      </c>
      <c r="I1640" s="2">
        <v>2</v>
      </c>
    </row>
    <row r="1641" spans="1:9" x14ac:dyDescent="0.25">
      <c r="A1641" s="2" t="str">
        <f>CONCATENATE(Códigos!S1640,Códigos!T1640,Códigos!U1640)</f>
        <v>svv1639v</v>
      </c>
      <c r="B1641" t="s">
        <v>409</v>
      </c>
      <c r="C1641" t="s">
        <v>388</v>
      </c>
      <c r="D1641" s="2" t="s">
        <v>389</v>
      </c>
      <c r="E1641" t="s">
        <v>520</v>
      </c>
      <c r="F1641" s="11">
        <v>43348</v>
      </c>
      <c r="G1641" s="2">
        <f>VLOOKUP(E1641,Produtos!$A:$E,5,FALSE)</f>
        <v>700</v>
      </c>
      <c r="H1641" s="2">
        <f>VLOOKUP(E1641,Produtos!$A:$E,4,FALSE)</f>
        <v>300</v>
      </c>
      <c r="I1641" s="2">
        <v>2</v>
      </c>
    </row>
    <row r="1642" spans="1:9" x14ac:dyDescent="0.25">
      <c r="A1642" s="2" t="str">
        <f>CONCATENATE(Códigos!S1641,Códigos!T1641,Códigos!U1641)</f>
        <v>svv1640v</v>
      </c>
      <c r="B1642" t="s">
        <v>409</v>
      </c>
      <c r="C1642" t="s">
        <v>388</v>
      </c>
      <c r="D1642" s="2" t="s">
        <v>389</v>
      </c>
      <c r="E1642" t="s">
        <v>520</v>
      </c>
      <c r="F1642" s="11">
        <v>43349</v>
      </c>
      <c r="G1642" s="2">
        <f>VLOOKUP(E1642,Produtos!$A:$E,5,FALSE)</f>
        <v>700</v>
      </c>
      <c r="H1642" s="2">
        <f>VLOOKUP(E1642,Produtos!$A:$E,4,FALSE)</f>
        <v>300</v>
      </c>
      <c r="I1642" s="2">
        <v>2</v>
      </c>
    </row>
    <row r="1643" spans="1:9" x14ac:dyDescent="0.25">
      <c r="A1643" s="2" t="str">
        <f>CONCATENATE(Códigos!S1642,Códigos!T1642,Códigos!U1642)</f>
        <v>svv1641v</v>
      </c>
      <c r="B1643" t="s">
        <v>409</v>
      </c>
      <c r="C1643" t="s">
        <v>388</v>
      </c>
      <c r="D1643" s="2" t="s">
        <v>389</v>
      </c>
      <c r="E1643" t="s">
        <v>520</v>
      </c>
      <c r="F1643" s="11">
        <v>43350</v>
      </c>
      <c r="G1643" s="2">
        <f>VLOOKUP(E1643,Produtos!$A:$E,5,FALSE)</f>
        <v>700</v>
      </c>
      <c r="H1643" s="2">
        <f>VLOOKUP(E1643,Produtos!$A:$E,4,FALSE)</f>
        <v>300</v>
      </c>
      <c r="I1643" s="2">
        <v>2</v>
      </c>
    </row>
    <row r="1644" spans="1:9" x14ac:dyDescent="0.25">
      <c r="A1644" s="2" t="str">
        <f>CONCATENATE(Códigos!S1643,Códigos!T1643,Códigos!U1643)</f>
        <v>svv1642v</v>
      </c>
      <c r="B1644" t="s">
        <v>409</v>
      </c>
      <c r="C1644" t="s">
        <v>388</v>
      </c>
      <c r="D1644" s="2" t="s">
        <v>389</v>
      </c>
      <c r="E1644" t="s">
        <v>520</v>
      </c>
      <c r="F1644" s="11">
        <v>43351</v>
      </c>
      <c r="G1644" s="2">
        <f>VLOOKUP(E1644,Produtos!$A:$E,5,FALSE)</f>
        <v>700</v>
      </c>
      <c r="H1644" s="2">
        <f>VLOOKUP(E1644,Produtos!$A:$E,4,FALSE)</f>
        <v>300</v>
      </c>
      <c r="I1644" s="2">
        <v>2</v>
      </c>
    </row>
    <row r="1645" spans="1:9" x14ac:dyDescent="0.25">
      <c r="A1645" s="2" t="str">
        <f>CONCATENATE(Códigos!S1644,Códigos!T1644,Códigos!U1644)</f>
        <v>svv1643v</v>
      </c>
      <c r="B1645" t="s">
        <v>409</v>
      </c>
      <c r="C1645" t="s">
        <v>388</v>
      </c>
      <c r="D1645" s="2" t="s">
        <v>389</v>
      </c>
      <c r="E1645" t="s">
        <v>517</v>
      </c>
      <c r="F1645" s="11">
        <v>43352</v>
      </c>
      <c r="G1645" s="2">
        <f>VLOOKUP(E1645,Produtos!$A:$E,5,FALSE)</f>
        <v>1200</v>
      </c>
      <c r="H1645" s="2">
        <f>VLOOKUP(E1645,Produtos!$A:$E,4,FALSE)</f>
        <v>400</v>
      </c>
      <c r="I1645" s="2">
        <v>2</v>
      </c>
    </row>
    <row r="1646" spans="1:9" x14ac:dyDescent="0.25">
      <c r="A1646" s="2" t="str">
        <f>CONCATENATE(Códigos!S1645,Códigos!T1645,Códigos!U1645)</f>
        <v>svv1644v</v>
      </c>
      <c r="B1646" t="s">
        <v>409</v>
      </c>
      <c r="C1646" t="s">
        <v>388</v>
      </c>
      <c r="D1646" s="2" t="s">
        <v>389</v>
      </c>
      <c r="E1646" t="s">
        <v>517</v>
      </c>
      <c r="F1646" s="11">
        <v>43353</v>
      </c>
      <c r="G1646" s="2">
        <f>VLOOKUP(E1646,Produtos!$A:$E,5,FALSE)</f>
        <v>1200</v>
      </c>
      <c r="H1646" s="2">
        <f>VLOOKUP(E1646,Produtos!$A:$E,4,FALSE)</f>
        <v>400</v>
      </c>
      <c r="I1646" s="2">
        <v>2</v>
      </c>
    </row>
    <row r="1647" spans="1:9" x14ac:dyDescent="0.25">
      <c r="A1647" s="2" t="str">
        <f>CONCATENATE(Códigos!S1646,Códigos!T1646,Códigos!U1646)</f>
        <v>svv1645v</v>
      </c>
      <c r="B1647" t="s">
        <v>409</v>
      </c>
      <c r="C1647" t="s">
        <v>388</v>
      </c>
      <c r="D1647" s="2" t="s">
        <v>389</v>
      </c>
      <c r="E1647" t="s">
        <v>517</v>
      </c>
      <c r="F1647" s="11">
        <v>43354</v>
      </c>
      <c r="G1647" s="2">
        <f>VLOOKUP(E1647,Produtos!$A:$E,5,FALSE)</f>
        <v>1200</v>
      </c>
      <c r="H1647" s="2">
        <f>VLOOKUP(E1647,Produtos!$A:$E,4,FALSE)</f>
        <v>400</v>
      </c>
      <c r="I1647" s="2">
        <v>2</v>
      </c>
    </row>
    <row r="1648" spans="1:9" x14ac:dyDescent="0.25">
      <c r="A1648" s="2" t="str">
        <f>CONCATENATE(Códigos!S1647,Códigos!T1647,Códigos!U1647)</f>
        <v>svv1646v</v>
      </c>
      <c r="B1648" t="s">
        <v>409</v>
      </c>
      <c r="C1648" t="s">
        <v>388</v>
      </c>
      <c r="D1648" s="2" t="s">
        <v>389</v>
      </c>
      <c r="E1648" t="s">
        <v>517</v>
      </c>
      <c r="F1648" s="11">
        <v>43355</v>
      </c>
      <c r="G1648" s="2">
        <f>VLOOKUP(E1648,Produtos!$A:$E,5,FALSE)</f>
        <v>1200</v>
      </c>
      <c r="H1648" s="2">
        <f>VLOOKUP(E1648,Produtos!$A:$E,4,FALSE)</f>
        <v>400</v>
      </c>
      <c r="I1648" s="2">
        <v>2</v>
      </c>
    </row>
    <row r="1649" spans="1:9" x14ac:dyDescent="0.25">
      <c r="A1649" s="2" t="str">
        <f>CONCATENATE(Códigos!S1648,Códigos!T1648,Códigos!U1648)</f>
        <v>svv1647v</v>
      </c>
      <c r="B1649" t="s">
        <v>409</v>
      </c>
      <c r="C1649" t="s">
        <v>388</v>
      </c>
      <c r="D1649" s="2" t="s">
        <v>389</v>
      </c>
      <c r="E1649" t="s">
        <v>517</v>
      </c>
      <c r="F1649" s="11">
        <v>43356</v>
      </c>
      <c r="G1649" s="2">
        <f>VLOOKUP(E1649,Produtos!$A:$E,5,FALSE)</f>
        <v>1200</v>
      </c>
      <c r="H1649" s="2">
        <f>VLOOKUP(E1649,Produtos!$A:$E,4,FALSE)</f>
        <v>400</v>
      </c>
      <c r="I1649" s="2">
        <v>2</v>
      </c>
    </row>
    <row r="1650" spans="1:9" x14ac:dyDescent="0.25">
      <c r="A1650" s="2" t="str">
        <f>CONCATENATE(Códigos!S1649,Códigos!T1649,Códigos!U1649)</f>
        <v>svv1648v</v>
      </c>
      <c r="B1650" t="s">
        <v>409</v>
      </c>
      <c r="C1650" t="s">
        <v>388</v>
      </c>
      <c r="D1650" s="2" t="s">
        <v>389</v>
      </c>
      <c r="E1650" t="s">
        <v>517</v>
      </c>
      <c r="F1650" s="11">
        <v>43357</v>
      </c>
      <c r="G1650" s="2">
        <f>VLOOKUP(E1650,Produtos!$A:$E,5,FALSE)</f>
        <v>1200</v>
      </c>
      <c r="H1650" s="2">
        <f>VLOOKUP(E1650,Produtos!$A:$E,4,FALSE)</f>
        <v>400</v>
      </c>
      <c r="I1650" s="2">
        <v>2</v>
      </c>
    </row>
    <row r="1651" spans="1:9" x14ac:dyDescent="0.25">
      <c r="A1651" s="2" t="str">
        <f>CONCATENATE(Códigos!S1650,Códigos!T1650,Códigos!U1650)</f>
        <v>svv1649v</v>
      </c>
      <c r="B1651" t="s">
        <v>409</v>
      </c>
      <c r="C1651" t="s">
        <v>388</v>
      </c>
      <c r="D1651" s="2" t="s">
        <v>389</v>
      </c>
      <c r="E1651" t="s">
        <v>517</v>
      </c>
      <c r="F1651" s="11">
        <v>43358</v>
      </c>
      <c r="G1651" s="2">
        <f>VLOOKUP(E1651,Produtos!$A:$E,5,FALSE)</f>
        <v>1200</v>
      </c>
      <c r="H1651" s="2">
        <f>VLOOKUP(E1651,Produtos!$A:$E,4,FALSE)</f>
        <v>400</v>
      </c>
      <c r="I1651" s="2">
        <v>2</v>
      </c>
    </row>
    <row r="1652" spans="1:9" x14ac:dyDescent="0.25">
      <c r="A1652" s="2" t="str">
        <f>CONCATENATE(Códigos!S1651,Códigos!T1651,Códigos!U1651)</f>
        <v>svv1650v</v>
      </c>
      <c r="B1652" t="s">
        <v>409</v>
      </c>
      <c r="C1652" t="s">
        <v>388</v>
      </c>
      <c r="D1652" s="2" t="s">
        <v>389</v>
      </c>
      <c r="E1652" t="s">
        <v>517</v>
      </c>
      <c r="F1652" s="11">
        <v>43359</v>
      </c>
      <c r="G1652" s="2">
        <f>VLOOKUP(E1652,Produtos!$A:$E,5,FALSE)</f>
        <v>1200</v>
      </c>
      <c r="H1652" s="2">
        <f>VLOOKUP(E1652,Produtos!$A:$E,4,FALSE)</f>
        <v>400</v>
      </c>
      <c r="I1652" s="2">
        <v>2</v>
      </c>
    </row>
    <row r="1653" spans="1:9" x14ac:dyDescent="0.25">
      <c r="A1653" s="2" t="str">
        <f>CONCATENATE(Códigos!S1652,Códigos!T1652,Códigos!U1652)</f>
        <v>svv1651v</v>
      </c>
      <c r="B1653" t="s">
        <v>409</v>
      </c>
      <c r="C1653" t="s">
        <v>388</v>
      </c>
      <c r="D1653" s="2" t="s">
        <v>389</v>
      </c>
      <c r="E1653" t="s">
        <v>517</v>
      </c>
      <c r="F1653" s="11">
        <v>43360</v>
      </c>
      <c r="G1653" s="2">
        <f>VLOOKUP(E1653,Produtos!$A:$E,5,FALSE)</f>
        <v>1200</v>
      </c>
      <c r="H1653" s="2">
        <f>VLOOKUP(E1653,Produtos!$A:$E,4,FALSE)</f>
        <v>400</v>
      </c>
      <c r="I1653" s="2">
        <v>2</v>
      </c>
    </row>
    <row r="1654" spans="1:9" x14ac:dyDescent="0.25">
      <c r="A1654" s="2" t="str">
        <f>CONCATENATE(Códigos!S1653,Códigos!T1653,Códigos!U1653)</f>
        <v>svv1652v</v>
      </c>
      <c r="B1654" t="s">
        <v>409</v>
      </c>
      <c r="C1654" t="s">
        <v>388</v>
      </c>
      <c r="D1654" s="2" t="s">
        <v>389</v>
      </c>
      <c r="E1654" t="s">
        <v>517</v>
      </c>
      <c r="F1654" s="11">
        <v>43361</v>
      </c>
      <c r="G1654" s="2">
        <f>VLOOKUP(E1654,Produtos!$A:$E,5,FALSE)</f>
        <v>1200</v>
      </c>
      <c r="H1654" s="2">
        <f>VLOOKUP(E1654,Produtos!$A:$E,4,FALSE)</f>
        <v>400</v>
      </c>
      <c r="I1654" s="2">
        <v>2</v>
      </c>
    </row>
    <row r="1655" spans="1:9" x14ac:dyDescent="0.25">
      <c r="A1655" s="2" t="str">
        <f>CONCATENATE(Códigos!S1654,Códigos!T1654,Códigos!U1654)</f>
        <v>svv1653v</v>
      </c>
      <c r="B1655" t="s">
        <v>409</v>
      </c>
      <c r="C1655" t="s">
        <v>388</v>
      </c>
      <c r="D1655" s="2" t="s">
        <v>389</v>
      </c>
      <c r="E1655" t="s">
        <v>517</v>
      </c>
      <c r="F1655" s="11">
        <v>43362</v>
      </c>
      <c r="G1655" s="2">
        <f>VLOOKUP(E1655,Produtos!$A:$E,5,FALSE)</f>
        <v>1200</v>
      </c>
      <c r="H1655" s="2">
        <f>VLOOKUP(E1655,Produtos!$A:$E,4,FALSE)</f>
        <v>400</v>
      </c>
      <c r="I1655" s="2">
        <v>2</v>
      </c>
    </row>
    <row r="1656" spans="1:9" x14ac:dyDescent="0.25">
      <c r="A1656" s="2" t="str">
        <f>CONCATENATE(Códigos!S1655,Códigos!T1655,Códigos!U1655)</f>
        <v>svv1654v</v>
      </c>
      <c r="B1656" t="s">
        <v>409</v>
      </c>
      <c r="C1656" t="s">
        <v>388</v>
      </c>
      <c r="D1656" s="2" t="s">
        <v>389</v>
      </c>
      <c r="E1656" t="s">
        <v>517</v>
      </c>
      <c r="F1656" s="11">
        <v>43363</v>
      </c>
      <c r="G1656" s="2">
        <f>VLOOKUP(E1656,Produtos!$A:$E,5,FALSE)</f>
        <v>1200</v>
      </c>
      <c r="H1656" s="2">
        <f>VLOOKUP(E1656,Produtos!$A:$E,4,FALSE)</f>
        <v>400</v>
      </c>
      <c r="I1656" s="2">
        <v>2</v>
      </c>
    </row>
    <row r="1657" spans="1:9" x14ac:dyDescent="0.25">
      <c r="A1657" s="2" t="str">
        <f>CONCATENATE(Códigos!S1656,Códigos!T1656,Códigos!U1656)</f>
        <v>svv1655v</v>
      </c>
      <c r="B1657" t="s">
        <v>409</v>
      </c>
      <c r="C1657" t="s">
        <v>388</v>
      </c>
      <c r="D1657" s="2" t="s">
        <v>389</v>
      </c>
      <c r="E1657" t="s">
        <v>517</v>
      </c>
      <c r="F1657" s="11">
        <v>43364</v>
      </c>
      <c r="G1657" s="2">
        <f>VLOOKUP(E1657,Produtos!$A:$E,5,FALSE)</f>
        <v>1200</v>
      </c>
      <c r="H1657" s="2">
        <f>VLOOKUP(E1657,Produtos!$A:$E,4,FALSE)</f>
        <v>400</v>
      </c>
      <c r="I1657" s="2">
        <v>2</v>
      </c>
    </row>
    <row r="1658" spans="1:9" x14ac:dyDescent="0.25">
      <c r="A1658" s="2" t="str">
        <f>CONCATENATE(Códigos!S1657,Códigos!T1657,Códigos!U1657)</f>
        <v>svv1656v</v>
      </c>
      <c r="B1658" t="s">
        <v>409</v>
      </c>
      <c r="C1658" t="s">
        <v>388</v>
      </c>
      <c r="D1658" s="2" t="s">
        <v>389</v>
      </c>
      <c r="E1658" t="s">
        <v>517</v>
      </c>
      <c r="F1658" s="11">
        <v>43365</v>
      </c>
      <c r="G1658" s="2">
        <f>VLOOKUP(E1658,Produtos!$A:$E,5,FALSE)</f>
        <v>1200</v>
      </c>
      <c r="H1658" s="2">
        <f>VLOOKUP(E1658,Produtos!$A:$E,4,FALSE)</f>
        <v>400</v>
      </c>
      <c r="I1658" s="2">
        <v>2</v>
      </c>
    </row>
    <row r="1659" spans="1:9" x14ac:dyDescent="0.25">
      <c r="A1659" s="2" t="str">
        <f>CONCATENATE(Códigos!S1658,Códigos!T1658,Códigos!U1658)</f>
        <v>svv1657v</v>
      </c>
      <c r="B1659" t="s">
        <v>409</v>
      </c>
      <c r="C1659" t="s">
        <v>388</v>
      </c>
      <c r="D1659" s="2" t="s">
        <v>389</v>
      </c>
      <c r="E1659" t="s">
        <v>517</v>
      </c>
      <c r="F1659" s="11">
        <v>43366</v>
      </c>
      <c r="G1659" s="2">
        <f>VLOOKUP(E1659,Produtos!$A:$E,5,FALSE)</f>
        <v>1200</v>
      </c>
      <c r="H1659" s="2">
        <f>VLOOKUP(E1659,Produtos!$A:$E,4,FALSE)</f>
        <v>400</v>
      </c>
      <c r="I1659" s="2">
        <v>2</v>
      </c>
    </row>
    <row r="1660" spans="1:9" x14ac:dyDescent="0.25">
      <c r="A1660" s="2" t="str">
        <f>CONCATENATE(Códigos!S1659,Códigos!T1659,Códigos!U1659)</f>
        <v>svv1658v</v>
      </c>
      <c r="B1660" t="s">
        <v>409</v>
      </c>
      <c r="C1660" t="s">
        <v>388</v>
      </c>
      <c r="D1660" s="2" t="s">
        <v>389</v>
      </c>
      <c r="E1660" t="s">
        <v>517</v>
      </c>
      <c r="F1660" s="11">
        <v>43367</v>
      </c>
      <c r="G1660" s="2">
        <f>VLOOKUP(E1660,Produtos!$A:$E,5,FALSE)</f>
        <v>1200</v>
      </c>
      <c r="H1660" s="2">
        <f>VLOOKUP(E1660,Produtos!$A:$E,4,FALSE)</f>
        <v>400</v>
      </c>
      <c r="I1660" s="2">
        <v>2</v>
      </c>
    </row>
    <row r="1661" spans="1:9" x14ac:dyDescent="0.25">
      <c r="A1661" s="2" t="str">
        <f>CONCATENATE(Códigos!S1660,Códigos!T1660,Códigos!U1660)</f>
        <v>svv1659v</v>
      </c>
      <c r="B1661" t="s">
        <v>409</v>
      </c>
      <c r="C1661" t="s">
        <v>388</v>
      </c>
      <c r="D1661" s="2" t="s">
        <v>389</v>
      </c>
      <c r="E1661" t="s">
        <v>517</v>
      </c>
      <c r="F1661" s="11">
        <v>43368</v>
      </c>
      <c r="G1661" s="2">
        <f>VLOOKUP(E1661,Produtos!$A:$E,5,FALSE)</f>
        <v>1200</v>
      </c>
      <c r="H1661" s="2">
        <f>VLOOKUP(E1661,Produtos!$A:$E,4,FALSE)</f>
        <v>400</v>
      </c>
      <c r="I1661" s="2">
        <v>2</v>
      </c>
    </row>
    <row r="1662" spans="1:9" x14ac:dyDescent="0.25">
      <c r="A1662" s="2" t="str">
        <f>CONCATENATE(Códigos!S1661,Códigos!T1661,Códigos!U1661)</f>
        <v>svv1660v</v>
      </c>
      <c r="B1662" t="s">
        <v>409</v>
      </c>
      <c r="C1662" t="s">
        <v>388</v>
      </c>
      <c r="D1662" s="2" t="s">
        <v>389</v>
      </c>
      <c r="E1662" t="s">
        <v>517</v>
      </c>
      <c r="F1662" s="11">
        <v>43369</v>
      </c>
      <c r="G1662" s="2">
        <f>VLOOKUP(E1662,Produtos!$A:$E,5,FALSE)</f>
        <v>1200</v>
      </c>
      <c r="H1662" s="2">
        <f>VLOOKUP(E1662,Produtos!$A:$E,4,FALSE)</f>
        <v>400</v>
      </c>
      <c r="I1662" s="2">
        <v>2</v>
      </c>
    </row>
    <row r="1663" spans="1:9" x14ac:dyDescent="0.25">
      <c r="A1663" s="2" t="str">
        <f>CONCATENATE(Códigos!S1662,Códigos!T1662,Códigos!U1662)</f>
        <v>svv1661v</v>
      </c>
      <c r="B1663" t="s">
        <v>409</v>
      </c>
      <c r="C1663" t="s">
        <v>388</v>
      </c>
      <c r="D1663" s="2" t="s">
        <v>389</v>
      </c>
      <c r="E1663" t="s">
        <v>517</v>
      </c>
      <c r="F1663" s="11">
        <v>43370</v>
      </c>
      <c r="G1663" s="2">
        <f>VLOOKUP(E1663,Produtos!$A:$E,5,FALSE)</f>
        <v>1200</v>
      </c>
      <c r="H1663" s="2">
        <f>VLOOKUP(E1663,Produtos!$A:$E,4,FALSE)</f>
        <v>400</v>
      </c>
      <c r="I1663" s="2">
        <v>2</v>
      </c>
    </row>
    <row r="1664" spans="1:9" x14ac:dyDescent="0.25">
      <c r="A1664" s="2" t="str">
        <f>CONCATENATE(Códigos!S1663,Códigos!T1663,Códigos!U1663)</f>
        <v>svv1662v</v>
      </c>
      <c r="B1664" t="s">
        <v>409</v>
      </c>
      <c r="C1664" t="s">
        <v>388</v>
      </c>
      <c r="D1664" s="2" t="s">
        <v>389</v>
      </c>
      <c r="E1664" t="s">
        <v>517</v>
      </c>
      <c r="F1664" s="11">
        <v>43371</v>
      </c>
      <c r="G1664" s="2">
        <f>VLOOKUP(E1664,Produtos!$A:$E,5,FALSE)</f>
        <v>1200</v>
      </c>
      <c r="H1664" s="2">
        <f>VLOOKUP(E1664,Produtos!$A:$E,4,FALSE)</f>
        <v>400</v>
      </c>
      <c r="I1664" s="2">
        <v>2</v>
      </c>
    </row>
    <row r="1665" spans="1:9" x14ac:dyDescent="0.25">
      <c r="A1665" s="2" t="str">
        <f>CONCATENATE(Códigos!S1664,Códigos!T1664,Códigos!U1664)</f>
        <v>svv1663v</v>
      </c>
      <c r="B1665" t="s">
        <v>409</v>
      </c>
      <c r="C1665" t="s">
        <v>399</v>
      </c>
      <c r="D1665" s="2" t="s">
        <v>400</v>
      </c>
      <c r="E1665" t="s">
        <v>517</v>
      </c>
      <c r="F1665" s="11">
        <v>43372</v>
      </c>
      <c r="G1665" s="2">
        <f>VLOOKUP(E1665,Produtos!$A:$E,5,FALSE)</f>
        <v>1200</v>
      </c>
      <c r="H1665" s="2">
        <f>VLOOKUP(E1665,Produtos!$A:$E,4,FALSE)</f>
        <v>400</v>
      </c>
      <c r="I1665" s="2">
        <v>2</v>
      </c>
    </row>
    <row r="1666" spans="1:9" x14ac:dyDescent="0.25">
      <c r="A1666" s="2" t="str">
        <f>CONCATENATE(Códigos!S1665,Códigos!T1665,Códigos!U1665)</f>
        <v>svv1664v</v>
      </c>
      <c r="B1666" t="s">
        <v>409</v>
      </c>
      <c r="C1666" t="s">
        <v>399</v>
      </c>
      <c r="D1666" s="2" t="s">
        <v>400</v>
      </c>
      <c r="E1666" t="s">
        <v>517</v>
      </c>
      <c r="F1666" s="11">
        <v>43373</v>
      </c>
      <c r="G1666" s="2">
        <f>VLOOKUP(E1666,Produtos!$A:$E,5,FALSE)</f>
        <v>1200</v>
      </c>
      <c r="H1666" s="2">
        <f>VLOOKUP(E1666,Produtos!$A:$E,4,FALSE)</f>
        <v>400</v>
      </c>
      <c r="I1666" s="2">
        <v>2</v>
      </c>
    </row>
    <row r="1667" spans="1:9" x14ac:dyDescent="0.25">
      <c r="A1667" s="2" t="str">
        <f>CONCATENATE(Códigos!S1666,Códigos!T1666,Códigos!U1666)</f>
        <v>svv1665v</v>
      </c>
      <c r="B1667" t="s">
        <v>409</v>
      </c>
      <c r="C1667" t="s">
        <v>399</v>
      </c>
      <c r="D1667" s="2" t="s">
        <v>400</v>
      </c>
      <c r="E1667" t="s">
        <v>517</v>
      </c>
      <c r="F1667" s="11">
        <v>43374</v>
      </c>
      <c r="G1667" s="2">
        <f>VLOOKUP(E1667,Produtos!$A:$E,5,FALSE)</f>
        <v>1200</v>
      </c>
      <c r="H1667" s="2">
        <f>VLOOKUP(E1667,Produtos!$A:$E,4,FALSE)</f>
        <v>400</v>
      </c>
      <c r="I1667" s="2">
        <v>2</v>
      </c>
    </row>
    <row r="1668" spans="1:9" x14ac:dyDescent="0.25">
      <c r="A1668" s="2" t="str">
        <f>CONCATENATE(Códigos!S1667,Códigos!T1667,Códigos!U1667)</f>
        <v>svv1666v</v>
      </c>
      <c r="B1668" t="s">
        <v>409</v>
      </c>
      <c r="C1668" t="s">
        <v>399</v>
      </c>
      <c r="D1668" s="2" t="s">
        <v>400</v>
      </c>
      <c r="E1668" t="s">
        <v>517</v>
      </c>
      <c r="F1668" s="11">
        <v>43375</v>
      </c>
      <c r="G1668" s="2">
        <f>VLOOKUP(E1668,Produtos!$A:$E,5,FALSE)</f>
        <v>1200</v>
      </c>
      <c r="H1668" s="2">
        <f>VLOOKUP(E1668,Produtos!$A:$E,4,FALSE)</f>
        <v>400</v>
      </c>
      <c r="I1668" s="2">
        <v>2</v>
      </c>
    </row>
    <row r="1669" spans="1:9" x14ac:dyDescent="0.25">
      <c r="A1669" s="2" t="str">
        <f>CONCATENATE(Códigos!S1668,Códigos!T1668,Códigos!U1668)</f>
        <v>svv1667v</v>
      </c>
      <c r="B1669" t="s">
        <v>409</v>
      </c>
      <c r="C1669" t="s">
        <v>399</v>
      </c>
      <c r="D1669" s="2" t="s">
        <v>400</v>
      </c>
      <c r="E1669" t="s">
        <v>517</v>
      </c>
      <c r="F1669" s="11">
        <v>43376</v>
      </c>
      <c r="G1669" s="2">
        <f>VLOOKUP(E1669,Produtos!$A:$E,5,FALSE)</f>
        <v>1200</v>
      </c>
      <c r="H1669" s="2">
        <f>VLOOKUP(E1669,Produtos!$A:$E,4,FALSE)</f>
        <v>400</v>
      </c>
      <c r="I1669" s="2">
        <v>2</v>
      </c>
    </row>
    <row r="1670" spans="1:9" x14ac:dyDescent="0.25">
      <c r="A1670" s="2" t="str">
        <f>CONCATENATE(Códigos!S1669,Códigos!T1669,Códigos!U1669)</f>
        <v>svv1668v</v>
      </c>
      <c r="B1670" t="s">
        <v>409</v>
      </c>
      <c r="C1670" t="s">
        <v>399</v>
      </c>
      <c r="D1670" s="2" t="s">
        <v>400</v>
      </c>
      <c r="E1670" t="s">
        <v>517</v>
      </c>
      <c r="F1670" s="11">
        <v>43377</v>
      </c>
      <c r="G1670" s="2">
        <f>VLOOKUP(E1670,Produtos!$A:$E,5,FALSE)</f>
        <v>1200</v>
      </c>
      <c r="H1670" s="2">
        <f>VLOOKUP(E1670,Produtos!$A:$E,4,FALSE)</f>
        <v>400</v>
      </c>
      <c r="I1670" s="2">
        <v>2</v>
      </c>
    </row>
    <row r="1671" spans="1:9" x14ac:dyDescent="0.25">
      <c r="A1671" s="2" t="str">
        <f>CONCATENATE(Códigos!S1670,Códigos!T1670,Códigos!U1670)</f>
        <v>svv1669v</v>
      </c>
      <c r="B1671" t="s">
        <v>409</v>
      </c>
      <c r="C1671" t="s">
        <v>399</v>
      </c>
      <c r="D1671" s="2" t="s">
        <v>400</v>
      </c>
      <c r="E1671" t="s">
        <v>517</v>
      </c>
      <c r="F1671" s="11">
        <v>43378</v>
      </c>
      <c r="G1671" s="2">
        <f>VLOOKUP(E1671,Produtos!$A:$E,5,FALSE)</f>
        <v>1200</v>
      </c>
      <c r="H1671" s="2">
        <f>VLOOKUP(E1671,Produtos!$A:$E,4,FALSE)</f>
        <v>400</v>
      </c>
      <c r="I1671" s="2">
        <v>2</v>
      </c>
    </row>
    <row r="1672" spans="1:9" x14ac:dyDescent="0.25">
      <c r="A1672" s="2" t="str">
        <f>CONCATENATE(Códigos!S1671,Códigos!T1671,Códigos!U1671)</f>
        <v>svv1670v</v>
      </c>
      <c r="B1672" t="s">
        <v>409</v>
      </c>
      <c r="C1672" t="s">
        <v>399</v>
      </c>
      <c r="D1672" s="2" t="s">
        <v>400</v>
      </c>
      <c r="E1672" t="s">
        <v>517</v>
      </c>
      <c r="F1672" s="11">
        <v>43379</v>
      </c>
      <c r="G1672" s="2">
        <f>VLOOKUP(E1672,Produtos!$A:$E,5,FALSE)</f>
        <v>1200</v>
      </c>
      <c r="H1672" s="2">
        <f>VLOOKUP(E1672,Produtos!$A:$E,4,FALSE)</f>
        <v>400</v>
      </c>
      <c r="I1672" s="2">
        <v>2</v>
      </c>
    </row>
    <row r="1673" spans="1:9" x14ac:dyDescent="0.25">
      <c r="A1673" s="2" t="str">
        <f>CONCATENATE(Códigos!S1672,Códigos!T1672,Códigos!U1672)</f>
        <v>svv1671v</v>
      </c>
      <c r="B1673" t="s">
        <v>409</v>
      </c>
      <c r="C1673" t="s">
        <v>399</v>
      </c>
      <c r="D1673" s="2" t="s">
        <v>400</v>
      </c>
      <c r="E1673" t="s">
        <v>517</v>
      </c>
      <c r="F1673" s="11">
        <v>43380</v>
      </c>
      <c r="G1673" s="2">
        <f>VLOOKUP(E1673,Produtos!$A:$E,5,FALSE)</f>
        <v>1200</v>
      </c>
      <c r="H1673" s="2">
        <f>VLOOKUP(E1673,Produtos!$A:$E,4,FALSE)</f>
        <v>400</v>
      </c>
      <c r="I1673" s="2">
        <v>2</v>
      </c>
    </row>
    <row r="1674" spans="1:9" x14ac:dyDescent="0.25">
      <c r="A1674" s="2" t="str">
        <f>CONCATENATE(Códigos!S1673,Códigos!T1673,Códigos!U1673)</f>
        <v>svv1672v</v>
      </c>
      <c r="B1674" t="s">
        <v>409</v>
      </c>
      <c r="C1674" t="s">
        <v>399</v>
      </c>
      <c r="D1674" s="2" t="s">
        <v>400</v>
      </c>
      <c r="E1674" t="s">
        <v>517</v>
      </c>
      <c r="F1674" s="11">
        <v>43381</v>
      </c>
      <c r="G1674" s="2">
        <f>VLOOKUP(E1674,Produtos!$A:$E,5,FALSE)</f>
        <v>1200</v>
      </c>
      <c r="H1674" s="2">
        <f>VLOOKUP(E1674,Produtos!$A:$E,4,FALSE)</f>
        <v>400</v>
      </c>
      <c r="I1674" s="2">
        <v>2</v>
      </c>
    </row>
    <row r="1675" spans="1:9" x14ac:dyDescent="0.25">
      <c r="A1675" s="2" t="str">
        <f>CONCATENATE(Códigos!S1674,Códigos!T1674,Códigos!U1674)</f>
        <v>svv1673v</v>
      </c>
      <c r="B1675" t="s">
        <v>409</v>
      </c>
      <c r="C1675" t="s">
        <v>399</v>
      </c>
      <c r="D1675" s="2" t="s">
        <v>400</v>
      </c>
      <c r="E1675" t="s">
        <v>517</v>
      </c>
      <c r="F1675" s="11">
        <v>43382</v>
      </c>
      <c r="G1675" s="2">
        <f>VLOOKUP(E1675,Produtos!$A:$E,5,FALSE)</f>
        <v>1200</v>
      </c>
      <c r="H1675" s="2">
        <f>VLOOKUP(E1675,Produtos!$A:$E,4,FALSE)</f>
        <v>400</v>
      </c>
      <c r="I1675" s="2">
        <v>2</v>
      </c>
    </row>
    <row r="1676" spans="1:9" x14ac:dyDescent="0.25">
      <c r="A1676" s="2" t="str">
        <f>CONCATENATE(Códigos!S1675,Códigos!T1675,Códigos!U1675)</f>
        <v>svv1674v</v>
      </c>
      <c r="B1676" t="s">
        <v>409</v>
      </c>
      <c r="C1676" t="s">
        <v>399</v>
      </c>
      <c r="D1676" s="2" t="s">
        <v>400</v>
      </c>
      <c r="E1676" t="s">
        <v>517</v>
      </c>
      <c r="F1676" s="11">
        <v>43383</v>
      </c>
      <c r="G1676" s="2">
        <f>VLOOKUP(E1676,Produtos!$A:$E,5,FALSE)</f>
        <v>1200</v>
      </c>
      <c r="H1676" s="2">
        <f>VLOOKUP(E1676,Produtos!$A:$E,4,FALSE)</f>
        <v>400</v>
      </c>
      <c r="I1676" s="2">
        <v>2</v>
      </c>
    </row>
    <row r="1677" spans="1:9" x14ac:dyDescent="0.25">
      <c r="A1677" s="2" t="str">
        <f>CONCATENATE(Códigos!S1676,Códigos!T1676,Códigos!U1676)</f>
        <v>svv1675v</v>
      </c>
      <c r="B1677" t="s">
        <v>409</v>
      </c>
      <c r="C1677" t="s">
        <v>399</v>
      </c>
      <c r="D1677" s="2" t="s">
        <v>400</v>
      </c>
      <c r="E1677" t="s">
        <v>517</v>
      </c>
      <c r="F1677" s="11">
        <v>43384</v>
      </c>
      <c r="G1677" s="2">
        <f>VLOOKUP(E1677,Produtos!$A:$E,5,FALSE)</f>
        <v>1200</v>
      </c>
      <c r="H1677" s="2">
        <f>VLOOKUP(E1677,Produtos!$A:$E,4,FALSE)</f>
        <v>400</v>
      </c>
      <c r="I1677" s="2">
        <v>2</v>
      </c>
    </row>
    <row r="1678" spans="1:9" x14ac:dyDescent="0.25">
      <c r="A1678" s="2" t="str">
        <f>CONCATENATE(Códigos!S1677,Códigos!T1677,Códigos!U1677)</f>
        <v>svv1676v</v>
      </c>
      <c r="B1678" t="s">
        <v>409</v>
      </c>
      <c r="C1678" t="s">
        <v>399</v>
      </c>
      <c r="D1678" s="2" t="s">
        <v>400</v>
      </c>
      <c r="E1678" t="s">
        <v>517</v>
      </c>
      <c r="F1678" s="11">
        <v>43385</v>
      </c>
      <c r="G1678" s="2">
        <f>VLOOKUP(E1678,Produtos!$A:$E,5,FALSE)</f>
        <v>1200</v>
      </c>
      <c r="H1678" s="2">
        <f>VLOOKUP(E1678,Produtos!$A:$E,4,FALSE)</f>
        <v>400</v>
      </c>
      <c r="I1678" s="2">
        <v>2</v>
      </c>
    </row>
    <row r="1679" spans="1:9" x14ac:dyDescent="0.25">
      <c r="A1679" s="2" t="str">
        <f>CONCATENATE(Códigos!S1678,Códigos!T1678,Códigos!U1678)</f>
        <v>svv1677v</v>
      </c>
      <c r="B1679" t="s">
        <v>409</v>
      </c>
      <c r="C1679" t="s">
        <v>399</v>
      </c>
      <c r="D1679" s="2" t="s">
        <v>400</v>
      </c>
      <c r="E1679" t="s">
        <v>517</v>
      </c>
      <c r="F1679" s="11">
        <v>43386</v>
      </c>
      <c r="G1679" s="2">
        <f>VLOOKUP(E1679,Produtos!$A:$E,5,FALSE)</f>
        <v>1200</v>
      </c>
      <c r="H1679" s="2">
        <f>VLOOKUP(E1679,Produtos!$A:$E,4,FALSE)</f>
        <v>400</v>
      </c>
      <c r="I1679" s="2">
        <v>2</v>
      </c>
    </row>
    <row r="1680" spans="1:9" x14ac:dyDescent="0.25">
      <c r="A1680" s="2" t="str">
        <f>CONCATENATE(Códigos!S1679,Códigos!T1679,Códigos!U1679)</f>
        <v>svv1678v</v>
      </c>
      <c r="B1680" t="s">
        <v>409</v>
      </c>
      <c r="C1680" t="s">
        <v>399</v>
      </c>
      <c r="D1680" s="2" t="s">
        <v>400</v>
      </c>
      <c r="E1680" t="s">
        <v>517</v>
      </c>
      <c r="F1680" s="11">
        <v>43387</v>
      </c>
      <c r="G1680" s="2">
        <f>VLOOKUP(E1680,Produtos!$A:$E,5,FALSE)</f>
        <v>1200</v>
      </c>
      <c r="H1680" s="2">
        <f>VLOOKUP(E1680,Produtos!$A:$E,4,FALSE)</f>
        <v>400</v>
      </c>
      <c r="I1680" s="2">
        <v>2</v>
      </c>
    </row>
    <row r="1681" spans="1:9" x14ac:dyDescent="0.25">
      <c r="A1681" s="2" t="str">
        <f>CONCATENATE(Códigos!S1680,Códigos!T1680,Códigos!U1680)</f>
        <v>svv1679v</v>
      </c>
      <c r="B1681" t="s">
        <v>409</v>
      </c>
      <c r="C1681" t="s">
        <v>399</v>
      </c>
      <c r="D1681" s="2" t="s">
        <v>400</v>
      </c>
      <c r="E1681" t="s">
        <v>517</v>
      </c>
      <c r="F1681" s="11">
        <v>43388</v>
      </c>
      <c r="G1681" s="2">
        <f>VLOOKUP(E1681,Produtos!$A:$E,5,FALSE)</f>
        <v>1200</v>
      </c>
      <c r="H1681" s="2">
        <f>VLOOKUP(E1681,Produtos!$A:$E,4,FALSE)</f>
        <v>400</v>
      </c>
      <c r="I1681" s="2">
        <v>2</v>
      </c>
    </row>
    <row r="1682" spans="1:9" x14ac:dyDescent="0.25">
      <c r="A1682" s="2" t="str">
        <f>CONCATENATE(Códigos!S1681,Códigos!T1681,Códigos!U1681)</f>
        <v>svv1680v</v>
      </c>
      <c r="B1682" t="s">
        <v>409</v>
      </c>
      <c r="C1682" t="s">
        <v>399</v>
      </c>
      <c r="D1682" s="2" t="s">
        <v>400</v>
      </c>
      <c r="E1682" t="s">
        <v>517</v>
      </c>
      <c r="F1682" s="11">
        <v>43389</v>
      </c>
      <c r="G1682" s="2">
        <f>VLOOKUP(E1682,Produtos!$A:$E,5,FALSE)</f>
        <v>1200</v>
      </c>
      <c r="H1682" s="2">
        <f>VLOOKUP(E1682,Produtos!$A:$E,4,FALSE)</f>
        <v>400</v>
      </c>
      <c r="I1682" s="2">
        <v>2</v>
      </c>
    </row>
    <row r="1683" spans="1:9" x14ac:dyDescent="0.25">
      <c r="A1683" s="2" t="str">
        <f>CONCATENATE(Códigos!S1682,Códigos!T1682,Códigos!U1682)</f>
        <v>svv1681v</v>
      </c>
      <c r="B1683" t="s">
        <v>409</v>
      </c>
      <c r="C1683" t="s">
        <v>399</v>
      </c>
      <c r="D1683" s="2" t="s">
        <v>400</v>
      </c>
      <c r="E1683" t="s">
        <v>517</v>
      </c>
      <c r="F1683" s="11">
        <v>43390</v>
      </c>
      <c r="G1683" s="2">
        <f>VLOOKUP(E1683,Produtos!$A:$E,5,FALSE)</f>
        <v>1200</v>
      </c>
      <c r="H1683" s="2">
        <f>VLOOKUP(E1683,Produtos!$A:$E,4,FALSE)</f>
        <v>400</v>
      </c>
      <c r="I1683" s="2">
        <v>2</v>
      </c>
    </row>
    <row r="1684" spans="1:9" x14ac:dyDescent="0.25">
      <c r="A1684" s="2" t="str">
        <f>CONCATENATE(Códigos!S1683,Códigos!T1683,Códigos!U1683)</f>
        <v>svv1682v</v>
      </c>
      <c r="B1684" t="s">
        <v>409</v>
      </c>
      <c r="C1684" t="s">
        <v>399</v>
      </c>
      <c r="D1684" s="2" t="s">
        <v>400</v>
      </c>
      <c r="E1684" t="s">
        <v>461</v>
      </c>
      <c r="F1684" s="11">
        <v>43391</v>
      </c>
      <c r="G1684" s="2">
        <f>VLOOKUP(E1684,Produtos!$A:$E,5,FALSE)</f>
        <v>2000</v>
      </c>
      <c r="H1684" s="2">
        <f>VLOOKUP(E1684,Produtos!$A:$E,4,FALSE)</f>
        <v>900</v>
      </c>
      <c r="I1684" s="2">
        <v>2</v>
      </c>
    </row>
    <row r="1685" spans="1:9" x14ac:dyDescent="0.25">
      <c r="A1685" s="2" t="str">
        <f>CONCATENATE(Códigos!S1684,Códigos!T1684,Códigos!U1684)</f>
        <v>svv1683v</v>
      </c>
      <c r="B1685" t="s">
        <v>409</v>
      </c>
      <c r="C1685" t="s">
        <v>399</v>
      </c>
      <c r="D1685" s="2" t="s">
        <v>400</v>
      </c>
      <c r="E1685" t="s">
        <v>461</v>
      </c>
      <c r="F1685" s="11">
        <v>43392</v>
      </c>
      <c r="G1685" s="2">
        <f>VLOOKUP(E1685,Produtos!$A:$E,5,FALSE)</f>
        <v>2000</v>
      </c>
      <c r="H1685" s="2">
        <f>VLOOKUP(E1685,Produtos!$A:$E,4,FALSE)</f>
        <v>900</v>
      </c>
      <c r="I1685" s="2">
        <v>2</v>
      </c>
    </row>
    <row r="1686" spans="1:9" x14ac:dyDescent="0.25">
      <c r="A1686" s="2" t="str">
        <f>CONCATENATE(Códigos!S1685,Códigos!T1685,Códigos!U1685)</f>
        <v>svv1684v</v>
      </c>
      <c r="B1686" t="s">
        <v>409</v>
      </c>
      <c r="C1686" t="s">
        <v>399</v>
      </c>
      <c r="D1686" s="2" t="s">
        <v>400</v>
      </c>
      <c r="E1686" t="s">
        <v>461</v>
      </c>
      <c r="F1686" s="11">
        <v>43393</v>
      </c>
      <c r="G1686" s="2">
        <f>VLOOKUP(E1686,Produtos!$A:$E,5,FALSE)</f>
        <v>2000</v>
      </c>
      <c r="H1686" s="2">
        <f>VLOOKUP(E1686,Produtos!$A:$E,4,FALSE)</f>
        <v>900</v>
      </c>
      <c r="I1686" s="2">
        <v>2</v>
      </c>
    </row>
    <row r="1687" spans="1:9" x14ac:dyDescent="0.25">
      <c r="A1687" s="2" t="str">
        <f>CONCATENATE(Códigos!S1686,Códigos!T1686,Códigos!U1686)</f>
        <v>svv1685v</v>
      </c>
      <c r="B1687" t="s">
        <v>409</v>
      </c>
      <c r="C1687" t="s">
        <v>399</v>
      </c>
      <c r="D1687" s="2" t="s">
        <v>400</v>
      </c>
      <c r="E1687" t="s">
        <v>461</v>
      </c>
      <c r="F1687" s="11">
        <v>43394</v>
      </c>
      <c r="G1687" s="2">
        <f>VLOOKUP(E1687,Produtos!$A:$E,5,FALSE)</f>
        <v>2000</v>
      </c>
      <c r="H1687" s="2">
        <f>VLOOKUP(E1687,Produtos!$A:$E,4,FALSE)</f>
        <v>900</v>
      </c>
      <c r="I1687" s="2">
        <v>2</v>
      </c>
    </row>
    <row r="1688" spans="1:9" x14ac:dyDescent="0.25">
      <c r="A1688" s="2" t="str">
        <f>CONCATENATE(Códigos!S1687,Códigos!T1687,Códigos!U1687)</f>
        <v>svv1686v</v>
      </c>
      <c r="B1688" t="s">
        <v>409</v>
      </c>
      <c r="C1688" t="s">
        <v>399</v>
      </c>
      <c r="D1688" s="2" t="s">
        <v>400</v>
      </c>
      <c r="E1688" t="s">
        <v>461</v>
      </c>
      <c r="F1688" s="11">
        <v>43395</v>
      </c>
      <c r="G1688" s="2">
        <f>VLOOKUP(E1688,Produtos!$A:$E,5,FALSE)</f>
        <v>2000</v>
      </c>
      <c r="H1688" s="2">
        <f>VLOOKUP(E1688,Produtos!$A:$E,4,FALSE)</f>
        <v>900</v>
      </c>
      <c r="I1688" s="2">
        <v>2</v>
      </c>
    </row>
    <row r="1689" spans="1:9" x14ac:dyDescent="0.25">
      <c r="A1689" s="2" t="str">
        <f>CONCATENATE(Códigos!S1688,Códigos!T1688,Códigos!U1688)</f>
        <v>svv1687v</v>
      </c>
      <c r="B1689" t="s">
        <v>409</v>
      </c>
      <c r="C1689" t="s">
        <v>399</v>
      </c>
      <c r="D1689" s="2" t="s">
        <v>400</v>
      </c>
      <c r="E1689" t="s">
        <v>461</v>
      </c>
      <c r="F1689" s="11">
        <v>43396</v>
      </c>
      <c r="G1689" s="2">
        <f>VLOOKUP(E1689,Produtos!$A:$E,5,FALSE)</f>
        <v>2000</v>
      </c>
      <c r="H1689" s="2">
        <f>VLOOKUP(E1689,Produtos!$A:$E,4,FALSE)</f>
        <v>900</v>
      </c>
      <c r="I1689" s="2">
        <v>2</v>
      </c>
    </row>
    <row r="1690" spans="1:9" x14ac:dyDescent="0.25">
      <c r="A1690" s="2" t="str">
        <f>CONCATENATE(Códigos!S1689,Códigos!T1689,Códigos!U1689)</f>
        <v>svv1688v</v>
      </c>
      <c r="B1690" t="s">
        <v>409</v>
      </c>
      <c r="C1690" t="s">
        <v>399</v>
      </c>
      <c r="D1690" s="2" t="s">
        <v>400</v>
      </c>
      <c r="E1690" t="s">
        <v>461</v>
      </c>
      <c r="F1690" s="11">
        <v>43397</v>
      </c>
      <c r="G1690" s="2">
        <f>VLOOKUP(E1690,Produtos!$A:$E,5,FALSE)</f>
        <v>2000</v>
      </c>
      <c r="H1690" s="2">
        <f>VLOOKUP(E1690,Produtos!$A:$E,4,FALSE)</f>
        <v>900</v>
      </c>
      <c r="I1690" s="2">
        <v>2</v>
      </c>
    </row>
    <row r="1691" spans="1:9" x14ac:dyDescent="0.25">
      <c r="A1691" s="2" t="str">
        <f>CONCATENATE(Códigos!S1690,Códigos!T1690,Códigos!U1690)</f>
        <v>svv1689v</v>
      </c>
      <c r="B1691" t="s">
        <v>409</v>
      </c>
      <c r="C1691" t="s">
        <v>399</v>
      </c>
      <c r="D1691" s="2" t="s">
        <v>400</v>
      </c>
      <c r="E1691" t="s">
        <v>461</v>
      </c>
      <c r="F1691" s="11">
        <v>43398</v>
      </c>
      <c r="G1691" s="2">
        <f>VLOOKUP(E1691,Produtos!$A:$E,5,FALSE)</f>
        <v>2000</v>
      </c>
      <c r="H1691" s="2">
        <f>VLOOKUP(E1691,Produtos!$A:$E,4,FALSE)</f>
        <v>900</v>
      </c>
      <c r="I1691" s="2">
        <v>2</v>
      </c>
    </row>
    <row r="1692" spans="1:9" x14ac:dyDescent="0.25">
      <c r="A1692" s="2" t="str">
        <f>CONCATENATE(Códigos!S1691,Códigos!T1691,Códigos!U1691)</f>
        <v>svv1690v</v>
      </c>
      <c r="B1692" t="s">
        <v>409</v>
      </c>
      <c r="C1692" t="s">
        <v>399</v>
      </c>
      <c r="D1692" s="2" t="s">
        <v>400</v>
      </c>
      <c r="E1692" t="s">
        <v>461</v>
      </c>
      <c r="F1692" s="11">
        <v>43399</v>
      </c>
      <c r="G1692" s="2">
        <f>VLOOKUP(E1692,Produtos!$A:$E,5,FALSE)</f>
        <v>2000</v>
      </c>
      <c r="H1692" s="2">
        <f>VLOOKUP(E1692,Produtos!$A:$E,4,FALSE)</f>
        <v>900</v>
      </c>
      <c r="I1692" s="2">
        <v>2</v>
      </c>
    </row>
    <row r="1693" spans="1:9" x14ac:dyDescent="0.25">
      <c r="A1693" s="2" t="str">
        <f>CONCATENATE(Códigos!S1692,Códigos!T1692,Códigos!U1692)</f>
        <v>svv1691v</v>
      </c>
      <c r="B1693" t="s">
        <v>409</v>
      </c>
      <c r="C1693" t="s">
        <v>399</v>
      </c>
      <c r="D1693" s="2" t="s">
        <v>400</v>
      </c>
      <c r="E1693" t="s">
        <v>461</v>
      </c>
      <c r="F1693" s="11">
        <v>43400</v>
      </c>
      <c r="G1693" s="2">
        <f>VLOOKUP(E1693,Produtos!$A:$E,5,FALSE)</f>
        <v>2000</v>
      </c>
      <c r="H1693" s="2">
        <f>VLOOKUP(E1693,Produtos!$A:$E,4,FALSE)</f>
        <v>900</v>
      </c>
      <c r="I1693" s="2">
        <v>2</v>
      </c>
    </row>
    <row r="1694" spans="1:9" x14ac:dyDescent="0.25">
      <c r="A1694" s="2" t="str">
        <f>CONCATENATE(Códigos!S1693,Códigos!T1693,Códigos!U1693)</f>
        <v>svv1692v</v>
      </c>
      <c r="B1694" t="s">
        <v>409</v>
      </c>
      <c r="C1694" t="s">
        <v>399</v>
      </c>
      <c r="D1694" s="2" t="s">
        <v>400</v>
      </c>
      <c r="E1694" t="s">
        <v>461</v>
      </c>
      <c r="F1694" s="11">
        <v>43401</v>
      </c>
      <c r="G1694" s="2">
        <f>VLOOKUP(E1694,Produtos!$A:$E,5,FALSE)</f>
        <v>2000</v>
      </c>
      <c r="H1694" s="2">
        <f>VLOOKUP(E1694,Produtos!$A:$E,4,FALSE)</f>
        <v>900</v>
      </c>
      <c r="I1694" s="2">
        <v>2</v>
      </c>
    </row>
    <row r="1695" spans="1:9" x14ac:dyDescent="0.25">
      <c r="A1695" s="2" t="str">
        <f>CONCATENATE(Códigos!S1694,Códigos!T1694,Códigos!U1694)</f>
        <v>svv1693v</v>
      </c>
      <c r="B1695" t="s">
        <v>409</v>
      </c>
      <c r="C1695" t="s">
        <v>399</v>
      </c>
      <c r="D1695" s="2" t="s">
        <v>400</v>
      </c>
      <c r="E1695" t="s">
        <v>461</v>
      </c>
      <c r="F1695" s="11">
        <v>43402</v>
      </c>
      <c r="G1695" s="2">
        <f>VLOOKUP(E1695,Produtos!$A:$E,5,FALSE)</f>
        <v>2000</v>
      </c>
      <c r="H1695" s="2">
        <f>VLOOKUP(E1695,Produtos!$A:$E,4,FALSE)</f>
        <v>900</v>
      </c>
      <c r="I1695" s="2">
        <v>2</v>
      </c>
    </row>
    <row r="1696" spans="1:9" x14ac:dyDescent="0.25">
      <c r="A1696" s="2" t="str">
        <f>CONCATENATE(Códigos!S1695,Códigos!T1695,Códigos!U1695)</f>
        <v>svv1694v</v>
      </c>
      <c r="B1696" t="s">
        <v>409</v>
      </c>
      <c r="C1696" t="s">
        <v>399</v>
      </c>
      <c r="D1696" s="2" t="s">
        <v>400</v>
      </c>
      <c r="E1696" t="s">
        <v>461</v>
      </c>
      <c r="F1696" s="11">
        <v>43403</v>
      </c>
      <c r="G1696" s="2">
        <f>VLOOKUP(E1696,Produtos!$A:$E,5,FALSE)</f>
        <v>2000</v>
      </c>
      <c r="H1696" s="2">
        <f>VLOOKUP(E1696,Produtos!$A:$E,4,FALSE)</f>
        <v>900</v>
      </c>
      <c r="I1696" s="2">
        <v>2</v>
      </c>
    </row>
    <row r="1697" spans="1:9" x14ac:dyDescent="0.25">
      <c r="A1697" s="2" t="str">
        <f>CONCATENATE(Códigos!S1696,Códigos!T1696,Códigos!U1696)</f>
        <v>svv1695v</v>
      </c>
      <c r="B1697" t="s">
        <v>409</v>
      </c>
      <c r="C1697" t="s">
        <v>399</v>
      </c>
      <c r="D1697" s="2" t="s">
        <v>400</v>
      </c>
      <c r="E1697" t="s">
        <v>461</v>
      </c>
      <c r="F1697" s="11">
        <v>43404</v>
      </c>
      <c r="G1697" s="2">
        <f>VLOOKUP(E1697,Produtos!$A:$E,5,FALSE)</f>
        <v>2000</v>
      </c>
      <c r="H1697" s="2">
        <f>VLOOKUP(E1697,Produtos!$A:$E,4,FALSE)</f>
        <v>900</v>
      </c>
      <c r="I1697" s="2">
        <v>2</v>
      </c>
    </row>
    <row r="1698" spans="1:9" x14ac:dyDescent="0.25">
      <c r="A1698" s="2" t="str">
        <f>CONCATENATE(Códigos!S1697,Códigos!T1697,Códigos!U1697)</f>
        <v>svv1696v</v>
      </c>
      <c r="B1698" t="s">
        <v>409</v>
      </c>
      <c r="C1698" t="s">
        <v>399</v>
      </c>
      <c r="D1698" s="2" t="s">
        <v>400</v>
      </c>
      <c r="E1698" t="s">
        <v>461</v>
      </c>
      <c r="F1698" s="11">
        <v>43405</v>
      </c>
      <c r="G1698" s="2">
        <f>VLOOKUP(E1698,Produtos!$A:$E,5,FALSE)</f>
        <v>2000</v>
      </c>
      <c r="H1698" s="2">
        <f>VLOOKUP(E1698,Produtos!$A:$E,4,FALSE)</f>
        <v>900</v>
      </c>
      <c r="I1698" s="2">
        <v>2</v>
      </c>
    </row>
    <row r="1699" spans="1:9" x14ac:dyDescent="0.25">
      <c r="A1699" s="2" t="str">
        <f>CONCATENATE(Códigos!S1698,Códigos!T1698,Códigos!U1698)</f>
        <v>svv1697v</v>
      </c>
      <c r="B1699" t="s">
        <v>409</v>
      </c>
      <c r="C1699" t="s">
        <v>399</v>
      </c>
      <c r="D1699" s="2" t="s">
        <v>400</v>
      </c>
      <c r="E1699" t="s">
        <v>461</v>
      </c>
      <c r="F1699" s="11">
        <v>43406</v>
      </c>
      <c r="G1699" s="2">
        <f>VLOOKUP(E1699,Produtos!$A:$E,5,FALSE)</f>
        <v>2000</v>
      </c>
      <c r="H1699" s="2">
        <f>VLOOKUP(E1699,Produtos!$A:$E,4,FALSE)</f>
        <v>900</v>
      </c>
      <c r="I1699" s="2">
        <v>2</v>
      </c>
    </row>
    <row r="1700" spans="1:9" x14ac:dyDescent="0.25">
      <c r="A1700" s="2" t="str">
        <f>CONCATENATE(Códigos!S1699,Códigos!T1699,Códigos!U1699)</f>
        <v>svv1698v</v>
      </c>
      <c r="B1700" t="s">
        <v>409</v>
      </c>
      <c r="C1700" t="s">
        <v>399</v>
      </c>
      <c r="D1700" s="2" t="s">
        <v>400</v>
      </c>
      <c r="E1700" t="s">
        <v>461</v>
      </c>
      <c r="F1700" s="11">
        <v>43407</v>
      </c>
      <c r="G1700" s="2">
        <f>VLOOKUP(E1700,Produtos!$A:$E,5,FALSE)</f>
        <v>2000</v>
      </c>
      <c r="H1700" s="2">
        <f>VLOOKUP(E1700,Produtos!$A:$E,4,FALSE)</f>
        <v>900</v>
      </c>
      <c r="I1700" s="2">
        <v>2</v>
      </c>
    </row>
    <row r="1701" spans="1:9" x14ac:dyDescent="0.25">
      <c r="A1701" s="2" t="str">
        <f>CONCATENATE(Códigos!S1700,Códigos!T1700,Códigos!U1700)</f>
        <v>svv1699v</v>
      </c>
      <c r="B1701" t="s">
        <v>409</v>
      </c>
      <c r="C1701" t="s">
        <v>399</v>
      </c>
      <c r="D1701" s="2" t="s">
        <v>400</v>
      </c>
      <c r="E1701" t="s">
        <v>461</v>
      </c>
      <c r="F1701" s="11">
        <v>43408</v>
      </c>
      <c r="G1701" s="2">
        <f>VLOOKUP(E1701,Produtos!$A:$E,5,FALSE)</f>
        <v>2000</v>
      </c>
      <c r="H1701" s="2">
        <f>VLOOKUP(E1701,Produtos!$A:$E,4,FALSE)</f>
        <v>900</v>
      </c>
      <c r="I1701" s="2">
        <v>2</v>
      </c>
    </row>
    <row r="1702" spans="1:9" x14ac:dyDescent="0.25">
      <c r="A1702" s="2" t="str">
        <f>CONCATENATE(Códigos!S1701,Códigos!T1701,Códigos!U1701)</f>
        <v>svv1700v</v>
      </c>
      <c r="B1702" t="s">
        <v>409</v>
      </c>
      <c r="C1702" t="s">
        <v>399</v>
      </c>
      <c r="D1702" s="2" t="s">
        <v>400</v>
      </c>
      <c r="E1702" t="s">
        <v>461</v>
      </c>
      <c r="F1702" s="11">
        <v>43409</v>
      </c>
      <c r="G1702" s="2">
        <f>VLOOKUP(E1702,Produtos!$A:$E,5,FALSE)</f>
        <v>2000</v>
      </c>
      <c r="H1702" s="2">
        <f>VLOOKUP(E1702,Produtos!$A:$E,4,FALSE)</f>
        <v>900</v>
      </c>
      <c r="I1702" s="2">
        <v>2</v>
      </c>
    </row>
    <row r="1703" spans="1:9" x14ac:dyDescent="0.25">
      <c r="A1703" s="2" t="str">
        <f>CONCATENATE(Códigos!S1702,Códigos!T1702,Códigos!U1702)</f>
        <v>svv1701v</v>
      </c>
      <c r="B1703" t="s">
        <v>409</v>
      </c>
      <c r="C1703" t="s">
        <v>399</v>
      </c>
      <c r="D1703" s="2" t="s">
        <v>400</v>
      </c>
      <c r="E1703" t="s">
        <v>461</v>
      </c>
      <c r="F1703" s="11">
        <v>43410</v>
      </c>
      <c r="G1703" s="2">
        <f>VLOOKUP(E1703,Produtos!$A:$E,5,FALSE)</f>
        <v>2000</v>
      </c>
      <c r="H1703" s="2">
        <f>VLOOKUP(E1703,Produtos!$A:$E,4,FALSE)</f>
        <v>900</v>
      </c>
      <c r="I1703" s="2">
        <v>2</v>
      </c>
    </row>
    <row r="1704" spans="1:9" x14ac:dyDescent="0.25">
      <c r="A1704" s="2" t="str">
        <f>CONCATENATE(Códigos!S1703,Códigos!T1703,Códigos!U1703)</f>
        <v>svv1702v</v>
      </c>
      <c r="B1704" t="s">
        <v>409</v>
      </c>
      <c r="C1704" t="s">
        <v>399</v>
      </c>
      <c r="D1704" s="2" t="s">
        <v>400</v>
      </c>
      <c r="E1704" t="s">
        <v>461</v>
      </c>
      <c r="F1704" s="11">
        <v>43411</v>
      </c>
      <c r="G1704" s="2">
        <f>VLOOKUP(E1704,Produtos!$A:$E,5,FALSE)</f>
        <v>2000</v>
      </c>
      <c r="H1704" s="2">
        <f>VLOOKUP(E1704,Produtos!$A:$E,4,FALSE)</f>
        <v>900</v>
      </c>
      <c r="I1704" s="2">
        <v>2</v>
      </c>
    </row>
    <row r="1705" spans="1:9" x14ac:dyDescent="0.25">
      <c r="A1705" s="2" t="str">
        <f>CONCATENATE(Códigos!S1704,Códigos!T1704,Códigos!U1704)</f>
        <v>svv1703v</v>
      </c>
      <c r="B1705" t="s">
        <v>409</v>
      </c>
      <c r="C1705" t="s">
        <v>399</v>
      </c>
      <c r="D1705" s="2" t="s">
        <v>400</v>
      </c>
      <c r="E1705" t="s">
        <v>461</v>
      </c>
      <c r="F1705" s="11">
        <v>43412</v>
      </c>
      <c r="G1705" s="2">
        <f>VLOOKUP(E1705,Produtos!$A:$E,5,FALSE)</f>
        <v>2000</v>
      </c>
      <c r="H1705" s="2">
        <f>VLOOKUP(E1705,Produtos!$A:$E,4,FALSE)</f>
        <v>900</v>
      </c>
      <c r="I1705" s="2">
        <v>2</v>
      </c>
    </row>
    <row r="1706" spans="1:9" x14ac:dyDescent="0.25">
      <c r="A1706" s="2" t="str">
        <f>CONCATENATE(Códigos!S1705,Códigos!T1705,Códigos!U1705)</f>
        <v>svv1704v</v>
      </c>
      <c r="B1706" t="s">
        <v>409</v>
      </c>
      <c r="C1706" t="s">
        <v>399</v>
      </c>
      <c r="D1706" s="2" t="s">
        <v>400</v>
      </c>
      <c r="E1706" t="s">
        <v>461</v>
      </c>
      <c r="F1706" s="11">
        <v>43413</v>
      </c>
      <c r="G1706" s="2">
        <f>VLOOKUP(E1706,Produtos!$A:$E,5,FALSE)</f>
        <v>2000</v>
      </c>
      <c r="H1706" s="2">
        <f>VLOOKUP(E1706,Produtos!$A:$E,4,FALSE)</f>
        <v>900</v>
      </c>
      <c r="I1706" s="2">
        <v>2</v>
      </c>
    </row>
    <row r="1707" spans="1:9" x14ac:dyDescent="0.25">
      <c r="A1707" s="2" t="str">
        <f>CONCATENATE(Códigos!S1706,Códigos!T1706,Códigos!U1706)</f>
        <v>svv1705v</v>
      </c>
      <c r="B1707" t="s">
        <v>409</v>
      </c>
      <c r="C1707" t="s">
        <v>399</v>
      </c>
      <c r="D1707" s="2" t="s">
        <v>400</v>
      </c>
      <c r="E1707" t="s">
        <v>461</v>
      </c>
      <c r="F1707" s="11">
        <v>43414</v>
      </c>
      <c r="G1707" s="2">
        <f>VLOOKUP(E1707,Produtos!$A:$E,5,FALSE)</f>
        <v>2000</v>
      </c>
      <c r="H1707" s="2">
        <f>VLOOKUP(E1707,Produtos!$A:$E,4,FALSE)</f>
        <v>900</v>
      </c>
      <c r="I1707" s="2">
        <v>2</v>
      </c>
    </row>
    <row r="1708" spans="1:9" x14ac:dyDescent="0.25">
      <c r="A1708" s="2" t="str">
        <f>CONCATENATE(Códigos!S1707,Códigos!T1707,Códigos!U1707)</f>
        <v>svv1706v</v>
      </c>
      <c r="B1708" t="s">
        <v>409</v>
      </c>
      <c r="C1708" t="s">
        <v>399</v>
      </c>
      <c r="D1708" s="2" t="s">
        <v>400</v>
      </c>
      <c r="E1708" t="s">
        <v>519</v>
      </c>
      <c r="F1708" s="11">
        <v>43415</v>
      </c>
      <c r="G1708" s="2">
        <f>VLOOKUP(E1708,Produtos!$A:$E,5,FALSE)</f>
        <v>1800</v>
      </c>
      <c r="H1708" s="2">
        <f>VLOOKUP(E1708,Produtos!$A:$E,4,FALSE)</f>
        <v>1000</v>
      </c>
      <c r="I1708" s="2">
        <v>2</v>
      </c>
    </row>
    <row r="1709" spans="1:9" x14ac:dyDescent="0.25">
      <c r="A1709" s="2" t="str">
        <f>CONCATENATE(Códigos!S1708,Códigos!T1708,Códigos!U1708)</f>
        <v>svv1707v</v>
      </c>
      <c r="B1709" t="s">
        <v>409</v>
      </c>
      <c r="C1709" t="s">
        <v>399</v>
      </c>
      <c r="D1709" s="2" t="s">
        <v>400</v>
      </c>
      <c r="E1709" t="s">
        <v>519</v>
      </c>
      <c r="F1709" s="11">
        <v>43416</v>
      </c>
      <c r="G1709" s="2">
        <f>VLOOKUP(E1709,Produtos!$A:$E,5,FALSE)</f>
        <v>1800</v>
      </c>
      <c r="H1709" s="2">
        <f>VLOOKUP(E1709,Produtos!$A:$E,4,FALSE)</f>
        <v>1000</v>
      </c>
      <c r="I1709" s="2">
        <v>2</v>
      </c>
    </row>
    <row r="1710" spans="1:9" x14ac:dyDescent="0.25">
      <c r="A1710" s="2" t="str">
        <f>CONCATENATE(Códigos!S1709,Códigos!T1709,Códigos!U1709)</f>
        <v>svv1708v</v>
      </c>
      <c r="B1710" t="s">
        <v>409</v>
      </c>
      <c r="C1710" t="s">
        <v>399</v>
      </c>
      <c r="D1710" s="2" t="s">
        <v>400</v>
      </c>
      <c r="E1710" t="s">
        <v>519</v>
      </c>
      <c r="F1710" s="11">
        <v>43417</v>
      </c>
      <c r="G1710" s="2">
        <f>VLOOKUP(E1710,Produtos!$A:$E,5,FALSE)</f>
        <v>1800</v>
      </c>
      <c r="H1710" s="2">
        <f>VLOOKUP(E1710,Produtos!$A:$E,4,FALSE)</f>
        <v>1000</v>
      </c>
      <c r="I1710" s="2">
        <v>2</v>
      </c>
    </row>
    <row r="1711" spans="1:9" x14ac:dyDescent="0.25">
      <c r="A1711" s="2" t="str">
        <f>CONCATENATE(Códigos!S1710,Códigos!T1710,Códigos!U1710)</f>
        <v>svv1709v</v>
      </c>
      <c r="B1711" t="s">
        <v>409</v>
      </c>
      <c r="C1711" t="s">
        <v>399</v>
      </c>
      <c r="D1711" s="2" t="s">
        <v>400</v>
      </c>
      <c r="E1711" t="s">
        <v>519</v>
      </c>
      <c r="F1711" s="11">
        <v>43418</v>
      </c>
      <c r="G1711" s="2">
        <f>VLOOKUP(E1711,Produtos!$A:$E,5,FALSE)</f>
        <v>1800</v>
      </c>
      <c r="H1711" s="2">
        <f>VLOOKUP(E1711,Produtos!$A:$E,4,FALSE)</f>
        <v>1000</v>
      </c>
      <c r="I1711" s="2">
        <v>2</v>
      </c>
    </row>
    <row r="1712" spans="1:9" x14ac:dyDescent="0.25">
      <c r="A1712" s="2" t="str">
        <f>CONCATENATE(Códigos!S1711,Códigos!T1711,Códigos!U1711)</f>
        <v>svv1710v</v>
      </c>
      <c r="B1712" t="s">
        <v>409</v>
      </c>
      <c r="C1712" t="s">
        <v>399</v>
      </c>
      <c r="D1712" s="2" t="s">
        <v>400</v>
      </c>
      <c r="E1712" t="s">
        <v>519</v>
      </c>
      <c r="F1712" s="11">
        <v>43419</v>
      </c>
      <c r="G1712" s="2">
        <f>VLOOKUP(E1712,Produtos!$A:$E,5,FALSE)</f>
        <v>1800</v>
      </c>
      <c r="H1712" s="2">
        <f>VLOOKUP(E1712,Produtos!$A:$E,4,FALSE)</f>
        <v>1000</v>
      </c>
      <c r="I1712" s="2">
        <v>2</v>
      </c>
    </row>
    <row r="1713" spans="1:9" x14ac:dyDescent="0.25">
      <c r="A1713" s="2" t="str">
        <f>CONCATENATE(Códigos!S1712,Códigos!T1712,Códigos!U1712)</f>
        <v>svv1711v</v>
      </c>
      <c r="B1713" t="s">
        <v>409</v>
      </c>
      <c r="C1713" t="s">
        <v>399</v>
      </c>
      <c r="D1713" s="2" t="s">
        <v>400</v>
      </c>
      <c r="E1713" t="s">
        <v>519</v>
      </c>
      <c r="F1713" s="11">
        <v>43420</v>
      </c>
      <c r="G1713" s="2">
        <f>VLOOKUP(E1713,Produtos!$A:$E,5,FALSE)</f>
        <v>1800</v>
      </c>
      <c r="H1713" s="2">
        <f>VLOOKUP(E1713,Produtos!$A:$E,4,FALSE)</f>
        <v>1000</v>
      </c>
      <c r="I1713" s="2">
        <v>2</v>
      </c>
    </row>
    <row r="1714" spans="1:9" x14ac:dyDescent="0.25">
      <c r="A1714" s="2" t="str">
        <f>CONCATENATE(Códigos!S1713,Códigos!T1713,Códigos!U1713)</f>
        <v>svv1712v</v>
      </c>
      <c r="B1714" t="s">
        <v>409</v>
      </c>
      <c r="C1714" t="s">
        <v>399</v>
      </c>
      <c r="D1714" s="2" t="s">
        <v>400</v>
      </c>
      <c r="E1714" t="s">
        <v>519</v>
      </c>
      <c r="F1714" s="11">
        <v>43421</v>
      </c>
      <c r="G1714" s="2">
        <f>VLOOKUP(E1714,Produtos!$A:$E,5,FALSE)</f>
        <v>1800</v>
      </c>
      <c r="H1714" s="2">
        <f>VLOOKUP(E1714,Produtos!$A:$E,4,FALSE)</f>
        <v>1000</v>
      </c>
      <c r="I1714" s="2">
        <v>2</v>
      </c>
    </row>
    <row r="1715" spans="1:9" x14ac:dyDescent="0.25">
      <c r="A1715" s="2" t="str">
        <f>CONCATENATE(Códigos!S1714,Códigos!T1714,Códigos!U1714)</f>
        <v>svv1713v</v>
      </c>
      <c r="B1715" t="s">
        <v>409</v>
      </c>
      <c r="C1715" t="s">
        <v>397</v>
      </c>
      <c r="D1715" s="2" t="s">
        <v>398</v>
      </c>
      <c r="E1715" t="s">
        <v>519</v>
      </c>
      <c r="F1715" s="11">
        <v>43422</v>
      </c>
      <c r="G1715" s="2">
        <f>VLOOKUP(E1715,Produtos!$A:$E,5,FALSE)</f>
        <v>1800</v>
      </c>
      <c r="H1715" s="2">
        <f>VLOOKUP(E1715,Produtos!$A:$E,4,FALSE)</f>
        <v>1000</v>
      </c>
      <c r="I1715" s="2">
        <v>2</v>
      </c>
    </row>
    <row r="1716" spans="1:9" x14ac:dyDescent="0.25">
      <c r="A1716" s="2" t="str">
        <f>CONCATENATE(Códigos!S1715,Códigos!T1715,Códigos!U1715)</f>
        <v>svv1714v</v>
      </c>
      <c r="B1716" t="s">
        <v>409</v>
      </c>
      <c r="C1716" t="s">
        <v>397</v>
      </c>
      <c r="D1716" s="2" t="s">
        <v>398</v>
      </c>
      <c r="E1716" t="s">
        <v>519</v>
      </c>
      <c r="F1716" s="11">
        <v>43423</v>
      </c>
      <c r="G1716" s="2">
        <f>VLOOKUP(E1716,Produtos!$A:$E,5,FALSE)</f>
        <v>1800</v>
      </c>
      <c r="H1716" s="2">
        <f>VLOOKUP(E1716,Produtos!$A:$E,4,FALSE)</f>
        <v>1000</v>
      </c>
      <c r="I1716" s="2">
        <v>2</v>
      </c>
    </row>
    <row r="1717" spans="1:9" x14ac:dyDescent="0.25">
      <c r="A1717" s="2" t="str">
        <f>CONCATENATE(Códigos!S1716,Códigos!T1716,Códigos!U1716)</f>
        <v>svv1715v</v>
      </c>
      <c r="B1717" t="s">
        <v>409</v>
      </c>
      <c r="C1717" t="s">
        <v>397</v>
      </c>
      <c r="D1717" s="2" t="s">
        <v>398</v>
      </c>
      <c r="E1717" t="s">
        <v>519</v>
      </c>
      <c r="F1717" s="11">
        <v>43424</v>
      </c>
      <c r="G1717" s="2">
        <f>VLOOKUP(E1717,Produtos!$A:$E,5,FALSE)</f>
        <v>1800</v>
      </c>
      <c r="H1717" s="2">
        <f>VLOOKUP(E1717,Produtos!$A:$E,4,FALSE)</f>
        <v>1000</v>
      </c>
      <c r="I1717" s="2">
        <v>2</v>
      </c>
    </row>
    <row r="1718" spans="1:9" x14ac:dyDescent="0.25">
      <c r="A1718" s="2" t="str">
        <f>CONCATENATE(Códigos!S1717,Códigos!T1717,Códigos!U1717)</f>
        <v>svv1716v</v>
      </c>
      <c r="B1718" t="s">
        <v>409</v>
      </c>
      <c r="C1718" t="s">
        <v>397</v>
      </c>
      <c r="D1718" s="2" t="s">
        <v>398</v>
      </c>
      <c r="E1718" t="s">
        <v>519</v>
      </c>
      <c r="F1718" s="11">
        <v>43425</v>
      </c>
      <c r="G1718" s="2">
        <f>VLOOKUP(E1718,Produtos!$A:$E,5,FALSE)</f>
        <v>1800</v>
      </c>
      <c r="H1718" s="2">
        <f>VLOOKUP(E1718,Produtos!$A:$E,4,FALSE)</f>
        <v>1000</v>
      </c>
      <c r="I1718" s="2">
        <v>2</v>
      </c>
    </row>
    <row r="1719" spans="1:9" x14ac:dyDescent="0.25">
      <c r="A1719" s="2" t="str">
        <f>CONCATENATE(Códigos!S1718,Códigos!T1718,Códigos!U1718)</f>
        <v>svv1717v</v>
      </c>
      <c r="B1719" t="s">
        <v>409</v>
      </c>
      <c r="C1719" t="s">
        <v>397</v>
      </c>
      <c r="D1719" s="2" t="s">
        <v>398</v>
      </c>
      <c r="E1719" t="s">
        <v>519</v>
      </c>
      <c r="F1719" s="11">
        <v>43426</v>
      </c>
      <c r="G1719" s="2">
        <f>VLOOKUP(E1719,Produtos!$A:$E,5,FALSE)</f>
        <v>1800</v>
      </c>
      <c r="H1719" s="2">
        <f>VLOOKUP(E1719,Produtos!$A:$E,4,FALSE)</f>
        <v>1000</v>
      </c>
      <c r="I1719" s="2">
        <v>2</v>
      </c>
    </row>
    <row r="1720" spans="1:9" x14ac:dyDescent="0.25">
      <c r="A1720" s="2" t="str">
        <f>CONCATENATE(Códigos!S1719,Códigos!T1719,Códigos!U1719)</f>
        <v>svv1718v</v>
      </c>
      <c r="B1720" t="s">
        <v>409</v>
      </c>
      <c r="C1720" t="s">
        <v>397</v>
      </c>
      <c r="D1720" s="2" t="s">
        <v>398</v>
      </c>
      <c r="E1720" t="s">
        <v>519</v>
      </c>
      <c r="F1720" s="11">
        <v>43427</v>
      </c>
      <c r="G1720" s="2">
        <f>VLOOKUP(E1720,Produtos!$A:$E,5,FALSE)</f>
        <v>1800</v>
      </c>
      <c r="H1720" s="2">
        <f>VLOOKUP(E1720,Produtos!$A:$E,4,FALSE)</f>
        <v>1000</v>
      </c>
      <c r="I1720" s="2">
        <v>2</v>
      </c>
    </row>
    <row r="1721" spans="1:9" x14ac:dyDescent="0.25">
      <c r="A1721" s="2" t="str">
        <f>CONCATENATE(Códigos!S1720,Códigos!T1720,Códigos!U1720)</f>
        <v>svv1719v</v>
      </c>
      <c r="B1721" t="s">
        <v>409</v>
      </c>
      <c r="C1721" t="s">
        <v>397</v>
      </c>
      <c r="D1721" s="2" t="s">
        <v>398</v>
      </c>
      <c r="E1721" t="s">
        <v>519</v>
      </c>
      <c r="F1721" s="11">
        <v>43428</v>
      </c>
      <c r="G1721" s="2">
        <f>VLOOKUP(E1721,Produtos!$A:$E,5,FALSE)</f>
        <v>1800</v>
      </c>
      <c r="H1721" s="2">
        <f>VLOOKUP(E1721,Produtos!$A:$E,4,FALSE)</f>
        <v>1000</v>
      </c>
      <c r="I1721" s="2">
        <v>2</v>
      </c>
    </row>
    <row r="1722" spans="1:9" x14ac:dyDescent="0.25">
      <c r="A1722" s="2" t="str">
        <f>CONCATENATE(Códigos!S1721,Códigos!T1721,Códigos!U1721)</f>
        <v>svv1720v</v>
      </c>
      <c r="B1722" t="s">
        <v>409</v>
      </c>
      <c r="C1722" t="s">
        <v>397</v>
      </c>
      <c r="D1722" s="2" t="s">
        <v>398</v>
      </c>
      <c r="E1722" t="s">
        <v>519</v>
      </c>
      <c r="F1722" s="11">
        <v>43429</v>
      </c>
      <c r="G1722" s="2">
        <f>VLOOKUP(E1722,Produtos!$A:$E,5,FALSE)</f>
        <v>1800</v>
      </c>
      <c r="H1722" s="2">
        <f>VLOOKUP(E1722,Produtos!$A:$E,4,FALSE)</f>
        <v>1000</v>
      </c>
      <c r="I1722" s="2">
        <v>2</v>
      </c>
    </row>
    <row r="1723" spans="1:9" x14ac:dyDescent="0.25">
      <c r="A1723" s="2" t="str">
        <f>CONCATENATE(Códigos!S1722,Códigos!T1722,Códigos!U1722)</f>
        <v>svv1721v</v>
      </c>
      <c r="B1723" t="s">
        <v>409</v>
      </c>
      <c r="C1723" t="s">
        <v>397</v>
      </c>
      <c r="D1723" s="2" t="s">
        <v>398</v>
      </c>
      <c r="E1723" t="s">
        <v>519</v>
      </c>
      <c r="F1723" s="11">
        <v>43430</v>
      </c>
      <c r="G1723" s="2">
        <f>VLOOKUP(E1723,Produtos!$A:$E,5,FALSE)</f>
        <v>1800</v>
      </c>
      <c r="H1723" s="2">
        <f>VLOOKUP(E1723,Produtos!$A:$E,4,FALSE)</f>
        <v>1000</v>
      </c>
      <c r="I1723" s="2">
        <v>2</v>
      </c>
    </row>
    <row r="1724" spans="1:9" x14ac:dyDescent="0.25">
      <c r="A1724" s="2" t="str">
        <f>CONCATENATE(Códigos!S1723,Códigos!T1723,Códigos!U1723)</f>
        <v>svv1722v</v>
      </c>
      <c r="B1724" t="s">
        <v>409</v>
      </c>
      <c r="C1724" t="s">
        <v>397</v>
      </c>
      <c r="D1724" s="2" t="s">
        <v>398</v>
      </c>
      <c r="E1724" t="s">
        <v>519</v>
      </c>
      <c r="F1724" s="11">
        <v>43431</v>
      </c>
      <c r="G1724" s="2">
        <f>VLOOKUP(E1724,Produtos!$A:$E,5,FALSE)</f>
        <v>1800</v>
      </c>
      <c r="H1724" s="2">
        <f>VLOOKUP(E1724,Produtos!$A:$E,4,FALSE)</f>
        <v>1000</v>
      </c>
      <c r="I1724" s="2">
        <v>2</v>
      </c>
    </row>
    <row r="1725" spans="1:9" x14ac:dyDescent="0.25">
      <c r="A1725" s="2" t="str">
        <f>CONCATENATE(Códigos!S1724,Códigos!T1724,Códigos!U1724)</f>
        <v>svv1723v</v>
      </c>
      <c r="B1725" t="s">
        <v>409</v>
      </c>
      <c r="C1725" t="s">
        <v>397</v>
      </c>
      <c r="D1725" s="2" t="s">
        <v>398</v>
      </c>
      <c r="E1725" t="s">
        <v>519</v>
      </c>
      <c r="F1725" s="11">
        <v>43432</v>
      </c>
      <c r="G1725" s="2">
        <f>VLOOKUP(E1725,Produtos!$A:$E,5,FALSE)</f>
        <v>1800</v>
      </c>
      <c r="H1725" s="2">
        <f>VLOOKUP(E1725,Produtos!$A:$E,4,FALSE)</f>
        <v>1000</v>
      </c>
      <c r="I1725" s="2">
        <v>2</v>
      </c>
    </row>
    <row r="1726" spans="1:9" x14ac:dyDescent="0.25">
      <c r="A1726" s="2" t="str">
        <f>CONCATENATE(Códigos!S1725,Códigos!T1725,Códigos!U1725)</f>
        <v>svv1724v</v>
      </c>
      <c r="B1726" t="s">
        <v>409</v>
      </c>
      <c r="C1726" t="s">
        <v>397</v>
      </c>
      <c r="D1726" s="2" t="s">
        <v>398</v>
      </c>
      <c r="E1726" t="s">
        <v>519</v>
      </c>
      <c r="F1726" s="11">
        <v>43433</v>
      </c>
      <c r="G1726" s="2">
        <f>VLOOKUP(E1726,Produtos!$A:$E,5,FALSE)</f>
        <v>1800</v>
      </c>
      <c r="H1726" s="2">
        <f>VLOOKUP(E1726,Produtos!$A:$E,4,FALSE)</f>
        <v>1000</v>
      </c>
      <c r="I1726" s="2">
        <v>2</v>
      </c>
    </row>
    <row r="1727" spans="1:9" x14ac:dyDescent="0.25">
      <c r="A1727" s="2" t="str">
        <f>CONCATENATE(Códigos!S1726,Códigos!T1726,Códigos!U1726)</f>
        <v>svv1725v</v>
      </c>
      <c r="B1727" t="s">
        <v>409</v>
      </c>
      <c r="C1727" t="s">
        <v>397</v>
      </c>
      <c r="D1727" s="2" t="s">
        <v>398</v>
      </c>
      <c r="E1727" t="s">
        <v>519</v>
      </c>
      <c r="F1727" s="11">
        <v>43434</v>
      </c>
      <c r="G1727" s="2">
        <f>VLOOKUP(E1727,Produtos!$A:$E,5,FALSE)</f>
        <v>1800</v>
      </c>
      <c r="H1727" s="2">
        <f>VLOOKUP(E1727,Produtos!$A:$E,4,FALSE)</f>
        <v>1000</v>
      </c>
      <c r="I1727" s="2">
        <v>2</v>
      </c>
    </row>
    <row r="1728" spans="1:9" x14ac:dyDescent="0.25">
      <c r="A1728" s="2" t="str">
        <f>CONCATENATE(Códigos!S1727,Códigos!T1727,Códigos!U1727)</f>
        <v>svv1726v</v>
      </c>
      <c r="B1728" t="s">
        <v>409</v>
      </c>
      <c r="C1728" t="s">
        <v>397</v>
      </c>
      <c r="D1728" s="2" t="s">
        <v>398</v>
      </c>
      <c r="E1728" t="s">
        <v>519</v>
      </c>
      <c r="F1728" s="11">
        <v>43435</v>
      </c>
      <c r="G1728" s="2">
        <f>VLOOKUP(E1728,Produtos!$A:$E,5,FALSE)</f>
        <v>1800</v>
      </c>
      <c r="H1728" s="2">
        <f>VLOOKUP(E1728,Produtos!$A:$E,4,FALSE)</f>
        <v>1000</v>
      </c>
      <c r="I1728" s="2">
        <v>2</v>
      </c>
    </row>
    <row r="1729" spans="1:9" x14ac:dyDescent="0.25">
      <c r="A1729" s="2" t="str">
        <f>CONCATENATE(Códigos!S1728,Códigos!T1728,Códigos!U1728)</f>
        <v>svv1727v</v>
      </c>
      <c r="B1729" t="s">
        <v>409</v>
      </c>
      <c r="C1729" t="s">
        <v>397</v>
      </c>
      <c r="D1729" s="2" t="s">
        <v>398</v>
      </c>
      <c r="E1729" t="s">
        <v>519</v>
      </c>
      <c r="F1729" s="11">
        <v>43436</v>
      </c>
      <c r="G1729" s="2">
        <f>VLOOKUP(E1729,Produtos!$A:$E,5,FALSE)</f>
        <v>1800</v>
      </c>
      <c r="H1729" s="2">
        <f>VLOOKUP(E1729,Produtos!$A:$E,4,FALSE)</f>
        <v>1000</v>
      </c>
      <c r="I1729" s="2">
        <v>2</v>
      </c>
    </row>
    <row r="1730" spans="1:9" x14ac:dyDescent="0.25">
      <c r="A1730" s="2" t="str">
        <f>CONCATENATE(Códigos!S1729,Códigos!T1729,Códigos!U1729)</f>
        <v>svv1728v</v>
      </c>
      <c r="B1730" t="s">
        <v>409</v>
      </c>
      <c r="C1730" t="s">
        <v>397</v>
      </c>
      <c r="D1730" s="2" t="s">
        <v>398</v>
      </c>
      <c r="E1730" t="s">
        <v>519</v>
      </c>
      <c r="F1730" s="11">
        <v>43437</v>
      </c>
      <c r="G1730" s="2">
        <f>VLOOKUP(E1730,Produtos!$A:$E,5,FALSE)</f>
        <v>1800</v>
      </c>
      <c r="H1730" s="2">
        <f>VLOOKUP(E1730,Produtos!$A:$E,4,FALSE)</f>
        <v>1000</v>
      </c>
      <c r="I1730" s="2">
        <v>2</v>
      </c>
    </row>
    <row r="1731" spans="1:9" x14ac:dyDescent="0.25">
      <c r="A1731" s="2" t="str">
        <f>CONCATENATE(Códigos!S1730,Códigos!T1730,Códigos!U1730)</f>
        <v>svv1729v</v>
      </c>
      <c r="B1731" t="s">
        <v>409</v>
      </c>
      <c r="C1731" t="s">
        <v>397</v>
      </c>
      <c r="D1731" s="2" t="s">
        <v>398</v>
      </c>
      <c r="E1731" t="s">
        <v>519</v>
      </c>
      <c r="F1731" s="11">
        <v>43438</v>
      </c>
      <c r="G1731" s="2">
        <f>VLOOKUP(E1731,Produtos!$A:$E,5,FALSE)</f>
        <v>1800</v>
      </c>
      <c r="H1731" s="2">
        <f>VLOOKUP(E1731,Produtos!$A:$E,4,FALSE)</f>
        <v>1000</v>
      </c>
      <c r="I1731" s="2">
        <v>2</v>
      </c>
    </row>
    <row r="1732" spans="1:9" x14ac:dyDescent="0.25">
      <c r="A1732" s="2" t="str">
        <f>CONCATENATE(Códigos!S1731,Códigos!T1731,Códigos!U1731)</f>
        <v>svv1730v</v>
      </c>
      <c r="B1732" t="s">
        <v>409</v>
      </c>
      <c r="C1732" t="s">
        <v>397</v>
      </c>
      <c r="D1732" s="2" t="s">
        <v>398</v>
      </c>
      <c r="E1732" t="s">
        <v>518</v>
      </c>
      <c r="F1732" s="11">
        <v>43439</v>
      </c>
      <c r="G1732" s="2">
        <f>VLOOKUP(E1732,Produtos!$A:$E,5,FALSE)</f>
        <v>680</v>
      </c>
      <c r="H1732" s="2">
        <f>VLOOKUP(E1732,Produtos!$A:$E,4,FALSE)</f>
        <v>300</v>
      </c>
      <c r="I1732" s="2">
        <v>2</v>
      </c>
    </row>
    <row r="1733" spans="1:9" x14ac:dyDescent="0.25">
      <c r="A1733" s="2" t="str">
        <f>CONCATENATE(Códigos!S1732,Códigos!T1732,Códigos!U1732)</f>
        <v>svv1731v</v>
      </c>
      <c r="B1733" t="s">
        <v>409</v>
      </c>
      <c r="C1733" t="s">
        <v>397</v>
      </c>
      <c r="D1733" s="2" t="s">
        <v>398</v>
      </c>
      <c r="E1733" t="s">
        <v>518</v>
      </c>
      <c r="F1733" s="11">
        <v>43440</v>
      </c>
      <c r="G1733" s="2">
        <f>VLOOKUP(E1733,Produtos!$A:$E,5,FALSE)</f>
        <v>680</v>
      </c>
      <c r="H1733" s="2">
        <f>VLOOKUP(E1733,Produtos!$A:$E,4,FALSE)</f>
        <v>300</v>
      </c>
      <c r="I1733" s="2">
        <v>2</v>
      </c>
    </row>
    <row r="1734" spans="1:9" x14ac:dyDescent="0.25">
      <c r="A1734" s="2" t="str">
        <f>CONCATENATE(Códigos!S1733,Códigos!T1733,Códigos!U1733)</f>
        <v>svv1732v</v>
      </c>
      <c r="B1734" t="s">
        <v>409</v>
      </c>
      <c r="C1734" t="s">
        <v>397</v>
      </c>
      <c r="D1734" s="2" t="s">
        <v>398</v>
      </c>
      <c r="E1734" t="s">
        <v>518</v>
      </c>
      <c r="F1734" s="11">
        <v>43441</v>
      </c>
      <c r="G1734" s="2">
        <f>VLOOKUP(E1734,Produtos!$A:$E,5,FALSE)</f>
        <v>680</v>
      </c>
      <c r="H1734" s="2">
        <f>VLOOKUP(E1734,Produtos!$A:$E,4,FALSE)</f>
        <v>300</v>
      </c>
      <c r="I1734" s="2">
        <v>2</v>
      </c>
    </row>
    <row r="1735" spans="1:9" x14ac:dyDescent="0.25">
      <c r="A1735" s="2" t="str">
        <f>CONCATENATE(Códigos!S1734,Códigos!T1734,Códigos!U1734)</f>
        <v>svv1733v</v>
      </c>
      <c r="B1735" t="s">
        <v>409</v>
      </c>
      <c r="C1735" t="s">
        <v>397</v>
      </c>
      <c r="D1735" s="2" t="s">
        <v>398</v>
      </c>
      <c r="E1735" t="s">
        <v>518</v>
      </c>
      <c r="F1735" s="11">
        <v>43442</v>
      </c>
      <c r="G1735" s="2">
        <f>VLOOKUP(E1735,Produtos!$A:$E,5,FALSE)</f>
        <v>680</v>
      </c>
      <c r="H1735" s="2">
        <f>VLOOKUP(E1735,Produtos!$A:$E,4,FALSE)</f>
        <v>300</v>
      </c>
      <c r="I1735" s="2">
        <v>2</v>
      </c>
    </row>
    <row r="1736" spans="1:9" x14ac:dyDescent="0.25">
      <c r="A1736" s="2" t="str">
        <f>CONCATENATE(Códigos!S1735,Códigos!T1735,Códigos!U1735)</f>
        <v>svv1734v</v>
      </c>
      <c r="B1736" t="s">
        <v>409</v>
      </c>
      <c r="C1736" t="s">
        <v>397</v>
      </c>
      <c r="D1736" s="2" t="s">
        <v>398</v>
      </c>
      <c r="E1736" t="s">
        <v>518</v>
      </c>
      <c r="F1736" s="11">
        <v>43443</v>
      </c>
      <c r="G1736" s="2">
        <f>VLOOKUP(E1736,Produtos!$A:$E,5,FALSE)</f>
        <v>680</v>
      </c>
      <c r="H1736" s="2">
        <f>VLOOKUP(E1736,Produtos!$A:$E,4,FALSE)</f>
        <v>300</v>
      </c>
      <c r="I1736" s="2">
        <v>2</v>
      </c>
    </row>
    <row r="1737" spans="1:9" x14ac:dyDescent="0.25">
      <c r="A1737" s="2" t="str">
        <f>CONCATENATE(Códigos!S1736,Códigos!T1736,Códigos!U1736)</f>
        <v>svv1735v</v>
      </c>
      <c r="B1737" t="s">
        <v>409</v>
      </c>
      <c r="C1737" t="s">
        <v>397</v>
      </c>
      <c r="D1737" s="2" t="s">
        <v>398</v>
      </c>
      <c r="E1737" t="s">
        <v>518</v>
      </c>
      <c r="F1737" s="11">
        <v>43444</v>
      </c>
      <c r="G1737" s="2">
        <f>VLOOKUP(E1737,Produtos!$A:$E,5,FALSE)</f>
        <v>680</v>
      </c>
      <c r="H1737" s="2">
        <f>VLOOKUP(E1737,Produtos!$A:$E,4,FALSE)</f>
        <v>300</v>
      </c>
      <c r="I1737" s="2">
        <v>2</v>
      </c>
    </row>
    <row r="1738" spans="1:9" x14ac:dyDescent="0.25">
      <c r="A1738" s="2" t="str">
        <f>CONCATENATE(Códigos!S1737,Códigos!T1737,Códigos!U1737)</f>
        <v>svv1736v</v>
      </c>
      <c r="B1738" t="s">
        <v>409</v>
      </c>
      <c r="C1738" t="s">
        <v>397</v>
      </c>
      <c r="D1738" s="2" t="s">
        <v>398</v>
      </c>
      <c r="E1738" t="s">
        <v>518</v>
      </c>
      <c r="F1738" s="11">
        <v>43445</v>
      </c>
      <c r="G1738" s="2">
        <f>VLOOKUP(E1738,Produtos!$A:$E,5,FALSE)</f>
        <v>680</v>
      </c>
      <c r="H1738" s="2">
        <f>VLOOKUP(E1738,Produtos!$A:$E,4,FALSE)</f>
        <v>300</v>
      </c>
      <c r="I1738" s="2">
        <v>2</v>
      </c>
    </row>
    <row r="1739" spans="1:9" x14ac:dyDescent="0.25">
      <c r="A1739" s="2" t="str">
        <f>CONCATENATE(Códigos!S1738,Códigos!T1738,Códigos!U1738)</f>
        <v>svv1737v</v>
      </c>
      <c r="B1739" t="s">
        <v>409</v>
      </c>
      <c r="C1739" t="s">
        <v>397</v>
      </c>
      <c r="D1739" s="2" t="s">
        <v>398</v>
      </c>
      <c r="E1739" t="s">
        <v>518</v>
      </c>
      <c r="F1739" s="11">
        <v>43446</v>
      </c>
      <c r="G1739" s="2">
        <f>VLOOKUP(E1739,Produtos!$A:$E,5,FALSE)</f>
        <v>680</v>
      </c>
      <c r="H1739" s="2">
        <f>VLOOKUP(E1739,Produtos!$A:$E,4,FALSE)</f>
        <v>300</v>
      </c>
      <c r="I1739" s="2">
        <v>2</v>
      </c>
    </row>
    <row r="1740" spans="1:9" x14ac:dyDescent="0.25">
      <c r="A1740" s="2" t="str">
        <f>CONCATENATE(Códigos!S1739,Códigos!T1739,Códigos!U1739)</f>
        <v>svv1738v</v>
      </c>
      <c r="B1740" t="s">
        <v>409</v>
      </c>
      <c r="C1740" t="s">
        <v>397</v>
      </c>
      <c r="D1740" s="2" t="s">
        <v>398</v>
      </c>
      <c r="E1740" t="s">
        <v>518</v>
      </c>
      <c r="F1740" s="11">
        <v>43447</v>
      </c>
      <c r="G1740" s="2">
        <f>VLOOKUP(E1740,Produtos!$A:$E,5,FALSE)</f>
        <v>680</v>
      </c>
      <c r="H1740" s="2">
        <f>VLOOKUP(E1740,Produtos!$A:$E,4,FALSE)</f>
        <v>300</v>
      </c>
      <c r="I1740" s="2">
        <v>2</v>
      </c>
    </row>
    <row r="1741" spans="1:9" x14ac:dyDescent="0.25">
      <c r="A1741" s="2" t="str">
        <f>CONCATENATE(Códigos!S1740,Códigos!T1740,Códigos!U1740)</f>
        <v>svv1739v</v>
      </c>
      <c r="B1741" t="s">
        <v>409</v>
      </c>
      <c r="C1741" t="s">
        <v>397</v>
      </c>
      <c r="D1741" s="2" t="s">
        <v>398</v>
      </c>
      <c r="E1741" t="s">
        <v>518</v>
      </c>
      <c r="F1741" s="11">
        <v>43448</v>
      </c>
      <c r="G1741" s="2">
        <f>VLOOKUP(E1741,Produtos!$A:$E,5,FALSE)</f>
        <v>680</v>
      </c>
      <c r="H1741" s="2">
        <f>VLOOKUP(E1741,Produtos!$A:$E,4,FALSE)</f>
        <v>300</v>
      </c>
      <c r="I1741" s="2">
        <v>2</v>
      </c>
    </row>
    <row r="1742" spans="1:9" x14ac:dyDescent="0.25">
      <c r="A1742" s="2" t="str">
        <f>CONCATENATE(Códigos!S1741,Códigos!T1741,Códigos!U1741)</f>
        <v>svv1740v</v>
      </c>
      <c r="B1742" t="s">
        <v>409</v>
      </c>
      <c r="C1742" t="s">
        <v>397</v>
      </c>
      <c r="D1742" s="2" t="s">
        <v>398</v>
      </c>
      <c r="E1742" t="s">
        <v>518</v>
      </c>
      <c r="F1742" s="11">
        <v>43449</v>
      </c>
      <c r="G1742" s="2">
        <f>VLOOKUP(E1742,Produtos!$A:$E,5,FALSE)</f>
        <v>680</v>
      </c>
      <c r="H1742" s="2">
        <f>VLOOKUP(E1742,Produtos!$A:$E,4,FALSE)</f>
        <v>300</v>
      </c>
      <c r="I1742" s="2">
        <v>2</v>
      </c>
    </row>
    <row r="1743" spans="1:9" x14ac:dyDescent="0.25">
      <c r="A1743" s="2" t="str">
        <f>CONCATENATE(Códigos!S1742,Códigos!T1742,Códigos!U1742)</f>
        <v>svv1741v</v>
      </c>
      <c r="B1743" t="s">
        <v>409</v>
      </c>
      <c r="C1743" t="s">
        <v>397</v>
      </c>
      <c r="D1743" s="2" t="s">
        <v>398</v>
      </c>
      <c r="E1743" t="s">
        <v>518</v>
      </c>
      <c r="F1743" s="11">
        <v>43450</v>
      </c>
      <c r="G1743" s="2">
        <f>VLOOKUP(E1743,Produtos!$A:$E,5,FALSE)</f>
        <v>680</v>
      </c>
      <c r="H1743" s="2">
        <f>VLOOKUP(E1743,Produtos!$A:$E,4,FALSE)</f>
        <v>300</v>
      </c>
      <c r="I1743" s="2">
        <v>2</v>
      </c>
    </row>
    <row r="1744" spans="1:9" x14ac:dyDescent="0.25">
      <c r="A1744" s="2" t="str">
        <f>CONCATENATE(Códigos!S1743,Códigos!T1743,Códigos!U1743)</f>
        <v>svv1742v</v>
      </c>
      <c r="B1744" t="s">
        <v>409</v>
      </c>
      <c r="C1744" t="s">
        <v>397</v>
      </c>
      <c r="D1744" s="2" t="s">
        <v>398</v>
      </c>
      <c r="E1744" t="s">
        <v>518</v>
      </c>
      <c r="F1744" s="11">
        <v>43451</v>
      </c>
      <c r="G1744" s="2">
        <f>VLOOKUP(E1744,Produtos!$A:$E,5,FALSE)</f>
        <v>680</v>
      </c>
      <c r="H1744" s="2">
        <f>VLOOKUP(E1744,Produtos!$A:$E,4,FALSE)</f>
        <v>300</v>
      </c>
      <c r="I1744" s="2">
        <v>2</v>
      </c>
    </row>
    <row r="1745" spans="1:9" x14ac:dyDescent="0.25">
      <c r="A1745" s="2" t="str">
        <f>CONCATENATE(Códigos!S1744,Códigos!T1744,Códigos!U1744)</f>
        <v>svv1743v</v>
      </c>
      <c r="B1745" t="s">
        <v>409</v>
      </c>
      <c r="C1745" t="s">
        <v>397</v>
      </c>
      <c r="D1745" s="2" t="s">
        <v>398</v>
      </c>
      <c r="E1745" t="s">
        <v>518</v>
      </c>
      <c r="F1745" s="11">
        <v>43452</v>
      </c>
      <c r="G1745" s="2">
        <f>VLOOKUP(E1745,Produtos!$A:$E,5,FALSE)</f>
        <v>680</v>
      </c>
      <c r="H1745" s="2">
        <f>VLOOKUP(E1745,Produtos!$A:$E,4,FALSE)</f>
        <v>300</v>
      </c>
      <c r="I1745" s="2">
        <v>2</v>
      </c>
    </row>
    <row r="1746" spans="1:9" x14ac:dyDescent="0.25">
      <c r="A1746" s="2" t="str">
        <f>CONCATENATE(Códigos!S1745,Códigos!T1745,Códigos!U1745)</f>
        <v>svv1744v</v>
      </c>
      <c r="B1746" t="s">
        <v>409</v>
      </c>
      <c r="C1746" t="s">
        <v>397</v>
      </c>
      <c r="D1746" s="2" t="s">
        <v>398</v>
      </c>
      <c r="E1746" t="s">
        <v>518</v>
      </c>
      <c r="F1746" s="11">
        <v>43453</v>
      </c>
      <c r="G1746" s="2">
        <f>VLOOKUP(E1746,Produtos!$A:$E,5,FALSE)</f>
        <v>680</v>
      </c>
      <c r="H1746" s="2">
        <f>VLOOKUP(E1746,Produtos!$A:$E,4,FALSE)</f>
        <v>300</v>
      </c>
      <c r="I1746" s="2">
        <v>2</v>
      </c>
    </row>
    <row r="1747" spans="1:9" x14ac:dyDescent="0.25">
      <c r="A1747" s="2" t="str">
        <f>CONCATENATE(Códigos!S1746,Códigos!T1746,Códigos!U1746)</f>
        <v>svv1745v</v>
      </c>
      <c r="B1747" t="s">
        <v>409</v>
      </c>
      <c r="C1747" t="s">
        <v>397</v>
      </c>
      <c r="D1747" s="2" t="s">
        <v>398</v>
      </c>
      <c r="E1747" t="s">
        <v>518</v>
      </c>
      <c r="F1747" s="11">
        <v>43454</v>
      </c>
      <c r="G1747" s="2">
        <f>VLOOKUP(E1747,Produtos!$A:$E,5,FALSE)</f>
        <v>680</v>
      </c>
      <c r="H1747" s="2">
        <f>VLOOKUP(E1747,Produtos!$A:$E,4,FALSE)</f>
        <v>300</v>
      </c>
      <c r="I1747" s="2">
        <v>2</v>
      </c>
    </row>
    <row r="1748" spans="1:9" x14ac:dyDescent="0.25">
      <c r="A1748" s="2" t="str">
        <f>CONCATENATE(Códigos!S1747,Códigos!T1747,Códigos!U1747)</f>
        <v>svv1746v</v>
      </c>
      <c r="B1748" t="s">
        <v>409</v>
      </c>
      <c r="C1748" t="s">
        <v>397</v>
      </c>
      <c r="D1748" s="2" t="s">
        <v>398</v>
      </c>
      <c r="E1748" t="s">
        <v>518</v>
      </c>
      <c r="F1748" s="11">
        <v>43455</v>
      </c>
      <c r="G1748" s="2">
        <f>VLOOKUP(E1748,Produtos!$A:$E,5,FALSE)</f>
        <v>680</v>
      </c>
      <c r="H1748" s="2">
        <f>VLOOKUP(E1748,Produtos!$A:$E,4,FALSE)</f>
        <v>300</v>
      </c>
      <c r="I1748" s="2">
        <v>2</v>
      </c>
    </row>
    <row r="1749" spans="1:9" x14ac:dyDescent="0.25">
      <c r="A1749" s="2" t="str">
        <f>CONCATENATE(Códigos!S1748,Códigos!T1748,Códigos!U1748)</f>
        <v>svv1747v</v>
      </c>
      <c r="B1749" t="s">
        <v>409</v>
      </c>
      <c r="C1749" t="s">
        <v>397</v>
      </c>
      <c r="D1749" s="2" t="s">
        <v>398</v>
      </c>
      <c r="E1749" t="s">
        <v>518</v>
      </c>
      <c r="F1749" s="11">
        <v>43456</v>
      </c>
      <c r="G1749" s="2">
        <f>VLOOKUP(E1749,Produtos!$A:$E,5,FALSE)</f>
        <v>680</v>
      </c>
      <c r="H1749" s="2">
        <f>VLOOKUP(E1749,Produtos!$A:$E,4,FALSE)</f>
        <v>300</v>
      </c>
      <c r="I1749" s="2">
        <v>2</v>
      </c>
    </row>
    <row r="1750" spans="1:9" x14ac:dyDescent="0.25">
      <c r="A1750" s="2" t="str">
        <f>CONCATENATE(Códigos!S1749,Códigos!T1749,Códigos!U1749)</f>
        <v>svv1748v</v>
      </c>
      <c r="B1750" t="s">
        <v>409</v>
      </c>
      <c r="C1750" t="s">
        <v>397</v>
      </c>
      <c r="D1750" s="2" t="s">
        <v>398</v>
      </c>
      <c r="E1750" t="s">
        <v>518</v>
      </c>
      <c r="F1750" s="11">
        <v>43457</v>
      </c>
      <c r="G1750" s="2">
        <f>VLOOKUP(E1750,Produtos!$A:$E,5,FALSE)</f>
        <v>680</v>
      </c>
      <c r="H1750" s="2">
        <f>VLOOKUP(E1750,Produtos!$A:$E,4,FALSE)</f>
        <v>300</v>
      </c>
      <c r="I1750" s="2">
        <v>2</v>
      </c>
    </row>
    <row r="1751" spans="1:9" x14ac:dyDescent="0.25">
      <c r="A1751" s="2" t="str">
        <f>CONCATENATE(Códigos!S1750,Códigos!T1750,Códigos!U1750)</f>
        <v>svv1749v</v>
      </c>
      <c r="B1751" t="s">
        <v>409</v>
      </c>
      <c r="C1751" t="s">
        <v>397</v>
      </c>
      <c r="D1751" s="2" t="s">
        <v>398</v>
      </c>
      <c r="E1751" t="s">
        <v>518</v>
      </c>
      <c r="F1751" s="11">
        <v>43458</v>
      </c>
      <c r="G1751" s="2">
        <f>VLOOKUP(E1751,Produtos!$A:$E,5,FALSE)</f>
        <v>680</v>
      </c>
      <c r="H1751" s="2">
        <f>VLOOKUP(E1751,Produtos!$A:$E,4,FALSE)</f>
        <v>300</v>
      </c>
      <c r="I1751" s="2">
        <v>2</v>
      </c>
    </row>
    <row r="1752" spans="1:9" x14ac:dyDescent="0.25">
      <c r="A1752" s="2" t="str">
        <f>CONCATENATE(Códigos!S1751,Códigos!T1751,Códigos!U1751)</f>
        <v>svv1750v</v>
      </c>
      <c r="B1752" t="s">
        <v>409</v>
      </c>
      <c r="C1752" t="s">
        <v>397</v>
      </c>
      <c r="D1752" s="2" t="s">
        <v>398</v>
      </c>
      <c r="E1752" t="s">
        <v>518</v>
      </c>
      <c r="F1752" s="11">
        <v>43459</v>
      </c>
      <c r="G1752" s="2">
        <f>VLOOKUP(E1752,Produtos!$A:$E,5,FALSE)</f>
        <v>680</v>
      </c>
      <c r="H1752" s="2">
        <f>VLOOKUP(E1752,Produtos!$A:$E,4,FALSE)</f>
        <v>300</v>
      </c>
      <c r="I1752" s="2">
        <v>2</v>
      </c>
    </row>
    <row r="1753" spans="1:9" x14ac:dyDescent="0.25">
      <c r="A1753" s="2" t="str">
        <f>CONCATENATE(Códigos!S1752,Códigos!T1752,Códigos!U1752)</f>
        <v>svv1751v</v>
      </c>
      <c r="B1753" t="s">
        <v>409</v>
      </c>
      <c r="C1753" t="s">
        <v>397</v>
      </c>
      <c r="D1753" s="2" t="s">
        <v>398</v>
      </c>
      <c r="E1753" t="s">
        <v>518</v>
      </c>
      <c r="F1753" s="11">
        <v>43460</v>
      </c>
      <c r="G1753" s="2">
        <f>VLOOKUP(E1753,Produtos!$A:$E,5,FALSE)</f>
        <v>680</v>
      </c>
      <c r="H1753" s="2">
        <f>VLOOKUP(E1753,Produtos!$A:$E,4,FALSE)</f>
        <v>300</v>
      </c>
      <c r="I1753" s="2">
        <v>2</v>
      </c>
    </row>
    <row r="1754" spans="1:9" x14ac:dyDescent="0.25">
      <c r="A1754" s="2" t="str">
        <f>CONCATENATE(Códigos!S1753,Códigos!T1753,Códigos!U1753)</f>
        <v>svv1752v</v>
      </c>
      <c r="B1754" t="s">
        <v>409</v>
      </c>
      <c r="C1754" t="s">
        <v>397</v>
      </c>
      <c r="D1754" s="2" t="s">
        <v>398</v>
      </c>
      <c r="E1754" t="s">
        <v>481</v>
      </c>
      <c r="F1754" s="11">
        <v>43461</v>
      </c>
      <c r="G1754" s="2">
        <f>VLOOKUP(E1754,Produtos!$A:$E,5,FALSE)</f>
        <v>850</v>
      </c>
      <c r="H1754" s="2">
        <f>VLOOKUP(E1754,Produtos!$A:$E,4,FALSE)</f>
        <v>400</v>
      </c>
      <c r="I1754" s="2">
        <v>2</v>
      </c>
    </row>
    <row r="1755" spans="1:9" x14ac:dyDescent="0.25">
      <c r="A1755" s="2" t="str">
        <f>CONCATENATE(Códigos!S1754,Códigos!T1754,Códigos!U1754)</f>
        <v>svv1753v</v>
      </c>
      <c r="B1755" t="s">
        <v>409</v>
      </c>
      <c r="C1755" t="s">
        <v>397</v>
      </c>
      <c r="D1755" s="2" t="s">
        <v>398</v>
      </c>
      <c r="E1755" t="s">
        <v>481</v>
      </c>
      <c r="F1755" s="11">
        <v>43462</v>
      </c>
      <c r="G1755" s="2">
        <f>VLOOKUP(E1755,Produtos!$A:$E,5,FALSE)</f>
        <v>850</v>
      </c>
      <c r="H1755" s="2">
        <f>VLOOKUP(E1755,Produtos!$A:$E,4,FALSE)</f>
        <v>400</v>
      </c>
      <c r="I1755" s="2">
        <v>2</v>
      </c>
    </row>
    <row r="1756" spans="1:9" x14ac:dyDescent="0.25">
      <c r="A1756" s="2" t="str">
        <f>CONCATENATE(Códigos!S1755,Códigos!T1755,Códigos!U1755)</f>
        <v>svv1754v</v>
      </c>
      <c r="B1756" t="s">
        <v>409</v>
      </c>
      <c r="C1756" t="s">
        <v>397</v>
      </c>
      <c r="D1756" s="2" t="s">
        <v>398</v>
      </c>
      <c r="E1756" t="s">
        <v>481</v>
      </c>
      <c r="F1756" s="11">
        <v>43463</v>
      </c>
      <c r="G1756" s="2">
        <f>VLOOKUP(E1756,Produtos!$A:$E,5,FALSE)</f>
        <v>850</v>
      </c>
      <c r="H1756" s="2">
        <f>VLOOKUP(E1756,Produtos!$A:$E,4,FALSE)</f>
        <v>400</v>
      </c>
      <c r="I1756" s="2">
        <v>2</v>
      </c>
    </row>
    <row r="1757" spans="1:9" x14ac:dyDescent="0.25">
      <c r="A1757" s="2" t="str">
        <f>CONCATENATE(Códigos!S1756,Códigos!T1756,Códigos!U1756)</f>
        <v>svv1755v</v>
      </c>
      <c r="B1757" t="s">
        <v>409</v>
      </c>
      <c r="C1757" t="s">
        <v>397</v>
      </c>
      <c r="D1757" s="2" t="s">
        <v>398</v>
      </c>
      <c r="E1757" t="s">
        <v>481</v>
      </c>
      <c r="F1757" s="11">
        <v>43464</v>
      </c>
      <c r="G1757" s="2">
        <f>VLOOKUP(E1757,Produtos!$A:$E,5,FALSE)</f>
        <v>850</v>
      </c>
      <c r="H1757" s="2">
        <f>VLOOKUP(E1757,Produtos!$A:$E,4,FALSE)</f>
        <v>400</v>
      </c>
      <c r="I1757" s="2">
        <v>2</v>
      </c>
    </row>
    <row r="1758" spans="1:9" x14ac:dyDescent="0.25">
      <c r="A1758" s="2" t="str">
        <f>CONCATENATE(Códigos!S1757,Códigos!T1757,Códigos!U1757)</f>
        <v>svv1756v</v>
      </c>
      <c r="B1758" t="s">
        <v>409</v>
      </c>
      <c r="C1758" t="s">
        <v>397</v>
      </c>
      <c r="D1758" s="2" t="s">
        <v>398</v>
      </c>
      <c r="E1758" t="s">
        <v>481</v>
      </c>
      <c r="F1758" s="11">
        <v>43465</v>
      </c>
      <c r="G1758" s="2">
        <f>VLOOKUP(E1758,Produtos!$A:$E,5,FALSE)</f>
        <v>850</v>
      </c>
      <c r="H1758" s="2">
        <f>VLOOKUP(E1758,Produtos!$A:$E,4,FALSE)</f>
        <v>400</v>
      </c>
      <c r="I1758" s="2">
        <v>2</v>
      </c>
    </row>
    <row r="1759" spans="1:9" x14ac:dyDescent="0.25">
      <c r="A1759" s="2" t="str">
        <f>CONCATENATE(Códigos!S1758,Códigos!T1758,Códigos!U1758)</f>
        <v>svv1757v</v>
      </c>
      <c r="B1759" t="s">
        <v>409</v>
      </c>
      <c r="C1759" t="s">
        <v>397</v>
      </c>
      <c r="D1759" s="2" t="s">
        <v>398</v>
      </c>
      <c r="E1759" t="s">
        <v>481</v>
      </c>
      <c r="F1759" s="11">
        <v>43466</v>
      </c>
      <c r="G1759" s="2">
        <f>VLOOKUP(E1759,Produtos!$A:$E,5,FALSE)</f>
        <v>850</v>
      </c>
      <c r="H1759" s="2">
        <f>VLOOKUP(E1759,Produtos!$A:$E,4,FALSE)</f>
        <v>400</v>
      </c>
      <c r="I1759" s="2">
        <v>2</v>
      </c>
    </row>
    <row r="1760" spans="1:9" x14ac:dyDescent="0.25">
      <c r="A1760" s="2" t="str">
        <f>CONCATENATE(Códigos!S1759,Códigos!T1759,Códigos!U1759)</f>
        <v>svv1758v</v>
      </c>
      <c r="B1760" t="s">
        <v>409</v>
      </c>
      <c r="C1760" t="s">
        <v>397</v>
      </c>
      <c r="D1760" s="2" t="s">
        <v>398</v>
      </c>
      <c r="E1760" t="s">
        <v>481</v>
      </c>
      <c r="F1760" s="11">
        <v>43467</v>
      </c>
      <c r="G1760" s="2">
        <f>VLOOKUP(E1760,Produtos!$A:$E,5,FALSE)</f>
        <v>850</v>
      </c>
      <c r="H1760" s="2">
        <f>VLOOKUP(E1760,Produtos!$A:$E,4,FALSE)</f>
        <v>400</v>
      </c>
      <c r="I1760" s="2">
        <v>2</v>
      </c>
    </row>
    <row r="1761" spans="1:9" x14ac:dyDescent="0.25">
      <c r="A1761" s="2" t="str">
        <f>CONCATENATE(Códigos!S1760,Códigos!T1760,Códigos!U1760)</f>
        <v>svv1759v</v>
      </c>
      <c r="B1761" t="s">
        <v>409</v>
      </c>
      <c r="C1761" t="s">
        <v>397</v>
      </c>
      <c r="D1761" s="2" t="s">
        <v>398</v>
      </c>
      <c r="E1761" t="s">
        <v>481</v>
      </c>
      <c r="F1761" s="11">
        <v>43468</v>
      </c>
      <c r="G1761" s="2">
        <f>VLOOKUP(E1761,Produtos!$A:$E,5,FALSE)</f>
        <v>850</v>
      </c>
      <c r="H1761" s="2">
        <f>VLOOKUP(E1761,Produtos!$A:$E,4,FALSE)</f>
        <v>400</v>
      </c>
      <c r="I1761" s="2">
        <v>2</v>
      </c>
    </row>
    <row r="1762" spans="1:9" x14ac:dyDescent="0.25">
      <c r="A1762" s="2" t="str">
        <f>CONCATENATE(Códigos!S1761,Códigos!T1761,Códigos!U1761)</f>
        <v>svv1760v</v>
      </c>
      <c r="B1762" t="s">
        <v>409</v>
      </c>
      <c r="C1762" t="s">
        <v>397</v>
      </c>
      <c r="D1762" s="2" t="s">
        <v>398</v>
      </c>
      <c r="E1762" t="s">
        <v>481</v>
      </c>
      <c r="F1762" s="11">
        <v>43469</v>
      </c>
      <c r="G1762" s="2">
        <f>VLOOKUP(E1762,Produtos!$A:$E,5,FALSE)</f>
        <v>850</v>
      </c>
      <c r="H1762" s="2">
        <f>VLOOKUP(E1762,Produtos!$A:$E,4,FALSE)</f>
        <v>400</v>
      </c>
      <c r="I1762" s="2">
        <v>2</v>
      </c>
    </row>
    <row r="1763" spans="1:9" x14ac:dyDescent="0.25">
      <c r="A1763" s="2" t="str">
        <f>CONCATENATE(Códigos!S1762,Códigos!T1762,Códigos!U1762)</f>
        <v>svv1761v</v>
      </c>
      <c r="B1763" t="s">
        <v>409</v>
      </c>
      <c r="C1763" t="s">
        <v>397</v>
      </c>
      <c r="D1763" s="2" t="s">
        <v>398</v>
      </c>
      <c r="E1763" t="s">
        <v>481</v>
      </c>
      <c r="F1763" s="11">
        <v>43470</v>
      </c>
      <c r="G1763" s="2">
        <f>VLOOKUP(E1763,Produtos!$A:$E,5,FALSE)</f>
        <v>850</v>
      </c>
      <c r="H1763" s="2">
        <f>VLOOKUP(E1763,Produtos!$A:$E,4,FALSE)</f>
        <v>400</v>
      </c>
      <c r="I1763" s="2">
        <v>2</v>
      </c>
    </row>
    <row r="1764" spans="1:9" x14ac:dyDescent="0.25">
      <c r="A1764" s="2" t="str">
        <f>CONCATENATE(Códigos!S1763,Códigos!T1763,Códigos!U1763)</f>
        <v>svv1762v</v>
      </c>
      <c r="B1764" t="s">
        <v>409</v>
      </c>
      <c r="C1764" t="s">
        <v>397</v>
      </c>
      <c r="D1764" s="2" t="s">
        <v>398</v>
      </c>
      <c r="E1764" t="s">
        <v>481</v>
      </c>
      <c r="F1764" s="11">
        <v>43471</v>
      </c>
      <c r="G1764" s="2">
        <f>VLOOKUP(E1764,Produtos!$A:$E,5,FALSE)</f>
        <v>850</v>
      </c>
      <c r="H1764" s="2">
        <f>VLOOKUP(E1764,Produtos!$A:$E,4,FALSE)</f>
        <v>400</v>
      </c>
      <c r="I1764" s="2">
        <v>2</v>
      </c>
    </row>
    <row r="1765" spans="1:9" x14ac:dyDescent="0.25">
      <c r="A1765" s="2" t="str">
        <f>CONCATENATE(Códigos!S1764,Códigos!T1764,Códigos!U1764)</f>
        <v>svv1763v</v>
      </c>
      <c r="B1765" t="s">
        <v>409</v>
      </c>
      <c r="C1765" t="s">
        <v>397</v>
      </c>
      <c r="D1765" s="2" t="s">
        <v>398</v>
      </c>
      <c r="E1765" t="s">
        <v>481</v>
      </c>
      <c r="F1765" s="11">
        <v>43472</v>
      </c>
      <c r="G1765" s="2">
        <f>VLOOKUP(E1765,Produtos!$A:$E,5,FALSE)</f>
        <v>850</v>
      </c>
      <c r="H1765" s="2">
        <f>VLOOKUP(E1765,Produtos!$A:$E,4,FALSE)</f>
        <v>400</v>
      </c>
      <c r="I1765" s="2">
        <v>2</v>
      </c>
    </row>
    <row r="1766" spans="1:9" x14ac:dyDescent="0.25">
      <c r="A1766" s="2" t="str">
        <f>CONCATENATE(Códigos!S1765,Códigos!T1765,Códigos!U1765)</f>
        <v>svv1764v</v>
      </c>
      <c r="B1766" t="s">
        <v>409</v>
      </c>
      <c r="C1766" t="s">
        <v>397</v>
      </c>
      <c r="D1766" s="2" t="s">
        <v>398</v>
      </c>
      <c r="E1766" t="s">
        <v>481</v>
      </c>
      <c r="F1766" s="11">
        <v>43473</v>
      </c>
      <c r="G1766" s="2">
        <f>VLOOKUP(E1766,Produtos!$A:$E,5,FALSE)</f>
        <v>850</v>
      </c>
      <c r="H1766" s="2">
        <f>VLOOKUP(E1766,Produtos!$A:$E,4,FALSE)</f>
        <v>400</v>
      </c>
      <c r="I1766" s="2">
        <v>2</v>
      </c>
    </row>
    <row r="1767" spans="1:9" x14ac:dyDescent="0.25">
      <c r="A1767" s="2" t="str">
        <f>CONCATENATE(Códigos!S1766,Códigos!T1766,Códigos!U1766)</f>
        <v>svv1765v</v>
      </c>
      <c r="B1767" t="s">
        <v>409</v>
      </c>
      <c r="C1767" t="s">
        <v>397</v>
      </c>
      <c r="D1767" s="2" t="s">
        <v>398</v>
      </c>
      <c r="E1767" t="s">
        <v>481</v>
      </c>
      <c r="F1767" s="11">
        <v>43474</v>
      </c>
      <c r="G1767" s="2">
        <f>VLOOKUP(E1767,Produtos!$A:$E,5,FALSE)</f>
        <v>850</v>
      </c>
      <c r="H1767" s="2">
        <f>VLOOKUP(E1767,Produtos!$A:$E,4,FALSE)</f>
        <v>400</v>
      </c>
      <c r="I1767" s="2">
        <v>2</v>
      </c>
    </row>
    <row r="1768" spans="1:9" x14ac:dyDescent="0.25">
      <c r="A1768" s="2" t="str">
        <f>CONCATENATE(Códigos!S1767,Códigos!T1767,Códigos!U1767)</f>
        <v>svv1766v</v>
      </c>
      <c r="B1768" t="s">
        <v>409</v>
      </c>
      <c r="C1768" t="s">
        <v>397</v>
      </c>
      <c r="D1768" s="2" t="s">
        <v>398</v>
      </c>
      <c r="E1768" t="s">
        <v>481</v>
      </c>
      <c r="F1768" s="11">
        <v>43475</v>
      </c>
      <c r="G1768" s="2">
        <f>VLOOKUP(E1768,Produtos!$A:$E,5,FALSE)</f>
        <v>850</v>
      </c>
      <c r="H1768" s="2">
        <f>VLOOKUP(E1768,Produtos!$A:$E,4,FALSE)</f>
        <v>400</v>
      </c>
      <c r="I1768" s="2">
        <v>2</v>
      </c>
    </row>
    <row r="1769" spans="1:9" x14ac:dyDescent="0.25">
      <c r="A1769" s="2" t="str">
        <f>CONCATENATE(Códigos!S1768,Códigos!T1768,Códigos!U1768)</f>
        <v>svv1767v</v>
      </c>
      <c r="B1769" t="s">
        <v>409</v>
      </c>
      <c r="C1769" t="s">
        <v>397</v>
      </c>
      <c r="D1769" s="2" t="s">
        <v>398</v>
      </c>
      <c r="E1769" t="s">
        <v>481</v>
      </c>
      <c r="F1769" s="11">
        <v>43476</v>
      </c>
      <c r="G1769" s="2">
        <f>VLOOKUP(E1769,Produtos!$A:$E,5,FALSE)</f>
        <v>850</v>
      </c>
      <c r="H1769" s="2">
        <f>VLOOKUP(E1769,Produtos!$A:$E,4,FALSE)</f>
        <v>400</v>
      </c>
      <c r="I1769" s="2">
        <v>2</v>
      </c>
    </row>
    <row r="1770" spans="1:9" x14ac:dyDescent="0.25">
      <c r="A1770" s="2" t="str">
        <f>CONCATENATE(Códigos!S1769,Códigos!T1769,Códigos!U1769)</f>
        <v>svv1768v</v>
      </c>
      <c r="B1770" t="s">
        <v>409</v>
      </c>
      <c r="C1770" t="s">
        <v>397</v>
      </c>
      <c r="D1770" s="2" t="s">
        <v>398</v>
      </c>
      <c r="E1770" t="s">
        <v>481</v>
      </c>
      <c r="F1770" s="11">
        <v>43477</v>
      </c>
      <c r="G1770" s="2">
        <f>VLOOKUP(E1770,Produtos!$A:$E,5,FALSE)</f>
        <v>850</v>
      </c>
      <c r="H1770" s="2">
        <f>VLOOKUP(E1770,Produtos!$A:$E,4,FALSE)</f>
        <v>400</v>
      </c>
      <c r="I1770" s="2">
        <v>2</v>
      </c>
    </row>
    <row r="1771" spans="1:9" x14ac:dyDescent="0.25">
      <c r="A1771" s="2" t="str">
        <f>CONCATENATE(Códigos!S1770,Códigos!T1770,Códigos!U1770)</f>
        <v>svv1769v</v>
      </c>
      <c r="B1771" t="s">
        <v>409</v>
      </c>
      <c r="C1771" t="s">
        <v>397</v>
      </c>
      <c r="D1771" s="2" t="s">
        <v>398</v>
      </c>
      <c r="E1771" t="s">
        <v>481</v>
      </c>
      <c r="F1771" s="11">
        <v>43478</v>
      </c>
      <c r="G1771" s="2">
        <f>VLOOKUP(E1771,Produtos!$A:$E,5,FALSE)</f>
        <v>850</v>
      </c>
      <c r="H1771" s="2">
        <f>VLOOKUP(E1771,Produtos!$A:$E,4,FALSE)</f>
        <v>400</v>
      </c>
      <c r="I1771" s="2">
        <v>2</v>
      </c>
    </row>
    <row r="1772" spans="1:9" x14ac:dyDescent="0.25">
      <c r="A1772" s="2" t="str">
        <f>CONCATENATE(Códigos!S1771,Códigos!T1771,Códigos!U1771)</f>
        <v>svv1770v</v>
      </c>
      <c r="B1772" t="s">
        <v>409</v>
      </c>
      <c r="C1772" t="s">
        <v>397</v>
      </c>
      <c r="D1772" s="2" t="s">
        <v>398</v>
      </c>
      <c r="E1772" t="s">
        <v>481</v>
      </c>
      <c r="F1772" s="11">
        <v>43479</v>
      </c>
      <c r="G1772" s="2">
        <f>VLOOKUP(E1772,Produtos!$A:$E,5,FALSE)</f>
        <v>850</v>
      </c>
      <c r="H1772" s="2">
        <f>VLOOKUP(E1772,Produtos!$A:$E,4,FALSE)</f>
        <v>400</v>
      </c>
      <c r="I1772" s="2">
        <v>2</v>
      </c>
    </row>
    <row r="1773" spans="1:9" x14ac:dyDescent="0.25">
      <c r="A1773" s="2" t="str">
        <f>CONCATENATE(Códigos!S1772,Códigos!T1772,Códigos!U1772)</f>
        <v>svv1771v</v>
      </c>
      <c r="B1773" t="s">
        <v>409</v>
      </c>
      <c r="C1773" t="s">
        <v>397</v>
      </c>
      <c r="D1773" s="2" t="s">
        <v>398</v>
      </c>
      <c r="E1773" t="s">
        <v>481</v>
      </c>
      <c r="F1773" s="11">
        <v>43480</v>
      </c>
      <c r="G1773" s="2">
        <f>VLOOKUP(E1773,Produtos!$A:$E,5,FALSE)</f>
        <v>850</v>
      </c>
      <c r="H1773" s="2">
        <f>VLOOKUP(E1773,Produtos!$A:$E,4,FALSE)</f>
        <v>400</v>
      </c>
      <c r="I1773" s="2">
        <v>2</v>
      </c>
    </row>
    <row r="1774" spans="1:9" x14ac:dyDescent="0.25">
      <c r="A1774" s="2" t="str">
        <f>CONCATENATE(Códigos!S1773,Códigos!T1773,Códigos!U1773)</f>
        <v>svv1772v</v>
      </c>
      <c r="B1774" t="s">
        <v>409</v>
      </c>
      <c r="C1774" t="s">
        <v>397</v>
      </c>
      <c r="D1774" s="2" t="s">
        <v>398</v>
      </c>
      <c r="E1774" t="s">
        <v>481</v>
      </c>
      <c r="F1774" s="11">
        <v>43481</v>
      </c>
      <c r="G1774" s="2">
        <f>VLOOKUP(E1774,Produtos!$A:$E,5,FALSE)</f>
        <v>850</v>
      </c>
      <c r="H1774" s="2">
        <f>VLOOKUP(E1774,Produtos!$A:$E,4,FALSE)</f>
        <v>400</v>
      </c>
      <c r="I1774" s="2">
        <v>2</v>
      </c>
    </row>
    <row r="1775" spans="1:9" x14ac:dyDescent="0.25">
      <c r="A1775" s="2" t="str">
        <f>CONCATENATE(Códigos!S1774,Códigos!T1774,Códigos!U1774)</f>
        <v>svv1773v</v>
      </c>
      <c r="B1775" t="s">
        <v>409</v>
      </c>
      <c r="C1775" t="s">
        <v>397</v>
      </c>
      <c r="D1775" s="2" t="s">
        <v>398</v>
      </c>
      <c r="E1775" t="s">
        <v>481</v>
      </c>
      <c r="F1775" s="11">
        <v>43482</v>
      </c>
      <c r="G1775" s="2">
        <f>VLOOKUP(E1775,Produtos!$A:$E,5,FALSE)</f>
        <v>850</v>
      </c>
      <c r="H1775" s="2">
        <f>VLOOKUP(E1775,Produtos!$A:$E,4,FALSE)</f>
        <v>400</v>
      </c>
      <c r="I1775" s="2">
        <v>2</v>
      </c>
    </row>
    <row r="1776" spans="1:9" x14ac:dyDescent="0.25">
      <c r="A1776" s="2" t="str">
        <f>CONCATENATE(Códigos!S1775,Códigos!T1775,Códigos!U1775)</f>
        <v>svv1774v</v>
      </c>
      <c r="B1776" t="s">
        <v>409</v>
      </c>
      <c r="C1776" t="s">
        <v>397</v>
      </c>
      <c r="D1776" s="2" t="s">
        <v>398</v>
      </c>
      <c r="E1776" t="s">
        <v>481</v>
      </c>
      <c r="F1776" s="11">
        <v>43483</v>
      </c>
      <c r="G1776" s="2">
        <f>VLOOKUP(E1776,Produtos!$A:$E,5,FALSE)</f>
        <v>850</v>
      </c>
      <c r="H1776" s="2">
        <f>VLOOKUP(E1776,Produtos!$A:$E,4,FALSE)</f>
        <v>400</v>
      </c>
      <c r="I1776" s="2">
        <v>2</v>
      </c>
    </row>
    <row r="1777" spans="1:9" x14ac:dyDescent="0.25">
      <c r="A1777" s="2" t="str">
        <f>CONCATENATE(Códigos!S1776,Códigos!T1776,Códigos!U1776)</f>
        <v>svv1775v</v>
      </c>
      <c r="B1777" t="s">
        <v>409</v>
      </c>
      <c r="C1777" t="s">
        <v>397</v>
      </c>
      <c r="D1777" s="2" t="s">
        <v>398</v>
      </c>
      <c r="E1777" t="s">
        <v>481</v>
      </c>
      <c r="F1777" s="11">
        <v>43484</v>
      </c>
      <c r="G1777" s="2">
        <f>VLOOKUP(E1777,Produtos!$A:$E,5,FALSE)</f>
        <v>850</v>
      </c>
      <c r="H1777" s="2">
        <f>VLOOKUP(E1777,Produtos!$A:$E,4,FALSE)</f>
        <v>400</v>
      </c>
      <c r="I1777" s="2">
        <v>2</v>
      </c>
    </row>
    <row r="1778" spans="1:9" x14ac:dyDescent="0.25">
      <c r="A1778" s="2" t="str">
        <f>CONCATENATE(Códigos!S1777,Códigos!T1777,Códigos!U1777)</f>
        <v>svv1776v</v>
      </c>
      <c r="B1778" t="s">
        <v>409</v>
      </c>
      <c r="C1778" t="s">
        <v>397</v>
      </c>
      <c r="D1778" s="2" t="s">
        <v>398</v>
      </c>
      <c r="E1778" t="s">
        <v>481</v>
      </c>
      <c r="F1778" s="11">
        <v>43485</v>
      </c>
      <c r="G1778" s="2">
        <f>VLOOKUP(E1778,Produtos!$A:$E,5,FALSE)</f>
        <v>850</v>
      </c>
      <c r="H1778" s="2">
        <f>VLOOKUP(E1778,Produtos!$A:$E,4,FALSE)</f>
        <v>400</v>
      </c>
      <c r="I1778" s="2">
        <v>2</v>
      </c>
    </row>
    <row r="1779" spans="1:9" x14ac:dyDescent="0.25">
      <c r="A1779" s="2" t="str">
        <f>CONCATENATE(Códigos!S1778,Códigos!T1778,Códigos!U1778)</f>
        <v>svv1777v</v>
      </c>
      <c r="B1779" t="s">
        <v>409</v>
      </c>
      <c r="C1779" t="s">
        <v>397</v>
      </c>
      <c r="D1779" s="2" t="s">
        <v>398</v>
      </c>
      <c r="E1779" t="s">
        <v>481</v>
      </c>
      <c r="F1779" s="11">
        <v>43486</v>
      </c>
      <c r="G1779" s="2">
        <f>VLOOKUP(E1779,Produtos!$A:$E,5,FALSE)</f>
        <v>850</v>
      </c>
      <c r="H1779" s="2">
        <f>VLOOKUP(E1779,Produtos!$A:$E,4,FALSE)</f>
        <v>400</v>
      </c>
      <c r="I1779" s="2">
        <v>2</v>
      </c>
    </row>
    <row r="1780" spans="1:9" x14ac:dyDescent="0.25">
      <c r="A1780" s="2" t="str">
        <f>CONCATENATE(Códigos!S1779,Códigos!T1779,Códigos!U1779)</f>
        <v>svv1778v</v>
      </c>
      <c r="B1780" t="s">
        <v>409</v>
      </c>
      <c r="C1780" t="s">
        <v>397</v>
      </c>
      <c r="D1780" s="2" t="s">
        <v>398</v>
      </c>
      <c r="E1780" t="s">
        <v>481</v>
      </c>
      <c r="F1780" s="11">
        <v>43487</v>
      </c>
      <c r="G1780" s="2">
        <f>VLOOKUP(E1780,Produtos!$A:$E,5,FALSE)</f>
        <v>850</v>
      </c>
      <c r="H1780" s="2">
        <f>VLOOKUP(E1780,Produtos!$A:$E,4,FALSE)</f>
        <v>400</v>
      </c>
      <c r="I1780" s="2">
        <v>2</v>
      </c>
    </row>
    <row r="1781" spans="1:9" x14ac:dyDescent="0.25">
      <c r="A1781" s="2" t="str">
        <f>CONCATENATE(Códigos!S1780,Códigos!T1780,Códigos!U1780)</f>
        <v>svv1779v</v>
      </c>
      <c r="B1781" t="s">
        <v>409</v>
      </c>
      <c r="C1781" t="s">
        <v>397</v>
      </c>
      <c r="D1781" s="2" t="s">
        <v>398</v>
      </c>
      <c r="E1781" t="s">
        <v>481</v>
      </c>
      <c r="F1781" s="11">
        <v>43488</v>
      </c>
      <c r="G1781" s="2">
        <f>VLOOKUP(E1781,Produtos!$A:$E,5,FALSE)</f>
        <v>850</v>
      </c>
      <c r="H1781" s="2">
        <f>VLOOKUP(E1781,Produtos!$A:$E,4,FALSE)</f>
        <v>400</v>
      </c>
      <c r="I1781" s="2">
        <v>2</v>
      </c>
    </row>
    <row r="1782" spans="1:9" x14ac:dyDescent="0.25">
      <c r="A1782" s="2" t="str">
        <f>CONCATENATE(Códigos!S1781,Códigos!T1781,Códigos!U1781)</f>
        <v>svv1780v</v>
      </c>
      <c r="B1782" t="s">
        <v>409</v>
      </c>
      <c r="C1782" t="s">
        <v>397</v>
      </c>
      <c r="D1782" s="2" t="s">
        <v>398</v>
      </c>
      <c r="E1782" t="s">
        <v>481</v>
      </c>
      <c r="F1782" s="11">
        <v>43489</v>
      </c>
      <c r="G1782" s="2">
        <f>VLOOKUP(E1782,Produtos!$A:$E,5,FALSE)</f>
        <v>850</v>
      </c>
      <c r="H1782" s="2">
        <f>VLOOKUP(E1782,Produtos!$A:$E,4,FALSE)</f>
        <v>400</v>
      </c>
      <c r="I1782" s="2">
        <v>2</v>
      </c>
    </row>
    <row r="1783" spans="1:9" x14ac:dyDescent="0.25">
      <c r="A1783" s="2" t="str">
        <f>CONCATENATE(Códigos!S1782,Códigos!T1782,Códigos!U1782)</f>
        <v>svv1781v</v>
      </c>
      <c r="B1783" t="s">
        <v>409</v>
      </c>
      <c r="C1783" t="s">
        <v>397</v>
      </c>
      <c r="D1783" s="2" t="s">
        <v>398</v>
      </c>
      <c r="E1783" t="s">
        <v>481</v>
      </c>
      <c r="F1783" s="11">
        <v>43490</v>
      </c>
      <c r="G1783" s="2">
        <f>VLOOKUP(E1783,Produtos!$A:$E,5,FALSE)</f>
        <v>850</v>
      </c>
      <c r="H1783" s="2">
        <f>VLOOKUP(E1783,Produtos!$A:$E,4,FALSE)</f>
        <v>400</v>
      </c>
      <c r="I1783" s="2">
        <v>2</v>
      </c>
    </row>
    <row r="1784" spans="1:9" x14ac:dyDescent="0.25">
      <c r="A1784" s="2" t="str">
        <f>CONCATENATE(Códigos!S1783,Códigos!T1783,Códigos!U1783)</f>
        <v>svv1782v</v>
      </c>
      <c r="B1784" t="s">
        <v>409</v>
      </c>
      <c r="C1784" t="s">
        <v>397</v>
      </c>
      <c r="D1784" s="2" t="s">
        <v>398</v>
      </c>
      <c r="E1784" t="s">
        <v>481</v>
      </c>
      <c r="F1784" s="11">
        <v>43491</v>
      </c>
      <c r="G1784" s="2">
        <f>VLOOKUP(E1784,Produtos!$A:$E,5,FALSE)</f>
        <v>850</v>
      </c>
      <c r="H1784" s="2">
        <f>VLOOKUP(E1784,Produtos!$A:$E,4,FALSE)</f>
        <v>400</v>
      </c>
      <c r="I1784" s="2">
        <v>2</v>
      </c>
    </row>
    <row r="1785" spans="1:9" x14ac:dyDescent="0.25">
      <c r="A1785" s="2" t="str">
        <f>CONCATENATE(Códigos!S1784,Códigos!T1784,Códigos!U1784)</f>
        <v>svv1783v</v>
      </c>
      <c r="B1785" t="s">
        <v>409</v>
      </c>
      <c r="C1785" t="s">
        <v>397</v>
      </c>
      <c r="D1785" s="2" t="s">
        <v>398</v>
      </c>
      <c r="E1785" t="s">
        <v>481</v>
      </c>
      <c r="F1785" s="11">
        <v>43492</v>
      </c>
      <c r="G1785" s="2">
        <f>VLOOKUP(E1785,Produtos!$A:$E,5,FALSE)</f>
        <v>850</v>
      </c>
      <c r="H1785" s="2">
        <f>VLOOKUP(E1785,Produtos!$A:$E,4,FALSE)</f>
        <v>400</v>
      </c>
      <c r="I1785" s="2">
        <v>2</v>
      </c>
    </row>
    <row r="1786" spans="1:9" x14ac:dyDescent="0.25">
      <c r="A1786" s="2" t="str">
        <f>CONCATENATE(Códigos!S1785,Códigos!T1785,Códigos!U1785)</f>
        <v>svv1784v</v>
      </c>
      <c r="B1786" t="s">
        <v>409</v>
      </c>
      <c r="C1786" t="s">
        <v>397</v>
      </c>
      <c r="D1786" s="2" t="s">
        <v>398</v>
      </c>
      <c r="E1786" t="s">
        <v>481</v>
      </c>
      <c r="F1786" s="11">
        <v>43493</v>
      </c>
      <c r="G1786" s="2">
        <f>VLOOKUP(E1786,Produtos!$A:$E,5,FALSE)</f>
        <v>850</v>
      </c>
      <c r="H1786" s="2">
        <f>VLOOKUP(E1786,Produtos!$A:$E,4,FALSE)</f>
        <v>400</v>
      </c>
      <c r="I1786" s="2">
        <v>2</v>
      </c>
    </row>
    <row r="1787" spans="1:9" x14ac:dyDescent="0.25">
      <c r="A1787" s="2" t="str">
        <f>CONCATENATE(Códigos!S1786,Códigos!T1786,Códigos!U1786)</f>
        <v>svv1785v</v>
      </c>
      <c r="B1787" t="s">
        <v>409</v>
      </c>
      <c r="C1787" t="s">
        <v>397</v>
      </c>
      <c r="D1787" s="2" t="s">
        <v>398</v>
      </c>
      <c r="E1787" t="s">
        <v>481</v>
      </c>
      <c r="F1787" s="11">
        <v>43494</v>
      </c>
      <c r="G1787" s="2">
        <f>VLOOKUP(E1787,Produtos!$A:$E,5,FALSE)</f>
        <v>850</v>
      </c>
      <c r="H1787" s="2">
        <f>VLOOKUP(E1787,Produtos!$A:$E,4,FALSE)</f>
        <v>400</v>
      </c>
      <c r="I1787" s="2">
        <v>2</v>
      </c>
    </row>
    <row r="1788" spans="1:9" x14ac:dyDescent="0.25">
      <c r="A1788" s="2" t="str">
        <f>CONCATENATE(Códigos!S1787,Códigos!T1787,Códigos!U1787)</f>
        <v>svv1786v</v>
      </c>
      <c r="B1788" t="s">
        <v>409</v>
      </c>
      <c r="C1788" t="s">
        <v>397</v>
      </c>
      <c r="D1788" s="2" t="s">
        <v>398</v>
      </c>
      <c r="E1788" t="s">
        <v>481</v>
      </c>
      <c r="F1788" s="11">
        <v>43495</v>
      </c>
      <c r="G1788" s="2">
        <f>VLOOKUP(E1788,Produtos!$A:$E,5,FALSE)</f>
        <v>850</v>
      </c>
      <c r="H1788" s="2">
        <f>VLOOKUP(E1788,Produtos!$A:$E,4,FALSE)</f>
        <v>400</v>
      </c>
      <c r="I1788" s="2">
        <v>2</v>
      </c>
    </row>
    <row r="1789" spans="1:9" x14ac:dyDescent="0.25">
      <c r="A1789" s="2" t="str">
        <f>CONCATENATE(Códigos!S1788,Códigos!T1788,Códigos!U1788)</f>
        <v>svv1787v</v>
      </c>
      <c r="B1789" t="s">
        <v>409</v>
      </c>
      <c r="C1789" t="s">
        <v>397</v>
      </c>
      <c r="D1789" s="2" t="s">
        <v>398</v>
      </c>
      <c r="E1789" t="s">
        <v>481</v>
      </c>
      <c r="F1789" s="11">
        <v>43496</v>
      </c>
      <c r="G1789" s="2">
        <f>VLOOKUP(E1789,Produtos!$A:$E,5,FALSE)</f>
        <v>850</v>
      </c>
      <c r="H1789" s="2">
        <f>VLOOKUP(E1789,Produtos!$A:$E,4,FALSE)</f>
        <v>400</v>
      </c>
      <c r="I1789" s="2">
        <v>2</v>
      </c>
    </row>
    <row r="1790" spans="1:9" x14ac:dyDescent="0.25">
      <c r="A1790" s="2" t="str">
        <f>CONCATENATE(Códigos!S1789,Códigos!T1789,Códigos!U1789)</f>
        <v>svv1788v</v>
      </c>
      <c r="B1790" t="s">
        <v>409</v>
      </c>
      <c r="C1790" t="s">
        <v>397</v>
      </c>
      <c r="D1790" s="2" t="s">
        <v>398</v>
      </c>
      <c r="E1790" t="s">
        <v>481</v>
      </c>
      <c r="F1790" s="11">
        <v>43497</v>
      </c>
      <c r="G1790" s="2">
        <f>VLOOKUP(E1790,Produtos!$A:$E,5,FALSE)</f>
        <v>850</v>
      </c>
      <c r="H1790" s="2">
        <f>VLOOKUP(E1790,Produtos!$A:$E,4,FALSE)</f>
        <v>400</v>
      </c>
      <c r="I1790" s="2">
        <v>2</v>
      </c>
    </row>
    <row r="1791" spans="1:9" x14ac:dyDescent="0.25">
      <c r="A1791" s="2" t="str">
        <f>CONCATENATE(Códigos!S1790,Códigos!T1790,Códigos!U1790)</f>
        <v>svv1789v</v>
      </c>
      <c r="B1791" t="s">
        <v>409</v>
      </c>
      <c r="C1791" t="s">
        <v>397</v>
      </c>
      <c r="D1791" s="2" t="s">
        <v>398</v>
      </c>
      <c r="E1791" t="s">
        <v>481</v>
      </c>
      <c r="F1791" s="11">
        <v>43498</v>
      </c>
      <c r="G1791" s="2">
        <f>VLOOKUP(E1791,Produtos!$A:$E,5,FALSE)</f>
        <v>850</v>
      </c>
      <c r="H1791" s="2">
        <f>VLOOKUP(E1791,Produtos!$A:$E,4,FALSE)</f>
        <v>400</v>
      </c>
      <c r="I1791" s="2">
        <v>2</v>
      </c>
    </row>
    <row r="1792" spans="1:9" x14ac:dyDescent="0.25">
      <c r="A1792" s="2" t="str">
        <f>CONCATENATE(Códigos!S1791,Códigos!T1791,Códigos!U1791)</f>
        <v>svv1790v</v>
      </c>
      <c r="B1792" t="s">
        <v>409</v>
      </c>
      <c r="C1792" t="s">
        <v>397</v>
      </c>
      <c r="D1792" s="2" t="s">
        <v>398</v>
      </c>
      <c r="E1792" t="s">
        <v>481</v>
      </c>
      <c r="F1792" s="11">
        <v>43499</v>
      </c>
      <c r="G1792" s="2">
        <f>VLOOKUP(E1792,Produtos!$A:$E,5,FALSE)</f>
        <v>850</v>
      </c>
      <c r="H1792" s="2">
        <f>VLOOKUP(E1792,Produtos!$A:$E,4,FALSE)</f>
        <v>400</v>
      </c>
      <c r="I1792" s="2">
        <v>2</v>
      </c>
    </row>
    <row r="1793" spans="1:9" x14ac:dyDescent="0.25">
      <c r="A1793" s="2" t="str">
        <f>CONCATENATE(Códigos!S1792,Códigos!T1792,Códigos!U1792)</f>
        <v>svv1791v</v>
      </c>
      <c r="B1793" t="s">
        <v>409</v>
      </c>
      <c r="C1793" t="s">
        <v>397</v>
      </c>
      <c r="D1793" s="2" t="s">
        <v>398</v>
      </c>
      <c r="E1793" t="s">
        <v>481</v>
      </c>
      <c r="F1793" s="11">
        <v>43500</v>
      </c>
      <c r="G1793" s="2">
        <f>VLOOKUP(E1793,Produtos!$A:$E,5,FALSE)</f>
        <v>850</v>
      </c>
      <c r="H1793" s="2">
        <f>VLOOKUP(E1793,Produtos!$A:$E,4,FALSE)</f>
        <v>400</v>
      </c>
      <c r="I1793" s="2">
        <v>2</v>
      </c>
    </row>
    <row r="1794" spans="1:9" x14ac:dyDescent="0.25">
      <c r="A1794" s="2" t="str">
        <f>CONCATENATE(Códigos!S1793,Códigos!T1793,Códigos!U1793)</f>
        <v>svv1792v</v>
      </c>
      <c r="B1794" t="s">
        <v>408</v>
      </c>
      <c r="C1794" t="s">
        <v>397</v>
      </c>
      <c r="D1794" s="2" t="s">
        <v>398</v>
      </c>
      <c r="E1794" t="s">
        <v>481</v>
      </c>
      <c r="F1794" s="11">
        <v>43501</v>
      </c>
      <c r="G1794" s="2">
        <f>VLOOKUP(E1794,Produtos!$A:$E,5,FALSE)</f>
        <v>850</v>
      </c>
      <c r="H1794" s="2">
        <f>VLOOKUP(E1794,Produtos!$A:$E,4,FALSE)</f>
        <v>400</v>
      </c>
      <c r="I1794" s="2">
        <v>2</v>
      </c>
    </row>
    <row r="1795" spans="1:9" x14ac:dyDescent="0.25">
      <c r="A1795" s="2" t="str">
        <f>CONCATENATE(Códigos!S1794,Códigos!T1794,Códigos!U1794)</f>
        <v>svv1793v</v>
      </c>
      <c r="B1795" t="s">
        <v>408</v>
      </c>
      <c r="C1795" t="s">
        <v>397</v>
      </c>
      <c r="D1795" s="2" t="s">
        <v>398</v>
      </c>
      <c r="E1795" t="s">
        <v>481</v>
      </c>
      <c r="F1795" s="11">
        <v>43502</v>
      </c>
      <c r="G1795" s="2">
        <f>VLOOKUP(E1795,Produtos!$A:$E,5,FALSE)</f>
        <v>850</v>
      </c>
      <c r="H1795" s="2">
        <f>VLOOKUP(E1795,Produtos!$A:$E,4,FALSE)</f>
        <v>400</v>
      </c>
      <c r="I1795" s="2">
        <v>2</v>
      </c>
    </row>
    <row r="1796" spans="1:9" x14ac:dyDescent="0.25">
      <c r="A1796" s="2" t="str">
        <f>CONCATENATE(Códigos!S1795,Códigos!T1795,Códigos!U1795)</f>
        <v>svv1794v</v>
      </c>
      <c r="B1796" t="s">
        <v>408</v>
      </c>
      <c r="C1796" t="s">
        <v>397</v>
      </c>
      <c r="D1796" s="2" t="s">
        <v>398</v>
      </c>
      <c r="E1796" t="s">
        <v>481</v>
      </c>
      <c r="F1796" s="11">
        <v>43503</v>
      </c>
      <c r="G1796" s="2">
        <f>VLOOKUP(E1796,Produtos!$A:$E,5,FALSE)</f>
        <v>850</v>
      </c>
      <c r="H1796" s="2">
        <f>VLOOKUP(E1796,Produtos!$A:$E,4,FALSE)</f>
        <v>400</v>
      </c>
      <c r="I1796" s="2">
        <v>2</v>
      </c>
    </row>
    <row r="1797" spans="1:9" x14ac:dyDescent="0.25">
      <c r="A1797" s="2" t="str">
        <f>CONCATENATE(Códigos!S1796,Códigos!T1796,Códigos!U1796)</f>
        <v>svv1795v</v>
      </c>
      <c r="B1797" t="s">
        <v>408</v>
      </c>
      <c r="C1797" t="s">
        <v>397</v>
      </c>
      <c r="D1797" s="2" t="s">
        <v>398</v>
      </c>
      <c r="E1797" t="s">
        <v>481</v>
      </c>
      <c r="F1797" s="11">
        <v>43504</v>
      </c>
      <c r="G1797" s="2">
        <f>VLOOKUP(E1797,Produtos!$A:$E,5,FALSE)</f>
        <v>850</v>
      </c>
      <c r="H1797" s="2">
        <f>VLOOKUP(E1797,Produtos!$A:$E,4,FALSE)</f>
        <v>400</v>
      </c>
      <c r="I1797" s="2">
        <v>2</v>
      </c>
    </row>
    <row r="1798" spans="1:9" x14ac:dyDescent="0.25">
      <c r="A1798" s="2" t="str">
        <f>CONCATENATE(Códigos!S1797,Códigos!T1797,Códigos!U1797)</f>
        <v>svv1796v</v>
      </c>
      <c r="B1798" t="s">
        <v>408</v>
      </c>
      <c r="C1798" t="s">
        <v>397</v>
      </c>
      <c r="D1798" s="2" t="s">
        <v>398</v>
      </c>
      <c r="E1798" t="s">
        <v>481</v>
      </c>
      <c r="F1798" s="11">
        <v>43505</v>
      </c>
      <c r="G1798" s="2">
        <f>VLOOKUP(E1798,Produtos!$A:$E,5,FALSE)</f>
        <v>850</v>
      </c>
      <c r="H1798" s="2">
        <f>VLOOKUP(E1798,Produtos!$A:$E,4,FALSE)</f>
        <v>400</v>
      </c>
      <c r="I1798" s="2">
        <v>2</v>
      </c>
    </row>
    <row r="1799" spans="1:9" x14ac:dyDescent="0.25">
      <c r="A1799" s="2" t="str">
        <f>CONCATENATE(Códigos!S1798,Códigos!T1798,Códigos!U1798)</f>
        <v>svv1797v</v>
      </c>
      <c r="B1799" t="s">
        <v>408</v>
      </c>
      <c r="C1799" t="s">
        <v>397</v>
      </c>
      <c r="D1799" s="2" t="s">
        <v>398</v>
      </c>
      <c r="E1799" t="s">
        <v>481</v>
      </c>
      <c r="F1799" s="11">
        <v>43506</v>
      </c>
      <c r="G1799" s="2">
        <f>VLOOKUP(E1799,Produtos!$A:$E,5,FALSE)</f>
        <v>850</v>
      </c>
      <c r="H1799" s="2">
        <f>VLOOKUP(E1799,Produtos!$A:$E,4,FALSE)</f>
        <v>400</v>
      </c>
      <c r="I1799" s="2">
        <v>2</v>
      </c>
    </row>
    <row r="1800" spans="1:9" x14ac:dyDescent="0.25">
      <c r="A1800" s="2" t="str">
        <f>CONCATENATE(Códigos!S1799,Códigos!T1799,Códigos!U1799)</f>
        <v>svv1798v</v>
      </c>
      <c r="B1800" t="s">
        <v>408</v>
      </c>
      <c r="C1800" t="s">
        <v>397</v>
      </c>
      <c r="D1800" s="2" t="s">
        <v>398</v>
      </c>
      <c r="E1800" t="s">
        <v>481</v>
      </c>
      <c r="F1800" s="11">
        <v>43507</v>
      </c>
      <c r="G1800" s="2">
        <f>VLOOKUP(E1800,Produtos!$A:$E,5,FALSE)</f>
        <v>850</v>
      </c>
      <c r="H1800" s="2">
        <f>VLOOKUP(E1800,Produtos!$A:$E,4,FALSE)</f>
        <v>400</v>
      </c>
      <c r="I1800" s="2">
        <v>2</v>
      </c>
    </row>
    <row r="1801" spans="1:9" x14ac:dyDescent="0.25">
      <c r="A1801" s="2" t="str">
        <f>CONCATENATE(Códigos!S1800,Códigos!T1800,Códigos!U1800)</f>
        <v>svv1799v</v>
      </c>
      <c r="B1801" t="s">
        <v>408</v>
      </c>
      <c r="C1801" t="s">
        <v>397</v>
      </c>
      <c r="D1801" s="2" t="s">
        <v>398</v>
      </c>
      <c r="E1801" t="s">
        <v>481</v>
      </c>
      <c r="F1801" s="11">
        <v>43508</v>
      </c>
      <c r="G1801" s="2">
        <f>VLOOKUP(E1801,Produtos!$A:$E,5,FALSE)</f>
        <v>850</v>
      </c>
      <c r="H1801" s="2">
        <f>VLOOKUP(E1801,Produtos!$A:$E,4,FALSE)</f>
        <v>400</v>
      </c>
      <c r="I1801" s="2">
        <v>2</v>
      </c>
    </row>
    <row r="1802" spans="1:9" x14ac:dyDescent="0.25">
      <c r="A1802" s="2" t="str">
        <f>CONCATENATE(Códigos!S1801,Códigos!T1801,Códigos!U1801)</f>
        <v>svv1800v</v>
      </c>
      <c r="B1802" t="s">
        <v>408</v>
      </c>
      <c r="C1802" t="s">
        <v>397</v>
      </c>
      <c r="D1802" s="2" t="s">
        <v>398</v>
      </c>
      <c r="E1802" t="s">
        <v>481</v>
      </c>
      <c r="F1802" s="11">
        <v>43509</v>
      </c>
      <c r="G1802" s="2">
        <f>VLOOKUP(E1802,Produtos!$A:$E,5,FALSE)</f>
        <v>850</v>
      </c>
      <c r="H1802" s="2">
        <f>VLOOKUP(E1802,Produtos!$A:$E,4,FALSE)</f>
        <v>400</v>
      </c>
      <c r="I1802" s="2">
        <v>2</v>
      </c>
    </row>
    <row r="1803" spans="1:9" x14ac:dyDescent="0.25">
      <c r="A1803" s="2" t="str">
        <f>CONCATENATE(Códigos!S1802,Códigos!T1802,Códigos!U1802)</f>
        <v>svv1801v</v>
      </c>
      <c r="B1803" t="s">
        <v>408</v>
      </c>
      <c r="C1803" t="s">
        <v>397</v>
      </c>
      <c r="D1803" s="2" t="s">
        <v>398</v>
      </c>
      <c r="E1803" t="s">
        <v>481</v>
      </c>
      <c r="F1803" s="11">
        <v>43510</v>
      </c>
      <c r="G1803" s="2">
        <f>VLOOKUP(E1803,Produtos!$A:$E,5,FALSE)</f>
        <v>850</v>
      </c>
      <c r="H1803" s="2">
        <f>VLOOKUP(E1803,Produtos!$A:$E,4,FALSE)</f>
        <v>400</v>
      </c>
      <c r="I1803" s="2">
        <v>2</v>
      </c>
    </row>
    <row r="1804" spans="1:9" x14ac:dyDescent="0.25">
      <c r="A1804" s="2" t="str">
        <f>CONCATENATE(Códigos!S1803,Códigos!T1803,Códigos!U1803)</f>
        <v>svv1802v</v>
      </c>
      <c r="B1804" t="s">
        <v>408</v>
      </c>
      <c r="C1804" t="s">
        <v>397</v>
      </c>
      <c r="D1804" s="2" t="s">
        <v>398</v>
      </c>
      <c r="E1804" t="s">
        <v>481</v>
      </c>
      <c r="F1804" s="11">
        <v>43511</v>
      </c>
      <c r="G1804" s="2">
        <f>VLOOKUP(E1804,Produtos!$A:$E,5,FALSE)</f>
        <v>850</v>
      </c>
      <c r="H1804" s="2">
        <f>VLOOKUP(E1804,Produtos!$A:$E,4,FALSE)</f>
        <v>400</v>
      </c>
      <c r="I1804" s="2">
        <v>2</v>
      </c>
    </row>
    <row r="1805" spans="1:9" x14ac:dyDescent="0.25">
      <c r="A1805" s="2" t="str">
        <f>CONCATENATE(Códigos!S1804,Códigos!T1804,Códigos!U1804)</f>
        <v>svv1803v</v>
      </c>
      <c r="B1805" t="s">
        <v>408</v>
      </c>
      <c r="C1805" t="s">
        <v>397</v>
      </c>
      <c r="D1805" s="2" t="s">
        <v>398</v>
      </c>
      <c r="E1805" t="s">
        <v>481</v>
      </c>
      <c r="F1805" s="11">
        <v>43512</v>
      </c>
      <c r="G1805" s="2">
        <f>VLOOKUP(E1805,Produtos!$A:$E,5,FALSE)</f>
        <v>850</v>
      </c>
      <c r="H1805" s="2">
        <f>VLOOKUP(E1805,Produtos!$A:$E,4,FALSE)</f>
        <v>400</v>
      </c>
      <c r="I1805" s="2">
        <v>2</v>
      </c>
    </row>
    <row r="1806" spans="1:9" x14ac:dyDescent="0.25">
      <c r="A1806" s="2" t="str">
        <f>CONCATENATE(Códigos!S1805,Códigos!T1805,Códigos!U1805)</f>
        <v>svv1804v</v>
      </c>
      <c r="B1806" t="s">
        <v>408</v>
      </c>
      <c r="C1806" t="s">
        <v>397</v>
      </c>
      <c r="D1806" s="2" t="s">
        <v>398</v>
      </c>
      <c r="E1806" t="s">
        <v>481</v>
      </c>
      <c r="F1806" s="11">
        <v>43513</v>
      </c>
      <c r="G1806" s="2">
        <f>VLOOKUP(E1806,Produtos!$A:$E,5,FALSE)</f>
        <v>850</v>
      </c>
      <c r="H1806" s="2">
        <f>VLOOKUP(E1806,Produtos!$A:$E,4,FALSE)</f>
        <v>400</v>
      </c>
      <c r="I1806" s="2">
        <v>2</v>
      </c>
    </row>
    <row r="1807" spans="1:9" x14ac:dyDescent="0.25">
      <c r="A1807" s="2" t="str">
        <f>CONCATENATE(Códigos!S1806,Códigos!T1806,Códigos!U1806)</f>
        <v>svv1805v</v>
      </c>
      <c r="B1807" t="s">
        <v>408</v>
      </c>
      <c r="C1807" t="s">
        <v>397</v>
      </c>
      <c r="D1807" s="2" t="s">
        <v>398</v>
      </c>
      <c r="E1807" t="s">
        <v>481</v>
      </c>
      <c r="F1807" s="11">
        <v>43514</v>
      </c>
      <c r="G1807" s="2">
        <f>VLOOKUP(E1807,Produtos!$A:$E,5,FALSE)</f>
        <v>850</v>
      </c>
      <c r="H1807" s="2">
        <f>VLOOKUP(E1807,Produtos!$A:$E,4,FALSE)</f>
        <v>400</v>
      </c>
      <c r="I1807" s="2">
        <v>2</v>
      </c>
    </row>
    <row r="1808" spans="1:9" x14ac:dyDescent="0.25">
      <c r="A1808" s="2" t="str">
        <f>CONCATENATE(Códigos!S1807,Códigos!T1807,Códigos!U1807)</f>
        <v>svv1806v</v>
      </c>
      <c r="B1808" t="s">
        <v>408</v>
      </c>
      <c r="C1808" t="s">
        <v>397</v>
      </c>
      <c r="D1808" s="2" t="s">
        <v>398</v>
      </c>
      <c r="E1808" t="s">
        <v>481</v>
      </c>
      <c r="F1808" s="11">
        <v>43515</v>
      </c>
      <c r="G1808" s="2">
        <f>VLOOKUP(E1808,Produtos!$A:$E,5,FALSE)</f>
        <v>850</v>
      </c>
      <c r="H1808" s="2">
        <f>VLOOKUP(E1808,Produtos!$A:$E,4,FALSE)</f>
        <v>400</v>
      </c>
      <c r="I1808" s="2">
        <v>2</v>
      </c>
    </row>
    <row r="1809" spans="1:9" x14ac:dyDescent="0.25">
      <c r="A1809" s="2" t="str">
        <f>CONCATENATE(Códigos!S1808,Códigos!T1808,Códigos!U1808)</f>
        <v>svv1807v</v>
      </c>
      <c r="B1809" t="s">
        <v>408</v>
      </c>
      <c r="C1809" t="s">
        <v>397</v>
      </c>
      <c r="D1809" s="2" t="s">
        <v>398</v>
      </c>
      <c r="E1809" t="s">
        <v>481</v>
      </c>
      <c r="F1809" s="11">
        <v>43516</v>
      </c>
      <c r="G1809" s="2">
        <f>VLOOKUP(E1809,Produtos!$A:$E,5,FALSE)</f>
        <v>850</v>
      </c>
      <c r="H1809" s="2">
        <f>VLOOKUP(E1809,Produtos!$A:$E,4,FALSE)</f>
        <v>400</v>
      </c>
      <c r="I1809" s="2">
        <v>2</v>
      </c>
    </row>
    <row r="1810" spans="1:9" x14ac:dyDescent="0.25">
      <c r="A1810" s="2" t="str">
        <f>CONCATENATE(Códigos!S1809,Códigos!T1809,Códigos!U1809)</f>
        <v>svv1808v</v>
      </c>
      <c r="B1810" t="s">
        <v>408</v>
      </c>
      <c r="C1810" t="s">
        <v>397</v>
      </c>
      <c r="D1810" s="2" t="s">
        <v>398</v>
      </c>
      <c r="E1810" t="s">
        <v>481</v>
      </c>
      <c r="F1810" s="11">
        <v>43517</v>
      </c>
      <c r="G1810" s="2">
        <f>VLOOKUP(E1810,Produtos!$A:$E,5,FALSE)</f>
        <v>850</v>
      </c>
      <c r="H1810" s="2">
        <f>VLOOKUP(E1810,Produtos!$A:$E,4,FALSE)</f>
        <v>400</v>
      </c>
      <c r="I1810" s="2">
        <v>2</v>
      </c>
    </row>
    <row r="1811" spans="1:9" x14ac:dyDescent="0.25">
      <c r="A1811" s="2" t="str">
        <f>CONCATENATE(Códigos!S1810,Códigos!T1810,Códigos!U1810)</f>
        <v>svv1809v</v>
      </c>
      <c r="B1811" t="s">
        <v>408</v>
      </c>
      <c r="C1811" t="s">
        <v>397</v>
      </c>
      <c r="D1811" s="2" t="s">
        <v>398</v>
      </c>
      <c r="E1811" t="s">
        <v>481</v>
      </c>
      <c r="F1811" s="11">
        <v>43518</v>
      </c>
      <c r="G1811" s="2">
        <f>VLOOKUP(E1811,Produtos!$A:$E,5,FALSE)</f>
        <v>850</v>
      </c>
      <c r="H1811" s="2">
        <f>VLOOKUP(E1811,Produtos!$A:$E,4,FALSE)</f>
        <v>400</v>
      </c>
      <c r="I1811" s="2">
        <v>2</v>
      </c>
    </row>
    <row r="1812" spans="1:9" x14ac:dyDescent="0.25">
      <c r="A1812" s="2" t="str">
        <f>CONCATENATE(Códigos!S1811,Códigos!T1811,Códigos!U1811)</f>
        <v>svv1810v</v>
      </c>
      <c r="B1812" t="s">
        <v>408</v>
      </c>
      <c r="C1812" t="s">
        <v>397</v>
      </c>
      <c r="D1812" s="2" t="s">
        <v>398</v>
      </c>
      <c r="E1812" t="s">
        <v>481</v>
      </c>
      <c r="F1812" s="11">
        <v>43519</v>
      </c>
      <c r="G1812" s="2">
        <f>VLOOKUP(E1812,Produtos!$A:$E,5,FALSE)</f>
        <v>850</v>
      </c>
      <c r="H1812" s="2">
        <f>VLOOKUP(E1812,Produtos!$A:$E,4,FALSE)</f>
        <v>400</v>
      </c>
      <c r="I1812" s="2">
        <v>2</v>
      </c>
    </row>
    <row r="1813" spans="1:9" x14ac:dyDescent="0.25">
      <c r="A1813" s="2" t="str">
        <f>CONCATENATE(Códigos!S1812,Códigos!T1812,Códigos!U1812)</f>
        <v>svv1811v</v>
      </c>
      <c r="B1813" t="s">
        <v>408</v>
      </c>
      <c r="C1813" t="s">
        <v>397</v>
      </c>
      <c r="D1813" s="2" t="s">
        <v>398</v>
      </c>
      <c r="E1813" t="s">
        <v>481</v>
      </c>
      <c r="F1813" s="11">
        <v>43520</v>
      </c>
      <c r="G1813" s="2">
        <f>VLOOKUP(E1813,Produtos!$A:$E,5,FALSE)</f>
        <v>850</v>
      </c>
      <c r="H1813" s="2">
        <f>VLOOKUP(E1813,Produtos!$A:$E,4,FALSE)</f>
        <v>400</v>
      </c>
      <c r="I1813" s="2">
        <v>2</v>
      </c>
    </row>
    <row r="1814" spans="1:9" x14ac:dyDescent="0.25">
      <c r="A1814" s="2" t="str">
        <f>CONCATENATE(Códigos!S1813,Códigos!T1813,Códigos!U1813)</f>
        <v>svv1812v</v>
      </c>
      <c r="B1814" t="s">
        <v>408</v>
      </c>
      <c r="C1814" t="s">
        <v>397</v>
      </c>
      <c r="D1814" s="2" t="s">
        <v>398</v>
      </c>
      <c r="E1814" t="s">
        <v>481</v>
      </c>
      <c r="F1814" s="11">
        <v>43521</v>
      </c>
      <c r="G1814" s="2">
        <f>VLOOKUP(E1814,Produtos!$A:$E,5,FALSE)</f>
        <v>850</v>
      </c>
      <c r="H1814" s="2">
        <f>VLOOKUP(E1814,Produtos!$A:$E,4,FALSE)</f>
        <v>400</v>
      </c>
      <c r="I1814" s="2">
        <v>2</v>
      </c>
    </row>
    <row r="1815" spans="1:9" x14ac:dyDescent="0.25">
      <c r="A1815" s="2" t="str">
        <f>CONCATENATE(Códigos!S1814,Códigos!T1814,Códigos!U1814)</f>
        <v>svv1813v</v>
      </c>
      <c r="B1815" t="s">
        <v>408</v>
      </c>
      <c r="C1815" t="s">
        <v>397</v>
      </c>
      <c r="D1815" s="2" t="s">
        <v>398</v>
      </c>
      <c r="E1815" t="s">
        <v>481</v>
      </c>
      <c r="F1815" s="11">
        <v>43522</v>
      </c>
      <c r="G1815" s="2">
        <f>VLOOKUP(E1815,Produtos!$A:$E,5,FALSE)</f>
        <v>850</v>
      </c>
      <c r="H1815" s="2">
        <f>VLOOKUP(E1815,Produtos!$A:$E,4,FALSE)</f>
        <v>400</v>
      </c>
      <c r="I1815" s="2">
        <v>2</v>
      </c>
    </row>
    <row r="1816" spans="1:9" x14ac:dyDescent="0.25">
      <c r="A1816" s="2" t="str">
        <f>CONCATENATE(Códigos!S1815,Códigos!T1815,Códigos!U1815)</f>
        <v>svv1814v</v>
      </c>
      <c r="B1816" t="s">
        <v>408</v>
      </c>
      <c r="C1816" t="s">
        <v>397</v>
      </c>
      <c r="D1816" s="2" t="s">
        <v>398</v>
      </c>
      <c r="E1816" t="s">
        <v>481</v>
      </c>
      <c r="F1816" s="11">
        <v>43523</v>
      </c>
      <c r="G1816" s="2">
        <f>VLOOKUP(E1816,Produtos!$A:$E,5,FALSE)</f>
        <v>850</v>
      </c>
      <c r="H1816" s="2">
        <f>VLOOKUP(E1816,Produtos!$A:$E,4,FALSE)</f>
        <v>400</v>
      </c>
      <c r="I1816" s="2">
        <v>2</v>
      </c>
    </row>
    <row r="1817" spans="1:9" x14ac:dyDescent="0.25">
      <c r="A1817" s="2" t="str">
        <f>CONCATENATE(Códigos!S1816,Códigos!T1816,Códigos!U1816)</f>
        <v>svv1815v</v>
      </c>
      <c r="B1817" t="s">
        <v>408</v>
      </c>
      <c r="C1817" t="s">
        <v>397</v>
      </c>
      <c r="D1817" s="2" t="s">
        <v>398</v>
      </c>
      <c r="E1817" t="s">
        <v>481</v>
      </c>
      <c r="F1817" s="11">
        <v>43524</v>
      </c>
      <c r="G1817" s="2">
        <f>VLOOKUP(E1817,Produtos!$A:$E,5,FALSE)</f>
        <v>850</v>
      </c>
      <c r="H1817" s="2">
        <f>VLOOKUP(E1817,Produtos!$A:$E,4,FALSE)</f>
        <v>400</v>
      </c>
      <c r="I1817" s="2">
        <v>2</v>
      </c>
    </row>
    <row r="1818" spans="1:9" x14ac:dyDescent="0.25">
      <c r="A1818" s="2" t="str">
        <f>CONCATENATE(Códigos!S1817,Códigos!T1817,Códigos!U1817)</f>
        <v>svv1816v</v>
      </c>
      <c r="B1818" t="s">
        <v>408</v>
      </c>
      <c r="C1818" t="s">
        <v>397</v>
      </c>
      <c r="D1818" s="2" t="s">
        <v>398</v>
      </c>
      <c r="E1818" t="s">
        <v>481</v>
      </c>
      <c r="F1818" s="11">
        <v>43525</v>
      </c>
      <c r="G1818" s="2">
        <f>VLOOKUP(E1818,Produtos!$A:$E,5,FALSE)</f>
        <v>850</v>
      </c>
      <c r="H1818" s="2">
        <f>VLOOKUP(E1818,Produtos!$A:$E,4,FALSE)</f>
        <v>400</v>
      </c>
      <c r="I1818" s="2">
        <v>2</v>
      </c>
    </row>
    <row r="1819" spans="1:9" x14ac:dyDescent="0.25">
      <c r="A1819" s="2" t="str">
        <f>CONCATENATE(Códigos!S1818,Códigos!T1818,Códigos!U1818)</f>
        <v>svv1817v</v>
      </c>
      <c r="B1819" t="s">
        <v>408</v>
      </c>
      <c r="C1819" t="s">
        <v>397</v>
      </c>
      <c r="D1819" s="2" t="s">
        <v>398</v>
      </c>
      <c r="E1819" t="s">
        <v>481</v>
      </c>
      <c r="F1819" s="11">
        <v>43526</v>
      </c>
      <c r="G1819" s="2">
        <f>VLOOKUP(E1819,Produtos!$A:$E,5,FALSE)</f>
        <v>850</v>
      </c>
      <c r="H1819" s="2">
        <f>VLOOKUP(E1819,Produtos!$A:$E,4,FALSE)</f>
        <v>400</v>
      </c>
      <c r="I1819" s="2">
        <v>2</v>
      </c>
    </row>
    <row r="1820" spans="1:9" x14ac:dyDescent="0.25">
      <c r="A1820" s="2" t="str">
        <f>CONCATENATE(Códigos!S1819,Códigos!T1819,Códigos!U1819)</f>
        <v>svv1818v</v>
      </c>
      <c r="B1820" t="s">
        <v>408</v>
      </c>
      <c r="C1820" t="s">
        <v>397</v>
      </c>
      <c r="D1820" s="2" t="s">
        <v>398</v>
      </c>
      <c r="E1820" t="s">
        <v>481</v>
      </c>
      <c r="F1820" s="11">
        <v>43527</v>
      </c>
      <c r="G1820" s="2">
        <f>VLOOKUP(E1820,Produtos!$A:$E,5,FALSE)</f>
        <v>850</v>
      </c>
      <c r="H1820" s="2">
        <f>VLOOKUP(E1820,Produtos!$A:$E,4,FALSE)</f>
        <v>400</v>
      </c>
      <c r="I1820" s="2">
        <v>2</v>
      </c>
    </row>
    <row r="1821" spans="1:9" x14ac:dyDescent="0.25">
      <c r="A1821" s="2" t="str">
        <f>CONCATENATE(Códigos!S1820,Códigos!T1820,Códigos!U1820)</f>
        <v>svv1819v</v>
      </c>
      <c r="B1821" t="s">
        <v>408</v>
      </c>
      <c r="C1821" t="s">
        <v>397</v>
      </c>
      <c r="D1821" s="2" t="s">
        <v>398</v>
      </c>
      <c r="E1821" t="s">
        <v>517</v>
      </c>
      <c r="F1821" s="11">
        <v>43528</v>
      </c>
      <c r="G1821" s="2">
        <f>VLOOKUP(E1821,Produtos!$A:$E,5,FALSE)</f>
        <v>1200</v>
      </c>
      <c r="H1821" s="2">
        <f>VLOOKUP(E1821,Produtos!$A:$E,4,FALSE)</f>
        <v>400</v>
      </c>
      <c r="I1821" s="2">
        <v>2</v>
      </c>
    </row>
    <row r="1822" spans="1:9" x14ac:dyDescent="0.25">
      <c r="A1822" s="2" t="str">
        <f>CONCATENATE(Códigos!S1821,Códigos!T1821,Códigos!U1821)</f>
        <v>svv1820v</v>
      </c>
      <c r="B1822" t="s">
        <v>408</v>
      </c>
      <c r="C1822" t="s">
        <v>397</v>
      </c>
      <c r="D1822" s="2" t="s">
        <v>398</v>
      </c>
      <c r="E1822" t="s">
        <v>517</v>
      </c>
      <c r="F1822" s="11">
        <v>43529</v>
      </c>
      <c r="G1822" s="2">
        <f>VLOOKUP(E1822,Produtos!$A:$E,5,FALSE)</f>
        <v>1200</v>
      </c>
      <c r="H1822" s="2">
        <f>VLOOKUP(E1822,Produtos!$A:$E,4,FALSE)</f>
        <v>400</v>
      </c>
      <c r="I1822" s="2">
        <v>2</v>
      </c>
    </row>
    <row r="1823" spans="1:9" x14ac:dyDescent="0.25">
      <c r="A1823" s="2" t="str">
        <f>CONCATENATE(Códigos!S1822,Códigos!T1822,Códigos!U1822)</f>
        <v>svv1821v</v>
      </c>
      <c r="B1823" t="s">
        <v>408</v>
      </c>
      <c r="C1823" t="s">
        <v>397</v>
      </c>
      <c r="D1823" s="2" t="s">
        <v>398</v>
      </c>
      <c r="E1823" t="s">
        <v>517</v>
      </c>
      <c r="F1823" s="11">
        <v>43530</v>
      </c>
      <c r="G1823" s="2">
        <f>VLOOKUP(E1823,Produtos!$A:$E,5,FALSE)</f>
        <v>1200</v>
      </c>
      <c r="H1823" s="2">
        <f>VLOOKUP(E1823,Produtos!$A:$E,4,FALSE)</f>
        <v>400</v>
      </c>
      <c r="I1823" s="2">
        <v>2</v>
      </c>
    </row>
    <row r="1824" spans="1:9" x14ac:dyDescent="0.25">
      <c r="A1824" s="2" t="str">
        <f>CONCATENATE(Códigos!S1823,Códigos!T1823,Códigos!U1823)</f>
        <v>svv1822v</v>
      </c>
      <c r="B1824" t="s">
        <v>408</v>
      </c>
      <c r="C1824" t="s">
        <v>397</v>
      </c>
      <c r="D1824" s="2" t="s">
        <v>398</v>
      </c>
      <c r="E1824" t="s">
        <v>517</v>
      </c>
      <c r="F1824" s="11">
        <v>43531</v>
      </c>
      <c r="G1824" s="2">
        <f>VLOOKUP(E1824,Produtos!$A:$E,5,FALSE)</f>
        <v>1200</v>
      </c>
      <c r="H1824" s="2">
        <f>VLOOKUP(E1824,Produtos!$A:$E,4,FALSE)</f>
        <v>400</v>
      </c>
      <c r="I1824" s="2">
        <v>2</v>
      </c>
    </row>
    <row r="1825" spans="1:9" x14ac:dyDescent="0.25">
      <c r="A1825" s="2" t="str">
        <f>CONCATENATE(Códigos!S1824,Códigos!T1824,Códigos!U1824)</f>
        <v>svv1823v</v>
      </c>
      <c r="B1825" t="s">
        <v>408</v>
      </c>
      <c r="C1825" t="s">
        <v>397</v>
      </c>
      <c r="D1825" s="2" t="s">
        <v>398</v>
      </c>
      <c r="E1825" t="s">
        <v>517</v>
      </c>
      <c r="F1825" s="11">
        <v>43532</v>
      </c>
      <c r="G1825" s="2">
        <f>VLOOKUP(E1825,Produtos!$A:$E,5,FALSE)</f>
        <v>1200</v>
      </c>
      <c r="H1825" s="2">
        <f>VLOOKUP(E1825,Produtos!$A:$E,4,FALSE)</f>
        <v>400</v>
      </c>
      <c r="I1825" s="2">
        <v>2</v>
      </c>
    </row>
    <row r="1826" spans="1:9" x14ac:dyDescent="0.25">
      <c r="A1826" s="2" t="str">
        <f>CONCATENATE(Códigos!S1825,Códigos!T1825,Códigos!U1825)</f>
        <v>svv1824v</v>
      </c>
      <c r="B1826" t="s">
        <v>408</v>
      </c>
      <c r="C1826" t="s">
        <v>397</v>
      </c>
      <c r="D1826" s="2" t="s">
        <v>398</v>
      </c>
      <c r="E1826" t="s">
        <v>517</v>
      </c>
      <c r="F1826" s="11">
        <v>43533</v>
      </c>
      <c r="G1826" s="2">
        <f>VLOOKUP(E1826,Produtos!$A:$E,5,FALSE)</f>
        <v>1200</v>
      </c>
      <c r="H1826" s="2">
        <f>VLOOKUP(E1826,Produtos!$A:$E,4,FALSE)</f>
        <v>400</v>
      </c>
      <c r="I1826" s="2">
        <v>2</v>
      </c>
    </row>
    <row r="1827" spans="1:9" x14ac:dyDescent="0.25">
      <c r="A1827" s="2" t="str">
        <f>CONCATENATE(Códigos!S1826,Códigos!T1826,Códigos!U1826)</f>
        <v>svv1825v</v>
      </c>
      <c r="B1827" t="s">
        <v>408</v>
      </c>
      <c r="C1827" t="s">
        <v>397</v>
      </c>
      <c r="D1827" s="2" t="s">
        <v>398</v>
      </c>
      <c r="E1827" t="s">
        <v>517</v>
      </c>
      <c r="F1827" s="11">
        <v>43534</v>
      </c>
      <c r="G1827" s="2">
        <f>VLOOKUP(E1827,Produtos!$A:$E,5,FALSE)</f>
        <v>1200</v>
      </c>
      <c r="H1827" s="2">
        <f>VLOOKUP(E1827,Produtos!$A:$E,4,FALSE)</f>
        <v>400</v>
      </c>
      <c r="I1827" s="2">
        <v>2</v>
      </c>
    </row>
    <row r="1828" spans="1:9" x14ac:dyDescent="0.25">
      <c r="A1828" s="2" t="str">
        <f>CONCATENATE(Códigos!S1827,Códigos!T1827,Códigos!U1827)</f>
        <v>svv1826v</v>
      </c>
      <c r="B1828" t="s">
        <v>408</v>
      </c>
      <c r="C1828" t="s">
        <v>397</v>
      </c>
      <c r="D1828" s="2" t="s">
        <v>398</v>
      </c>
      <c r="E1828" t="s">
        <v>517</v>
      </c>
      <c r="F1828" s="11">
        <v>43535</v>
      </c>
      <c r="G1828" s="2">
        <f>VLOOKUP(E1828,Produtos!$A:$E,5,FALSE)</f>
        <v>1200</v>
      </c>
      <c r="H1828" s="2">
        <f>VLOOKUP(E1828,Produtos!$A:$E,4,FALSE)</f>
        <v>400</v>
      </c>
      <c r="I1828" s="2">
        <v>2</v>
      </c>
    </row>
    <row r="1829" spans="1:9" x14ac:dyDescent="0.25">
      <c r="A1829" s="2" t="str">
        <f>CONCATENATE(Códigos!S1828,Códigos!T1828,Códigos!U1828)</f>
        <v>svv1827v</v>
      </c>
      <c r="B1829" t="s">
        <v>408</v>
      </c>
      <c r="C1829" t="s">
        <v>397</v>
      </c>
      <c r="D1829" s="2" t="s">
        <v>398</v>
      </c>
      <c r="E1829" t="s">
        <v>517</v>
      </c>
      <c r="F1829" s="11">
        <v>43536</v>
      </c>
      <c r="G1829" s="2">
        <f>VLOOKUP(E1829,Produtos!$A:$E,5,FALSE)</f>
        <v>1200</v>
      </c>
      <c r="H1829" s="2">
        <f>VLOOKUP(E1829,Produtos!$A:$E,4,FALSE)</f>
        <v>400</v>
      </c>
      <c r="I1829" s="2">
        <v>2</v>
      </c>
    </row>
    <row r="1830" spans="1:9" x14ac:dyDescent="0.25">
      <c r="A1830" s="2" t="str">
        <f>CONCATENATE(Códigos!S1829,Códigos!T1829,Códigos!U1829)</f>
        <v>svv1828v</v>
      </c>
      <c r="B1830" t="s">
        <v>408</v>
      </c>
      <c r="C1830" t="s">
        <v>397</v>
      </c>
      <c r="D1830" s="2" t="s">
        <v>398</v>
      </c>
      <c r="E1830" t="s">
        <v>517</v>
      </c>
      <c r="F1830" s="11">
        <v>43537</v>
      </c>
      <c r="G1830" s="2">
        <f>VLOOKUP(E1830,Produtos!$A:$E,5,FALSE)</f>
        <v>1200</v>
      </c>
      <c r="H1830" s="2">
        <f>VLOOKUP(E1830,Produtos!$A:$E,4,FALSE)</f>
        <v>400</v>
      </c>
      <c r="I1830" s="2">
        <v>2</v>
      </c>
    </row>
    <row r="1831" spans="1:9" x14ac:dyDescent="0.25">
      <c r="A1831" s="2" t="str">
        <f>CONCATENATE(Códigos!S1830,Códigos!T1830,Códigos!U1830)</f>
        <v>svv1829v</v>
      </c>
      <c r="B1831" t="s">
        <v>408</v>
      </c>
      <c r="C1831" t="s">
        <v>362</v>
      </c>
      <c r="D1831" s="2" t="s">
        <v>363</v>
      </c>
      <c r="E1831" t="s">
        <v>517</v>
      </c>
      <c r="F1831" s="11">
        <v>43538</v>
      </c>
      <c r="G1831" s="2">
        <f>VLOOKUP(E1831,Produtos!$A:$E,5,FALSE)</f>
        <v>1200</v>
      </c>
      <c r="H1831" s="2">
        <f>VLOOKUP(E1831,Produtos!$A:$E,4,FALSE)</f>
        <v>400</v>
      </c>
      <c r="I1831" s="2">
        <v>2</v>
      </c>
    </row>
    <row r="1832" spans="1:9" x14ac:dyDescent="0.25">
      <c r="A1832" s="2" t="str">
        <f>CONCATENATE(Códigos!S1831,Códigos!T1831,Códigos!U1831)</f>
        <v>svv1830v</v>
      </c>
      <c r="B1832" t="s">
        <v>408</v>
      </c>
      <c r="C1832" t="s">
        <v>362</v>
      </c>
      <c r="D1832" s="2" t="s">
        <v>363</v>
      </c>
      <c r="E1832" t="s">
        <v>516</v>
      </c>
      <c r="F1832" s="11">
        <v>43539</v>
      </c>
      <c r="G1832" s="2">
        <f>VLOOKUP(E1832,Produtos!$A:$E,5,FALSE)</f>
        <v>120</v>
      </c>
      <c r="H1832" s="2">
        <f>VLOOKUP(E1832,Produtos!$A:$E,4,FALSE)</f>
        <v>60</v>
      </c>
      <c r="I1832" s="2">
        <v>2</v>
      </c>
    </row>
    <row r="1833" spans="1:9" x14ac:dyDescent="0.25">
      <c r="A1833" s="2" t="str">
        <f>CONCATENATE(Códigos!S1832,Códigos!T1832,Códigos!U1832)</f>
        <v>svv1831v</v>
      </c>
      <c r="B1833" t="s">
        <v>408</v>
      </c>
      <c r="C1833" t="s">
        <v>362</v>
      </c>
      <c r="D1833" s="2" t="s">
        <v>363</v>
      </c>
      <c r="E1833" t="s">
        <v>516</v>
      </c>
      <c r="F1833" s="11">
        <v>43540</v>
      </c>
      <c r="G1833" s="2">
        <f>VLOOKUP(E1833,Produtos!$A:$E,5,FALSE)</f>
        <v>120</v>
      </c>
      <c r="H1833" s="2">
        <f>VLOOKUP(E1833,Produtos!$A:$E,4,FALSE)</f>
        <v>60</v>
      </c>
      <c r="I1833" s="2">
        <v>2</v>
      </c>
    </row>
    <row r="1834" spans="1:9" x14ac:dyDescent="0.25">
      <c r="A1834" s="2" t="str">
        <f>CONCATENATE(Códigos!S1833,Códigos!T1833,Códigos!U1833)</f>
        <v>svv1832v</v>
      </c>
      <c r="B1834" t="s">
        <v>408</v>
      </c>
      <c r="C1834" t="s">
        <v>362</v>
      </c>
      <c r="D1834" s="2" t="s">
        <v>363</v>
      </c>
      <c r="E1834" t="s">
        <v>516</v>
      </c>
      <c r="F1834" s="11">
        <v>43541</v>
      </c>
      <c r="G1834" s="2">
        <f>VLOOKUP(E1834,Produtos!$A:$E,5,FALSE)</f>
        <v>120</v>
      </c>
      <c r="H1834" s="2">
        <f>VLOOKUP(E1834,Produtos!$A:$E,4,FALSE)</f>
        <v>60</v>
      </c>
      <c r="I1834" s="2">
        <v>2</v>
      </c>
    </row>
    <row r="1835" spans="1:9" x14ac:dyDescent="0.25">
      <c r="A1835" s="2" t="str">
        <f>CONCATENATE(Códigos!S1834,Códigos!T1834,Códigos!U1834)</f>
        <v>svv1833v</v>
      </c>
      <c r="B1835" t="s">
        <v>408</v>
      </c>
      <c r="C1835" t="s">
        <v>362</v>
      </c>
      <c r="D1835" s="2" t="s">
        <v>363</v>
      </c>
      <c r="E1835" t="s">
        <v>516</v>
      </c>
      <c r="F1835" s="11">
        <v>43542</v>
      </c>
      <c r="G1835" s="2">
        <f>VLOOKUP(E1835,Produtos!$A:$E,5,FALSE)</f>
        <v>120</v>
      </c>
      <c r="H1835" s="2">
        <f>VLOOKUP(E1835,Produtos!$A:$E,4,FALSE)</f>
        <v>60</v>
      </c>
      <c r="I1835" s="2">
        <v>2</v>
      </c>
    </row>
    <row r="1836" spans="1:9" x14ac:dyDescent="0.25">
      <c r="A1836" s="2" t="str">
        <f>CONCATENATE(Códigos!S1835,Códigos!T1835,Códigos!U1835)</f>
        <v>svv1834v</v>
      </c>
      <c r="B1836" t="s">
        <v>408</v>
      </c>
      <c r="C1836" t="s">
        <v>362</v>
      </c>
      <c r="D1836" s="2" t="s">
        <v>363</v>
      </c>
      <c r="E1836" t="s">
        <v>516</v>
      </c>
      <c r="F1836" s="11">
        <v>43543</v>
      </c>
      <c r="G1836" s="2">
        <f>VLOOKUP(E1836,Produtos!$A:$E,5,FALSE)</f>
        <v>120</v>
      </c>
      <c r="H1836" s="2">
        <f>VLOOKUP(E1836,Produtos!$A:$E,4,FALSE)</f>
        <v>60</v>
      </c>
      <c r="I1836" s="2">
        <v>2</v>
      </c>
    </row>
    <row r="1837" spans="1:9" x14ac:dyDescent="0.25">
      <c r="A1837" s="2" t="str">
        <f>CONCATENATE(Códigos!S1836,Códigos!T1836,Códigos!U1836)</f>
        <v>svv1835v</v>
      </c>
      <c r="B1837" t="s">
        <v>408</v>
      </c>
      <c r="C1837" t="s">
        <v>362</v>
      </c>
      <c r="D1837" s="2" t="s">
        <v>363</v>
      </c>
      <c r="E1837" t="s">
        <v>516</v>
      </c>
      <c r="F1837" s="11">
        <v>43544</v>
      </c>
      <c r="G1837" s="2">
        <f>VLOOKUP(E1837,Produtos!$A:$E,5,FALSE)</f>
        <v>120</v>
      </c>
      <c r="H1837" s="2">
        <f>VLOOKUP(E1837,Produtos!$A:$E,4,FALSE)</f>
        <v>60</v>
      </c>
      <c r="I1837" s="2">
        <v>2</v>
      </c>
    </row>
    <row r="1838" spans="1:9" x14ac:dyDescent="0.25">
      <c r="A1838" s="2" t="str">
        <f>CONCATENATE(Códigos!S1837,Códigos!T1837,Códigos!U1837)</f>
        <v>svv1836v</v>
      </c>
      <c r="B1838" t="s">
        <v>408</v>
      </c>
      <c r="C1838" t="s">
        <v>362</v>
      </c>
      <c r="D1838" s="2" t="s">
        <v>363</v>
      </c>
      <c r="E1838" t="s">
        <v>516</v>
      </c>
      <c r="F1838" s="11">
        <v>43545</v>
      </c>
      <c r="G1838" s="2">
        <f>VLOOKUP(E1838,Produtos!$A:$E,5,FALSE)</f>
        <v>120</v>
      </c>
      <c r="H1838" s="2">
        <f>VLOOKUP(E1838,Produtos!$A:$E,4,FALSE)</f>
        <v>60</v>
      </c>
      <c r="I1838" s="2">
        <v>2</v>
      </c>
    </row>
    <row r="1839" spans="1:9" x14ac:dyDescent="0.25">
      <c r="A1839" s="2" t="str">
        <f>CONCATENATE(Códigos!S1838,Códigos!T1838,Códigos!U1838)</f>
        <v>svv1837v</v>
      </c>
      <c r="B1839" t="s">
        <v>408</v>
      </c>
      <c r="C1839" t="s">
        <v>362</v>
      </c>
      <c r="D1839" s="2" t="s">
        <v>363</v>
      </c>
      <c r="E1839" t="s">
        <v>516</v>
      </c>
      <c r="F1839" s="11">
        <v>43546</v>
      </c>
      <c r="G1839" s="2">
        <f>VLOOKUP(E1839,Produtos!$A:$E,5,FALSE)</f>
        <v>120</v>
      </c>
      <c r="H1839" s="2">
        <f>VLOOKUP(E1839,Produtos!$A:$E,4,FALSE)</f>
        <v>60</v>
      </c>
      <c r="I1839" s="2">
        <v>2</v>
      </c>
    </row>
    <row r="1840" spans="1:9" x14ac:dyDescent="0.25">
      <c r="A1840" s="2" t="str">
        <f>CONCATENATE(Códigos!S1839,Códigos!T1839,Códigos!U1839)</f>
        <v>svv1838v</v>
      </c>
      <c r="B1840" t="s">
        <v>408</v>
      </c>
      <c r="C1840" t="s">
        <v>362</v>
      </c>
      <c r="D1840" s="2" t="s">
        <v>363</v>
      </c>
      <c r="E1840" t="s">
        <v>516</v>
      </c>
      <c r="F1840" s="11">
        <v>43547</v>
      </c>
      <c r="G1840" s="2">
        <f>VLOOKUP(E1840,Produtos!$A:$E,5,FALSE)</f>
        <v>120</v>
      </c>
      <c r="H1840" s="2">
        <f>VLOOKUP(E1840,Produtos!$A:$E,4,FALSE)</f>
        <v>60</v>
      </c>
      <c r="I1840" s="2">
        <v>2</v>
      </c>
    </row>
    <row r="1841" spans="1:9" x14ac:dyDescent="0.25">
      <c r="A1841" s="2" t="str">
        <f>CONCATENATE(Códigos!S1840,Códigos!T1840,Códigos!U1840)</f>
        <v>svv1839v</v>
      </c>
      <c r="B1841" t="s">
        <v>408</v>
      </c>
      <c r="C1841" t="s">
        <v>362</v>
      </c>
      <c r="D1841" s="2" t="s">
        <v>363</v>
      </c>
      <c r="E1841" t="s">
        <v>516</v>
      </c>
      <c r="F1841" s="11">
        <v>43548</v>
      </c>
      <c r="G1841" s="2">
        <f>VLOOKUP(E1841,Produtos!$A:$E,5,FALSE)</f>
        <v>120</v>
      </c>
      <c r="H1841" s="2">
        <f>VLOOKUP(E1841,Produtos!$A:$E,4,FALSE)</f>
        <v>60</v>
      </c>
      <c r="I1841" s="2">
        <v>2</v>
      </c>
    </row>
    <row r="1842" spans="1:9" x14ac:dyDescent="0.25">
      <c r="A1842" s="2" t="str">
        <f>CONCATENATE(Códigos!S1841,Códigos!T1841,Códigos!U1841)</f>
        <v>svv1840v</v>
      </c>
      <c r="B1842" t="s">
        <v>408</v>
      </c>
      <c r="C1842" t="s">
        <v>362</v>
      </c>
      <c r="D1842" s="2" t="s">
        <v>363</v>
      </c>
      <c r="E1842" t="s">
        <v>516</v>
      </c>
      <c r="F1842" s="11">
        <v>43549</v>
      </c>
      <c r="G1842" s="2">
        <f>VLOOKUP(E1842,Produtos!$A:$E,5,FALSE)</f>
        <v>120</v>
      </c>
      <c r="H1842" s="2">
        <f>VLOOKUP(E1842,Produtos!$A:$E,4,FALSE)</f>
        <v>60</v>
      </c>
      <c r="I1842" s="2">
        <v>2</v>
      </c>
    </row>
    <row r="1843" spans="1:9" x14ac:dyDescent="0.25">
      <c r="A1843" s="2" t="str">
        <f>CONCATENATE(Códigos!S1842,Códigos!T1842,Códigos!U1842)</f>
        <v>svv1841v</v>
      </c>
      <c r="B1843" t="s">
        <v>408</v>
      </c>
      <c r="C1843" t="s">
        <v>362</v>
      </c>
      <c r="D1843" s="2" t="s">
        <v>363</v>
      </c>
      <c r="E1843" t="s">
        <v>516</v>
      </c>
      <c r="F1843" s="11">
        <v>43550</v>
      </c>
      <c r="G1843" s="2">
        <f>VLOOKUP(E1843,Produtos!$A:$E,5,FALSE)</f>
        <v>120</v>
      </c>
      <c r="H1843" s="2">
        <f>VLOOKUP(E1843,Produtos!$A:$E,4,FALSE)</f>
        <v>60</v>
      </c>
      <c r="I1843" s="2">
        <v>2</v>
      </c>
    </row>
    <row r="1844" spans="1:9" x14ac:dyDescent="0.25">
      <c r="A1844" s="2" t="str">
        <f>CONCATENATE(Códigos!S1843,Códigos!T1843,Códigos!U1843)</f>
        <v>svv1842v</v>
      </c>
      <c r="B1844" t="s">
        <v>408</v>
      </c>
      <c r="C1844" t="s">
        <v>362</v>
      </c>
      <c r="D1844" s="2" t="s">
        <v>363</v>
      </c>
      <c r="E1844" t="s">
        <v>516</v>
      </c>
      <c r="F1844" s="11">
        <v>43551</v>
      </c>
      <c r="G1844" s="2">
        <f>VLOOKUP(E1844,Produtos!$A:$E,5,FALSE)</f>
        <v>120</v>
      </c>
      <c r="H1844" s="2">
        <f>VLOOKUP(E1844,Produtos!$A:$E,4,FALSE)</f>
        <v>60</v>
      </c>
      <c r="I1844" s="2">
        <v>2</v>
      </c>
    </row>
    <row r="1845" spans="1:9" x14ac:dyDescent="0.25">
      <c r="A1845" s="2" t="str">
        <f>CONCATENATE(Códigos!S1844,Códigos!T1844,Códigos!U1844)</f>
        <v>svv1843v</v>
      </c>
      <c r="B1845" t="s">
        <v>408</v>
      </c>
      <c r="C1845" t="s">
        <v>362</v>
      </c>
      <c r="D1845" s="2" t="s">
        <v>363</v>
      </c>
      <c r="E1845" t="s">
        <v>516</v>
      </c>
      <c r="F1845" s="11">
        <v>43552</v>
      </c>
      <c r="G1845" s="2">
        <f>VLOOKUP(E1845,Produtos!$A:$E,5,FALSE)</f>
        <v>120</v>
      </c>
      <c r="H1845" s="2">
        <f>VLOOKUP(E1845,Produtos!$A:$E,4,FALSE)</f>
        <v>60</v>
      </c>
      <c r="I1845" s="2">
        <v>2</v>
      </c>
    </row>
    <row r="1846" spans="1:9" x14ac:dyDescent="0.25">
      <c r="A1846" s="2" t="str">
        <f>CONCATENATE(Códigos!S1845,Códigos!T1845,Códigos!U1845)</f>
        <v>svv1844v</v>
      </c>
      <c r="B1846" t="s">
        <v>408</v>
      </c>
      <c r="C1846" t="s">
        <v>362</v>
      </c>
      <c r="D1846" s="2" t="s">
        <v>363</v>
      </c>
      <c r="E1846" t="s">
        <v>516</v>
      </c>
      <c r="F1846" s="11">
        <v>43553</v>
      </c>
      <c r="G1846" s="2">
        <f>VLOOKUP(E1846,Produtos!$A:$E,5,FALSE)</f>
        <v>120</v>
      </c>
      <c r="H1846" s="2">
        <f>VLOOKUP(E1846,Produtos!$A:$E,4,FALSE)</f>
        <v>60</v>
      </c>
      <c r="I1846" s="2">
        <v>2</v>
      </c>
    </row>
    <row r="1847" spans="1:9" x14ac:dyDescent="0.25">
      <c r="A1847" s="2" t="str">
        <f>CONCATENATE(Códigos!S1846,Códigos!T1846,Códigos!U1846)</f>
        <v>svv1845v</v>
      </c>
      <c r="B1847" t="s">
        <v>408</v>
      </c>
      <c r="C1847" t="s">
        <v>362</v>
      </c>
      <c r="D1847" s="2" t="s">
        <v>363</v>
      </c>
      <c r="E1847" t="s">
        <v>516</v>
      </c>
      <c r="F1847" s="11">
        <v>43554</v>
      </c>
      <c r="G1847" s="2">
        <f>VLOOKUP(E1847,Produtos!$A:$E,5,FALSE)</f>
        <v>120</v>
      </c>
      <c r="H1847" s="2">
        <f>VLOOKUP(E1847,Produtos!$A:$E,4,FALSE)</f>
        <v>60</v>
      </c>
      <c r="I1847" s="2">
        <v>2</v>
      </c>
    </row>
    <row r="1848" spans="1:9" x14ac:dyDescent="0.25">
      <c r="A1848" s="2" t="str">
        <f>CONCATENATE(Códigos!S1847,Códigos!T1847,Códigos!U1847)</f>
        <v>svv1846v</v>
      </c>
      <c r="B1848" t="s">
        <v>408</v>
      </c>
      <c r="C1848" t="s">
        <v>362</v>
      </c>
      <c r="D1848" s="2" t="s">
        <v>363</v>
      </c>
      <c r="E1848" t="s">
        <v>516</v>
      </c>
      <c r="F1848" s="11">
        <v>43555</v>
      </c>
      <c r="G1848" s="2">
        <f>VLOOKUP(E1848,Produtos!$A:$E,5,FALSE)</f>
        <v>120</v>
      </c>
      <c r="H1848" s="2">
        <f>VLOOKUP(E1848,Produtos!$A:$E,4,FALSE)</f>
        <v>60</v>
      </c>
      <c r="I1848" s="2">
        <v>2</v>
      </c>
    </row>
    <row r="1849" spans="1:9" x14ac:dyDescent="0.25">
      <c r="A1849" s="2" t="str">
        <f>CONCATENATE(Códigos!S1848,Códigos!T1848,Códigos!U1848)</f>
        <v>svv1847v</v>
      </c>
      <c r="B1849" t="s">
        <v>408</v>
      </c>
      <c r="C1849" t="s">
        <v>362</v>
      </c>
      <c r="D1849" s="2" t="s">
        <v>363</v>
      </c>
      <c r="E1849" t="s">
        <v>516</v>
      </c>
      <c r="F1849" s="11">
        <v>43556</v>
      </c>
      <c r="G1849" s="2">
        <f>VLOOKUP(E1849,Produtos!$A:$E,5,FALSE)</f>
        <v>120</v>
      </c>
      <c r="H1849" s="2">
        <f>VLOOKUP(E1849,Produtos!$A:$E,4,FALSE)</f>
        <v>60</v>
      </c>
      <c r="I1849" s="2">
        <v>2</v>
      </c>
    </row>
    <row r="1850" spans="1:9" x14ac:dyDescent="0.25">
      <c r="A1850" s="2" t="str">
        <f>CONCATENATE(Códigos!S1849,Códigos!T1849,Códigos!U1849)</f>
        <v>svv1848v</v>
      </c>
      <c r="B1850" t="s">
        <v>408</v>
      </c>
      <c r="C1850" t="s">
        <v>362</v>
      </c>
      <c r="D1850" s="2" t="s">
        <v>363</v>
      </c>
      <c r="E1850" t="s">
        <v>516</v>
      </c>
      <c r="F1850" s="11">
        <v>43557</v>
      </c>
      <c r="G1850" s="2">
        <f>VLOOKUP(E1850,Produtos!$A:$E,5,FALSE)</f>
        <v>120</v>
      </c>
      <c r="H1850" s="2">
        <f>VLOOKUP(E1850,Produtos!$A:$E,4,FALSE)</f>
        <v>60</v>
      </c>
      <c r="I1850" s="2">
        <v>2</v>
      </c>
    </row>
    <row r="1851" spans="1:9" x14ac:dyDescent="0.25">
      <c r="A1851" s="2" t="str">
        <f>CONCATENATE(Códigos!S1850,Códigos!T1850,Códigos!U1850)</f>
        <v>svv1849v</v>
      </c>
      <c r="B1851" t="s">
        <v>408</v>
      </c>
      <c r="C1851" t="s">
        <v>362</v>
      </c>
      <c r="D1851" s="2" t="s">
        <v>363</v>
      </c>
      <c r="E1851" t="s">
        <v>516</v>
      </c>
      <c r="F1851" s="11">
        <v>43558</v>
      </c>
      <c r="G1851" s="2">
        <f>VLOOKUP(E1851,Produtos!$A:$E,5,FALSE)</f>
        <v>120</v>
      </c>
      <c r="H1851" s="2">
        <f>VLOOKUP(E1851,Produtos!$A:$E,4,FALSE)</f>
        <v>60</v>
      </c>
      <c r="I1851" s="2">
        <v>2</v>
      </c>
    </row>
    <row r="1852" spans="1:9" x14ac:dyDescent="0.25">
      <c r="A1852" s="2" t="str">
        <f>CONCATENATE(Códigos!S1851,Códigos!T1851,Códigos!U1851)</f>
        <v>svv1850v</v>
      </c>
      <c r="B1852" t="s">
        <v>408</v>
      </c>
      <c r="C1852" t="s">
        <v>362</v>
      </c>
      <c r="D1852" s="2" t="s">
        <v>363</v>
      </c>
      <c r="E1852" t="s">
        <v>516</v>
      </c>
      <c r="F1852" s="11">
        <v>43559</v>
      </c>
      <c r="G1852" s="2">
        <f>VLOOKUP(E1852,Produtos!$A:$E,5,FALSE)</f>
        <v>120</v>
      </c>
      <c r="H1852" s="2">
        <f>VLOOKUP(E1852,Produtos!$A:$E,4,FALSE)</f>
        <v>60</v>
      </c>
      <c r="I1852" s="2">
        <v>2</v>
      </c>
    </row>
    <row r="1853" spans="1:9" x14ac:dyDescent="0.25">
      <c r="A1853" s="2" t="str">
        <f>CONCATENATE(Códigos!S1852,Códigos!T1852,Códigos!U1852)</f>
        <v>svv1851v</v>
      </c>
      <c r="B1853" t="s">
        <v>408</v>
      </c>
      <c r="C1853" t="s">
        <v>383</v>
      </c>
      <c r="D1853" s="2" t="s">
        <v>384</v>
      </c>
      <c r="E1853" t="s">
        <v>516</v>
      </c>
      <c r="F1853" s="11">
        <v>43560</v>
      </c>
      <c r="G1853" s="2">
        <f>VLOOKUP(E1853,Produtos!$A:$E,5,FALSE)</f>
        <v>120</v>
      </c>
      <c r="H1853" s="2">
        <f>VLOOKUP(E1853,Produtos!$A:$E,4,FALSE)</f>
        <v>60</v>
      </c>
      <c r="I1853" s="2">
        <v>2</v>
      </c>
    </row>
    <row r="1854" spans="1:9" x14ac:dyDescent="0.25">
      <c r="A1854" s="2" t="str">
        <f>CONCATENATE(Códigos!S1853,Códigos!T1853,Códigos!U1853)</f>
        <v>svv1852v</v>
      </c>
      <c r="B1854" t="s">
        <v>408</v>
      </c>
      <c r="C1854" t="s">
        <v>383</v>
      </c>
      <c r="D1854" s="2" t="s">
        <v>384</v>
      </c>
      <c r="E1854" t="s">
        <v>516</v>
      </c>
      <c r="F1854" s="11">
        <v>43561</v>
      </c>
      <c r="G1854" s="2">
        <f>VLOOKUP(E1854,Produtos!$A:$E,5,FALSE)</f>
        <v>120</v>
      </c>
      <c r="H1854" s="2">
        <f>VLOOKUP(E1854,Produtos!$A:$E,4,FALSE)</f>
        <v>60</v>
      </c>
      <c r="I1854" s="2">
        <v>2</v>
      </c>
    </row>
    <row r="1855" spans="1:9" x14ac:dyDescent="0.25">
      <c r="A1855" s="2" t="str">
        <f>CONCATENATE(Códigos!S1854,Códigos!T1854,Códigos!U1854)</f>
        <v>svv1853v</v>
      </c>
      <c r="B1855" t="s">
        <v>408</v>
      </c>
      <c r="C1855" t="s">
        <v>383</v>
      </c>
      <c r="D1855" s="2" t="s">
        <v>384</v>
      </c>
      <c r="E1855" t="s">
        <v>516</v>
      </c>
      <c r="F1855" s="11">
        <v>43562</v>
      </c>
      <c r="G1855" s="2">
        <f>VLOOKUP(E1855,Produtos!$A:$E,5,FALSE)</f>
        <v>120</v>
      </c>
      <c r="H1855" s="2">
        <f>VLOOKUP(E1855,Produtos!$A:$E,4,FALSE)</f>
        <v>60</v>
      </c>
      <c r="I1855" s="2">
        <v>2</v>
      </c>
    </row>
    <row r="1856" spans="1:9" x14ac:dyDescent="0.25">
      <c r="A1856" s="2" t="str">
        <f>CONCATENATE(Códigos!S1855,Códigos!T1855,Códigos!U1855)</f>
        <v>svv1854v</v>
      </c>
      <c r="B1856" t="s">
        <v>408</v>
      </c>
      <c r="C1856" t="s">
        <v>383</v>
      </c>
      <c r="D1856" s="2" t="s">
        <v>384</v>
      </c>
      <c r="E1856" t="s">
        <v>516</v>
      </c>
      <c r="F1856" s="11">
        <v>43563</v>
      </c>
      <c r="G1856" s="2">
        <f>VLOOKUP(E1856,Produtos!$A:$E,5,FALSE)</f>
        <v>120</v>
      </c>
      <c r="H1856" s="2">
        <f>VLOOKUP(E1856,Produtos!$A:$E,4,FALSE)</f>
        <v>60</v>
      </c>
      <c r="I1856" s="2">
        <v>2</v>
      </c>
    </row>
    <row r="1857" spans="1:9" x14ac:dyDescent="0.25">
      <c r="A1857" s="2" t="str">
        <f>CONCATENATE(Códigos!S1856,Códigos!T1856,Códigos!U1856)</f>
        <v>svv1855v</v>
      </c>
      <c r="B1857" t="s">
        <v>408</v>
      </c>
      <c r="C1857" t="s">
        <v>383</v>
      </c>
      <c r="D1857" s="2" t="s">
        <v>384</v>
      </c>
      <c r="E1857" t="s">
        <v>516</v>
      </c>
      <c r="F1857" s="11">
        <v>43564</v>
      </c>
      <c r="G1857" s="2">
        <f>VLOOKUP(E1857,Produtos!$A:$E,5,FALSE)</f>
        <v>120</v>
      </c>
      <c r="H1857" s="2">
        <f>VLOOKUP(E1857,Produtos!$A:$E,4,FALSE)</f>
        <v>60</v>
      </c>
      <c r="I1857" s="2">
        <v>2</v>
      </c>
    </row>
    <row r="1858" spans="1:9" x14ac:dyDescent="0.25">
      <c r="A1858" s="2" t="str">
        <f>CONCATENATE(Códigos!S1857,Códigos!T1857,Códigos!U1857)</f>
        <v>svv1856v</v>
      </c>
      <c r="B1858" t="s">
        <v>408</v>
      </c>
      <c r="C1858" t="s">
        <v>383</v>
      </c>
      <c r="D1858" s="2" t="s">
        <v>384</v>
      </c>
      <c r="E1858" t="s">
        <v>516</v>
      </c>
      <c r="F1858" s="11">
        <v>43565</v>
      </c>
      <c r="G1858" s="2">
        <f>VLOOKUP(E1858,Produtos!$A:$E,5,FALSE)</f>
        <v>120</v>
      </c>
      <c r="H1858" s="2">
        <f>VLOOKUP(E1858,Produtos!$A:$E,4,FALSE)</f>
        <v>60</v>
      </c>
      <c r="I1858" s="2">
        <v>2</v>
      </c>
    </row>
    <row r="1859" spans="1:9" x14ac:dyDescent="0.25">
      <c r="A1859" s="2" t="str">
        <f>CONCATENATE(Códigos!S1858,Códigos!T1858,Códigos!U1858)</f>
        <v>svv1857v</v>
      </c>
      <c r="B1859" t="s">
        <v>408</v>
      </c>
      <c r="C1859" t="s">
        <v>383</v>
      </c>
      <c r="D1859" s="2" t="s">
        <v>384</v>
      </c>
      <c r="E1859" t="s">
        <v>516</v>
      </c>
      <c r="F1859" s="11">
        <v>43566</v>
      </c>
      <c r="G1859" s="2">
        <f>VLOOKUP(E1859,Produtos!$A:$E,5,FALSE)</f>
        <v>120</v>
      </c>
      <c r="H1859" s="2">
        <f>VLOOKUP(E1859,Produtos!$A:$E,4,FALSE)</f>
        <v>60</v>
      </c>
      <c r="I1859" s="2">
        <v>2</v>
      </c>
    </row>
    <row r="1860" spans="1:9" x14ac:dyDescent="0.25">
      <c r="A1860" s="2" t="str">
        <f>CONCATENATE(Códigos!S1859,Códigos!T1859,Códigos!U1859)</f>
        <v>svv1858v</v>
      </c>
      <c r="B1860" t="s">
        <v>408</v>
      </c>
      <c r="C1860" t="s">
        <v>383</v>
      </c>
      <c r="D1860" s="2" t="s">
        <v>384</v>
      </c>
      <c r="E1860" t="s">
        <v>515</v>
      </c>
      <c r="F1860" s="11">
        <v>43567</v>
      </c>
      <c r="G1860" s="2">
        <f>VLOOKUP(E1860,Produtos!$A:$E,5,FALSE)</f>
        <v>400</v>
      </c>
      <c r="H1860" s="2">
        <f>VLOOKUP(E1860,Produtos!$A:$E,4,FALSE)</f>
        <v>150</v>
      </c>
      <c r="I1860" s="2">
        <v>2</v>
      </c>
    </row>
    <row r="1861" spans="1:9" x14ac:dyDescent="0.25">
      <c r="A1861" s="2" t="str">
        <f>CONCATENATE(Códigos!S1860,Códigos!T1860,Códigos!U1860)</f>
        <v>svv1859v</v>
      </c>
      <c r="B1861" t="s">
        <v>408</v>
      </c>
      <c r="C1861" t="s">
        <v>383</v>
      </c>
      <c r="D1861" s="2" t="s">
        <v>384</v>
      </c>
      <c r="E1861" t="s">
        <v>515</v>
      </c>
      <c r="F1861" s="11">
        <v>43568</v>
      </c>
      <c r="G1861" s="2">
        <f>VLOOKUP(E1861,Produtos!$A:$E,5,FALSE)</f>
        <v>400</v>
      </c>
      <c r="H1861" s="2">
        <f>VLOOKUP(E1861,Produtos!$A:$E,4,FALSE)</f>
        <v>150</v>
      </c>
      <c r="I1861" s="2">
        <v>2</v>
      </c>
    </row>
    <row r="1862" spans="1:9" x14ac:dyDescent="0.25">
      <c r="A1862" s="2" t="str">
        <f>CONCATENATE(Códigos!S1861,Códigos!T1861,Códigos!U1861)</f>
        <v>svv1860v</v>
      </c>
      <c r="B1862" t="s">
        <v>408</v>
      </c>
      <c r="C1862" t="s">
        <v>383</v>
      </c>
      <c r="D1862" s="2" t="s">
        <v>384</v>
      </c>
      <c r="E1862" t="s">
        <v>515</v>
      </c>
      <c r="F1862" s="11">
        <v>43569</v>
      </c>
      <c r="G1862" s="2">
        <f>VLOOKUP(E1862,Produtos!$A:$E,5,FALSE)</f>
        <v>400</v>
      </c>
      <c r="H1862" s="2">
        <f>VLOOKUP(E1862,Produtos!$A:$E,4,FALSE)</f>
        <v>150</v>
      </c>
      <c r="I1862" s="2">
        <v>2</v>
      </c>
    </row>
    <row r="1863" spans="1:9" x14ac:dyDescent="0.25">
      <c r="A1863" s="2" t="str">
        <f>CONCATENATE(Códigos!S1862,Códigos!T1862,Códigos!U1862)</f>
        <v>svv1861v</v>
      </c>
      <c r="B1863" t="s">
        <v>408</v>
      </c>
      <c r="C1863" t="s">
        <v>383</v>
      </c>
      <c r="D1863" s="2" t="s">
        <v>384</v>
      </c>
      <c r="E1863" t="s">
        <v>515</v>
      </c>
      <c r="F1863" s="11">
        <v>43570</v>
      </c>
      <c r="G1863" s="2">
        <f>VLOOKUP(E1863,Produtos!$A:$E,5,FALSE)</f>
        <v>400</v>
      </c>
      <c r="H1863" s="2">
        <f>VLOOKUP(E1863,Produtos!$A:$E,4,FALSE)</f>
        <v>150</v>
      </c>
      <c r="I1863" s="2">
        <v>2</v>
      </c>
    </row>
    <row r="1864" spans="1:9" x14ac:dyDescent="0.25">
      <c r="A1864" s="2" t="str">
        <f>CONCATENATE(Códigos!S1863,Códigos!T1863,Códigos!U1863)</f>
        <v>svv1862v</v>
      </c>
      <c r="B1864" t="s">
        <v>408</v>
      </c>
      <c r="C1864" t="s">
        <v>383</v>
      </c>
      <c r="D1864" s="2" t="s">
        <v>384</v>
      </c>
      <c r="E1864" t="s">
        <v>515</v>
      </c>
      <c r="F1864" s="11">
        <v>43571</v>
      </c>
      <c r="G1864" s="2">
        <f>VLOOKUP(E1864,Produtos!$A:$E,5,FALSE)</f>
        <v>400</v>
      </c>
      <c r="H1864" s="2">
        <f>VLOOKUP(E1864,Produtos!$A:$E,4,FALSE)</f>
        <v>150</v>
      </c>
      <c r="I1864" s="2">
        <v>2</v>
      </c>
    </row>
    <row r="1865" spans="1:9" x14ac:dyDescent="0.25">
      <c r="A1865" s="2" t="str">
        <f>CONCATENATE(Códigos!S1864,Códigos!T1864,Códigos!U1864)</f>
        <v>svv1863v</v>
      </c>
      <c r="B1865" t="s">
        <v>408</v>
      </c>
      <c r="C1865" t="s">
        <v>383</v>
      </c>
      <c r="D1865" s="2" t="s">
        <v>384</v>
      </c>
      <c r="E1865" t="s">
        <v>515</v>
      </c>
      <c r="F1865" s="11">
        <v>43572</v>
      </c>
      <c r="G1865" s="2">
        <f>VLOOKUP(E1865,Produtos!$A:$E,5,FALSE)</f>
        <v>400</v>
      </c>
      <c r="H1865" s="2">
        <f>VLOOKUP(E1865,Produtos!$A:$E,4,FALSE)</f>
        <v>150</v>
      </c>
      <c r="I1865" s="2">
        <v>2</v>
      </c>
    </row>
    <row r="1866" spans="1:9" x14ac:dyDescent="0.25">
      <c r="A1866" s="2" t="str">
        <f>CONCATENATE(Códigos!S1865,Códigos!T1865,Códigos!U1865)</f>
        <v>svv1864v</v>
      </c>
      <c r="B1866" t="s">
        <v>408</v>
      </c>
      <c r="C1866" t="s">
        <v>383</v>
      </c>
      <c r="D1866" s="2" t="s">
        <v>384</v>
      </c>
      <c r="E1866" t="s">
        <v>515</v>
      </c>
      <c r="F1866" s="11">
        <v>43573</v>
      </c>
      <c r="G1866" s="2">
        <f>VLOOKUP(E1866,Produtos!$A:$E,5,FALSE)</f>
        <v>400</v>
      </c>
      <c r="H1866" s="2">
        <f>VLOOKUP(E1866,Produtos!$A:$E,4,FALSE)</f>
        <v>150</v>
      </c>
      <c r="I1866" s="2">
        <v>2</v>
      </c>
    </row>
    <row r="1867" spans="1:9" x14ac:dyDescent="0.25">
      <c r="A1867" s="2" t="str">
        <f>CONCATENATE(Códigos!S1866,Códigos!T1866,Códigos!U1866)</f>
        <v>svv1865v</v>
      </c>
      <c r="B1867" t="s">
        <v>408</v>
      </c>
      <c r="C1867" t="s">
        <v>383</v>
      </c>
      <c r="D1867" s="2" t="s">
        <v>384</v>
      </c>
      <c r="E1867" t="s">
        <v>515</v>
      </c>
      <c r="F1867" s="11">
        <v>43574</v>
      </c>
      <c r="G1867" s="2">
        <f>VLOOKUP(E1867,Produtos!$A:$E,5,FALSE)</f>
        <v>400</v>
      </c>
      <c r="H1867" s="2">
        <f>VLOOKUP(E1867,Produtos!$A:$E,4,FALSE)</f>
        <v>150</v>
      </c>
      <c r="I1867" s="2">
        <v>2</v>
      </c>
    </row>
    <row r="1868" spans="1:9" x14ac:dyDescent="0.25">
      <c r="A1868" s="2" t="str">
        <f>CONCATENATE(Códigos!S1867,Códigos!T1867,Códigos!U1867)</f>
        <v>svv1866v</v>
      </c>
      <c r="B1868" t="s">
        <v>408</v>
      </c>
      <c r="C1868" t="s">
        <v>383</v>
      </c>
      <c r="D1868" s="2" t="s">
        <v>384</v>
      </c>
      <c r="E1868" t="s">
        <v>515</v>
      </c>
      <c r="F1868" s="11">
        <v>43575</v>
      </c>
      <c r="G1868" s="2">
        <f>VLOOKUP(E1868,Produtos!$A:$E,5,FALSE)</f>
        <v>400</v>
      </c>
      <c r="H1868" s="2">
        <f>VLOOKUP(E1868,Produtos!$A:$E,4,FALSE)</f>
        <v>150</v>
      </c>
      <c r="I1868" s="2">
        <v>2</v>
      </c>
    </row>
    <row r="1869" spans="1:9" x14ac:dyDescent="0.25">
      <c r="A1869" s="2" t="str">
        <f>CONCATENATE(Códigos!S1868,Códigos!T1868,Códigos!U1868)</f>
        <v>svv1867v</v>
      </c>
      <c r="B1869" t="s">
        <v>408</v>
      </c>
      <c r="C1869" t="s">
        <v>383</v>
      </c>
      <c r="D1869" s="2" t="s">
        <v>384</v>
      </c>
      <c r="E1869" t="s">
        <v>515</v>
      </c>
      <c r="F1869" s="11">
        <v>43576</v>
      </c>
      <c r="G1869" s="2">
        <f>VLOOKUP(E1869,Produtos!$A:$E,5,FALSE)</f>
        <v>400</v>
      </c>
      <c r="H1869" s="2">
        <f>VLOOKUP(E1869,Produtos!$A:$E,4,FALSE)</f>
        <v>150</v>
      </c>
      <c r="I1869" s="2">
        <v>2</v>
      </c>
    </row>
    <row r="1870" spans="1:9" x14ac:dyDescent="0.25">
      <c r="A1870" s="2" t="str">
        <f>CONCATENATE(Códigos!S1869,Códigos!T1869,Códigos!U1869)</f>
        <v>svv1868v</v>
      </c>
      <c r="B1870" t="s">
        <v>408</v>
      </c>
      <c r="C1870" t="s">
        <v>383</v>
      </c>
      <c r="D1870" s="2" t="s">
        <v>384</v>
      </c>
      <c r="E1870" t="s">
        <v>515</v>
      </c>
      <c r="F1870" s="11">
        <v>43577</v>
      </c>
      <c r="G1870" s="2">
        <f>VLOOKUP(E1870,Produtos!$A:$E,5,FALSE)</f>
        <v>400</v>
      </c>
      <c r="H1870" s="2">
        <f>VLOOKUP(E1870,Produtos!$A:$E,4,FALSE)</f>
        <v>150</v>
      </c>
      <c r="I1870" s="2">
        <v>2</v>
      </c>
    </row>
    <row r="1871" spans="1:9" x14ac:dyDescent="0.25">
      <c r="A1871" s="2" t="str">
        <f>CONCATENATE(Códigos!S1870,Códigos!T1870,Códigos!U1870)</f>
        <v>svv1869v</v>
      </c>
      <c r="B1871" t="s">
        <v>408</v>
      </c>
      <c r="C1871" t="s">
        <v>383</v>
      </c>
      <c r="D1871" s="2" t="s">
        <v>384</v>
      </c>
      <c r="E1871" t="s">
        <v>515</v>
      </c>
      <c r="F1871" s="11">
        <v>43578</v>
      </c>
      <c r="G1871" s="2">
        <f>VLOOKUP(E1871,Produtos!$A:$E,5,FALSE)</f>
        <v>400</v>
      </c>
      <c r="H1871" s="2">
        <f>VLOOKUP(E1871,Produtos!$A:$E,4,FALSE)</f>
        <v>150</v>
      </c>
      <c r="I1871" s="2">
        <v>2</v>
      </c>
    </row>
    <row r="1872" spans="1:9" x14ac:dyDescent="0.25">
      <c r="A1872" s="2" t="str">
        <f>CONCATENATE(Códigos!S1871,Códigos!T1871,Códigos!U1871)</f>
        <v>svv1870v</v>
      </c>
      <c r="B1872" t="s">
        <v>408</v>
      </c>
      <c r="C1872" t="s">
        <v>383</v>
      </c>
      <c r="D1872" s="2" t="s">
        <v>384</v>
      </c>
      <c r="E1872" t="s">
        <v>515</v>
      </c>
      <c r="F1872" s="11">
        <v>43579</v>
      </c>
      <c r="G1872" s="2">
        <f>VLOOKUP(E1872,Produtos!$A:$E,5,FALSE)</f>
        <v>400</v>
      </c>
      <c r="H1872" s="2">
        <f>VLOOKUP(E1872,Produtos!$A:$E,4,FALSE)</f>
        <v>150</v>
      </c>
      <c r="I1872" s="2">
        <v>2</v>
      </c>
    </row>
    <row r="1873" spans="1:9" x14ac:dyDescent="0.25">
      <c r="A1873" s="2" t="str">
        <f>CONCATENATE(Códigos!S1872,Códigos!T1872,Códigos!U1872)</f>
        <v>svv1871v</v>
      </c>
      <c r="B1873" t="s">
        <v>408</v>
      </c>
      <c r="C1873" t="s">
        <v>383</v>
      </c>
      <c r="D1873" s="2" t="s">
        <v>384</v>
      </c>
      <c r="E1873" t="s">
        <v>515</v>
      </c>
      <c r="F1873" s="11">
        <v>43580</v>
      </c>
      <c r="G1873" s="2">
        <f>VLOOKUP(E1873,Produtos!$A:$E,5,FALSE)</f>
        <v>400</v>
      </c>
      <c r="H1873" s="2">
        <f>VLOOKUP(E1873,Produtos!$A:$E,4,FALSE)</f>
        <v>150</v>
      </c>
      <c r="I1873" s="2">
        <v>2</v>
      </c>
    </row>
    <row r="1874" spans="1:9" x14ac:dyDescent="0.25">
      <c r="A1874" s="2" t="str">
        <f>CONCATENATE(Códigos!S1873,Códigos!T1873,Códigos!U1873)</f>
        <v>svv1872v</v>
      </c>
      <c r="B1874" t="s">
        <v>408</v>
      </c>
      <c r="C1874" t="s">
        <v>383</v>
      </c>
      <c r="D1874" s="2" t="s">
        <v>384</v>
      </c>
      <c r="E1874" t="s">
        <v>515</v>
      </c>
      <c r="F1874" s="11">
        <v>43581</v>
      </c>
      <c r="G1874" s="2">
        <f>VLOOKUP(E1874,Produtos!$A:$E,5,FALSE)</f>
        <v>400</v>
      </c>
      <c r="H1874" s="2">
        <f>VLOOKUP(E1874,Produtos!$A:$E,4,FALSE)</f>
        <v>150</v>
      </c>
      <c r="I1874" s="2">
        <v>2</v>
      </c>
    </row>
    <row r="1875" spans="1:9" x14ac:dyDescent="0.25">
      <c r="A1875" s="2" t="str">
        <f>CONCATENATE(Códigos!S1874,Códigos!T1874,Códigos!U1874)</f>
        <v>svv1873v</v>
      </c>
      <c r="B1875" t="s">
        <v>408</v>
      </c>
      <c r="C1875" t="s">
        <v>383</v>
      </c>
      <c r="D1875" s="2" t="s">
        <v>384</v>
      </c>
      <c r="E1875" t="s">
        <v>515</v>
      </c>
      <c r="F1875" s="11">
        <v>43582</v>
      </c>
      <c r="G1875" s="2">
        <f>VLOOKUP(E1875,Produtos!$A:$E,5,FALSE)</f>
        <v>400</v>
      </c>
      <c r="H1875" s="2">
        <f>VLOOKUP(E1875,Produtos!$A:$E,4,FALSE)</f>
        <v>150</v>
      </c>
      <c r="I1875" s="2">
        <v>2</v>
      </c>
    </row>
    <row r="1876" spans="1:9" x14ac:dyDescent="0.25">
      <c r="A1876" s="2" t="str">
        <f>CONCATENATE(Códigos!S1875,Códigos!T1875,Códigos!U1875)</f>
        <v>svv1874v</v>
      </c>
      <c r="B1876" t="s">
        <v>408</v>
      </c>
      <c r="C1876" t="s">
        <v>383</v>
      </c>
      <c r="D1876" s="2" t="s">
        <v>384</v>
      </c>
      <c r="E1876" t="s">
        <v>515</v>
      </c>
      <c r="F1876" s="11">
        <v>43583</v>
      </c>
      <c r="G1876" s="2">
        <f>VLOOKUP(E1876,Produtos!$A:$E,5,FALSE)</f>
        <v>400</v>
      </c>
      <c r="H1876" s="2">
        <f>VLOOKUP(E1876,Produtos!$A:$E,4,FALSE)</f>
        <v>150</v>
      </c>
      <c r="I1876" s="2">
        <v>2</v>
      </c>
    </row>
    <row r="1877" spans="1:9" x14ac:dyDescent="0.25">
      <c r="A1877" s="2" t="str">
        <f>CONCATENATE(Códigos!S1876,Códigos!T1876,Códigos!U1876)</f>
        <v>svv1875v</v>
      </c>
      <c r="B1877" t="s">
        <v>408</v>
      </c>
      <c r="C1877" t="s">
        <v>383</v>
      </c>
      <c r="D1877" s="2" t="s">
        <v>384</v>
      </c>
      <c r="E1877" t="s">
        <v>515</v>
      </c>
      <c r="F1877" s="11">
        <v>43584</v>
      </c>
      <c r="G1877" s="2">
        <f>VLOOKUP(E1877,Produtos!$A:$E,5,FALSE)</f>
        <v>400</v>
      </c>
      <c r="H1877" s="2">
        <f>VLOOKUP(E1877,Produtos!$A:$E,4,FALSE)</f>
        <v>150</v>
      </c>
      <c r="I1877" s="2">
        <v>2</v>
      </c>
    </row>
    <row r="1878" spans="1:9" x14ac:dyDescent="0.25">
      <c r="A1878" s="2" t="str">
        <f>CONCATENATE(Códigos!S1877,Códigos!T1877,Códigos!U1877)</f>
        <v>svv1876v</v>
      </c>
      <c r="B1878" t="s">
        <v>408</v>
      </c>
      <c r="C1878" t="s">
        <v>383</v>
      </c>
      <c r="D1878" s="2" t="s">
        <v>384</v>
      </c>
      <c r="E1878" t="s">
        <v>515</v>
      </c>
      <c r="F1878" s="11">
        <v>43585</v>
      </c>
      <c r="G1878" s="2">
        <f>VLOOKUP(E1878,Produtos!$A:$E,5,FALSE)</f>
        <v>400</v>
      </c>
      <c r="H1878" s="2">
        <f>VLOOKUP(E1878,Produtos!$A:$E,4,FALSE)</f>
        <v>150</v>
      </c>
      <c r="I1878" s="2">
        <v>2</v>
      </c>
    </row>
    <row r="1879" spans="1:9" x14ac:dyDescent="0.25">
      <c r="A1879" s="2" t="str">
        <f>CONCATENATE(Códigos!S1878,Códigos!T1878,Códigos!U1878)</f>
        <v>svv1877v</v>
      </c>
      <c r="B1879" t="s">
        <v>408</v>
      </c>
      <c r="C1879" t="s">
        <v>383</v>
      </c>
      <c r="D1879" s="2" t="s">
        <v>384</v>
      </c>
      <c r="E1879" t="s">
        <v>515</v>
      </c>
      <c r="F1879" s="11">
        <v>43586</v>
      </c>
      <c r="G1879" s="2">
        <f>VLOOKUP(E1879,Produtos!$A:$E,5,FALSE)</f>
        <v>400</v>
      </c>
      <c r="H1879" s="2">
        <f>VLOOKUP(E1879,Produtos!$A:$E,4,FALSE)</f>
        <v>150</v>
      </c>
      <c r="I1879" s="2">
        <v>2</v>
      </c>
    </row>
    <row r="1880" spans="1:9" x14ac:dyDescent="0.25">
      <c r="A1880" s="2" t="str">
        <f>CONCATENATE(Códigos!S1879,Códigos!T1879,Códigos!U1879)</f>
        <v>svv1878v</v>
      </c>
      <c r="B1880" t="s">
        <v>408</v>
      </c>
      <c r="C1880" t="s">
        <v>383</v>
      </c>
      <c r="D1880" s="2" t="s">
        <v>384</v>
      </c>
      <c r="E1880" t="s">
        <v>515</v>
      </c>
      <c r="F1880" s="11">
        <v>43587</v>
      </c>
      <c r="G1880" s="2">
        <f>VLOOKUP(E1880,Produtos!$A:$E,5,FALSE)</f>
        <v>400</v>
      </c>
      <c r="H1880" s="2">
        <f>VLOOKUP(E1880,Produtos!$A:$E,4,FALSE)</f>
        <v>150</v>
      </c>
      <c r="I1880" s="2">
        <v>2</v>
      </c>
    </row>
    <row r="1881" spans="1:9" x14ac:dyDescent="0.25">
      <c r="A1881" s="2" t="str">
        <f>CONCATENATE(Códigos!S1880,Códigos!T1880,Códigos!U1880)</f>
        <v>svv1879v</v>
      </c>
      <c r="B1881" t="s">
        <v>408</v>
      </c>
      <c r="C1881" t="s">
        <v>383</v>
      </c>
      <c r="D1881" s="2" t="s">
        <v>384</v>
      </c>
      <c r="E1881" t="s">
        <v>515</v>
      </c>
      <c r="F1881" s="11">
        <v>43588</v>
      </c>
      <c r="G1881" s="2">
        <f>VLOOKUP(E1881,Produtos!$A:$E,5,FALSE)</f>
        <v>400</v>
      </c>
      <c r="H1881" s="2">
        <f>VLOOKUP(E1881,Produtos!$A:$E,4,FALSE)</f>
        <v>150</v>
      </c>
      <c r="I1881" s="2">
        <v>2</v>
      </c>
    </row>
    <row r="1882" spans="1:9" x14ac:dyDescent="0.25">
      <c r="A1882" s="2" t="str">
        <f>CONCATENATE(Códigos!S1881,Códigos!T1881,Códigos!U1881)</f>
        <v>svv1880v</v>
      </c>
      <c r="B1882" t="s">
        <v>408</v>
      </c>
      <c r="C1882" t="s">
        <v>383</v>
      </c>
      <c r="D1882" s="2" t="s">
        <v>384</v>
      </c>
      <c r="E1882" t="s">
        <v>515</v>
      </c>
      <c r="F1882" s="11">
        <v>43589</v>
      </c>
      <c r="G1882" s="2">
        <f>VLOOKUP(E1882,Produtos!$A:$E,5,FALSE)</f>
        <v>400</v>
      </c>
      <c r="H1882" s="2">
        <f>VLOOKUP(E1882,Produtos!$A:$E,4,FALSE)</f>
        <v>150</v>
      </c>
      <c r="I1882" s="2">
        <v>2</v>
      </c>
    </row>
    <row r="1883" spans="1:9" x14ac:dyDescent="0.25">
      <c r="A1883" s="2" t="str">
        <f>CONCATENATE(Códigos!S1882,Códigos!T1882,Códigos!U1882)</f>
        <v>svv1881v</v>
      </c>
      <c r="B1883" t="s">
        <v>408</v>
      </c>
      <c r="C1883" t="s">
        <v>383</v>
      </c>
      <c r="D1883" s="2" t="s">
        <v>384</v>
      </c>
      <c r="E1883" t="s">
        <v>515</v>
      </c>
      <c r="F1883" s="11">
        <v>43590</v>
      </c>
      <c r="G1883" s="2">
        <f>VLOOKUP(E1883,Produtos!$A:$E,5,FALSE)</f>
        <v>400</v>
      </c>
      <c r="H1883" s="2">
        <f>VLOOKUP(E1883,Produtos!$A:$E,4,FALSE)</f>
        <v>150</v>
      </c>
      <c r="I1883" s="2">
        <v>2</v>
      </c>
    </row>
    <row r="1884" spans="1:9" x14ac:dyDescent="0.25">
      <c r="A1884" s="2" t="str">
        <f>CONCATENATE(Códigos!S1883,Códigos!T1883,Códigos!U1883)</f>
        <v>svv1882v</v>
      </c>
      <c r="B1884" t="s">
        <v>408</v>
      </c>
      <c r="C1884" t="s">
        <v>383</v>
      </c>
      <c r="D1884" s="2" t="s">
        <v>384</v>
      </c>
      <c r="E1884" t="s">
        <v>515</v>
      </c>
      <c r="F1884" s="11">
        <v>43591</v>
      </c>
      <c r="G1884" s="2">
        <f>VLOOKUP(E1884,Produtos!$A:$E,5,FALSE)</f>
        <v>400</v>
      </c>
      <c r="H1884" s="2">
        <f>VLOOKUP(E1884,Produtos!$A:$E,4,FALSE)</f>
        <v>150</v>
      </c>
      <c r="I1884" s="2">
        <v>2</v>
      </c>
    </row>
    <row r="1885" spans="1:9" x14ac:dyDescent="0.25">
      <c r="A1885" s="2" t="str">
        <f>CONCATENATE(Códigos!S1884,Códigos!T1884,Códigos!U1884)</f>
        <v>svv1883v</v>
      </c>
      <c r="B1885" t="s">
        <v>408</v>
      </c>
      <c r="C1885" t="s">
        <v>383</v>
      </c>
      <c r="D1885" s="2" t="s">
        <v>384</v>
      </c>
      <c r="E1885" t="s">
        <v>515</v>
      </c>
      <c r="F1885" s="11">
        <v>43592</v>
      </c>
      <c r="G1885" s="2">
        <f>VLOOKUP(E1885,Produtos!$A:$E,5,FALSE)</f>
        <v>400</v>
      </c>
      <c r="H1885" s="2">
        <f>VLOOKUP(E1885,Produtos!$A:$E,4,FALSE)</f>
        <v>150</v>
      </c>
      <c r="I1885" s="2">
        <v>2</v>
      </c>
    </row>
    <row r="1886" spans="1:9" x14ac:dyDescent="0.25">
      <c r="A1886" s="2" t="str">
        <f>CONCATENATE(Códigos!S1885,Códigos!T1885,Códigos!U1885)</f>
        <v>svv1884v</v>
      </c>
      <c r="B1886" t="s">
        <v>408</v>
      </c>
      <c r="C1886" t="s">
        <v>383</v>
      </c>
      <c r="D1886" s="2" t="s">
        <v>384</v>
      </c>
      <c r="E1886" t="s">
        <v>515</v>
      </c>
      <c r="F1886" s="11">
        <v>43593</v>
      </c>
      <c r="G1886" s="2">
        <f>VLOOKUP(E1886,Produtos!$A:$E,5,FALSE)</f>
        <v>400</v>
      </c>
      <c r="H1886" s="2">
        <f>VLOOKUP(E1886,Produtos!$A:$E,4,FALSE)</f>
        <v>150</v>
      </c>
      <c r="I1886" s="2">
        <v>2</v>
      </c>
    </row>
    <row r="1887" spans="1:9" x14ac:dyDescent="0.25">
      <c r="A1887" s="2" t="str">
        <f>CONCATENATE(Códigos!S1886,Códigos!T1886,Códigos!U1886)</f>
        <v>svv1885v</v>
      </c>
      <c r="B1887" t="s">
        <v>408</v>
      </c>
      <c r="C1887" t="s">
        <v>383</v>
      </c>
      <c r="D1887" s="2" t="s">
        <v>384</v>
      </c>
      <c r="E1887" t="s">
        <v>515</v>
      </c>
      <c r="F1887" s="11">
        <v>43594</v>
      </c>
      <c r="G1887" s="2">
        <f>VLOOKUP(E1887,Produtos!$A:$E,5,FALSE)</f>
        <v>400</v>
      </c>
      <c r="H1887" s="2">
        <f>VLOOKUP(E1887,Produtos!$A:$E,4,FALSE)</f>
        <v>150</v>
      </c>
      <c r="I1887" s="2">
        <v>2</v>
      </c>
    </row>
    <row r="1888" spans="1:9" x14ac:dyDescent="0.25">
      <c r="A1888" s="2" t="str">
        <f>CONCATENATE(Códigos!S1887,Códigos!T1887,Códigos!U1887)</f>
        <v>svv1886v</v>
      </c>
      <c r="B1888" t="s">
        <v>408</v>
      </c>
      <c r="C1888" t="s">
        <v>383</v>
      </c>
      <c r="D1888" s="2" t="s">
        <v>384</v>
      </c>
      <c r="E1888" t="s">
        <v>515</v>
      </c>
      <c r="F1888" s="11">
        <v>43595</v>
      </c>
      <c r="G1888" s="2">
        <f>VLOOKUP(E1888,Produtos!$A:$E,5,FALSE)</f>
        <v>400</v>
      </c>
      <c r="H1888" s="2">
        <f>VLOOKUP(E1888,Produtos!$A:$E,4,FALSE)</f>
        <v>150</v>
      </c>
      <c r="I1888" s="2">
        <v>2</v>
      </c>
    </row>
    <row r="1889" spans="1:9" x14ac:dyDescent="0.25">
      <c r="A1889" s="2" t="str">
        <f>CONCATENATE(Códigos!S1888,Códigos!T1888,Códigos!U1888)</f>
        <v>svv1887v</v>
      </c>
      <c r="B1889" t="s">
        <v>408</v>
      </c>
      <c r="C1889" t="s">
        <v>383</v>
      </c>
      <c r="D1889" s="2" t="s">
        <v>384</v>
      </c>
      <c r="E1889" t="s">
        <v>514</v>
      </c>
      <c r="F1889" s="11">
        <v>43596</v>
      </c>
      <c r="G1889" s="2">
        <f>VLOOKUP(E1889,Produtos!$A:$E,5,FALSE)</f>
        <v>900</v>
      </c>
      <c r="H1889" s="2">
        <f>VLOOKUP(E1889,Produtos!$A:$E,4,FALSE)</f>
        <v>400</v>
      </c>
      <c r="I1889" s="2">
        <v>2</v>
      </c>
    </row>
    <row r="1890" spans="1:9" x14ac:dyDescent="0.25">
      <c r="A1890" s="2" t="str">
        <f>CONCATENATE(Códigos!S1889,Códigos!T1889,Códigos!U1889)</f>
        <v>svv1888v</v>
      </c>
      <c r="B1890" t="s">
        <v>408</v>
      </c>
      <c r="C1890" t="s">
        <v>383</v>
      </c>
      <c r="D1890" s="2" t="s">
        <v>384</v>
      </c>
      <c r="E1890" t="s">
        <v>514</v>
      </c>
      <c r="F1890" s="11">
        <v>43597</v>
      </c>
      <c r="G1890" s="2">
        <f>VLOOKUP(E1890,Produtos!$A:$E,5,FALSE)</f>
        <v>900</v>
      </c>
      <c r="H1890" s="2">
        <f>VLOOKUP(E1890,Produtos!$A:$E,4,FALSE)</f>
        <v>400</v>
      </c>
      <c r="I1890" s="2">
        <v>2</v>
      </c>
    </row>
    <row r="1891" spans="1:9" x14ac:dyDescent="0.25">
      <c r="A1891" s="2" t="str">
        <f>CONCATENATE(Códigos!S1890,Códigos!T1890,Códigos!U1890)</f>
        <v>svv1889v</v>
      </c>
      <c r="B1891" t="s">
        <v>408</v>
      </c>
      <c r="C1891" t="s">
        <v>383</v>
      </c>
      <c r="D1891" s="2" t="s">
        <v>384</v>
      </c>
      <c r="E1891" t="s">
        <v>514</v>
      </c>
      <c r="F1891" s="11">
        <v>43598</v>
      </c>
      <c r="G1891" s="2">
        <f>VLOOKUP(E1891,Produtos!$A:$E,5,FALSE)</f>
        <v>900</v>
      </c>
      <c r="H1891" s="2">
        <f>VLOOKUP(E1891,Produtos!$A:$E,4,FALSE)</f>
        <v>400</v>
      </c>
      <c r="I1891" s="2">
        <v>2</v>
      </c>
    </row>
    <row r="1892" spans="1:9" x14ac:dyDescent="0.25">
      <c r="A1892" s="2" t="str">
        <f>CONCATENATE(Códigos!S1891,Códigos!T1891,Códigos!U1891)</f>
        <v>svv1890v</v>
      </c>
      <c r="B1892" t="s">
        <v>408</v>
      </c>
      <c r="C1892" t="s">
        <v>383</v>
      </c>
      <c r="D1892" s="2" t="s">
        <v>384</v>
      </c>
      <c r="E1892" t="s">
        <v>514</v>
      </c>
      <c r="F1892" s="11">
        <v>43599</v>
      </c>
      <c r="G1892" s="2">
        <f>VLOOKUP(E1892,Produtos!$A:$E,5,FALSE)</f>
        <v>900</v>
      </c>
      <c r="H1892" s="2">
        <f>VLOOKUP(E1892,Produtos!$A:$E,4,FALSE)</f>
        <v>400</v>
      </c>
      <c r="I1892" s="2">
        <v>2</v>
      </c>
    </row>
    <row r="1893" spans="1:9" x14ac:dyDescent="0.25">
      <c r="A1893" s="2" t="str">
        <f>CONCATENATE(Códigos!S1892,Códigos!T1892,Códigos!U1892)</f>
        <v>svv1891v</v>
      </c>
      <c r="B1893" t="s">
        <v>408</v>
      </c>
      <c r="C1893" t="s">
        <v>383</v>
      </c>
      <c r="D1893" s="2" t="s">
        <v>384</v>
      </c>
      <c r="E1893" t="s">
        <v>514</v>
      </c>
      <c r="F1893" s="11">
        <v>43600</v>
      </c>
      <c r="G1893" s="2">
        <f>VLOOKUP(E1893,Produtos!$A:$E,5,FALSE)</f>
        <v>900</v>
      </c>
      <c r="H1893" s="2">
        <f>VLOOKUP(E1893,Produtos!$A:$E,4,FALSE)</f>
        <v>400</v>
      </c>
      <c r="I1893" s="2">
        <v>2</v>
      </c>
    </row>
    <row r="1894" spans="1:9" x14ac:dyDescent="0.25">
      <c r="A1894" s="2" t="str">
        <f>CONCATENATE(Códigos!S1893,Códigos!T1893,Códigos!U1893)</f>
        <v>svv1892v</v>
      </c>
      <c r="B1894" t="s">
        <v>408</v>
      </c>
      <c r="C1894" t="s">
        <v>383</v>
      </c>
      <c r="D1894" s="2" t="s">
        <v>384</v>
      </c>
      <c r="E1894" t="s">
        <v>514</v>
      </c>
      <c r="F1894" s="11">
        <v>43601</v>
      </c>
      <c r="G1894" s="2">
        <f>VLOOKUP(E1894,Produtos!$A:$E,5,FALSE)</f>
        <v>900</v>
      </c>
      <c r="H1894" s="2">
        <f>VLOOKUP(E1894,Produtos!$A:$E,4,FALSE)</f>
        <v>400</v>
      </c>
      <c r="I1894" s="2">
        <v>2</v>
      </c>
    </row>
    <row r="1895" spans="1:9" x14ac:dyDescent="0.25">
      <c r="A1895" s="2" t="str">
        <f>CONCATENATE(Códigos!S1894,Códigos!T1894,Códigos!U1894)</f>
        <v>svv1893v</v>
      </c>
      <c r="B1895" t="s">
        <v>408</v>
      </c>
      <c r="C1895" t="s">
        <v>383</v>
      </c>
      <c r="D1895" s="2" t="s">
        <v>384</v>
      </c>
      <c r="E1895" t="s">
        <v>514</v>
      </c>
      <c r="F1895" s="11">
        <v>43602</v>
      </c>
      <c r="G1895" s="2">
        <f>VLOOKUP(E1895,Produtos!$A:$E,5,FALSE)</f>
        <v>900</v>
      </c>
      <c r="H1895" s="2">
        <f>VLOOKUP(E1895,Produtos!$A:$E,4,FALSE)</f>
        <v>400</v>
      </c>
      <c r="I1895" s="2">
        <v>2</v>
      </c>
    </row>
    <row r="1896" spans="1:9" x14ac:dyDescent="0.25">
      <c r="A1896" s="2" t="str">
        <f>CONCATENATE(Códigos!S1895,Códigos!T1895,Códigos!U1895)</f>
        <v>svv1894v</v>
      </c>
      <c r="B1896" t="s">
        <v>408</v>
      </c>
      <c r="C1896" t="s">
        <v>383</v>
      </c>
      <c r="D1896" s="2" t="s">
        <v>384</v>
      </c>
      <c r="E1896" t="s">
        <v>514</v>
      </c>
      <c r="F1896" s="11">
        <v>43603</v>
      </c>
      <c r="G1896" s="2">
        <f>VLOOKUP(E1896,Produtos!$A:$E,5,FALSE)</f>
        <v>900</v>
      </c>
      <c r="H1896" s="2">
        <f>VLOOKUP(E1896,Produtos!$A:$E,4,FALSE)</f>
        <v>400</v>
      </c>
      <c r="I1896" s="2">
        <v>2</v>
      </c>
    </row>
    <row r="1897" spans="1:9" x14ac:dyDescent="0.25">
      <c r="A1897" s="2" t="str">
        <f>CONCATENATE(Códigos!S1896,Códigos!T1896,Códigos!U1896)</f>
        <v>svv1895v</v>
      </c>
      <c r="B1897" t="s">
        <v>408</v>
      </c>
      <c r="C1897" t="s">
        <v>383</v>
      </c>
      <c r="D1897" s="2" t="s">
        <v>384</v>
      </c>
      <c r="E1897" t="s">
        <v>514</v>
      </c>
      <c r="F1897" s="11">
        <v>43604</v>
      </c>
      <c r="G1897" s="2">
        <f>VLOOKUP(E1897,Produtos!$A:$E,5,FALSE)</f>
        <v>900</v>
      </c>
      <c r="H1897" s="2">
        <f>VLOOKUP(E1897,Produtos!$A:$E,4,FALSE)</f>
        <v>400</v>
      </c>
      <c r="I1897" s="2">
        <v>2</v>
      </c>
    </row>
    <row r="1898" spans="1:9" x14ac:dyDescent="0.25">
      <c r="A1898" s="2" t="str">
        <f>CONCATENATE(Códigos!S1897,Códigos!T1897,Códigos!U1897)</f>
        <v>svv1896v</v>
      </c>
      <c r="B1898" t="s">
        <v>408</v>
      </c>
      <c r="C1898" t="s">
        <v>383</v>
      </c>
      <c r="D1898" s="2" t="s">
        <v>384</v>
      </c>
      <c r="E1898" t="s">
        <v>514</v>
      </c>
      <c r="F1898" s="11">
        <v>43605</v>
      </c>
      <c r="G1898" s="2">
        <f>VLOOKUP(E1898,Produtos!$A:$E,5,FALSE)</f>
        <v>900</v>
      </c>
      <c r="H1898" s="2">
        <f>VLOOKUP(E1898,Produtos!$A:$E,4,FALSE)</f>
        <v>400</v>
      </c>
      <c r="I1898" s="2">
        <v>2</v>
      </c>
    </row>
    <row r="1899" spans="1:9" x14ac:dyDescent="0.25">
      <c r="A1899" s="2" t="str">
        <f>CONCATENATE(Códigos!S1898,Códigos!T1898,Códigos!U1898)</f>
        <v>svv1897v</v>
      </c>
      <c r="B1899" t="s">
        <v>408</v>
      </c>
      <c r="C1899" t="s">
        <v>383</v>
      </c>
      <c r="D1899" s="2" t="s">
        <v>384</v>
      </c>
      <c r="E1899" t="s">
        <v>514</v>
      </c>
      <c r="F1899" s="11">
        <v>43606</v>
      </c>
      <c r="G1899" s="2">
        <f>VLOOKUP(E1899,Produtos!$A:$E,5,FALSE)</f>
        <v>900</v>
      </c>
      <c r="H1899" s="2">
        <f>VLOOKUP(E1899,Produtos!$A:$E,4,FALSE)</f>
        <v>400</v>
      </c>
      <c r="I1899" s="2">
        <v>2</v>
      </c>
    </row>
    <row r="1900" spans="1:9" x14ac:dyDescent="0.25">
      <c r="A1900" s="2" t="str">
        <f>CONCATENATE(Códigos!S1899,Códigos!T1899,Códigos!U1899)</f>
        <v>svv1898v</v>
      </c>
      <c r="B1900" t="s">
        <v>408</v>
      </c>
      <c r="C1900" t="s">
        <v>383</v>
      </c>
      <c r="D1900" s="2" t="s">
        <v>384</v>
      </c>
      <c r="E1900" t="s">
        <v>514</v>
      </c>
      <c r="F1900" s="11">
        <v>43607</v>
      </c>
      <c r="G1900" s="2">
        <f>VLOOKUP(E1900,Produtos!$A:$E,5,FALSE)</f>
        <v>900</v>
      </c>
      <c r="H1900" s="2">
        <f>VLOOKUP(E1900,Produtos!$A:$E,4,FALSE)</f>
        <v>400</v>
      </c>
      <c r="I1900" s="2">
        <v>2</v>
      </c>
    </row>
    <row r="1901" spans="1:9" x14ac:dyDescent="0.25">
      <c r="A1901" s="2" t="str">
        <f>CONCATENATE(Códigos!S1900,Códigos!T1900,Códigos!U1900)</f>
        <v>svv1899v</v>
      </c>
      <c r="B1901" t="s">
        <v>408</v>
      </c>
      <c r="C1901" t="s">
        <v>383</v>
      </c>
      <c r="D1901" s="2" t="s">
        <v>384</v>
      </c>
      <c r="E1901" t="s">
        <v>514</v>
      </c>
      <c r="F1901" s="11">
        <v>43608</v>
      </c>
      <c r="G1901" s="2">
        <f>VLOOKUP(E1901,Produtos!$A:$E,5,FALSE)</f>
        <v>900</v>
      </c>
      <c r="H1901" s="2">
        <f>VLOOKUP(E1901,Produtos!$A:$E,4,FALSE)</f>
        <v>400</v>
      </c>
      <c r="I1901" s="2">
        <v>2</v>
      </c>
    </row>
    <row r="1902" spans="1:9" x14ac:dyDescent="0.25">
      <c r="A1902" s="2" t="str">
        <f>CONCATENATE(Códigos!S1901,Códigos!T1901,Códigos!U1901)</f>
        <v>svv1900v</v>
      </c>
      <c r="B1902" t="s">
        <v>408</v>
      </c>
      <c r="C1902" t="s">
        <v>383</v>
      </c>
      <c r="D1902" s="2" t="s">
        <v>384</v>
      </c>
      <c r="E1902" t="s">
        <v>514</v>
      </c>
      <c r="F1902" s="11">
        <v>43609</v>
      </c>
      <c r="G1902" s="2">
        <f>VLOOKUP(E1902,Produtos!$A:$E,5,FALSE)</f>
        <v>900</v>
      </c>
      <c r="H1902" s="2">
        <f>VLOOKUP(E1902,Produtos!$A:$E,4,FALSE)</f>
        <v>400</v>
      </c>
      <c r="I1902" s="2">
        <v>2</v>
      </c>
    </row>
    <row r="1903" spans="1:9" x14ac:dyDescent="0.25">
      <c r="A1903" s="2" t="str">
        <f>CONCATENATE(Códigos!S1902,Códigos!T1902,Códigos!U1902)</f>
        <v>svv1901v</v>
      </c>
      <c r="B1903" t="s">
        <v>408</v>
      </c>
      <c r="C1903" t="s">
        <v>383</v>
      </c>
      <c r="D1903" s="2" t="s">
        <v>384</v>
      </c>
      <c r="E1903" t="s">
        <v>514</v>
      </c>
      <c r="F1903" s="11">
        <v>43610</v>
      </c>
      <c r="G1903" s="2">
        <f>VLOOKUP(E1903,Produtos!$A:$E,5,FALSE)</f>
        <v>900</v>
      </c>
      <c r="H1903" s="2">
        <f>VLOOKUP(E1903,Produtos!$A:$E,4,FALSE)</f>
        <v>400</v>
      </c>
      <c r="I1903" s="2">
        <v>2</v>
      </c>
    </row>
    <row r="1904" spans="1:9" x14ac:dyDescent="0.25">
      <c r="A1904" s="2" t="str">
        <f>CONCATENATE(Códigos!S1903,Códigos!T1903,Códigos!U1903)</f>
        <v>svv1902v</v>
      </c>
      <c r="B1904" t="s">
        <v>408</v>
      </c>
      <c r="C1904" t="s">
        <v>383</v>
      </c>
      <c r="D1904" s="2" t="s">
        <v>384</v>
      </c>
      <c r="E1904" t="s">
        <v>514</v>
      </c>
      <c r="F1904" s="11">
        <v>43611</v>
      </c>
      <c r="G1904" s="2">
        <f>VLOOKUP(E1904,Produtos!$A:$E,5,FALSE)</f>
        <v>900</v>
      </c>
      <c r="H1904" s="2">
        <f>VLOOKUP(E1904,Produtos!$A:$E,4,FALSE)</f>
        <v>400</v>
      </c>
      <c r="I1904" s="2">
        <v>2</v>
      </c>
    </row>
    <row r="1905" spans="1:9" x14ac:dyDescent="0.25">
      <c r="A1905" s="2" t="str">
        <f>CONCATENATE(Códigos!S1904,Códigos!T1904,Códigos!U1904)</f>
        <v>svv1903v</v>
      </c>
      <c r="B1905" t="s">
        <v>408</v>
      </c>
      <c r="C1905" t="s">
        <v>383</v>
      </c>
      <c r="D1905" s="2" t="s">
        <v>384</v>
      </c>
      <c r="E1905" t="s">
        <v>514</v>
      </c>
      <c r="F1905" s="11">
        <v>43612</v>
      </c>
      <c r="G1905" s="2">
        <f>VLOOKUP(E1905,Produtos!$A:$E,5,FALSE)</f>
        <v>900</v>
      </c>
      <c r="H1905" s="2">
        <f>VLOOKUP(E1905,Produtos!$A:$E,4,FALSE)</f>
        <v>400</v>
      </c>
      <c r="I1905" s="2">
        <v>2</v>
      </c>
    </row>
    <row r="1906" spans="1:9" x14ac:dyDescent="0.25">
      <c r="A1906" s="2" t="str">
        <f>CONCATENATE(Códigos!S1905,Códigos!T1905,Códigos!U1905)</f>
        <v>svv1904v</v>
      </c>
      <c r="B1906" t="s">
        <v>408</v>
      </c>
      <c r="C1906" t="s">
        <v>383</v>
      </c>
      <c r="D1906" s="2" t="s">
        <v>384</v>
      </c>
      <c r="E1906" t="s">
        <v>514</v>
      </c>
      <c r="F1906" s="11">
        <v>43613</v>
      </c>
      <c r="G1906" s="2">
        <f>VLOOKUP(E1906,Produtos!$A:$E,5,FALSE)</f>
        <v>900</v>
      </c>
      <c r="H1906" s="2">
        <f>VLOOKUP(E1906,Produtos!$A:$E,4,FALSE)</f>
        <v>400</v>
      </c>
      <c r="I1906" s="2">
        <v>2</v>
      </c>
    </row>
    <row r="1907" spans="1:9" x14ac:dyDescent="0.25">
      <c r="A1907" s="2" t="str">
        <f>CONCATENATE(Códigos!S1906,Códigos!T1906,Códigos!U1906)</f>
        <v>svv1905v</v>
      </c>
      <c r="B1907" t="s">
        <v>408</v>
      </c>
      <c r="C1907" t="s">
        <v>383</v>
      </c>
      <c r="D1907" s="2" t="s">
        <v>384</v>
      </c>
      <c r="E1907" t="s">
        <v>514</v>
      </c>
      <c r="F1907" s="11">
        <v>43614</v>
      </c>
      <c r="G1907" s="2">
        <f>VLOOKUP(E1907,Produtos!$A:$E,5,FALSE)</f>
        <v>900</v>
      </c>
      <c r="H1907" s="2">
        <f>VLOOKUP(E1907,Produtos!$A:$E,4,FALSE)</f>
        <v>400</v>
      </c>
      <c r="I1907" s="2">
        <v>2</v>
      </c>
    </row>
    <row r="1908" spans="1:9" x14ac:dyDescent="0.25">
      <c r="A1908" s="2" t="str">
        <f>CONCATENATE(Códigos!S1907,Códigos!T1907,Códigos!U1907)</f>
        <v>svv1906v</v>
      </c>
      <c r="B1908" t="s">
        <v>408</v>
      </c>
      <c r="C1908" t="s">
        <v>383</v>
      </c>
      <c r="D1908" s="2" t="s">
        <v>384</v>
      </c>
      <c r="E1908" t="s">
        <v>514</v>
      </c>
      <c r="F1908" s="11">
        <v>43615</v>
      </c>
      <c r="G1908" s="2">
        <f>VLOOKUP(E1908,Produtos!$A:$E,5,FALSE)</f>
        <v>900</v>
      </c>
      <c r="H1908" s="2">
        <f>VLOOKUP(E1908,Produtos!$A:$E,4,FALSE)</f>
        <v>400</v>
      </c>
      <c r="I1908" s="2">
        <v>2</v>
      </c>
    </row>
    <row r="1909" spans="1:9" x14ac:dyDescent="0.25">
      <c r="A1909" s="2" t="str">
        <f>CONCATENATE(Códigos!S1908,Códigos!T1908,Códigos!U1908)</f>
        <v>svv1907v</v>
      </c>
      <c r="B1909" t="s">
        <v>408</v>
      </c>
      <c r="C1909" t="s">
        <v>383</v>
      </c>
      <c r="D1909" s="2" t="s">
        <v>384</v>
      </c>
      <c r="E1909" t="s">
        <v>514</v>
      </c>
      <c r="F1909" s="11">
        <v>43616</v>
      </c>
      <c r="G1909" s="2">
        <f>VLOOKUP(E1909,Produtos!$A:$E,5,FALSE)</f>
        <v>900</v>
      </c>
      <c r="H1909" s="2">
        <f>VLOOKUP(E1909,Produtos!$A:$E,4,FALSE)</f>
        <v>400</v>
      </c>
      <c r="I1909" s="2">
        <v>2</v>
      </c>
    </row>
    <row r="1910" spans="1:9" x14ac:dyDescent="0.25">
      <c r="A1910" s="2" t="str">
        <f>CONCATENATE(Códigos!S1909,Códigos!T1909,Códigos!U1909)</f>
        <v>svv1908v</v>
      </c>
      <c r="B1910" t="s">
        <v>408</v>
      </c>
      <c r="C1910" t="s">
        <v>383</v>
      </c>
      <c r="D1910" s="2" t="s">
        <v>384</v>
      </c>
      <c r="E1910" t="s">
        <v>514</v>
      </c>
      <c r="F1910" s="11">
        <v>43617</v>
      </c>
      <c r="G1910" s="2">
        <f>VLOOKUP(E1910,Produtos!$A:$E,5,FALSE)</f>
        <v>900</v>
      </c>
      <c r="H1910" s="2">
        <f>VLOOKUP(E1910,Produtos!$A:$E,4,FALSE)</f>
        <v>400</v>
      </c>
      <c r="I1910" s="2">
        <v>2</v>
      </c>
    </row>
    <row r="1911" spans="1:9" x14ac:dyDescent="0.25">
      <c r="A1911" s="2" t="str">
        <f>CONCATENATE(Códigos!S1910,Códigos!T1910,Códigos!U1910)</f>
        <v>svv1909v</v>
      </c>
      <c r="B1911" t="s">
        <v>408</v>
      </c>
      <c r="C1911" t="s">
        <v>403</v>
      </c>
      <c r="D1911" s="2" t="s">
        <v>404</v>
      </c>
      <c r="E1911" t="s">
        <v>514</v>
      </c>
      <c r="F1911" s="11">
        <v>43618</v>
      </c>
      <c r="G1911" s="2">
        <f>VLOOKUP(E1911,Produtos!$A:$E,5,FALSE)</f>
        <v>900</v>
      </c>
      <c r="H1911" s="2">
        <f>VLOOKUP(E1911,Produtos!$A:$E,4,FALSE)</f>
        <v>400</v>
      </c>
      <c r="I1911" s="2">
        <v>2</v>
      </c>
    </row>
    <row r="1912" spans="1:9" x14ac:dyDescent="0.25">
      <c r="A1912" s="2" t="str">
        <f>CONCATENATE(Códigos!S1911,Códigos!T1911,Códigos!U1911)</f>
        <v>svv1910v</v>
      </c>
      <c r="B1912" t="s">
        <v>408</v>
      </c>
      <c r="C1912" t="s">
        <v>403</v>
      </c>
      <c r="D1912" s="2" t="s">
        <v>404</v>
      </c>
      <c r="E1912" t="s">
        <v>514</v>
      </c>
      <c r="F1912" s="11">
        <v>43619</v>
      </c>
      <c r="G1912" s="2">
        <f>VLOOKUP(E1912,Produtos!$A:$E,5,FALSE)</f>
        <v>900</v>
      </c>
      <c r="H1912" s="2">
        <f>VLOOKUP(E1912,Produtos!$A:$E,4,FALSE)</f>
        <v>400</v>
      </c>
      <c r="I1912" s="2">
        <v>2</v>
      </c>
    </row>
    <row r="1913" spans="1:9" x14ac:dyDescent="0.25">
      <c r="A1913" s="2" t="str">
        <f>CONCATENATE(Códigos!S1912,Códigos!T1912,Códigos!U1912)</f>
        <v>svv1911v</v>
      </c>
      <c r="B1913" t="s">
        <v>408</v>
      </c>
      <c r="C1913" t="s">
        <v>403</v>
      </c>
      <c r="D1913" s="2" t="s">
        <v>404</v>
      </c>
      <c r="E1913" t="s">
        <v>514</v>
      </c>
      <c r="F1913" s="11">
        <v>43620</v>
      </c>
      <c r="G1913" s="2">
        <f>VLOOKUP(E1913,Produtos!$A:$E,5,FALSE)</f>
        <v>900</v>
      </c>
      <c r="H1913" s="2">
        <f>VLOOKUP(E1913,Produtos!$A:$E,4,FALSE)</f>
        <v>400</v>
      </c>
      <c r="I1913" s="2">
        <v>2</v>
      </c>
    </row>
    <row r="1914" spans="1:9" x14ac:dyDescent="0.25">
      <c r="A1914" s="2" t="str">
        <f>CONCATENATE(Códigos!S1913,Códigos!T1913,Códigos!U1913)</f>
        <v>svv1912v</v>
      </c>
      <c r="B1914" t="s">
        <v>408</v>
      </c>
      <c r="C1914" t="s">
        <v>403</v>
      </c>
      <c r="D1914" s="2" t="s">
        <v>404</v>
      </c>
      <c r="E1914" t="s">
        <v>514</v>
      </c>
      <c r="F1914" s="11">
        <v>43621</v>
      </c>
      <c r="G1914" s="2">
        <f>VLOOKUP(E1914,Produtos!$A:$E,5,FALSE)</f>
        <v>900</v>
      </c>
      <c r="H1914" s="2">
        <f>VLOOKUP(E1914,Produtos!$A:$E,4,FALSE)</f>
        <v>400</v>
      </c>
      <c r="I1914" s="2">
        <v>2</v>
      </c>
    </row>
    <row r="1915" spans="1:9" x14ac:dyDescent="0.25">
      <c r="A1915" s="2" t="str">
        <f>CONCATENATE(Códigos!S1914,Códigos!T1914,Códigos!U1914)</f>
        <v>svv1913v</v>
      </c>
      <c r="B1915" t="s">
        <v>408</v>
      </c>
      <c r="C1915" t="s">
        <v>403</v>
      </c>
      <c r="D1915" s="2" t="s">
        <v>404</v>
      </c>
      <c r="E1915" t="s">
        <v>514</v>
      </c>
      <c r="F1915" s="11">
        <v>43622</v>
      </c>
      <c r="G1915" s="2">
        <f>VLOOKUP(E1915,Produtos!$A:$E,5,FALSE)</f>
        <v>900</v>
      </c>
      <c r="H1915" s="2">
        <f>VLOOKUP(E1915,Produtos!$A:$E,4,FALSE)</f>
        <v>400</v>
      </c>
      <c r="I1915" s="2">
        <v>2</v>
      </c>
    </row>
    <row r="1916" spans="1:9" x14ac:dyDescent="0.25">
      <c r="A1916" s="2" t="str">
        <f>CONCATENATE(Códigos!S1915,Códigos!T1915,Códigos!U1915)</f>
        <v>svv1914v</v>
      </c>
      <c r="B1916" t="s">
        <v>408</v>
      </c>
      <c r="C1916" t="s">
        <v>403</v>
      </c>
      <c r="D1916" s="2" t="s">
        <v>404</v>
      </c>
      <c r="E1916" t="s">
        <v>514</v>
      </c>
      <c r="F1916" s="11">
        <v>43626</v>
      </c>
      <c r="G1916" s="2">
        <f>VLOOKUP(E1916,Produtos!$A:$E,5,FALSE)</f>
        <v>900</v>
      </c>
      <c r="H1916" s="2">
        <f>VLOOKUP(E1916,Produtos!$A:$E,4,FALSE)</f>
        <v>400</v>
      </c>
      <c r="I1916" s="2">
        <v>2</v>
      </c>
    </row>
    <row r="1917" spans="1:9" x14ac:dyDescent="0.25">
      <c r="A1917" s="2" t="str">
        <f>CONCATENATE(Códigos!S1916,Códigos!T1916,Códigos!U1916)</f>
        <v>svv1915v</v>
      </c>
      <c r="B1917" t="s">
        <v>408</v>
      </c>
      <c r="C1917" t="s">
        <v>403</v>
      </c>
      <c r="D1917" s="2" t="s">
        <v>404</v>
      </c>
      <c r="E1917" t="s">
        <v>514</v>
      </c>
      <c r="F1917" s="11">
        <v>43627</v>
      </c>
      <c r="G1917" s="2">
        <f>VLOOKUP(E1917,Produtos!$A:$E,5,FALSE)</f>
        <v>900</v>
      </c>
      <c r="H1917" s="2">
        <f>VLOOKUP(E1917,Produtos!$A:$E,4,FALSE)</f>
        <v>400</v>
      </c>
      <c r="I1917" s="2">
        <v>2</v>
      </c>
    </row>
    <row r="1918" spans="1:9" x14ac:dyDescent="0.25">
      <c r="A1918" s="2" t="str">
        <f>CONCATENATE(Códigos!S1917,Códigos!T1917,Códigos!U1917)</f>
        <v>svv1916v</v>
      </c>
      <c r="B1918" t="s">
        <v>408</v>
      </c>
      <c r="C1918" t="s">
        <v>403</v>
      </c>
      <c r="D1918" s="2" t="s">
        <v>404</v>
      </c>
      <c r="E1918" t="s">
        <v>514</v>
      </c>
      <c r="F1918" s="11">
        <v>43628</v>
      </c>
      <c r="G1918" s="2">
        <f>VLOOKUP(E1918,Produtos!$A:$E,5,FALSE)</f>
        <v>900</v>
      </c>
      <c r="H1918" s="2">
        <f>VLOOKUP(E1918,Produtos!$A:$E,4,FALSE)</f>
        <v>400</v>
      </c>
      <c r="I1918" s="2">
        <v>2</v>
      </c>
    </row>
    <row r="1919" spans="1:9" x14ac:dyDescent="0.25">
      <c r="A1919" s="2" t="str">
        <f>CONCATENATE(Códigos!S1918,Códigos!T1918,Códigos!U1918)</f>
        <v>svv1917v</v>
      </c>
      <c r="B1919" t="s">
        <v>408</v>
      </c>
      <c r="C1919" t="s">
        <v>403</v>
      </c>
      <c r="D1919" s="2" t="s">
        <v>404</v>
      </c>
      <c r="E1919" t="s">
        <v>514</v>
      </c>
      <c r="F1919" s="11">
        <v>43629</v>
      </c>
      <c r="G1919" s="2">
        <f>VLOOKUP(E1919,Produtos!$A:$E,5,FALSE)</f>
        <v>900</v>
      </c>
      <c r="H1919" s="2">
        <f>VLOOKUP(E1919,Produtos!$A:$E,4,FALSE)</f>
        <v>400</v>
      </c>
      <c r="I1919" s="2">
        <v>2</v>
      </c>
    </row>
    <row r="1920" spans="1:9" x14ac:dyDescent="0.25">
      <c r="A1920" s="2" t="str">
        <f>CONCATENATE(Códigos!S1919,Códigos!T1919,Códigos!U1919)</f>
        <v>svv1918v</v>
      </c>
      <c r="B1920" t="s">
        <v>408</v>
      </c>
      <c r="C1920" t="s">
        <v>403</v>
      </c>
      <c r="D1920" s="2" t="s">
        <v>404</v>
      </c>
      <c r="E1920" t="s">
        <v>514</v>
      </c>
      <c r="F1920" s="11">
        <v>43630</v>
      </c>
      <c r="G1920" s="2">
        <f>VLOOKUP(E1920,Produtos!$A:$E,5,FALSE)</f>
        <v>900</v>
      </c>
      <c r="H1920" s="2">
        <f>VLOOKUP(E1920,Produtos!$A:$E,4,FALSE)</f>
        <v>400</v>
      </c>
      <c r="I1920" s="2">
        <v>2</v>
      </c>
    </row>
    <row r="1921" spans="1:9" x14ac:dyDescent="0.25">
      <c r="A1921" s="2" t="str">
        <f>CONCATENATE(Códigos!S1920,Códigos!T1920,Códigos!U1920)</f>
        <v>svv1919v</v>
      </c>
      <c r="B1921" t="s">
        <v>408</v>
      </c>
      <c r="C1921" t="s">
        <v>403</v>
      </c>
      <c r="D1921" s="2" t="s">
        <v>404</v>
      </c>
      <c r="E1921" t="s">
        <v>514</v>
      </c>
      <c r="F1921" s="11">
        <v>43631</v>
      </c>
      <c r="G1921" s="2">
        <f>VLOOKUP(E1921,Produtos!$A:$E,5,FALSE)</f>
        <v>900</v>
      </c>
      <c r="H1921" s="2">
        <f>VLOOKUP(E1921,Produtos!$A:$E,4,FALSE)</f>
        <v>400</v>
      </c>
      <c r="I1921" s="2">
        <v>2</v>
      </c>
    </row>
    <row r="1922" spans="1:9" x14ac:dyDescent="0.25">
      <c r="A1922" s="2" t="str">
        <f>CONCATENATE(Códigos!S1921,Códigos!T1921,Códigos!U1921)</f>
        <v>svv1920v</v>
      </c>
      <c r="B1922" t="s">
        <v>408</v>
      </c>
      <c r="C1922" t="s">
        <v>403</v>
      </c>
      <c r="D1922" s="2" t="s">
        <v>404</v>
      </c>
      <c r="E1922" t="s">
        <v>514</v>
      </c>
      <c r="F1922" s="11">
        <v>43632</v>
      </c>
      <c r="G1922" s="2">
        <f>VLOOKUP(E1922,Produtos!$A:$E,5,FALSE)</f>
        <v>900</v>
      </c>
      <c r="H1922" s="2">
        <f>VLOOKUP(E1922,Produtos!$A:$E,4,FALSE)</f>
        <v>400</v>
      </c>
      <c r="I1922" s="2">
        <v>2</v>
      </c>
    </row>
    <row r="1923" spans="1:9" x14ac:dyDescent="0.25">
      <c r="A1923" s="2" t="str">
        <f>CONCATENATE(Códigos!S1922,Códigos!T1922,Códigos!U1922)</f>
        <v>svv1921v</v>
      </c>
      <c r="B1923" t="s">
        <v>408</v>
      </c>
      <c r="C1923" t="s">
        <v>403</v>
      </c>
      <c r="D1923" s="2" t="s">
        <v>404</v>
      </c>
      <c r="E1923" t="s">
        <v>514</v>
      </c>
      <c r="F1923" s="11">
        <v>43633</v>
      </c>
      <c r="G1923" s="2">
        <f>VLOOKUP(E1923,Produtos!$A:$E,5,FALSE)</f>
        <v>900</v>
      </c>
      <c r="H1923" s="2">
        <f>VLOOKUP(E1923,Produtos!$A:$E,4,FALSE)</f>
        <v>400</v>
      </c>
      <c r="I1923" s="2">
        <v>2</v>
      </c>
    </row>
    <row r="1924" spans="1:9" x14ac:dyDescent="0.25">
      <c r="A1924" s="2" t="str">
        <f>CONCATENATE(Códigos!S1923,Códigos!T1923,Códigos!U1923)</f>
        <v>svv1922v</v>
      </c>
      <c r="B1924" t="s">
        <v>408</v>
      </c>
      <c r="C1924" t="s">
        <v>403</v>
      </c>
      <c r="D1924" s="2" t="s">
        <v>404</v>
      </c>
      <c r="E1924" t="s">
        <v>514</v>
      </c>
      <c r="F1924" s="11">
        <v>43634</v>
      </c>
      <c r="G1924" s="2">
        <f>VLOOKUP(E1924,Produtos!$A:$E,5,FALSE)</f>
        <v>900</v>
      </c>
      <c r="H1924" s="2">
        <f>VLOOKUP(E1924,Produtos!$A:$E,4,FALSE)</f>
        <v>400</v>
      </c>
      <c r="I1924" s="2">
        <v>2</v>
      </c>
    </row>
    <row r="1925" spans="1:9" x14ac:dyDescent="0.25">
      <c r="A1925" s="2" t="str">
        <f>CONCATENATE(Códigos!S1924,Códigos!T1924,Códigos!U1924)</f>
        <v>svv1923v</v>
      </c>
      <c r="B1925" t="s">
        <v>408</v>
      </c>
      <c r="C1925" t="s">
        <v>403</v>
      </c>
      <c r="D1925" s="2" t="s">
        <v>404</v>
      </c>
      <c r="E1925" t="s">
        <v>514</v>
      </c>
      <c r="F1925" s="11">
        <v>43635</v>
      </c>
      <c r="G1925" s="2">
        <f>VLOOKUP(E1925,Produtos!$A:$E,5,FALSE)</f>
        <v>900</v>
      </c>
      <c r="H1925" s="2">
        <f>VLOOKUP(E1925,Produtos!$A:$E,4,FALSE)</f>
        <v>400</v>
      </c>
      <c r="I1925" s="2">
        <v>2</v>
      </c>
    </row>
    <row r="1926" spans="1:9" x14ac:dyDescent="0.25">
      <c r="A1926" s="2" t="str">
        <f>CONCATENATE(Códigos!S1925,Códigos!T1925,Códigos!U1925)</f>
        <v>svv1924v</v>
      </c>
      <c r="B1926" t="s">
        <v>408</v>
      </c>
      <c r="C1926" t="s">
        <v>403</v>
      </c>
      <c r="D1926" s="2" t="s">
        <v>404</v>
      </c>
      <c r="E1926" t="s">
        <v>514</v>
      </c>
      <c r="F1926" s="11">
        <v>43636</v>
      </c>
      <c r="G1926" s="2">
        <f>VLOOKUP(E1926,Produtos!$A:$E,5,FALSE)</f>
        <v>900</v>
      </c>
      <c r="H1926" s="2">
        <f>VLOOKUP(E1926,Produtos!$A:$E,4,FALSE)</f>
        <v>400</v>
      </c>
      <c r="I1926" s="2">
        <v>2</v>
      </c>
    </row>
    <row r="1927" spans="1:9" x14ac:dyDescent="0.25">
      <c r="A1927" s="2" t="str">
        <f>CONCATENATE(Códigos!S1926,Códigos!T1926,Códigos!U1926)</f>
        <v>svv1925v</v>
      </c>
      <c r="B1927" t="s">
        <v>408</v>
      </c>
      <c r="C1927" t="s">
        <v>403</v>
      </c>
      <c r="D1927" s="2" t="s">
        <v>404</v>
      </c>
      <c r="E1927" t="s">
        <v>514</v>
      </c>
      <c r="F1927" s="11">
        <v>43637</v>
      </c>
      <c r="G1927" s="2">
        <f>VLOOKUP(E1927,Produtos!$A:$E,5,FALSE)</f>
        <v>900</v>
      </c>
      <c r="H1927" s="2">
        <f>VLOOKUP(E1927,Produtos!$A:$E,4,FALSE)</f>
        <v>400</v>
      </c>
      <c r="I1927" s="2">
        <v>2</v>
      </c>
    </row>
    <row r="1928" spans="1:9" x14ac:dyDescent="0.25">
      <c r="A1928" s="2" t="str">
        <f>CONCATENATE(Códigos!S1927,Códigos!T1927,Códigos!U1927)</f>
        <v>svv1926v</v>
      </c>
      <c r="B1928" t="s">
        <v>408</v>
      </c>
      <c r="C1928" t="s">
        <v>403</v>
      </c>
      <c r="D1928" s="2" t="s">
        <v>404</v>
      </c>
      <c r="E1928" t="s">
        <v>514</v>
      </c>
      <c r="F1928" s="11">
        <v>43638</v>
      </c>
      <c r="G1928" s="2">
        <f>VLOOKUP(E1928,Produtos!$A:$E,5,FALSE)</f>
        <v>900</v>
      </c>
      <c r="H1928" s="2">
        <f>VLOOKUP(E1928,Produtos!$A:$E,4,FALSE)</f>
        <v>400</v>
      </c>
      <c r="I1928" s="2">
        <v>3</v>
      </c>
    </row>
    <row r="1929" spans="1:9" x14ac:dyDescent="0.25">
      <c r="A1929" s="2" t="str">
        <f>CONCATENATE(Códigos!S1928,Códigos!T1928,Códigos!U1928)</f>
        <v>svv1927v</v>
      </c>
      <c r="B1929" t="s">
        <v>408</v>
      </c>
      <c r="C1929" t="s">
        <v>403</v>
      </c>
      <c r="D1929" s="2" t="s">
        <v>404</v>
      </c>
      <c r="E1929" t="s">
        <v>514</v>
      </c>
      <c r="F1929" s="11">
        <v>43639</v>
      </c>
      <c r="G1929" s="2">
        <f>VLOOKUP(E1929,Produtos!$A:$E,5,FALSE)</f>
        <v>900</v>
      </c>
      <c r="H1929" s="2">
        <f>VLOOKUP(E1929,Produtos!$A:$E,4,FALSE)</f>
        <v>400</v>
      </c>
      <c r="I1929" s="2">
        <v>3</v>
      </c>
    </row>
    <row r="1930" spans="1:9" x14ac:dyDescent="0.25">
      <c r="A1930" s="2" t="str">
        <f>CONCATENATE(Códigos!S1929,Códigos!T1929,Códigos!U1929)</f>
        <v>svv1928v</v>
      </c>
      <c r="B1930" t="s">
        <v>408</v>
      </c>
      <c r="C1930" t="s">
        <v>403</v>
      </c>
      <c r="D1930" s="2" t="s">
        <v>404</v>
      </c>
      <c r="E1930" t="s">
        <v>514</v>
      </c>
      <c r="F1930" s="11">
        <v>43640</v>
      </c>
      <c r="G1930" s="2">
        <f>VLOOKUP(E1930,Produtos!$A:$E,5,FALSE)</f>
        <v>900</v>
      </c>
      <c r="H1930" s="2">
        <f>VLOOKUP(E1930,Produtos!$A:$E,4,FALSE)</f>
        <v>400</v>
      </c>
      <c r="I1930" s="2">
        <v>3</v>
      </c>
    </row>
    <row r="1931" spans="1:9" x14ac:dyDescent="0.25">
      <c r="A1931" s="2" t="str">
        <f>CONCATENATE(Códigos!S1930,Códigos!T1930,Códigos!U1930)</f>
        <v>svv1929v</v>
      </c>
      <c r="B1931" t="s">
        <v>408</v>
      </c>
      <c r="C1931" t="s">
        <v>403</v>
      </c>
      <c r="D1931" s="2" t="s">
        <v>404</v>
      </c>
      <c r="E1931" t="s">
        <v>514</v>
      </c>
      <c r="F1931" s="11">
        <v>43641</v>
      </c>
      <c r="G1931" s="2">
        <f>VLOOKUP(E1931,Produtos!$A:$E,5,FALSE)</f>
        <v>900</v>
      </c>
      <c r="H1931" s="2">
        <f>VLOOKUP(E1931,Produtos!$A:$E,4,FALSE)</f>
        <v>400</v>
      </c>
      <c r="I1931" s="2">
        <v>3</v>
      </c>
    </row>
    <row r="1932" spans="1:9" x14ac:dyDescent="0.25">
      <c r="A1932" s="2" t="str">
        <f>CONCATENATE(Códigos!S1931,Códigos!T1931,Códigos!U1931)</f>
        <v>svv1930v</v>
      </c>
      <c r="B1932" t="s">
        <v>408</v>
      </c>
      <c r="C1932" t="s">
        <v>403</v>
      </c>
      <c r="D1932" s="2" t="s">
        <v>404</v>
      </c>
      <c r="E1932" t="s">
        <v>514</v>
      </c>
      <c r="F1932" s="11">
        <v>43642</v>
      </c>
      <c r="G1932" s="2">
        <f>VLOOKUP(E1932,Produtos!$A:$E,5,FALSE)</f>
        <v>900</v>
      </c>
      <c r="H1932" s="2">
        <f>VLOOKUP(E1932,Produtos!$A:$E,4,FALSE)</f>
        <v>400</v>
      </c>
      <c r="I1932" s="2">
        <v>3</v>
      </c>
    </row>
    <row r="1933" spans="1:9" x14ac:dyDescent="0.25">
      <c r="A1933" s="2" t="str">
        <f>CONCATENATE(Códigos!S1932,Códigos!T1932,Códigos!U1932)</f>
        <v>svv1931v</v>
      </c>
      <c r="B1933" t="s">
        <v>408</v>
      </c>
      <c r="C1933" t="s">
        <v>403</v>
      </c>
      <c r="D1933" s="2" t="s">
        <v>404</v>
      </c>
      <c r="E1933" t="s">
        <v>514</v>
      </c>
      <c r="F1933" s="11">
        <v>43643</v>
      </c>
      <c r="G1933" s="2">
        <f>VLOOKUP(E1933,Produtos!$A:$E,5,FALSE)</f>
        <v>900</v>
      </c>
      <c r="H1933" s="2">
        <f>VLOOKUP(E1933,Produtos!$A:$E,4,FALSE)</f>
        <v>400</v>
      </c>
      <c r="I1933" s="2">
        <v>3</v>
      </c>
    </row>
    <row r="1934" spans="1:9" x14ac:dyDescent="0.25">
      <c r="A1934" s="2" t="str">
        <f>CONCATENATE(Códigos!S1933,Códigos!T1933,Códigos!U1933)</f>
        <v>svv1932v</v>
      </c>
      <c r="B1934" t="s">
        <v>408</v>
      </c>
      <c r="C1934" t="s">
        <v>403</v>
      </c>
      <c r="D1934" s="2" t="s">
        <v>404</v>
      </c>
      <c r="E1934" t="s">
        <v>514</v>
      </c>
      <c r="F1934" s="11">
        <v>43644</v>
      </c>
      <c r="G1934" s="2">
        <f>VLOOKUP(E1934,Produtos!$A:$E,5,FALSE)</f>
        <v>900</v>
      </c>
      <c r="H1934" s="2">
        <f>VLOOKUP(E1934,Produtos!$A:$E,4,FALSE)</f>
        <v>400</v>
      </c>
      <c r="I1934" s="2">
        <v>3</v>
      </c>
    </row>
    <row r="1935" spans="1:9" x14ac:dyDescent="0.25">
      <c r="A1935" s="2" t="str">
        <f>CONCATENATE(Códigos!S1934,Códigos!T1934,Códigos!U1934)</f>
        <v>svv1933v</v>
      </c>
      <c r="B1935" t="s">
        <v>408</v>
      </c>
      <c r="C1935" t="s">
        <v>403</v>
      </c>
      <c r="D1935" s="2" t="s">
        <v>404</v>
      </c>
      <c r="E1935" t="s">
        <v>514</v>
      </c>
      <c r="F1935" s="11">
        <v>43645</v>
      </c>
      <c r="G1935" s="2">
        <f>VLOOKUP(E1935,Produtos!$A:$E,5,FALSE)</f>
        <v>900</v>
      </c>
      <c r="H1935" s="2">
        <f>VLOOKUP(E1935,Produtos!$A:$E,4,FALSE)</f>
        <v>400</v>
      </c>
      <c r="I1935" s="2">
        <v>3</v>
      </c>
    </row>
    <row r="1936" spans="1:9" x14ac:dyDescent="0.25">
      <c r="A1936" s="2" t="str">
        <f>CONCATENATE(Códigos!S1935,Códigos!T1935,Códigos!U1935)</f>
        <v>svv1934v</v>
      </c>
      <c r="B1936" t="s">
        <v>408</v>
      </c>
      <c r="C1936" t="s">
        <v>403</v>
      </c>
      <c r="D1936" s="2" t="s">
        <v>404</v>
      </c>
      <c r="E1936" t="s">
        <v>514</v>
      </c>
      <c r="F1936" s="11">
        <v>43646</v>
      </c>
      <c r="G1936" s="2">
        <f>VLOOKUP(E1936,Produtos!$A:$E,5,FALSE)</f>
        <v>900</v>
      </c>
      <c r="H1936" s="2">
        <f>VLOOKUP(E1936,Produtos!$A:$E,4,FALSE)</f>
        <v>400</v>
      </c>
      <c r="I1936" s="2">
        <v>3</v>
      </c>
    </row>
    <row r="1937" spans="1:9" x14ac:dyDescent="0.25">
      <c r="A1937" s="2" t="str">
        <f>CONCATENATE(Códigos!S1936,Códigos!T1936,Códigos!U1936)</f>
        <v>svv1935v</v>
      </c>
      <c r="B1937" t="s">
        <v>408</v>
      </c>
      <c r="C1937" t="s">
        <v>403</v>
      </c>
      <c r="D1937" s="2" t="s">
        <v>404</v>
      </c>
      <c r="E1937" t="s">
        <v>514</v>
      </c>
      <c r="F1937" s="11">
        <v>43647</v>
      </c>
      <c r="G1937" s="2">
        <f>VLOOKUP(E1937,Produtos!$A:$E,5,FALSE)</f>
        <v>900</v>
      </c>
      <c r="H1937" s="2">
        <f>VLOOKUP(E1937,Produtos!$A:$E,4,FALSE)</f>
        <v>400</v>
      </c>
      <c r="I1937" s="2">
        <v>3</v>
      </c>
    </row>
    <row r="1938" spans="1:9" x14ac:dyDescent="0.25">
      <c r="A1938" s="2" t="str">
        <f>CONCATENATE(Códigos!S1937,Códigos!T1937,Códigos!U1937)</f>
        <v>svv1936v</v>
      </c>
      <c r="B1938" t="s">
        <v>408</v>
      </c>
      <c r="C1938" t="s">
        <v>403</v>
      </c>
      <c r="D1938" s="2" t="s">
        <v>404</v>
      </c>
      <c r="E1938" t="s">
        <v>514</v>
      </c>
      <c r="F1938" s="11">
        <v>43648</v>
      </c>
      <c r="G1938" s="2">
        <f>VLOOKUP(E1938,Produtos!$A:$E,5,FALSE)</f>
        <v>900</v>
      </c>
      <c r="H1938" s="2">
        <f>VLOOKUP(E1938,Produtos!$A:$E,4,FALSE)</f>
        <v>400</v>
      </c>
      <c r="I1938" s="2">
        <v>3</v>
      </c>
    </row>
    <row r="1939" spans="1:9" x14ac:dyDescent="0.25">
      <c r="A1939" s="2" t="str">
        <f>CONCATENATE(Códigos!S1938,Códigos!T1938,Códigos!U1938)</f>
        <v>svv1937v</v>
      </c>
      <c r="B1939" t="s">
        <v>408</v>
      </c>
      <c r="C1939" t="s">
        <v>403</v>
      </c>
      <c r="D1939" s="2" t="s">
        <v>404</v>
      </c>
      <c r="E1939" t="s">
        <v>514</v>
      </c>
      <c r="F1939" s="11">
        <v>43649</v>
      </c>
      <c r="G1939" s="2">
        <f>VLOOKUP(E1939,Produtos!$A:$E,5,FALSE)</f>
        <v>900</v>
      </c>
      <c r="H1939" s="2">
        <f>VLOOKUP(E1939,Produtos!$A:$E,4,FALSE)</f>
        <v>400</v>
      </c>
      <c r="I1939" s="2">
        <v>3</v>
      </c>
    </row>
    <row r="1940" spans="1:9" x14ac:dyDescent="0.25">
      <c r="A1940" s="2" t="str">
        <f>CONCATENATE(Códigos!S1939,Códigos!T1939,Códigos!U1939)</f>
        <v>svv1938v</v>
      </c>
      <c r="B1940" t="s">
        <v>408</v>
      </c>
      <c r="C1940" t="s">
        <v>403</v>
      </c>
      <c r="D1940" s="2" t="s">
        <v>404</v>
      </c>
      <c r="E1940" t="s">
        <v>514</v>
      </c>
      <c r="F1940" s="11">
        <v>43650</v>
      </c>
      <c r="G1940" s="2">
        <f>VLOOKUP(E1940,Produtos!$A:$E,5,FALSE)</f>
        <v>900</v>
      </c>
      <c r="H1940" s="2">
        <f>VLOOKUP(E1940,Produtos!$A:$E,4,FALSE)</f>
        <v>400</v>
      </c>
      <c r="I1940" s="2">
        <v>3</v>
      </c>
    </row>
    <row r="1941" spans="1:9" x14ac:dyDescent="0.25">
      <c r="A1941" s="2" t="str">
        <f>CONCATENATE(Códigos!S1940,Códigos!T1940,Códigos!U1940)</f>
        <v>svv1939v</v>
      </c>
      <c r="B1941" t="s">
        <v>408</v>
      </c>
      <c r="C1941" t="s">
        <v>403</v>
      </c>
      <c r="D1941" s="2" t="s">
        <v>404</v>
      </c>
      <c r="E1941" t="s">
        <v>513</v>
      </c>
      <c r="F1941" s="11">
        <v>43651</v>
      </c>
      <c r="G1941" s="2">
        <f>VLOOKUP(E1941,Produtos!$A:$E,5,FALSE)</f>
        <v>700</v>
      </c>
      <c r="H1941" s="2">
        <f>VLOOKUP(E1941,Produtos!$A:$E,4,FALSE)</f>
        <v>350</v>
      </c>
      <c r="I1941" s="2">
        <v>3</v>
      </c>
    </row>
    <row r="1942" spans="1:9" x14ac:dyDescent="0.25">
      <c r="A1942" s="2" t="str">
        <f>CONCATENATE(Códigos!S1941,Códigos!T1941,Códigos!U1941)</f>
        <v>svv1940v</v>
      </c>
      <c r="B1942" t="s">
        <v>408</v>
      </c>
      <c r="C1942" t="s">
        <v>403</v>
      </c>
      <c r="D1942" s="2" t="s">
        <v>404</v>
      </c>
      <c r="E1942" t="s">
        <v>513</v>
      </c>
      <c r="F1942" s="11">
        <v>43652</v>
      </c>
      <c r="G1942" s="2">
        <f>VLOOKUP(E1942,Produtos!$A:$E,5,FALSE)</f>
        <v>700</v>
      </c>
      <c r="H1942" s="2">
        <f>VLOOKUP(E1942,Produtos!$A:$E,4,FALSE)</f>
        <v>350</v>
      </c>
      <c r="I1942" s="2">
        <v>3</v>
      </c>
    </row>
    <row r="1943" spans="1:9" x14ac:dyDescent="0.25">
      <c r="A1943" s="2" t="str">
        <f>CONCATENATE(Códigos!S1942,Códigos!T1942,Códigos!U1942)</f>
        <v>svv1941v</v>
      </c>
      <c r="B1943" t="s">
        <v>408</v>
      </c>
      <c r="C1943" t="s">
        <v>403</v>
      </c>
      <c r="D1943" s="2" t="s">
        <v>404</v>
      </c>
      <c r="E1943" t="s">
        <v>513</v>
      </c>
      <c r="F1943" s="11">
        <v>43653</v>
      </c>
      <c r="G1943" s="2">
        <f>VLOOKUP(E1943,Produtos!$A:$E,5,FALSE)</f>
        <v>700</v>
      </c>
      <c r="H1943" s="2">
        <f>VLOOKUP(E1943,Produtos!$A:$E,4,FALSE)</f>
        <v>350</v>
      </c>
      <c r="I1943" s="2">
        <v>3</v>
      </c>
    </row>
    <row r="1944" spans="1:9" x14ac:dyDescent="0.25">
      <c r="A1944" s="2" t="str">
        <f>CONCATENATE(Códigos!S1943,Códigos!T1943,Códigos!U1943)</f>
        <v>svv1942v</v>
      </c>
      <c r="B1944" t="s">
        <v>408</v>
      </c>
      <c r="C1944" t="s">
        <v>403</v>
      </c>
      <c r="D1944" s="2" t="s">
        <v>404</v>
      </c>
      <c r="E1944" t="s">
        <v>513</v>
      </c>
      <c r="F1944" s="11">
        <v>43654</v>
      </c>
      <c r="G1944" s="2">
        <f>VLOOKUP(E1944,Produtos!$A:$E,5,FALSE)</f>
        <v>700</v>
      </c>
      <c r="H1944" s="2">
        <f>VLOOKUP(E1944,Produtos!$A:$E,4,FALSE)</f>
        <v>350</v>
      </c>
      <c r="I1944" s="2">
        <v>3</v>
      </c>
    </row>
    <row r="1945" spans="1:9" x14ac:dyDescent="0.25">
      <c r="A1945" s="2" t="str">
        <f>CONCATENATE(Códigos!S1944,Códigos!T1944,Códigos!U1944)</f>
        <v>svv1943v</v>
      </c>
      <c r="B1945" t="s">
        <v>408</v>
      </c>
      <c r="C1945" t="s">
        <v>403</v>
      </c>
      <c r="D1945" s="2" t="s">
        <v>404</v>
      </c>
      <c r="E1945" t="s">
        <v>513</v>
      </c>
      <c r="F1945" s="11">
        <v>43655</v>
      </c>
      <c r="G1945" s="2">
        <f>VLOOKUP(E1945,Produtos!$A:$E,5,FALSE)</f>
        <v>700</v>
      </c>
      <c r="H1945" s="2">
        <f>VLOOKUP(E1945,Produtos!$A:$E,4,FALSE)</f>
        <v>350</v>
      </c>
      <c r="I1945" s="2">
        <v>3</v>
      </c>
    </row>
    <row r="1946" spans="1:9" x14ac:dyDescent="0.25">
      <c r="A1946" s="2" t="str">
        <f>CONCATENATE(Códigos!S1945,Códigos!T1945,Códigos!U1945)</f>
        <v>svv1944v</v>
      </c>
      <c r="B1946" t="s">
        <v>408</v>
      </c>
      <c r="C1946" t="s">
        <v>403</v>
      </c>
      <c r="D1946" s="2" t="s">
        <v>404</v>
      </c>
      <c r="E1946" t="s">
        <v>513</v>
      </c>
      <c r="F1946" s="11">
        <v>43656</v>
      </c>
      <c r="G1946" s="2">
        <f>VLOOKUP(E1946,Produtos!$A:$E,5,FALSE)</f>
        <v>700</v>
      </c>
      <c r="H1946" s="2">
        <f>VLOOKUP(E1946,Produtos!$A:$E,4,FALSE)</f>
        <v>350</v>
      </c>
      <c r="I1946" s="2">
        <v>3</v>
      </c>
    </row>
    <row r="1947" spans="1:9" x14ac:dyDescent="0.25">
      <c r="A1947" s="2" t="str">
        <f>CONCATENATE(Códigos!S1946,Códigos!T1946,Códigos!U1946)</f>
        <v>svv1945v</v>
      </c>
      <c r="B1947" t="s">
        <v>408</v>
      </c>
      <c r="C1947" t="s">
        <v>403</v>
      </c>
      <c r="D1947" s="2" t="s">
        <v>404</v>
      </c>
      <c r="E1947" t="s">
        <v>513</v>
      </c>
      <c r="F1947" s="11">
        <v>43657</v>
      </c>
      <c r="G1947" s="2">
        <f>VLOOKUP(E1947,Produtos!$A:$E,5,FALSE)</f>
        <v>700</v>
      </c>
      <c r="H1947" s="2">
        <f>VLOOKUP(E1947,Produtos!$A:$E,4,FALSE)</f>
        <v>350</v>
      </c>
      <c r="I1947" s="2">
        <v>3</v>
      </c>
    </row>
    <row r="1948" spans="1:9" x14ac:dyDescent="0.25">
      <c r="A1948" s="2" t="str">
        <f>CONCATENATE(Códigos!S1947,Códigos!T1947,Códigos!U1947)</f>
        <v>svv1946v</v>
      </c>
      <c r="B1948" t="s">
        <v>408</v>
      </c>
      <c r="C1948" t="s">
        <v>403</v>
      </c>
      <c r="D1948" s="2" t="s">
        <v>404</v>
      </c>
      <c r="E1948" t="s">
        <v>513</v>
      </c>
      <c r="F1948" s="11">
        <v>43658</v>
      </c>
      <c r="G1948" s="2">
        <f>VLOOKUP(E1948,Produtos!$A:$E,5,FALSE)</f>
        <v>700</v>
      </c>
      <c r="H1948" s="2">
        <f>VLOOKUP(E1948,Produtos!$A:$E,4,FALSE)</f>
        <v>350</v>
      </c>
      <c r="I1948" s="2">
        <v>3</v>
      </c>
    </row>
    <row r="1949" spans="1:9" x14ac:dyDescent="0.25">
      <c r="A1949" s="2" t="str">
        <f>CONCATENATE(Códigos!S1948,Códigos!T1948,Códigos!U1948)</f>
        <v>svv1947v</v>
      </c>
      <c r="B1949" t="s">
        <v>408</v>
      </c>
      <c r="C1949" t="s">
        <v>403</v>
      </c>
      <c r="D1949" s="2" t="s">
        <v>404</v>
      </c>
      <c r="E1949" t="s">
        <v>513</v>
      </c>
      <c r="F1949" s="11">
        <v>43659</v>
      </c>
      <c r="G1949" s="2">
        <f>VLOOKUP(E1949,Produtos!$A:$E,5,FALSE)</f>
        <v>700</v>
      </c>
      <c r="H1949" s="2">
        <f>VLOOKUP(E1949,Produtos!$A:$E,4,FALSE)</f>
        <v>350</v>
      </c>
      <c r="I1949" s="2">
        <v>3</v>
      </c>
    </row>
    <row r="1950" spans="1:9" x14ac:dyDescent="0.25">
      <c r="A1950" s="2" t="str">
        <f>CONCATENATE(Códigos!S1949,Códigos!T1949,Códigos!U1949)</f>
        <v>svv1948v</v>
      </c>
      <c r="B1950" t="s">
        <v>408</v>
      </c>
      <c r="C1950" t="s">
        <v>403</v>
      </c>
      <c r="D1950" s="2" t="s">
        <v>404</v>
      </c>
      <c r="E1950" t="s">
        <v>513</v>
      </c>
      <c r="F1950" s="11">
        <v>43660</v>
      </c>
      <c r="G1950" s="2">
        <f>VLOOKUP(E1950,Produtos!$A:$E,5,FALSE)</f>
        <v>700</v>
      </c>
      <c r="H1950" s="2">
        <f>VLOOKUP(E1950,Produtos!$A:$E,4,FALSE)</f>
        <v>350</v>
      </c>
      <c r="I1950" s="2">
        <v>3</v>
      </c>
    </row>
    <row r="1951" spans="1:9" x14ac:dyDescent="0.25">
      <c r="A1951" s="2" t="str">
        <f>CONCATENATE(Códigos!S1950,Códigos!T1950,Códigos!U1950)</f>
        <v>svv1949v</v>
      </c>
      <c r="B1951" t="s">
        <v>408</v>
      </c>
      <c r="C1951" t="s">
        <v>403</v>
      </c>
      <c r="D1951" s="2" t="s">
        <v>404</v>
      </c>
      <c r="E1951" t="s">
        <v>513</v>
      </c>
      <c r="F1951" s="11">
        <v>43661</v>
      </c>
      <c r="G1951" s="2">
        <f>VLOOKUP(E1951,Produtos!$A:$E,5,FALSE)</f>
        <v>700</v>
      </c>
      <c r="H1951" s="2">
        <f>VLOOKUP(E1951,Produtos!$A:$E,4,FALSE)</f>
        <v>350</v>
      </c>
      <c r="I1951" s="2">
        <v>3</v>
      </c>
    </row>
    <row r="1952" spans="1:9" x14ac:dyDescent="0.25">
      <c r="A1952" s="2" t="str">
        <f>CONCATENATE(Códigos!S1951,Códigos!T1951,Códigos!U1951)</f>
        <v>svv1950v</v>
      </c>
      <c r="B1952" t="s">
        <v>408</v>
      </c>
      <c r="C1952" t="s">
        <v>403</v>
      </c>
      <c r="D1952" s="2" t="s">
        <v>404</v>
      </c>
      <c r="E1952" t="s">
        <v>513</v>
      </c>
      <c r="F1952" s="11">
        <v>43662</v>
      </c>
      <c r="G1952" s="2">
        <f>VLOOKUP(E1952,Produtos!$A:$E,5,FALSE)</f>
        <v>700</v>
      </c>
      <c r="H1952" s="2">
        <f>VLOOKUP(E1952,Produtos!$A:$E,4,FALSE)</f>
        <v>350</v>
      </c>
      <c r="I1952" s="2">
        <v>3</v>
      </c>
    </row>
    <row r="1953" spans="1:9" x14ac:dyDescent="0.25">
      <c r="A1953" s="2" t="str">
        <f>CONCATENATE(Códigos!S1952,Códigos!T1952,Códigos!U1952)</f>
        <v>svv1951v</v>
      </c>
      <c r="B1953" t="s">
        <v>408</v>
      </c>
      <c r="C1953" t="s">
        <v>403</v>
      </c>
      <c r="D1953" s="2" t="s">
        <v>404</v>
      </c>
      <c r="E1953" t="s">
        <v>513</v>
      </c>
      <c r="F1953" s="11">
        <v>43663</v>
      </c>
      <c r="G1953" s="2">
        <f>VLOOKUP(E1953,Produtos!$A:$E,5,FALSE)</f>
        <v>700</v>
      </c>
      <c r="H1953" s="2">
        <f>VLOOKUP(E1953,Produtos!$A:$E,4,FALSE)</f>
        <v>350</v>
      </c>
      <c r="I1953" s="2">
        <v>3</v>
      </c>
    </row>
    <row r="1954" spans="1:9" x14ac:dyDescent="0.25">
      <c r="A1954" s="2" t="str">
        <f>CONCATENATE(Códigos!S1953,Códigos!T1953,Códigos!U1953)</f>
        <v>svv1952v</v>
      </c>
      <c r="B1954" t="s">
        <v>408</v>
      </c>
      <c r="C1954" t="s">
        <v>403</v>
      </c>
      <c r="D1954" s="2" t="s">
        <v>404</v>
      </c>
      <c r="E1954" t="s">
        <v>513</v>
      </c>
      <c r="F1954" s="11">
        <v>43664</v>
      </c>
      <c r="G1954" s="2">
        <f>VLOOKUP(E1954,Produtos!$A:$E,5,FALSE)</f>
        <v>700</v>
      </c>
      <c r="H1954" s="2">
        <f>VLOOKUP(E1954,Produtos!$A:$E,4,FALSE)</f>
        <v>350</v>
      </c>
      <c r="I1954" s="2">
        <v>3</v>
      </c>
    </row>
    <row r="1955" spans="1:9" x14ac:dyDescent="0.25">
      <c r="A1955" s="2" t="str">
        <f>CONCATENATE(Códigos!S1954,Códigos!T1954,Códigos!U1954)</f>
        <v>svv1953v</v>
      </c>
      <c r="B1955" t="s">
        <v>408</v>
      </c>
      <c r="C1955" t="s">
        <v>403</v>
      </c>
      <c r="D1955" s="2" t="s">
        <v>404</v>
      </c>
      <c r="E1955" t="s">
        <v>513</v>
      </c>
      <c r="F1955" s="11">
        <v>43665</v>
      </c>
      <c r="G1955" s="2">
        <f>VLOOKUP(E1955,Produtos!$A:$E,5,FALSE)</f>
        <v>700</v>
      </c>
      <c r="H1955" s="2">
        <f>VLOOKUP(E1955,Produtos!$A:$E,4,FALSE)</f>
        <v>350</v>
      </c>
      <c r="I1955" s="2">
        <v>3</v>
      </c>
    </row>
    <row r="1956" spans="1:9" x14ac:dyDescent="0.25">
      <c r="A1956" s="2" t="str">
        <f>CONCATENATE(Códigos!S1955,Códigos!T1955,Códigos!U1955)</f>
        <v>svv1954v</v>
      </c>
      <c r="B1956" t="s">
        <v>408</v>
      </c>
      <c r="C1956" t="s">
        <v>403</v>
      </c>
      <c r="D1956" s="2" t="s">
        <v>404</v>
      </c>
      <c r="E1956" t="s">
        <v>513</v>
      </c>
      <c r="F1956" s="11">
        <v>43666</v>
      </c>
      <c r="G1956" s="2">
        <f>VLOOKUP(E1956,Produtos!$A:$E,5,FALSE)</f>
        <v>700</v>
      </c>
      <c r="H1956" s="2">
        <f>VLOOKUP(E1956,Produtos!$A:$E,4,FALSE)</f>
        <v>350</v>
      </c>
      <c r="I1956" s="2">
        <v>3</v>
      </c>
    </row>
    <row r="1957" spans="1:9" x14ac:dyDescent="0.25">
      <c r="A1957" s="2" t="str">
        <f>CONCATENATE(Códigos!S1956,Códigos!T1956,Códigos!U1956)</f>
        <v>svv1955v</v>
      </c>
      <c r="B1957" t="s">
        <v>408</v>
      </c>
      <c r="C1957" t="s">
        <v>403</v>
      </c>
      <c r="D1957" s="2" t="s">
        <v>404</v>
      </c>
      <c r="E1957" t="s">
        <v>513</v>
      </c>
      <c r="F1957" s="11">
        <v>43667</v>
      </c>
      <c r="G1957" s="2">
        <f>VLOOKUP(E1957,Produtos!$A:$E,5,FALSE)</f>
        <v>700</v>
      </c>
      <c r="H1957" s="2">
        <f>VLOOKUP(E1957,Produtos!$A:$E,4,FALSE)</f>
        <v>350</v>
      </c>
      <c r="I1957" s="2">
        <v>3</v>
      </c>
    </row>
    <row r="1958" spans="1:9" x14ac:dyDescent="0.25">
      <c r="A1958" s="2" t="str">
        <f>CONCATENATE(Códigos!S1957,Códigos!T1957,Códigos!U1957)</f>
        <v>svv1956v</v>
      </c>
      <c r="B1958" t="s">
        <v>408</v>
      </c>
      <c r="C1958" t="s">
        <v>403</v>
      </c>
      <c r="D1958" s="2" t="s">
        <v>404</v>
      </c>
      <c r="E1958" t="s">
        <v>513</v>
      </c>
      <c r="F1958" s="11">
        <v>43668</v>
      </c>
      <c r="G1958" s="2">
        <f>VLOOKUP(E1958,Produtos!$A:$E,5,FALSE)</f>
        <v>700</v>
      </c>
      <c r="H1958" s="2">
        <f>VLOOKUP(E1958,Produtos!$A:$E,4,FALSE)</f>
        <v>350</v>
      </c>
      <c r="I1958" s="2">
        <v>3</v>
      </c>
    </row>
    <row r="1959" spans="1:9" x14ac:dyDescent="0.25">
      <c r="A1959" s="2" t="str">
        <f>CONCATENATE(Códigos!S1958,Códigos!T1958,Códigos!U1958)</f>
        <v>svv1957v</v>
      </c>
      <c r="B1959" t="s">
        <v>408</v>
      </c>
      <c r="C1959" t="s">
        <v>403</v>
      </c>
      <c r="D1959" s="2" t="s">
        <v>404</v>
      </c>
      <c r="E1959" t="s">
        <v>513</v>
      </c>
      <c r="F1959" s="11">
        <v>43669</v>
      </c>
      <c r="G1959" s="2">
        <f>VLOOKUP(E1959,Produtos!$A:$E,5,FALSE)</f>
        <v>700</v>
      </c>
      <c r="H1959" s="2">
        <f>VLOOKUP(E1959,Produtos!$A:$E,4,FALSE)</f>
        <v>350</v>
      </c>
      <c r="I1959" s="2">
        <v>3</v>
      </c>
    </row>
    <row r="1960" spans="1:9" x14ac:dyDescent="0.25">
      <c r="A1960" s="2" t="str">
        <f>CONCATENATE(Códigos!S1959,Códigos!T1959,Códigos!U1959)</f>
        <v>svv1958v</v>
      </c>
      <c r="B1960" t="s">
        <v>408</v>
      </c>
      <c r="C1960" t="s">
        <v>403</v>
      </c>
      <c r="D1960" s="2" t="s">
        <v>404</v>
      </c>
      <c r="E1960" t="s">
        <v>513</v>
      </c>
      <c r="F1960" s="11">
        <v>43670</v>
      </c>
      <c r="G1960" s="2">
        <f>VLOOKUP(E1960,Produtos!$A:$E,5,FALSE)</f>
        <v>700</v>
      </c>
      <c r="H1960" s="2">
        <f>VLOOKUP(E1960,Produtos!$A:$E,4,FALSE)</f>
        <v>350</v>
      </c>
      <c r="I1960" s="2">
        <v>3</v>
      </c>
    </row>
    <row r="1961" spans="1:9" x14ac:dyDescent="0.25">
      <c r="A1961" s="2" t="str">
        <f>CONCATENATE(Códigos!S1960,Códigos!T1960,Códigos!U1960)</f>
        <v>svv1959v</v>
      </c>
      <c r="B1961" t="s">
        <v>408</v>
      </c>
      <c r="C1961" t="s">
        <v>403</v>
      </c>
      <c r="D1961" s="2" t="s">
        <v>404</v>
      </c>
      <c r="E1961" t="s">
        <v>513</v>
      </c>
      <c r="F1961" s="11">
        <v>43671</v>
      </c>
      <c r="G1961" s="2">
        <f>VLOOKUP(E1961,Produtos!$A:$E,5,FALSE)</f>
        <v>700</v>
      </c>
      <c r="H1961" s="2">
        <f>VLOOKUP(E1961,Produtos!$A:$E,4,FALSE)</f>
        <v>350</v>
      </c>
      <c r="I1961" s="2">
        <v>3</v>
      </c>
    </row>
    <row r="1962" spans="1:9" x14ac:dyDescent="0.25">
      <c r="A1962" s="2" t="str">
        <f>CONCATENATE(Códigos!S1961,Códigos!T1961,Códigos!U1961)</f>
        <v>svv1960v</v>
      </c>
      <c r="B1962" t="s">
        <v>408</v>
      </c>
      <c r="C1962" t="s">
        <v>403</v>
      </c>
      <c r="D1962" s="2" t="s">
        <v>404</v>
      </c>
      <c r="E1962" t="s">
        <v>513</v>
      </c>
      <c r="F1962" s="11">
        <v>43672</v>
      </c>
      <c r="G1962" s="2">
        <f>VLOOKUP(E1962,Produtos!$A:$E,5,FALSE)</f>
        <v>700</v>
      </c>
      <c r="H1962" s="2">
        <f>VLOOKUP(E1962,Produtos!$A:$E,4,FALSE)</f>
        <v>350</v>
      </c>
      <c r="I1962" s="2">
        <v>3</v>
      </c>
    </row>
    <row r="1963" spans="1:9" x14ac:dyDescent="0.25">
      <c r="A1963" s="2" t="str">
        <f>CONCATENATE(Códigos!S1962,Códigos!T1962,Códigos!U1962)</f>
        <v>svv1961v</v>
      </c>
      <c r="B1963" t="s">
        <v>408</v>
      </c>
      <c r="C1963" t="s">
        <v>403</v>
      </c>
      <c r="D1963" s="2" t="s">
        <v>404</v>
      </c>
      <c r="E1963" t="s">
        <v>513</v>
      </c>
      <c r="F1963" s="11">
        <v>43673</v>
      </c>
      <c r="G1963" s="2">
        <f>VLOOKUP(E1963,Produtos!$A:$E,5,FALSE)</f>
        <v>700</v>
      </c>
      <c r="H1963" s="2">
        <f>VLOOKUP(E1963,Produtos!$A:$E,4,FALSE)</f>
        <v>350</v>
      </c>
      <c r="I1963" s="2">
        <v>3</v>
      </c>
    </row>
    <row r="1964" spans="1:9" x14ac:dyDescent="0.25">
      <c r="A1964" s="2" t="str">
        <f>CONCATENATE(Códigos!S1963,Códigos!T1963,Códigos!U1963)</f>
        <v>svv1962v</v>
      </c>
      <c r="B1964" t="s">
        <v>408</v>
      </c>
      <c r="C1964" t="s">
        <v>403</v>
      </c>
      <c r="D1964" s="2" t="s">
        <v>404</v>
      </c>
      <c r="E1964" t="s">
        <v>513</v>
      </c>
      <c r="F1964" s="11">
        <v>43674</v>
      </c>
      <c r="G1964" s="2">
        <f>VLOOKUP(E1964,Produtos!$A:$E,5,FALSE)</f>
        <v>700</v>
      </c>
      <c r="H1964" s="2">
        <f>VLOOKUP(E1964,Produtos!$A:$E,4,FALSE)</f>
        <v>350</v>
      </c>
      <c r="I1964" s="2">
        <v>3</v>
      </c>
    </row>
    <row r="1965" spans="1:9" x14ac:dyDescent="0.25">
      <c r="A1965" s="2" t="str">
        <f>CONCATENATE(Códigos!S1964,Códigos!T1964,Códigos!U1964)</f>
        <v>svv1963v</v>
      </c>
      <c r="B1965" t="s">
        <v>408</v>
      </c>
      <c r="C1965" t="s">
        <v>403</v>
      </c>
      <c r="D1965" s="2" t="s">
        <v>404</v>
      </c>
      <c r="E1965" t="s">
        <v>513</v>
      </c>
      <c r="F1965" s="11">
        <v>43675</v>
      </c>
      <c r="G1965" s="2">
        <f>VLOOKUP(E1965,Produtos!$A:$E,5,FALSE)</f>
        <v>700</v>
      </c>
      <c r="H1965" s="2">
        <f>VLOOKUP(E1965,Produtos!$A:$E,4,FALSE)</f>
        <v>350</v>
      </c>
      <c r="I1965" s="2">
        <v>3</v>
      </c>
    </row>
    <row r="1966" spans="1:9" x14ac:dyDescent="0.25">
      <c r="A1966" s="2" t="str">
        <f>CONCATENATE(Códigos!S1965,Códigos!T1965,Códigos!U1965)</f>
        <v>svv1964v</v>
      </c>
      <c r="B1966" t="s">
        <v>408</v>
      </c>
      <c r="C1966" t="s">
        <v>403</v>
      </c>
      <c r="D1966" s="2" t="s">
        <v>404</v>
      </c>
      <c r="E1966" t="s">
        <v>513</v>
      </c>
      <c r="F1966" s="11">
        <v>43676</v>
      </c>
      <c r="G1966" s="2">
        <f>VLOOKUP(E1966,Produtos!$A:$E,5,FALSE)</f>
        <v>700</v>
      </c>
      <c r="H1966" s="2">
        <f>VLOOKUP(E1966,Produtos!$A:$E,4,FALSE)</f>
        <v>350</v>
      </c>
      <c r="I1966" s="2">
        <v>3</v>
      </c>
    </row>
    <row r="1967" spans="1:9" x14ac:dyDescent="0.25">
      <c r="A1967" s="2" t="str">
        <f>CONCATENATE(Códigos!S1966,Códigos!T1966,Códigos!U1966)</f>
        <v>svv1965v</v>
      </c>
      <c r="B1967" t="s">
        <v>408</v>
      </c>
      <c r="C1967" t="s">
        <v>403</v>
      </c>
      <c r="D1967" s="2" t="s">
        <v>404</v>
      </c>
      <c r="E1967" t="s">
        <v>513</v>
      </c>
      <c r="F1967" s="11">
        <v>43677</v>
      </c>
      <c r="G1967" s="2">
        <f>VLOOKUP(E1967,Produtos!$A:$E,5,FALSE)</f>
        <v>700</v>
      </c>
      <c r="H1967" s="2">
        <f>VLOOKUP(E1967,Produtos!$A:$E,4,FALSE)</f>
        <v>350</v>
      </c>
      <c r="I1967" s="2">
        <v>3</v>
      </c>
    </row>
    <row r="1968" spans="1:9" x14ac:dyDescent="0.25">
      <c r="A1968" s="2" t="str">
        <f>CONCATENATE(Códigos!S1967,Códigos!T1967,Códigos!U1967)</f>
        <v>svv1966v</v>
      </c>
      <c r="B1968" t="s">
        <v>408</v>
      </c>
      <c r="C1968" t="s">
        <v>403</v>
      </c>
      <c r="D1968" s="2" t="s">
        <v>404</v>
      </c>
      <c r="E1968" t="s">
        <v>513</v>
      </c>
      <c r="F1968" s="11">
        <v>43678</v>
      </c>
      <c r="G1968" s="2">
        <f>VLOOKUP(E1968,Produtos!$A:$E,5,FALSE)</f>
        <v>700</v>
      </c>
      <c r="H1968" s="2">
        <f>VLOOKUP(E1968,Produtos!$A:$E,4,FALSE)</f>
        <v>350</v>
      </c>
      <c r="I1968" s="2">
        <v>1</v>
      </c>
    </row>
    <row r="1969" spans="1:9" x14ac:dyDescent="0.25">
      <c r="A1969" s="2" t="str">
        <f>CONCATENATE(Códigos!S1968,Códigos!T1968,Códigos!U1968)</f>
        <v>svv1967v</v>
      </c>
      <c r="B1969" t="s">
        <v>408</v>
      </c>
      <c r="C1969" t="s">
        <v>403</v>
      </c>
      <c r="D1969" s="2" t="s">
        <v>404</v>
      </c>
      <c r="E1969" t="s">
        <v>513</v>
      </c>
      <c r="F1969" s="11">
        <v>43679</v>
      </c>
      <c r="G1969" s="2">
        <f>VLOOKUP(E1969,Produtos!$A:$E,5,FALSE)</f>
        <v>700</v>
      </c>
      <c r="H1969" s="2">
        <f>VLOOKUP(E1969,Produtos!$A:$E,4,FALSE)</f>
        <v>350</v>
      </c>
      <c r="I1969" s="2">
        <v>1</v>
      </c>
    </row>
    <row r="1970" spans="1:9" x14ac:dyDescent="0.25">
      <c r="A1970" s="2" t="str">
        <f>CONCATENATE(Códigos!S1969,Códigos!T1969,Códigos!U1969)</f>
        <v>svv1968v</v>
      </c>
      <c r="B1970" t="s">
        <v>408</v>
      </c>
      <c r="C1970" t="s">
        <v>403</v>
      </c>
      <c r="D1970" s="2" t="s">
        <v>404</v>
      </c>
      <c r="E1970" t="s">
        <v>513</v>
      </c>
      <c r="F1970" s="11">
        <v>43680</v>
      </c>
      <c r="G1970" s="2">
        <f>VLOOKUP(E1970,Produtos!$A:$E,5,FALSE)</f>
        <v>700</v>
      </c>
      <c r="H1970" s="2">
        <f>VLOOKUP(E1970,Produtos!$A:$E,4,FALSE)</f>
        <v>350</v>
      </c>
      <c r="I1970" s="2">
        <v>1</v>
      </c>
    </row>
    <row r="1971" spans="1:9" x14ac:dyDescent="0.25">
      <c r="A1971" s="2" t="str">
        <f>CONCATENATE(Códigos!S1970,Códigos!T1970,Códigos!U1970)</f>
        <v>svv1969v</v>
      </c>
      <c r="B1971" t="s">
        <v>406</v>
      </c>
      <c r="C1971" t="s">
        <v>503</v>
      </c>
      <c r="D1971" s="2" t="s">
        <v>482</v>
      </c>
      <c r="E1971" t="s">
        <v>513</v>
      </c>
      <c r="F1971" s="11">
        <v>43681</v>
      </c>
      <c r="G1971" s="2">
        <f>VLOOKUP(E1971,Produtos!$A:$E,5,FALSE)</f>
        <v>700</v>
      </c>
      <c r="H1971" s="2">
        <f>VLOOKUP(E1971,Produtos!$A:$E,4,FALSE)</f>
        <v>350</v>
      </c>
      <c r="I1971" s="2">
        <v>1</v>
      </c>
    </row>
    <row r="1972" spans="1:9" x14ac:dyDescent="0.25">
      <c r="A1972" s="2" t="str">
        <f>CONCATENATE(Códigos!S1971,Códigos!T1971,Códigos!U1971)</f>
        <v>svv1970v</v>
      </c>
      <c r="B1972" t="s">
        <v>406</v>
      </c>
      <c r="C1972" t="s">
        <v>503</v>
      </c>
      <c r="D1972" s="2" t="s">
        <v>482</v>
      </c>
      <c r="E1972" t="s">
        <v>513</v>
      </c>
      <c r="F1972" s="11">
        <v>43682</v>
      </c>
      <c r="G1972" s="2">
        <f>VLOOKUP(E1972,Produtos!$A:$E,5,FALSE)</f>
        <v>700</v>
      </c>
      <c r="H1972" s="2">
        <f>VLOOKUP(E1972,Produtos!$A:$E,4,FALSE)</f>
        <v>350</v>
      </c>
      <c r="I1972" s="2">
        <v>1</v>
      </c>
    </row>
    <row r="1973" spans="1:9" x14ac:dyDescent="0.25">
      <c r="A1973" s="2" t="str">
        <f>CONCATENATE(Códigos!S1972,Códigos!T1972,Códigos!U1972)</f>
        <v>svv1971v</v>
      </c>
      <c r="B1973" t="s">
        <v>406</v>
      </c>
      <c r="C1973" t="s">
        <v>503</v>
      </c>
      <c r="D1973" s="2" t="s">
        <v>482</v>
      </c>
      <c r="E1973" t="s">
        <v>513</v>
      </c>
      <c r="F1973" s="11">
        <v>43683</v>
      </c>
      <c r="G1973" s="2">
        <f>VLOOKUP(E1973,Produtos!$A:$E,5,FALSE)</f>
        <v>700</v>
      </c>
      <c r="H1973" s="2">
        <f>VLOOKUP(E1973,Produtos!$A:$E,4,FALSE)</f>
        <v>350</v>
      </c>
      <c r="I1973" s="2">
        <v>1</v>
      </c>
    </row>
    <row r="1974" spans="1:9" x14ac:dyDescent="0.25">
      <c r="A1974" s="2" t="str">
        <f>CONCATENATE(Códigos!S1973,Códigos!T1973,Códigos!U1973)</f>
        <v>svv1972v</v>
      </c>
      <c r="B1974" t="s">
        <v>406</v>
      </c>
      <c r="C1974" t="s">
        <v>503</v>
      </c>
      <c r="D1974" s="2" t="s">
        <v>482</v>
      </c>
      <c r="E1974" t="s">
        <v>513</v>
      </c>
      <c r="F1974" s="11">
        <v>43684</v>
      </c>
      <c r="G1974" s="2">
        <f>VLOOKUP(E1974,Produtos!$A:$E,5,FALSE)</f>
        <v>700</v>
      </c>
      <c r="H1974" s="2">
        <f>VLOOKUP(E1974,Produtos!$A:$E,4,FALSE)</f>
        <v>350</v>
      </c>
      <c r="I1974" s="2">
        <v>1</v>
      </c>
    </row>
    <row r="1975" spans="1:9" x14ac:dyDescent="0.25">
      <c r="A1975" s="2" t="str">
        <f>CONCATENATE(Códigos!S1974,Códigos!T1974,Códigos!U1974)</f>
        <v>svv1973v</v>
      </c>
      <c r="B1975" t="s">
        <v>406</v>
      </c>
      <c r="C1975" t="s">
        <v>503</v>
      </c>
      <c r="D1975" s="2" t="s">
        <v>482</v>
      </c>
      <c r="E1975" t="s">
        <v>513</v>
      </c>
      <c r="F1975" s="11">
        <v>43685</v>
      </c>
      <c r="G1975" s="2">
        <f>VLOOKUP(E1975,Produtos!$A:$E,5,FALSE)</f>
        <v>700</v>
      </c>
      <c r="H1975" s="2">
        <f>VLOOKUP(E1975,Produtos!$A:$E,4,FALSE)</f>
        <v>350</v>
      </c>
      <c r="I1975" s="2">
        <v>1</v>
      </c>
    </row>
    <row r="1976" spans="1:9" x14ac:dyDescent="0.25">
      <c r="A1976" s="2" t="str">
        <f>CONCATENATE(Códigos!S1975,Códigos!T1975,Códigos!U1975)</f>
        <v>svv1974v</v>
      </c>
      <c r="B1976" t="s">
        <v>406</v>
      </c>
      <c r="C1976" t="s">
        <v>503</v>
      </c>
      <c r="D1976" s="2" t="s">
        <v>482</v>
      </c>
      <c r="E1976" t="s">
        <v>513</v>
      </c>
      <c r="F1976" s="11">
        <v>43686</v>
      </c>
      <c r="G1976" s="2">
        <f>VLOOKUP(E1976,Produtos!$A:$E,5,FALSE)</f>
        <v>700</v>
      </c>
      <c r="H1976" s="2">
        <f>VLOOKUP(E1976,Produtos!$A:$E,4,FALSE)</f>
        <v>350</v>
      </c>
      <c r="I1976" s="2">
        <v>1</v>
      </c>
    </row>
    <row r="1977" spans="1:9" x14ac:dyDescent="0.25">
      <c r="A1977" s="2" t="str">
        <f>CONCATENATE(Códigos!S1976,Códigos!T1976,Códigos!U1976)</f>
        <v>svv1975v</v>
      </c>
      <c r="B1977" t="s">
        <v>406</v>
      </c>
      <c r="C1977" t="s">
        <v>503</v>
      </c>
      <c r="D1977" s="2" t="s">
        <v>482</v>
      </c>
      <c r="E1977" t="s">
        <v>513</v>
      </c>
      <c r="F1977" s="11">
        <v>43687</v>
      </c>
      <c r="G1977" s="2">
        <f>VLOOKUP(E1977,Produtos!$A:$E,5,FALSE)</f>
        <v>700</v>
      </c>
      <c r="H1977" s="2">
        <f>VLOOKUP(E1977,Produtos!$A:$E,4,FALSE)</f>
        <v>350</v>
      </c>
      <c r="I1977" s="2">
        <v>1</v>
      </c>
    </row>
    <row r="1978" spans="1:9" x14ac:dyDescent="0.25">
      <c r="A1978" s="2" t="str">
        <f>CONCATENATE(Códigos!S1977,Códigos!T1977,Códigos!U1977)</f>
        <v>svv1976v</v>
      </c>
      <c r="B1978" t="s">
        <v>406</v>
      </c>
      <c r="C1978" t="s">
        <v>503</v>
      </c>
      <c r="D1978" s="2" t="s">
        <v>482</v>
      </c>
      <c r="E1978" t="s">
        <v>513</v>
      </c>
      <c r="F1978" s="11">
        <v>43688</v>
      </c>
      <c r="G1978" s="2">
        <f>VLOOKUP(E1978,Produtos!$A:$E,5,FALSE)</f>
        <v>700</v>
      </c>
      <c r="H1978" s="2">
        <f>VLOOKUP(E1978,Produtos!$A:$E,4,FALSE)</f>
        <v>350</v>
      </c>
      <c r="I1978" s="2">
        <v>1</v>
      </c>
    </row>
    <row r="1979" spans="1:9" x14ac:dyDescent="0.25">
      <c r="A1979" s="2" t="str">
        <f>CONCATENATE(Códigos!S1978,Códigos!T1978,Códigos!U1978)</f>
        <v>svv1977v</v>
      </c>
      <c r="B1979" t="s">
        <v>406</v>
      </c>
      <c r="C1979" t="s">
        <v>503</v>
      </c>
      <c r="D1979" s="2" t="s">
        <v>482</v>
      </c>
      <c r="E1979" t="s">
        <v>513</v>
      </c>
      <c r="F1979" s="11">
        <v>43689</v>
      </c>
      <c r="G1979" s="2">
        <f>VLOOKUP(E1979,Produtos!$A:$E,5,FALSE)</f>
        <v>700</v>
      </c>
      <c r="H1979" s="2">
        <f>VLOOKUP(E1979,Produtos!$A:$E,4,FALSE)</f>
        <v>350</v>
      </c>
      <c r="I1979" s="2">
        <v>1</v>
      </c>
    </row>
    <row r="1980" spans="1:9" x14ac:dyDescent="0.25">
      <c r="A1980" s="2" t="str">
        <f>CONCATENATE(Códigos!S1979,Códigos!T1979,Códigos!U1979)</f>
        <v>svv1978v</v>
      </c>
      <c r="B1980" t="s">
        <v>406</v>
      </c>
      <c r="C1980" t="s">
        <v>503</v>
      </c>
      <c r="D1980" s="2" t="s">
        <v>482</v>
      </c>
      <c r="E1980" t="s">
        <v>513</v>
      </c>
      <c r="F1980" s="11">
        <v>43690</v>
      </c>
      <c r="G1980" s="2">
        <f>VLOOKUP(E1980,Produtos!$A:$E,5,FALSE)</f>
        <v>700</v>
      </c>
      <c r="H1980" s="2">
        <f>VLOOKUP(E1980,Produtos!$A:$E,4,FALSE)</f>
        <v>350</v>
      </c>
      <c r="I1980" s="2">
        <v>1</v>
      </c>
    </row>
    <row r="1981" spans="1:9" x14ac:dyDescent="0.25">
      <c r="A1981" s="2" t="str">
        <f>CONCATENATE(Códigos!S1980,Códigos!T1980,Códigos!U1980)</f>
        <v>svv1979v</v>
      </c>
      <c r="B1981" t="s">
        <v>406</v>
      </c>
      <c r="C1981" t="s">
        <v>503</v>
      </c>
      <c r="D1981" s="2" t="s">
        <v>482</v>
      </c>
      <c r="E1981" t="s">
        <v>513</v>
      </c>
      <c r="F1981" s="11">
        <v>43691</v>
      </c>
      <c r="G1981" s="2">
        <f>VLOOKUP(E1981,Produtos!$A:$E,5,FALSE)</f>
        <v>700</v>
      </c>
      <c r="H1981" s="2">
        <f>VLOOKUP(E1981,Produtos!$A:$E,4,FALSE)</f>
        <v>350</v>
      </c>
      <c r="I1981" s="2">
        <v>1</v>
      </c>
    </row>
    <row r="1982" spans="1:9" x14ac:dyDescent="0.25">
      <c r="A1982" s="2" t="str">
        <f>CONCATENATE(Códigos!S1981,Códigos!T1981,Códigos!U1981)</f>
        <v>svv1980v</v>
      </c>
      <c r="B1982" t="s">
        <v>406</v>
      </c>
      <c r="C1982" t="s">
        <v>503</v>
      </c>
      <c r="D1982" s="2" t="s">
        <v>482</v>
      </c>
      <c r="E1982" t="s">
        <v>513</v>
      </c>
      <c r="F1982" s="11">
        <v>43692</v>
      </c>
      <c r="G1982" s="2">
        <f>VLOOKUP(E1982,Produtos!$A:$E,5,FALSE)</f>
        <v>700</v>
      </c>
      <c r="H1982" s="2">
        <f>VLOOKUP(E1982,Produtos!$A:$E,4,FALSE)</f>
        <v>350</v>
      </c>
      <c r="I1982" s="2">
        <v>1</v>
      </c>
    </row>
    <row r="1983" spans="1:9" x14ac:dyDescent="0.25">
      <c r="A1983" s="2" t="str">
        <f>CONCATENATE(Códigos!S1982,Códigos!T1982,Códigos!U1982)</f>
        <v>svv1981v</v>
      </c>
      <c r="B1983" t="s">
        <v>406</v>
      </c>
      <c r="C1983" t="s">
        <v>503</v>
      </c>
      <c r="D1983" s="2" t="s">
        <v>482</v>
      </c>
      <c r="E1983" t="s">
        <v>513</v>
      </c>
      <c r="F1983" s="11">
        <v>43693</v>
      </c>
      <c r="G1983" s="2">
        <f>VLOOKUP(E1983,Produtos!$A:$E,5,FALSE)</f>
        <v>700</v>
      </c>
      <c r="H1983" s="2">
        <f>VLOOKUP(E1983,Produtos!$A:$E,4,FALSE)</f>
        <v>350</v>
      </c>
      <c r="I1983" s="2">
        <v>1</v>
      </c>
    </row>
    <row r="1984" spans="1:9" x14ac:dyDescent="0.25">
      <c r="A1984" s="2" t="str">
        <f>CONCATENATE(Códigos!S1983,Códigos!T1983,Códigos!U1983)</f>
        <v>svv1982v</v>
      </c>
      <c r="B1984" t="s">
        <v>406</v>
      </c>
      <c r="C1984" t="s">
        <v>503</v>
      </c>
      <c r="D1984" s="2" t="s">
        <v>482</v>
      </c>
      <c r="E1984" t="s">
        <v>513</v>
      </c>
      <c r="F1984" s="11">
        <v>43694</v>
      </c>
      <c r="G1984" s="2">
        <f>VLOOKUP(E1984,Produtos!$A:$E,5,FALSE)</f>
        <v>700</v>
      </c>
      <c r="H1984" s="2">
        <f>VLOOKUP(E1984,Produtos!$A:$E,4,FALSE)</f>
        <v>350</v>
      </c>
      <c r="I1984" s="2">
        <v>1</v>
      </c>
    </row>
    <row r="1985" spans="1:9" x14ac:dyDescent="0.25">
      <c r="A1985" s="2" t="str">
        <f>CONCATENATE(Códigos!S1984,Códigos!T1984,Códigos!U1984)</f>
        <v>svv1983v</v>
      </c>
      <c r="B1985" t="s">
        <v>406</v>
      </c>
      <c r="C1985" t="s">
        <v>503</v>
      </c>
      <c r="D1985" s="2" t="s">
        <v>482</v>
      </c>
      <c r="E1985" t="s">
        <v>513</v>
      </c>
      <c r="F1985" s="11">
        <v>43695</v>
      </c>
      <c r="G1985" s="2">
        <f>VLOOKUP(E1985,Produtos!$A:$E,5,FALSE)</f>
        <v>700</v>
      </c>
      <c r="H1985" s="2">
        <f>VLOOKUP(E1985,Produtos!$A:$E,4,FALSE)</f>
        <v>350</v>
      </c>
      <c r="I1985" s="2">
        <v>1</v>
      </c>
    </row>
    <row r="1986" spans="1:9" x14ac:dyDescent="0.25">
      <c r="A1986" s="2" t="str">
        <f>CONCATENATE(Códigos!S1985,Códigos!T1985,Códigos!U1985)</f>
        <v>svv1984v</v>
      </c>
      <c r="B1986" t="s">
        <v>406</v>
      </c>
      <c r="C1986" t="s">
        <v>503</v>
      </c>
      <c r="D1986" s="2" t="s">
        <v>482</v>
      </c>
      <c r="E1986" t="s">
        <v>513</v>
      </c>
      <c r="F1986" s="11">
        <v>43696</v>
      </c>
      <c r="G1986" s="2">
        <f>VLOOKUP(E1986,Produtos!$A:$E,5,FALSE)</f>
        <v>700</v>
      </c>
      <c r="H1986" s="2">
        <f>VLOOKUP(E1986,Produtos!$A:$E,4,FALSE)</f>
        <v>350</v>
      </c>
      <c r="I1986" s="2">
        <v>1</v>
      </c>
    </row>
    <row r="1987" spans="1:9" x14ac:dyDescent="0.25">
      <c r="A1987" s="2" t="str">
        <f>CONCATENATE(Códigos!S1986,Códigos!T1986,Códigos!U1986)</f>
        <v>svv1985v</v>
      </c>
      <c r="B1987" t="s">
        <v>406</v>
      </c>
      <c r="C1987" t="s">
        <v>503</v>
      </c>
      <c r="D1987" s="2" t="s">
        <v>482</v>
      </c>
      <c r="E1987" t="s">
        <v>513</v>
      </c>
      <c r="F1987" s="11">
        <v>43697</v>
      </c>
      <c r="G1987" s="2">
        <f>VLOOKUP(E1987,Produtos!$A:$E,5,FALSE)</f>
        <v>700</v>
      </c>
      <c r="H1987" s="2">
        <f>VLOOKUP(E1987,Produtos!$A:$E,4,FALSE)</f>
        <v>350</v>
      </c>
      <c r="I1987" s="2">
        <v>1</v>
      </c>
    </row>
    <row r="1988" spans="1:9" x14ac:dyDescent="0.25">
      <c r="A1988" s="2" t="str">
        <f>CONCATENATE(Códigos!S1987,Códigos!T1987,Códigos!U1987)</f>
        <v>svv1986v</v>
      </c>
      <c r="B1988" t="s">
        <v>406</v>
      </c>
      <c r="C1988" t="s">
        <v>503</v>
      </c>
      <c r="D1988" s="2" t="s">
        <v>482</v>
      </c>
      <c r="E1988" t="s">
        <v>513</v>
      </c>
      <c r="F1988" s="11">
        <v>43698</v>
      </c>
      <c r="G1988" s="2">
        <f>VLOOKUP(E1988,Produtos!$A:$E,5,FALSE)</f>
        <v>700</v>
      </c>
      <c r="H1988" s="2">
        <f>VLOOKUP(E1988,Produtos!$A:$E,4,FALSE)</f>
        <v>350</v>
      </c>
      <c r="I1988" s="2">
        <v>1</v>
      </c>
    </row>
    <row r="1989" spans="1:9" x14ac:dyDescent="0.25">
      <c r="A1989" s="2" t="str">
        <f>CONCATENATE(Códigos!S1988,Códigos!T1988,Códigos!U1988)</f>
        <v>svv1987v</v>
      </c>
      <c r="B1989" t="s">
        <v>406</v>
      </c>
      <c r="C1989" t="s">
        <v>503</v>
      </c>
      <c r="D1989" s="2" t="s">
        <v>482</v>
      </c>
      <c r="E1989" t="s">
        <v>513</v>
      </c>
      <c r="F1989" s="11">
        <v>43699</v>
      </c>
      <c r="G1989" s="2">
        <f>VLOOKUP(E1989,Produtos!$A:$E,5,FALSE)</f>
        <v>700</v>
      </c>
      <c r="H1989" s="2">
        <f>VLOOKUP(E1989,Produtos!$A:$E,4,FALSE)</f>
        <v>350</v>
      </c>
      <c r="I1989" s="2">
        <v>1</v>
      </c>
    </row>
    <row r="1990" spans="1:9" x14ac:dyDescent="0.25">
      <c r="A1990" s="2" t="str">
        <f>CONCATENATE(Códigos!S1989,Códigos!T1989,Códigos!U1989)</f>
        <v>svv1988v</v>
      </c>
      <c r="B1990" t="s">
        <v>406</v>
      </c>
      <c r="C1990" t="s">
        <v>503</v>
      </c>
      <c r="D1990" s="2" t="s">
        <v>482</v>
      </c>
      <c r="E1990" t="s">
        <v>513</v>
      </c>
      <c r="F1990" s="11">
        <v>43700</v>
      </c>
      <c r="G1990" s="2">
        <f>VLOOKUP(E1990,Produtos!$A:$E,5,FALSE)</f>
        <v>700</v>
      </c>
      <c r="H1990" s="2">
        <f>VLOOKUP(E1990,Produtos!$A:$E,4,FALSE)</f>
        <v>350</v>
      </c>
      <c r="I1990" s="2">
        <v>1</v>
      </c>
    </row>
    <row r="1991" spans="1:9" x14ac:dyDescent="0.25">
      <c r="A1991" s="2" t="str">
        <f>CONCATENATE(Códigos!S1990,Códigos!T1990,Códigos!U1990)</f>
        <v>svv1989v</v>
      </c>
      <c r="B1991" t="s">
        <v>406</v>
      </c>
      <c r="C1991" t="s">
        <v>503</v>
      </c>
      <c r="D1991" s="2" t="s">
        <v>482</v>
      </c>
      <c r="E1991" t="s">
        <v>513</v>
      </c>
      <c r="F1991" s="11">
        <v>43701</v>
      </c>
      <c r="G1991" s="2">
        <f>VLOOKUP(E1991,Produtos!$A:$E,5,FALSE)</f>
        <v>700</v>
      </c>
      <c r="H1991" s="2">
        <f>VLOOKUP(E1991,Produtos!$A:$E,4,FALSE)</f>
        <v>350</v>
      </c>
      <c r="I1991" s="2">
        <v>1</v>
      </c>
    </row>
    <row r="1992" spans="1:9" x14ac:dyDescent="0.25">
      <c r="A1992" s="2" t="str">
        <f>CONCATENATE(Códigos!S1991,Códigos!T1991,Códigos!U1991)</f>
        <v>svv1990v</v>
      </c>
      <c r="B1992" t="s">
        <v>406</v>
      </c>
      <c r="C1992" t="s">
        <v>503</v>
      </c>
      <c r="D1992" s="2" t="s">
        <v>482</v>
      </c>
      <c r="E1992" t="s">
        <v>513</v>
      </c>
      <c r="F1992" s="11">
        <v>43702</v>
      </c>
      <c r="G1992" s="2">
        <f>VLOOKUP(E1992,Produtos!$A:$E,5,FALSE)</f>
        <v>700</v>
      </c>
      <c r="H1992" s="2">
        <f>VLOOKUP(E1992,Produtos!$A:$E,4,FALSE)</f>
        <v>350</v>
      </c>
      <c r="I1992" s="2">
        <v>1</v>
      </c>
    </row>
    <row r="1993" spans="1:9" x14ac:dyDescent="0.25">
      <c r="A1993" s="2" t="str">
        <f>CONCATENATE(Códigos!S1992,Códigos!T1992,Códigos!U1992)</f>
        <v>svv1991v</v>
      </c>
      <c r="B1993" t="s">
        <v>406</v>
      </c>
      <c r="C1993" t="s">
        <v>503</v>
      </c>
      <c r="D1993" s="2" t="s">
        <v>482</v>
      </c>
      <c r="E1993" t="s">
        <v>513</v>
      </c>
      <c r="F1993" s="11">
        <v>43703</v>
      </c>
      <c r="G1993" s="2">
        <f>VLOOKUP(E1993,Produtos!$A:$E,5,FALSE)</f>
        <v>700</v>
      </c>
      <c r="H1993" s="2">
        <f>VLOOKUP(E1993,Produtos!$A:$E,4,FALSE)</f>
        <v>350</v>
      </c>
      <c r="I1993" s="2">
        <v>1</v>
      </c>
    </row>
    <row r="1994" spans="1:9" x14ac:dyDescent="0.25">
      <c r="A1994" s="2" t="str">
        <f>CONCATENATE(Códigos!S1993,Códigos!T1993,Códigos!U1993)</f>
        <v>svv1992v</v>
      </c>
      <c r="B1994" t="s">
        <v>406</v>
      </c>
      <c r="C1994" t="s">
        <v>503</v>
      </c>
      <c r="D1994" s="2" t="s">
        <v>482</v>
      </c>
      <c r="E1994" t="s">
        <v>513</v>
      </c>
      <c r="F1994" s="11">
        <v>43704</v>
      </c>
      <c r="G1994" s="2">
        <f>VLOOKUP(E1994,Produtos!$A:$E,5,FALSE)</f>
        <v>700</v>
      </c>
      <c r="H1994" s="2">
        <f>VLOOKUP(E1994,Produtos!$A:$E,4,FALSE)</f>
        <v>350</v>
      </c>
      <c r="I1994" s="2">
        <v>1</v>
      </c>
    </row>
    <row r="1995" spans="1:9" x14ac:dyDescent="0.25">
      <c r="A1995" s="2" t="str">
        <f>CONCATENATE(Códigos!S1994,Códigos!T1994,Códigos!U1994)</f>
        <v>svv1993v</v>
      </c>
      <c r="B1995" t="s">
        <v>406</v>
      </c>
      <c r="C1995" t="s">
        <v>503</v>
      </c>
      <c r="D1995" s="2" t="s">
        <v>482</v>
      </c>
      <c r="E1995" t="s">
        <v>513</v>
      </c>
      <c r="F1995" s="11">
        <v>43705</v>
      </c>
      <c r="G1995" s="2">
        <f>VLOOKUP(E1995,Produtos!$A:$E,5,FALSE)</f>
        <v>700</v>
      </c>
      <c r="H1995" s="2">
        <f>VLOOKUP(E1995,Produtos!$A:$E,4,FALSE)</f>
        <v>350</v>
      </c>
      <c r="I1995" s="2">
        <v>1</v>
      </c>
    </row>
    <row r="1996" spans="1:9" x14ac:dyDescent="0.25">
      <c r="A1996" s="2" t="str">
        <f>CONCATENATE(Códigos!S1995,Códigos!T1995,Códigos!U1995)</f>
        <v>svv1994v</v>
      </c>
      <c r="B1996" t="s">
        <v>406</v>
      </c>
      <c r="C1996" t="s">
        <v>503</v>
      </c>
      <c r="D1996" s="2" t="s">
        <v>482</v>
      </c>
      <c r="E1996" t="s">
        <v>513</v>
      </c>
      <c r="F1996" s="11">
        <v>43706</v>
      </c>
      <c r="G1996" s="2">
        <f>VLOOKUP(E1996,Produtos!$A:$E,5,FALSE)</f>
        <v>700</v>
      </c>
      <c r="H1996" s="2">
        <f>VLOOKUP(E1996,Produtos!$A:$E,4,FALSE)</f>
        <v>350</v>
      </c>
      <c r="I1996" s="2">
        <v>1</v>
      </c>
    </row>
    <row r="1997" spans="1:9" x14ac:dyDescent="0.25">
      <c r="A1997" s="2" t="str">
        <f>CONCATENATE(Códigos!S1996,Códigos!T1996,Códigos!U1996)</f>
        <v>svv1995v</v>
      </c>
      <c r="B1997" t="s">
        <v>406</v>
      </c>
      <c r="C1997" t="s">
        <v>503</v>
      </c>
      <c r="D1997" s="2" t="s">
        <v>482</v>
      </c>
      <c r="E1997" t="s">
        <v>513</v>
      </c>
      <c r="F1997" s="11">
        <v>43707</v>
      </c>
      <c r="G1997" s="2">
        <f>VLOOKUP(E1997,Produtos!$A:$E,5,FALSE)</f>
        <v>700</v>
      </c>
      <c r="H1997" s="2">
        <f>VLOOKUP(E1997,Produtos!$A:$E,4,FALSE)</f>
        <v>350</v>
      </c>
      <c r="I1997" s="2">
        <v>1</v>
      </c>
    </row>
    <row r="1998" spans="1:9" x14ac:dyDescent="0.25">
      <c r="A1998" s="2" t="str">
        <f>CONCATENATE(Códigos!S1997,Códigos!T1997,Códigos!U1997)</f>
        <v>svv1996v</v>
      </c>
      <c r="B1998" t="s">
        <v>406</v>
      </c>
      <c r="C1998" t="s">
        <v>503</v>
      </c>
      <c r="D1998" s="2" t="s">
        <v>482</v>
      </c>
      <c r="E1998" t="s">
        <v>513</v>
      </c>
      <c r="F1998" s="11">
        <v>43708</v>
      </c>
      <c r="G1998" s="2">
        <f>VLOOKUP(E1998,Produtos!$A:$E,5,FALSE)</f>
        <v>700</v>
      </c>
      <c r="H1998" s="2">
        <f>VLOOKUP(E1998,Produtos!$A:$E,4,FALSE)</f>
        <v>350</v>
      </c>
      <c r="I1998" s="2">
        <v>1</v>
      </c>
    </row>
    <row r="1999" spans="1:9" x14ac:dyDescent="0.25">
      <c r="A1999" s="2" t="str">
        <f>CONCATENATE(Códigos!S1998,Códigos!T1998,Códigos!U1998)</f>
        <v>svv1997v</v>
      </c>
      <c r="B1999" t="s">
        <v>406</v>
      </c>
      <c r="C1999" t="s">
        <v>503</v>
      </c>
      <c r="D1999" s="2" t="s">
        <v>482</v>
      </c>
      <c r="E1999" t="s">
        <v>513</v>
      </c>
      <c r="F1999" s="11">
        <v>43709</v>
      </c>
      <c r="G1999" s="2">
        <f>VLOOKUP(E1999,Produtos!$A:$E,5,FALSE)</f>
        <v>700</v>
      </c>
      <c r="H1999" s="2">
        <f>VLOOKUP(E1999,Produtos!$A:$E,4,FALSE)</f>
        <v>350</v>
      </c>
      <c r="I1999" s="2">
        <v>1</v>
      </c>
    </row>
    <row r="2000" spans="1:9" x14ac:dyDescent="0.25">
      <c r="A2000" s="2" t="str">
        <f>CONCATENATE(Códigos!S1999,Códigos!T1999,Códigos!U1999)</f>
        <v>svv1998v</v>
      </c>
      <c r="B2000" t="s">
        <v>406</v>
      </c>
      <c r="C2000" t="s">
        <v>503</v>
      </c>
      <c r="D2000" s="2" t="s">
        <v>482</v>
      </c>
      <c r="E2000" t="s">
        <v>513</v>
      </c>
      <c r="F2000" s="11">
        <v>43710</v>
      </c>
      <c r="G2000" s="2">
        <f>VLOOKUP(E2000,Produtos!$A:$E,5,FALSE)</f>
        <v>700</v>
      </c>
      <c r="H2000" s="2">
        <f>VLOOKUP(E2000,Produtos!$A:$E,4,FALSE)</f>
        <v>350</v>
      </c>
      <c r="I2000" s="2">
        <v>1</v>
      </c>
    </row>
    <row r="2001" spans="1:9" x14ac:dyDescent="0.25">
      <c r="A2001" s="2" t="str">
        <f>CONCATENATE(Códigos!S2000,Códigos!T2000,Códigos!U2000)</f>
        <v>svv1999v</v>
      </c>
      <c r="B2001" t="s">
        <v>406</v>
      </c>
      <c r="C2001" t="s">
        <v>503</v>
      </c>
      <c r="D2001" s="2" t="s">
        <v>482</v>
      </c>
      <c r="E2001" t="s">
        <v>513</v>
      </c>
      <c r="F2001" s="11">
        <v>43711</v>
      </c>
      <c r="G2001" s="2">
        <f>VLOOKUP(E2001,Produtos!$A:$E,5,FALSE)</f>
        <v>700</v>
      </c>
      <c r="H2001" s="2">
        <f>VLOOKUP(E2001,Produtos!$A:$E,4,FALSE)</f>
        <v>350</v>
      </c>
      <c r="I2001" s="2">
        <v>1</v>
      </c>
    </row>
    <row r="2002" spans="1:9" x14ac:dyDescent="0.25">
      <c r="A2002" s="2" t="str">
        <f>CONCATENATE(Códigos!S2001,Códigos!T2001,Códigos!U2001)</f>
        <v>svv2000v</v>
      </c>
      <c r="B2002" t="s">
        <v>406</v>
      </c>
      <c r="C2002" t="s">
        <v>503</v>
      </c>
      <c r="D2002" s="2" t="s">
        <v>482</v>
      </c>
      <c r="E2002" t="s">
        <v>513</v>
      </c>
      <c r="F2002" s="11">
        <v>43712</v>
      </c>
      <c r="G2002" s="2">
        <f>VLOOKUP(E2002,Produtos!$A:$E,5,FALSE)</f>
        <v>700</v>
      </c>
      <c r="H2002" s="2">
        <f>VLOOKUP(E2002,Produtos!$A:$E,4,FALSE)</f>
        <v>350</v>
      </c>
      <c r="I2002" s="2">
        <v>1</v>
      </c>
    </row>
    <row r="2003" spans="1:9" x14ac:dyDescent="0.25">
      <c r="A2003" s="2" t="str">
        <f>CONCATENATE(Códigos!S2002,Códigos!T2002,Códigos!U2002)</f>
        <v>svv2001v</v>
      </c>
      <c r="B2003" t="s">
        <v>406</v>
      </c>
      <c r="C2003" t="s">
        <v>503</v>
      </c>
      <c r="D2003" s="2" t="s">
        <v>482</v>
      </c>
      <c r="E2003" t="s">
        <v>513</v>
      </c>
      <c r="F2003" s="11">
        <v>43713</v>
      </c>
      <c r="G2003" s="2">
        <f>VLOOKUP(E2003,Produtos!$A:$E,5,FALSE)</f>
        <v>700</v>
      </c>
      <c r="H2003" s="2">
        <f>VLOOKUP(E2003,Produtos!$A:$E,4,FALSE)</f>
        <v>350</v>
      </c>
      <c r="I2003" s="2">
        <v>1</v>
      </c>
    </row>
    <row r="2004" spans="1:9" x14ac:dyDescent="0.25">
      <c r="A2004" s="2" t="str">
        <f>CONCATENATE(Códigos!S2003,Códigos!T2003,Códigos!U2003)</f>
        <v>svv2002v</v>
      </c>
      <c r="B2004" t="s">
        <v>406</v>
      </c>
      <c r="C2004" t="s">
        <v>503</v>
      </c>
      <c r="D2004" s="2" t="s">
        <v>482</v>
      </c>
      <c r="E2004" t="s">
        <v>513</v>
      </c>
      <c r="F2004" s="11">
        <v>43714</v>
      </c>
      <c r="G2004" s="2">
        <f>VLOOKUP(E2004,Produtos!$A:$E,5,FALSE)</f>
        <v>700</v>
      </c>
      <c r="H2004" s="2">
        <f>VLOOKUP(E2004,Produtos!$A:$E,4,FALSE)</f>
        <v>350</v>
      </c>
      <c r="I2004" s="2">
        <v>1</v>
      </c>
    </row>
    <row r="2005" spans="1:9" x14ac:dyDescent="0.25">
      <c r="A2005" s="2" t="str">
        <f>CONCATENATE(Códigos!S2004,Códigos!T2004,Códigos!U2004)</f>
        <v>svv2003v</v>
      </c>
      <c r="B2005" t="s">
        <v>406</v>
      </c>
      <c r="C2005" t="s">
        <v>503</v>
      </c>
      <c r="D2005" s="2" t="s">
        <v>482</v>
      </c>
      <c r="E2005" t="s">
        <v>513</v>
      </c>
      <c r="F2005" s="11">
        <v>43715</v>
      </c>
      <c r="G2005" s="2">
        <f>VLOOKUP(E2005,Produtos!$A:$E,5,FALSE)</f>
        <v>700</v>
      </c>
      <c r="H2005" s="2">
        <f>VLOOKUP(E2005,Produtos!$A:$E,4,FALSE)</f>
        <v>350</v>
      </c>
      <c r="I2005" s="2">
        <v>1</v>
      </c>
    </row>
    <row r="2006" spans="1:9" x14ac:dyDescent="0.25">
      <c r="A2006" s="2" t="str">
        <f>CONCATENATE(Códigos!S2005,Códigos!T2005,Códigos!U2005)</f>
        <v>svv2004v</v>
      </c>
      <c r="B2006" t="s">
        <v>406</v>
      </c>
      <c r="C2006" t="s">
        <v>503</v>
      </c>
      <c r="D2006" s="2" t="s">
        <v>482</v>
      </c>
      <c r="E2006" t="s">
        <v>513</v>
      </c>
      <c r="F2006" s="11">
        <v>43716</v>
      </c>
      <c r="G2006" s="2">
        <f>VLOOKUP(E2006,Produtos!$A:$E,5,FALSE)</f>
        <v>700</v>
      </c>
      <c r="H2006" s="2">
        <f>VLOOKUP(E2006,Produtos!$A:$E,4,FALSE)</f>
        <v>350</v>
      </c>
      <c r="I2006" s="2">
        <v>1</v>
      </c>
    </row>
    <row r="2007" spans="1:9" x14ac:dyDescent="0.25">
      <c r="A2007" s="2" t="str">
        <f>CONCATENATE(Códigos!S2006,Códigos!T2006,Códigos!U2006)</f>
        <v>svv2005v</v>
      </c>
      <c r="B2007" t="s">
        <v>406</v>
      </c>
      <c r="C2007" t="s">
        <v>503</v>
      </c>
      <c r="D2007" s="2" t="s">
        <v>482</v>
      </c>
      <c r="E2007" t="s">
        <v>513</v>
      </c>
      <c r="F2007" s="11">
        <v>43717</v>
      </c>
      <c r="G2007" s="2">
        <f>VLOOKUP(E2007,Produtos!$A:$E,5,FALSE)</f>
        <v>700</v>
      </c>
      <c r="H2007" s="2">
        <f>VLOOKUP(E2007,Produtos!$A:$E,4,FALSE)</f>
        <v>350</v>
      </c>
      <c r="I2007" s="2">
        <v>1</v>
      </c>
    </row>
    <row r="2008" spans="1:9" x14ac:dyDescent="0.25">
      <c r="A2008" s="2" t="str">
        <f>CONCATENATE(Códigos!S2007,Códigos!T2007,Códigos!U2007)</f>
        <v>svv2006v</v>
      </c>
      <c r="B2008" t="s">
        <v>406</v>
      </c>
      <c r="C2008" t="s">
        <v>503</v>
      </c>
      <c r="D2008" s="2" t="s">
        <v>482</v>
      </c>
      <c r="E2008" t="s">
        <v>513</v>
      </c>
      <c r="F2008" s="11">
        <v>43718</v>
      </c>
      <c r="G2008" s="2">
        <f>VLOOKUP(E2008,Produtos!$A:$E,5,FALSE)</f>
        <v>700</v>
      </c>
      <c r="H2008" s="2">
        <f>VLOOKUP(E2008,Produtos!$A:$E,4,FALSE)</f>
        <v>350</v>
      </c>
      <c r="I2008" s="2">
        <v>1</v>
      </c>
    </row>
    <row r="2009" spans="1:9" x14ac:dyDescent="0.25">
      <c r="A2009" s="2" t="str">
        <f>CONCATENATE(Códigos!S2008,Códigos!T2008,Códigos!U2008)</f>
        <v>svv2007v</v>
      </c>
      <c r="B2009" t="s">
        <v>406</v>
      </c>
      <c r="C2009" t="s">
        <v>503</v>
      </c>
      <c r="D2009" s="2" t="s">
        <v>482</v>
      </c>
      <c r="E2009" t="s">
        <v>513</v>
      </c>
      <c r="F2009" s="11">
        <v>43719</v>
      </c>
      <c r="G2009" s="2">
        <f>VLOOKUP(E2009,Produtos!$A:$E,5,FALSE)</f>
        <v>700</v>
      </c>
      <c r="H2009" s="2">
        <f>VLOOKUP(E2009,Produtos!$A:$E,4,FALSE)</f>
        <v>350</v>
      </c>
      <c r="I2009" s="2">
        <v>1</v>
      </c>
    </row>
    <row r="2010" spans="1:9" x14ac:dyDescent="0.25">
      <c r="A2010" s="2" t="str">
        <f>CONCATENATE(Códigos!S2009,Códigos!T2009,Códigos!U2009)</f>
        <v>svv2008v</v>
      </c>
      <c r="B2010" t="s">
        <v>406</v>
      </c>
      <c r="C2010" t="s">
        <v>503</v>
      </c>
      <c r="D2010" s="2" t="s">
        <v>482</v>
      </c>
      <c r="E2010" t="s">
        <v>375</v>
      </c>
      <c r="F2010" s="11">
        <v>43720</v>
      </c>
      <c r="G2010" s="2">
        <f>VLOOKUP(E2010,Produtos!$A:$E,5,FALSE)</f>
        <v>870</v>
      </c>
      <c r="H2010" s="2">
        <f>VLOOKUP(E2010,Produtos!$A:$E,4,FALSE)</f>
        <v>450</v>
      </c>
      <c r="I2010" s="2">
        <v>1</v>
      </c>
    </row>
    <row r="2011" spans="1:9" x14ac:dyDescent="0.25">
      <c r="A2011" s="2" t="str">
        <f>CONCATENATE(Códigos!S2010,Códigos!T2010,Códigos!U2010)</f>
        <v>svv2009v</v>
      </c>
      <c r="B2011" t="s">
        <v>406</v>
      </c>
      <c r="C2011" t="s">
        <v>503</v>
      </c>
      <c r="D2011" s="2" t="s">
        <v>482</v>
      </c>
      <c r="E2011" t="s">
        <v>375</v>
      </c>
      <c r="F2011" s="11">
        <v>43721</v>
      </c>
      <c r="G2011" s="2">
        <f>VLOOKUP(E2011,Produtos!$A:$E,5,FALSE)</f>
        <v>870</v>
      </c>
      <c r="H2011" s="2">
        <f>VLOOKUP(E2011,Produtos!$A:$E,4,FALSE)</f>
        <v>450</v>
      </c>
      <c r="I2011" s="2">
        <v>1</v>
      </c>
    </row>
    <row r="2012" spans="1:9" x14ac:dyDescent="0.25">
      <c r="A2012" s="2" t="str">
        <f>CONCATENATE(Códigos!S2011,Códigos!T2011,Códigos!U2011)</f>
        <v>svv2010v</v>
      </c>
      <c r="B2012" t="s">
        <v>406</v>
      </c>
      <c r="C2012" t="s">
        <v>503</v>
      </c>
      <c r="D2012" s="2" t="s">
        <v>482</v>
      </c>
      <c r="E2012" t="s">
        <v>375</v>
      </c>
      <c r="F2012" s="11">
        <v>43722</v>
      </c>
      <c r="G2012" s="2">
        <f>VLOOKUP(E2012,Produtos!$A:$E,5,FALSE)</f>
        <v>870</v>
      </c>
      <c r="H2012" s="2">
        <f>VLOOKUP(E2012,Produtos!$A:$E,4,FALSE)</f>
        <v>450</v>
      </c>
      <c r="I2012" s="2">
        <v>1</v>
      </c>
    </row>
    <row r="2013" spans="1:9" x14ac:dyDescent="0.25">
      <c r="A2013" s="2" t="str">
        <f>CONCATENATE(Códigos!S2012,Códigos!T2012,Códigos!U2012)</f>
        <v>svv2011v</v>
      </c>
      <c r="B2013" t="s">
        <v>406</v>
      </c>
      <c r="C2013" t="s">
        <v>503</v>
      </c>
      <c r="D2013" s="2" t="s">
        <v>482</v>
      </c>
      <c r="E2013" t="s">
        <v>375</v>
      </c>
      <c r="F2013" s="11">
        <v>43723</v>
      </c>
      <c r="G2013" s="2">
        <f>VLOOKUP(E2013,Produtos!$A:$E,5,FALSE)</f>
        <v>870</v>
      </c>
      <c r="H2013" s="2">
        <f>VLOOKUP(E2013,Produtos!$A:$E,4,FALSE)</f>
        <v>450</v>
      </c>
      <c r="I2013" s="2">
        <v>1</v>
      </c>
    </row>
    <row r="2014" spans="1:9" x14ac:dyDescent="0.25">
      <c r="A2014" s="2" t="str">
        <f>CONCATENATE(Códigos!S2013,Códigos!T2013,Códigos!U2013)</f>
        <v>svv2012v</v>
      </c>
      <c r="B2014" t="s">
        <v>406</v>
      </c>
      <c r="C2014" t="s">
        <v>503</v>
      </c>
      <c r="D2014" s="2" t="s">
        <v>482</v>
      </c>
      <c r="E2014" t="s">
        <v>375</v>
      </c>
      <c r="F2014" s="11">
        <v>43724</v>
      </c>
      <c r="G2014" s="2">
        <f>VLOOKUP(E2014,Produtos!$A:$E,5,FALSE)</f>
        <v>870</v>
      </c>
      <c r="H2014" s="2">
        <f>VLOOKUP(E2014,Produtos!$A:$E,4,FALSE)</f>
        <v>450</v>
      </c>
      <c r="I2014" s="2">
        <v>1</v>
      </c>
    </row>
    <row r="2015" spans="1:9" x14ac:dyDescent="0.25">
      <c r="A2015" s="2" t="str">
        <f>CONCATENATE(Códigos!S2014,Códigos!T2014,Códigos!U2014)</f>
        <v>svv2013v</v>
      </c>
      <c r="B2015" t="s">
        <v>406</v>
      </c>
      <c r="C2015" t="s">
        <v>503</v>
      </c>
      <c r="D2015" s="2" t="s">
        <v>482</v>
      </c>
      <c r="E2015" t="s">
        <v>375</v>
      </c>
      <c r="F2015" s="11">
        <v>43725</v>
      </c>
      <c r="G2015" s="2">
        <f>VLOOKUP(E2015,Produtos!$A:$E,5,FALSE)</f>
        <v>870</v>
      </c>
      <c r="H2015" s="2">
        <f>VLOOKUP(E2015,Produtos!$A:$E,4,FALSE)</f>
        <v>450</v>
      </c>
      <c r="I2015" s="2">
        <v>1</v>
      </c>
    </row>
    <row r="2016" spans="1:9" x14ac:dyDescent="0.25">
      <c r="A2016" s="2" t="str">
        <f>CONCATENATE(Códigos!S2015,Códigos!T2015,Códigos!U2015)</f>
        <v>svv2014v</v>
      </c>
      <c r="B2016" t="s">
        <v>406</v>
      </c>
      <c r="C2016" t="s">
        <v>503</v>
      </c>
      <c r="D2016" s="2" t="s">
        <v>482</v>
      </c>
      <c r="E2016" t="s">
        <v>375</v>
      </c>
      <c r="F2016" s="11">
        <v>43726</v>
      </c>
      <c r="G2016" s="2">
        <f>VLOOKUP(E2016,Produtos!$A:$E,5,FALSE)</f>
        <v>870</v>
      </c>
      <c r="H2016" s="2">
        <f>VLOOKUP(E2016,Produtos!$A:$E,4,FALSE)</f>
        <v>450</v>
      </c>
      <c r="I2016" s="2">
        <v>1</v>
      </c>
    </row>
    <row r="2017" spans="1:9" x14ac:dyDescent="0.25">
      <c r="A2017" s="2" t="str">
        <f>CONCATENATE(Códigos!S2016,Códigos!T2016,Códigos!U2016)</f>
        <v>svv2015v</v>
      </c>
      <c r="B2017" t="s">
        <v>406</v>
      </c>
      <c r="C2017" t="s">
        <v>503</v>
      </c>
      <c r="D2017" s="2" t="s">
        <v>482</v>
      </c>
      <c r="E2017" t="s">
        <v>375</v>
      </c>
      <c r="F2017" s="11">
        <v>43727</v>
      </c>
      <c r="G2017" s="2">
        <f>VLOOKUP(E2017,Produtos!$A:$E,5,FALSE)</f>
        <v>870</v>
      </c>
      <c r="H2017" s="2">
        <f>VLOOKUP(E2017,Produtos!$A:$E,4,FALSE)</f>
        <v>450</v>
      </c>
      <c r="I2017" s="2">
        <v>1</v>
      </c>
    </row>
    <row r="2018" spans="1:9" x14ac:dyDescent="0.25">
      <c r="A2018" s="2" t="str">
        <f>CONCATENATE(Códigos!S2017,Códigos!T2017,Códigos!U2017)</f>
        <v>svv2016v</v>
      </c>
      <c r="B2018" t="s">
        <v>406</v>
      </c>
      <c r="C2018" t="s">
        <v>503</v>
      </c>
      <c r="D2018" s="2" t="s">
        <v>482</v>
      </c>
      <c r="E2018" t="s">
        <v>375</v>
      </c>
      <c r="F2018" s="11">
        <v>43728</v>
      </c>
      <c r="G2018" s="2">
        <f>VLOOKUP(E2018,Produtos!$A:$E,5,FALSE)</f>
        <v>870</v>
      </c>
      <c r="H2018" s="2">
        <f>VLOOKUP(E2018,Produtos!$A:$E,4,FALSE)</f>
        <v>450</v>
      </c>
      <c r="I2018" s="2">
        <v>1</v>
      </c>
    </row>
    <row r="2019" spans="1:9" x14ac:dyDescent="0.25">
      <c r="A2019" s="2" t="str">
        <f>CONCATENATE(Códigos!S2018,Códigos!T2018,Códigos!U2018)</f>
        <v>svv2017v</v>
      </c>
      <c r="B2019" t="s">
        <v>406</v>
      </c>
      <c r="C2019" t="s">
        <v>503</v>
      </c>
      <c r="D2019" s="2" t="s">
        <v>482</v>
      </c>
      <c r="E2019" t="s">
        <v>375</v>
      </c>
      <c r="F2019" s="11">
        <v>43729</v>
      </c>
      <c r="G2019" s="2">
        <f>VLOOKUP(E2019,Produtos!$A:$E,5,FALSE)</f>
        <v>870</v>
      </c>
      <c r="H2019" s="2">
        <f>VLOOKUP(E2019,Produtos!$A:$E,4,FALSE)</f>
        <v>450</v>
      </c>
      <c r="I2019" s="2">
        <v>1</v>
      </c>
    </row>
    <row r="2020" spans="1:9" x14ac:dyDescent="0.25">
      <c r="A2020" s="2" t="str">
        <f>CONCATENATE(Códigos!S2019,Códigos!T2019,Códigos!U2019)</f>
        <v>svv2018v</v>
      </c>
      <c r="B2020" t="s">
        <v>406</v>
      </c>
      <c r="C2020" t="s">
        <v>503</v>
      </c>
      <c r="D2020" s="2" t="s">
        <v>482</v>
      </c>
      <c r="E2020" t="s">
        <v>375</v>
      </c>
      <c r="F2020" s="11">
        <v>43730</v>
      </c>
      <c r="G2020" s="2">
        <f>VLOOKUP(E2020,Produtos!$A:$E,5,FALSE)</f>
        <v>870</v>
      </c>
      <c r="H2020" s="2">
        <f>VLOOKUP(E2020,Produtos!$A:$E,4,FALSE)</f>
        <v>450</v>
      </c>
      <c r="I2020" s="2">
        <v>1</v>
      </c>
    </row>
    <row r="2021" spans="1:9" x14ac:dyDescent="0.25">
      <c r="A2021" s="2" t="str">
        <f>CONCATENATE(Códigos!S2020,Códigos!T2020,Códigos!U2020)</f>
        <v>svv2019v</v>
      </c>
      <c r="B2021" t="s">
        <v>406</v>
      </c>
      <c r="C2021" t="s">
        <v>503</v>
      </c>
      <c r="D2021" s="2" t="s">
        <v>482</v>
      </c>
      <c r="E2021" t="s">
        <v>375</v>
      </c>
      <c r="F2021" s="11">
        <v>43731</v>
      </c>
      <c r="G2021" s="2">
        <f>VLOOKUP(E2021,Produtos!$A:$E,5,FALSE)</f>
        <v>870</v>
      </c>
      <c r="H2021" s="2">
        <f>VLOOKUP(E2021,Produtos!$A:$E,4,FALSE)</f>
        <v>450</v>
      </c>
      <c r="I2021" s="2">
        <v>1</v>
      </c>
    </row>
    <row r="2022" spans="1:9" x14ac:dyDescent="0.25">
      <c r="A2022" s="2" t="str">
        <f>CONCATENATE(Códigos!S2021,Códigos!T2021,Códigos!U2021)</f>
        <v>svv2020v</v>
      </c>
      <c r="B2022" t="s">
        <v>406</v>
      </c>
      <c r="C2022" t="s">
        <v>503</v>
      </c>
      <c r="D2022" s="2" t="s">
        <v>482</v>
      </c>
      <c r="E2022" t="s">
        <v>375</v>
      </c>
      <c r="F2022" s="11">
        <v>43732</v>
      </c>
      <c r="G2022" s="2">
        <f>VLOOKUP(E2022,Produtos!$A:$E,5,FALSE)</f>
        <v>870</v>
      </c>
      <c r="H2022" s="2">
        <f>VLOOKUP(E2022,Produtos!$A:$E,4,FALSE)</f>
        <v>450</v>
      </c>
      <c r="I2022" s="2">
        <v>1</v>
      </c>
    </row>
    <row r="2023" spans="1:9" x14ac:dyDescent="0.25">
      <c r="A2023" s="2" t="str">
        <f>CONCATENATE(Códigos!S2022,Códigos!T2022,Códigos!U2022)</f>
        <v>svv2021v</v>
      </c>
      <c r="B2023" t="s">
        <v>406</v>
      </c>
      <c r="C2023" t="s">
        <v>503</v>
      </c>
      <c r="D2023" s="2" t="s">
        <v>482</v>
      </c>
      <c r="E2023" t="s">
        <v>375</v>
      </c>
      <c r="F2023" s="11">
        <v>43733</v>
      </c>
      <c r="G2023" s="2">
        <f>VLOOKUP(E2023,Produtos!$A:$E,5,FALSE)</f>
        <v>870</v>
      </c>
      <c r="H2023" s="2">
        <f>VLOOKUP(E2023,Produtos!$A:$E,4,FALSE)</f>
        <v>450</v>
      </c>
      <c r="I2023" s="2">
        <v>1</v>
      </c>
    </row>
    <row r="2024" spans="1:9" x14ac:dyDescent="0.25">
      <c r="A2024" s="2" t="str">
        <f>CONCATENATE(Códigos!S2023,Códigos!T2023,Códigos!U2023)</f>
        <v>svv2022v</v>
      </c>
      <c r="B2024" t="s">
        <v>406</v>
      </c>
      <c r="C2024" t="s">
        <v>503</v>
      </c>
      <c r="D2024" s="2" t="s">
        <v>482</v>
      </c>
      <c r="E2024" t="s">
        <v>375</v>
      </c>
      <c r="F2024" s="11">
        <v>43734</v>
      </c>
      <c r="G2024" s="2">
        <f>VLOOKUP(E2024,Produtos!$A:$E,5,FALSE)</f>
        <v>870</v>
      </c>
      <c r="H2024" s="2">
        <f>VLOOKUP(E2024,Produtos!$A:$E,4,FALSE)</f>
        <v>450</v>
      </c>
      <c r="I2024" s="2">
        <v>1</v>
      </c>
    </row>
    <row r="2025" spans="1:9" x14ac:dyDescent="0.25">
      <c r="A2025" s="2" t="str">
        <f>CONCATENATE(Códigos!S2024,Códigos!T2024,Códigos!U2024)</f>
        <v>svv2023v</v>
      </c>
      <c r="B2025" t="s">
        <v>406</v>
      </c>
      <c r="C2025" t="s">
        <v>503</v>
      </c>
      <c r="D2025" s="2" t="s">
        <v>482</v>
      </c>
      <c r="E2025" t="s">
        <v>375</v>
      </c>
      <c r="F2025" s="11">
        <v>43735</v>
      </c>
      <c r="G2025" s="2">
        <f>VLOOKUP(E2025,Produtos!$A:$E,5,FALSE)</f>
        <v>870</v>
      </c>
      <c r="H2025" s="2">
        <f>VLOOKUP(E2025,Produtos!$A:$E,4,FALSE)</f>
        <v>450</v>
      </c>
      <c r="I2025" s="2">
        <v>1</v>
      </c>
    </row>
    <row r="2026" spans="1:9" x14ac:dyDescent="0.25">
      <c r="A2026" s="2" t="str">
        <f>CONCATENATE(Códigos!S2025,Códigos!T2025,Códigos!U2025)</f>
        <v>svv2024v</v>
      </c>
      <c r="B2026" t="s">
        <v>406</v>
      </c>
      <c r="C2026" t="s">
        <v>503</v>
      </c>
      <c r="D2026" s="2" t="s">
        <v>482</v>
      </c>
      <c r="E2026" t="s">
        <v>375</v>
      </c>
      <c r="F2026" s="11">
        <v>43736</v>
      </c>
      <c r="G2026" s="2">
        <f>VLOOKUP(E2026,Produtos!$A:$E,5,FALSE)</f>
        <v>870</v>
      </c>
      <c r="H2026" s="2">
        <f>VLOOKUP(E2026,Produtos!$A:$E,4,FALSE)</f>
        <v>450</v>
      </c>
      <c r="I2026" s="2">
        <v>1</v>
      </c>
    </row>
    <row r="2027" spans="1:9" x14ac:dyDescent="0.25">
      <c r="A2027" s="2" t="str">
        <f>CONCATENATE(Códigos!S2026,Códigos!T2026,Códigos!U2026)</f>
        <v>svv2025v</v>
      </c>
      <c r="B2027" t="s">
        <v>406</v>
      </c>
      <c r="C2027" t="s">
        <v>503</v>
      </c>
      <c r="D2027" s="2" t="s">
        <v>482</v>
      </c>
      <c r="E2027" t="s">
        <v>375</v>
      </c>
      <c r="F2027" s="11">
        <v>43737</v>
      </c>
      <c r="G2027" s="2">
        <f>VLOOKUP(E2027,Produtos!$A:$E,5,FALSE)</f>
        <v>870</v>
      </c>
      <c r="H2027" s="2">
        <f>VLOOKUP(E2027,Produtos!$A:$E,4,FALSE)</f>
        <v>450</v>
      </c>
      <c r="I2027" s="2">
        <v>1</v>
      </c>
    </row>
    <row r="2028" spans="1:9" x14ac:dyDescent="0.25">
      <c r="A2028" s="2" t="str">
        <f>CONCATENATE(Códigos!S2027,Códigos!T2027,Códigos!U2027)</f>
        <v>svv2026v</v>
      </c>
      <c r="B2028" t="s">
        <v>406</v>
      </c>
      <c r="C2028" t="s">
        <v>503</v>
      </c>
      <c r="D2028" s="2" t="s">
        <v>482</v>
      </c>
      <c r="E2028" t="s">
        <v>375</v>
      </c>
      <c r="F2028" s="11">
        <v>43738</v>
      </c>
      <c r="G2028" s="2">
        <f>VLOOKUP(E2028,Produtos!$A:$E,5,FALSE)</f>
        <v>870</v>
      </c>
      <c r="H2028" s="2">
        <f>VLOOKUP(E2028,Produtos!$A:$E,4,FALSE)</f>
        <v>450</v>
      </c>
      <c r="I2028" s="2">
        <v>1</v>
      </c>
    </row>
    <row r="2029" spans="1:9" x14ac:dyDescent="0.25">
      <c r="A2029" s="2" t="str">
        <f>CONCATENATE(Códigos!S2028,Códigos!T2028,Códigos!U2028)</f>
        <v>svv2027v</v>
      </c>
      <c r="B2029" t="s">
        <v>406</v>
      </c>
      <c r="C2029" t="s">
        <v>503</v>
      </c>
      <c r="D2029" s="2" t="s">
        <v>482</v>
      </c>
      <c r="E2029" t="s">
        <v>375</v>
      </c>
      <c r="F2029" s="11">
        <v>43739</v>
      </c>
      <c r="G2029" s="2">
        <f>VLOOKUP(E2029,Produtos!$A:$E,5,FALSE)</f>
        <v>870</v>
      </c>
      <c r="H2029" s="2">
        <f>VLOOKUP(E2029,Produtos!$A:$E,4,FALSE)</f>
        <v>450</v>
      </c>
      <c r="I2029" s="2">
        <v>1</v>
      </c>
    </row>
    <row r="2030" spans="1:9" x14ac:dyDescent="0.25">
      <c r="A2030" s="2" t="str">
        <f>CONCATENATE(Códigos!S2029,Códigos!T2029,Códigos!U2029)</f>
        <v>svv2028v</v>
      </c>
      <c r="B2030" t="s">
        <v>406</v>
      </c>
      <c r="C2030" t="s">
        <v>503</v>
      </c>
      <c r="D2030" s="2" t="s">
        <v>482</v>
      </c>
      <c r="E2030" t="s">
        <v>375</v>
      </c>
      <c r="F2030" s="11">
        <v>43740</v>
      </c>
      <c r="G2030" s="2">
        <f>VLOOKUP(E2030,Produtos!$A:$E,5,FALSE)</f>
        <v>870</v>
      </c>
      <c r="H2030" s="2">
        <f>VLOOKUP(E2030,Produtos!$A:$E,4,FALSE)</f>
        <v>450</v>
      </c>
      <c r="I2030" s="2">
        <v>1</v>
      </c>
    </row>
    <row r="2031" spans="1:9" x14ac:dyDescent="0.25">
      <c r="A2031" s="2" t="str">
        <f>CONCATENATE(Códigos!S2030,Códigos!T2030,Códigos!U2030)</f>
        <v>svv2029v</v>
      </c>
      <c r="B2031" t="s">
        <v>406</v>
      </c>
      <c r="C2031" t="s">
        <v>503</v>
      </c>
      <c r="D2031" s="2" t="s">
        <v>482</v>
      </c>
      <c r="E2031" t="s">
        <v>324</v>
      </c>
      <c r="F2031" s="11">
        <v>43741</v>
      </c>
      <c r="G2031" s="2">
        <f>VLOOKUP(E2031,Produtos!$A:$E,5,FALSE)</f>
        <v>2600</v>
      </c>
      <c r="H2031" s="2">
        <f>VLOOKUP(E2031,Produtos!$A:$E,4,FALSE)</f>
        <v>2000</v>
      </c>
      <c r="I2031" s="2">
        <v>1</v>
      </c>
    </row>
    <row r="2032" spans="1:9" x14ac:dyDescent="0.25">
      <c r="A2032" s="2" t="str">
        <f>CONCATENATE(Códigos!S2031,Códigos!T2031,Códigos!U2031)</f>
        <v>svv2030v</v>
      </c>
      <c r="B2032" t="s">
        <v>406</v>
      </c>
      <c r="C2032" t="s">
        <v>503</v>
      </c>
      <c r="D2032" s="2" t="s">
        <v>482</v>
      </c>
      <c r="E2032" t="s">
        <v>324</v>
      </c>
      <c r="F2032" s="11">
        <v>43742</v>
      </c>
      <c r="G2032" s="2">
        <f>VLOOKUP(E2032,Produtos!$A:$E,5,FALSE)</f>
        <v>2600</v>
      </c>
      <c r="H2032" s="2">
        <f>VLOOKUP(E2032,Produtos!$A:$E,4,FALSE)</f>
        <v>2000</v>
      </c>
      <c r="I2032" s="2">
        <v>1</v>
      </c>
    </row>
    <row r="2033" spans="1:9" x14ac:dyDescent="0.25">
      <c r="A2033" s="2" t="str">
        <f>CONCATENATE(Códigos!S2032,Códigos!T2032,Códigos!U2032)</f>
        <v>svv2031v</v>
      </c>
      <c r="B2033" t="s">
        <v>406</v>
      </c>
      <c r="C2033" t="s">
        <v>503</v>
      </c>
      <c r="D2033" s="2" t="s">
        <v>482</v>
      </c>
      <c r="E2033" t="s">
        <v>324</v>
      </c>
      <c r="F2033" s="11">
        <v>43743</v>
      </c>
      <c r="G2033" s="2">
        <f>VLOOKUP(E2033,Produtos!$A:$E,5,FALSE)</f>
        <v>2600</v>
      </c>
      <c r="H2033" s="2">
        <f>VLOOKUP(E2033,Produtos!$A:$E,4,FALSE)</f>
        <v>2000</v>
      </c>
      <c r="I2033" s="2">
        <v>1</v>
      </c>
    </row>
    <row r="2034" spans="1:9" x14ac:dyDescent="0.25">
      <c r="A2034" s="2" t="str">
        <f>CONCATENATE(Códigos!S2033,Códigos!T2033,Códigos!U2033)</f>
        <v>svv2032v</v>
      </c>
      <c r="B2034" t="s">
        <v>406</v>
      </c>
      <c r="C2034" t="s">
        <v>503</v>
      </c>
      <c r="D2034" s="2" t="s">
        <v>482</v>
      </c>
      <c r="E2034" t="s">
        <v>324</v>
      </c>
      <c r="F2034" s="11">
        <v>43744</v>
      </c>
      <c r="G2034" s="2">
        <f>VLOOKUP(E2034,Produtos!$A:$E,5,FALSE)</f>
        <v>2600</v>
      </c>
      <c r="H2034" s="2">
        <f>VLOOKUP(E2034,Produtos!$A:$E,4,FALSE)</f>
        <v>2000</v>
      </c>
      <c r="I2034" s="2">
        <v>1</v>
      </c>
    </row>
    <row r="2035" spans="1:9" x14ac:dyDescent="0.25">
      <c r="A2035" s="2" t="str">
        <f>CONCATENATE(Códigos!S2034,Códigos!T2034,Códigos!U2034)</f>
        <v>svv2033v</v>
      </c>
      <c r="B2035" t="s">
        <v>406</v>
      </c>
      <c r="C2035" t="s">
        <v>503</v>
      </c>
      <c r="D2035" s="2" t="s">
        <v>482</v>
      </c>
      <c r="E2035" t="s">
        <v>324</v>
      </c>
      <c r="F2035" s="11">
        <v>43745</v>
      </c>
      <c r="G2035" s="2">
        <f>VLOOKUP(E2035,Produtos!$A:$E,5,FALSE)</f>
        <v>2600</v>
      </c>
      <c r="H2035" s="2">
        <f>VLOOKUP(E2035,Produtos!$A:$E,4,FALSE)</f>
        <v>2000</v>
      </c>
      <c r="I2035" s="2">
        <v>1</v>
      </c>
    </row>
    <row r="2036" spans="1:9" x14ac:dyDescent="0.25">
      <c r="A2036" s="2" t="str">
        <f>CONCATENATE(Códigos!S2035,Códigos!T2035,Códigos!U2035)</f>
        <v>svv2034v</v>
      </c>
      <c r="B2036" t="s">
        <v>406</v>
      </c>
      <c r="C2036" t="s">
        <v>503</v>
      </c>
      <c r="D2036" s="2" t="s">
        <v>482</v>
      </c>
      <c r="E2036" t="s">
        <v>324</v>
      </c>
      <c r="F2036" s="11">
        <v>43746</v>
      </c>
      <c r="G2036" s="2">
        <f>VLOOKUP(E2036,Produtos!$A:$E,5,FALSE)</f>
        <v>2600</v>
      </c>
      <c r="H2036" s="2">
        <f>VLOOKUP(E2036,Produtos!$A:$E,4,FALSE)</f>
        <v>2000</v>
      </c>
      <c r="I2036" s="2">
        <v>1</v>
      </c>
    </row>
    <row r="2037" spans="1:9" x14ac:dyDescent="0.25">
      <c r="A2037" s="2" t="str">
        <f>CONCATENATE(Códigos!S2036,Códigos!T2036,Códigos!U2036)</f>
        <v>svv2035v</v>
      </c>
      <c r="B2037" t="s">
        <v>406</v>
      </c>
      <c r="C2037" t="s">
        <v>503</v>
      </c>
      <c r="D2037" s="2" t="s">
        <v>482</v>
      </c>
      <c r="E2037" t="s">
        <v>324</v>
      </c>
      <c r="F2037" s="11">
        <v>43747</v>
      </c>
      <c r="G2037" s="2">
        <f>VLOOKUP(E2037,Produtos!$A:$E,5,FALSE)</f>
        <v>2600</v>
      </c>
      <c r="H2037" s="2">
        <f>VLOOKUP(E2037,Produtos!$A:$E,4,FALSE)</f>
        <v>2000</v>
      </c>
      <c r="I2037" s="2">
        <v>1</v>
      </c>
    </row>
    <row r="2038" spans="1:9" x14ac:dyDescent="0.25">
      <c r="A2038" s="2" t="str">
        <f>CONCATENATE(Códigos!S2037,Códigos!T2037,Códigos!U2037)</f>
        <v>svv2036v</v>
      </c>
      <c r="B2038" t="s">
        <v>406</v>
      </c>
      <c r="C2038" t="s">
        <v>503</v>
      </c>
      <c r="D2038" s="2" t="s">
        <v>482</v>
      </c>
      <c r="E2038" t="s">
        <v>324</v>
      </c>
      <c r="F2038" s="11">
        <v>43748</v>
      </c>
      <c r="G2038" s="2">
        <f>VLOOKUP(E2038,Produtos!$A:$E,5,FALSE)</f>
        <v>2600</v>
      </c>
      <c r="H2038" s="2">
        <f>VLOOKUP(E2038,Produtos!$A:$E,4,FALSE)</f>
        <v>2000</v>
      </c>
      <c r="I2038" s="2">
        <v>1</v>
      </c>
    </row>
    <row r="2039" spans="1:9" x14ac:dyDescent="0.25">
      <c r="A2039" s="2" t="str">
        <f>CONCATENATE(Códigos!S2038,Códigos!T2038,Códigos!U2038)</f>
        <v>svv2037v</v>
      </c>
      <c r="B2039" t="s">
        <v>406</v>
      </c>
      <c r="C2039" t="s">
        <v>503</v>
      </c>
      <c r="D2039" s="2" t="s">
        <v>482</v>
      </c>
      <c r="E2039" t="s">
        <v>324</v>
      </c>
      <c r="F2039" s="11">
        <v>43749</v>
      </c>
      <c r="G2039" s="2">
        <f>VLOOKUP(E2039,Produtos!$A:$E,5,FALSE)</f>
        <v>2600</v>
      </c>
      <c r="H2039" s="2">
        <f>VLOOKUP(E2039,Produtos!$A:$E,4,FALSE)</f>
        <v>2000</v>
      </c>
      <c r="I2039" s="2">
        <v>1</v>
      </c>
    </row>
    <row r="2040" spans="1:9" x14ac:dyDescent="0.25">
      <c r="A2040" s="2" t="str">
        <f>CONCATENATE(Códigos!S2039,Códigos!T2039,Códigos!U2039)</f>
        <v>svv2038v</v>
      </c>
      <c r="B2040" t="s">
        <v>406</v>
      </c>
      <c r="C2040" t="s">
        <v>503</v>
      </c>
      <c r="D2040" s="2" t="s">
        <v>482</v>
      </c>
      <c r="E2040" t="s">
        <v>324</v>
      </c>
      <c r="F2040" s="11">
        <v>43750</v>
      </c>
      <c r="G2040" s="2">
        <f>VLOOKUP(E2040,Produtos!$A:$E,5,FALSE)</f>
        <v>2600</v>
      </c>
      <c r="H2040" s="2">
        <f>VLOOKUP(E2040,Produtos!$A:$E,4,FALSE)</f>
        <v>2000</v>
      </c>
      <c r="I2040" s="2">
        <v>1</v>
      </c>
    </row>
    <row r="2041" spans="1:9" x14ac:dyDescent="0.25">
      <c r="A2041" s="2" t="str">
        <f>CONCATENATE(Códigos!S2040,Códigos!T2040,Códigos!U2040)</f>
        <v>svv2039v</v>
      </c>
      <c r="B2041" t="s">
        <v>406</v>
      </c>
      <c r="C2041" t="s">
        <v>503</v>
      </c>
      <c r="D2041" s="2" t="s">
        <v>482</v>
      </c>
      <c r="E2041" t="s">
        <v>324</v>
      </c>
      <c r="F2041" s="11">
        <v>43751</v>
      </c>
      <c r="G2041" s="2">
        <f>VLOOKUP(E2041,Produtos!$A:$E,5,FALSE)</f>
        <v>2600</v>
      </c>
      <c r="H2041" s="2">
        <f>VLOOKUP(E2041,Produtos!$A:$E,4,FALSE)</f>
        <v>2000</v>
      </c>
      <c r="I2041" s="2">
        <v>1</v>
      </c>
    </row>
    <row r="2042" spans="1:9" x14ac:dyDescent="0.25">
      <c r="A2042" s="2" t="str">
        <f>CONCATENATE(Códigos!S2041,Códigos!T2041,Códigos!U2041)</f>
        <v>svv2040v</v>
      </c>
      <c r="B2042" t="s">
        <v>406</v>
      </c>
      <c r="C2042" t="s">
        <v>503</v>
      </c>
      <c r="D2042" s="2" t="s">
        <v>482</v>
      </c>
      <c r="E2042" t="s">
        <v>324</v>
      </c>
      <c r="F2042" s="11">
        <v>43752</v>
      </c>
      <c r="G2042" s="2">
        <f>VLOOKUP(E2042,Produtos!$A:$E,5,FALSE)</f>
        <v>2600</v>
      </c>
      <c r="H2042" s="2">
        <f>VLOOKUP(E2042,Produtos!$A:$E,4,FALSE)</f>
        <v>2000</v>
      </c>
      <c r="I2042" s="2">
        <v>1</v>
      </c>
    </row>
    <row r="2043" spans="1:9" x14ac:dyDescent="0.25">
      <c r="A2043" s="2" t="str">
        <f>CONCATENATE(Códigos!S2042,Códigos!T2042,Códigos!U2042)</f>
        <v>svv2041v</v>
      </c>
      <c r="B2043" t="s">
        <v>406</v>
      </c>
      <c r="C2043" t="s">
        <v>503</v>
      </c>
      <c r="D2043" s="2" t="s">
        <v>482</v>
      </c>
      <c r="E2043" t="s">
        <v>324</v>
      </c>
      <c r="F2043" s="11">
        <v>43753</v>
      </c>
      <c r="G2043" s="2">
        <f>VLOOKUP(E2043,Produtos!$A:$E,5,FALSE)</f>
        <v>2600</v>
      </c>
      <c r="H2043" s="2">
        <f>VLOOKUP(E2043,Produtos!$A:$E,4,FALSE)</f>
        <v>2000</v>
      </c>
      <c r="I2043" s="2">
        <v>1</v>
      </c>
    </row>
    <row r="2044" spans="1:9" x14ac:dyDescent="0.25">
      <c r="A2044" s="2" t="str">
        <f>CONCATENATE(Códigos!S2043,Códigos!T2043,Códigos!U2043)</f>
        <v>svv2042v</v>
      </c>
      <c r="B2044" t="s">
        <v>406</v>
      </c>
      <c r="C2044" t="s">
        <v>503</v>
      </c>
      <c r="D2044" s="2" t="s">
        <v>482</v>
      </c>
      <c r="E2044" t="s">
        <v>324</v>
      </c>
      <c r="F2044" s="11">
        <v>43754</v>
      </c>
      <c r="G2044" s="2">
        <f>VLOOKUP(E2044,Produtos!$A:$E,5,FALSE)</f>
        <v>2600</v>
      </c>
      <c r="H2044" s="2">
        <f>VLOOKUP(E2044,Produtos!$A:$E,4,FALSE)</f>
        <v>2000</v>
      </c>
      <c r="I2044" s="2">
        <v>1</v>
      </c>
    </row>
    <row r="2045" spans="1:9" x14ac:dyDescent="0.25">
      <c r="A2045" s="2" t="str">
        <f>CONCATENATE(Códigos!S2044,Códigos!T2044,Códigos!U2044)</f>
        <v>svv2043v</v>
      </c>
      <c r="B2045" t="s">
        <v>406</v>
      </c>
      <c r="C2045" t="s">
        <v>503</v>
      </c>
      <c r="D2045" s="2" t="s">
        <v>482</v>
      </c>
      <c r="E2045" t="s">
        <v>324</v>
      </c>
      <c r="F2045" s="11">
        <v>43755</v>
      </c>
      <c r="G2045" s="2">
        <f>VLOOKUP(E2045,Produtos!$A:$E,5,FALSE)</f>
        <v>2600</v>
      </c>
      <c r="H2045" s="2">
        <f>VLOOKUP(E2045,Produtos!$A:$E,4,FALSE)</f>
        <v>2000</v>
      </c>
      <c r="I2045" s="2">
        <v>1</v>
      </c>
    </row>
    <row r="2046" spans="1:9" x14ac:dyDescent="0.25">
      <c r="A2046" s="2" t="str">
        <f>CONCATENATE(Códigos!S2045,Códigos!T2045,Códigos!U2045)</f>
        <v>svv2044v</v>
      </c>
      <c r="B2046" t="s">
        <v>406</v>
      </c>
      <c r="C2046" t="s">
        <v>503</v>
      </c>
      <c r="D2046" s="2" t="s">
        <v>482</v>
      </c>
      <c r="E2046" t="s">
        <v>324</v>
      </c>
      <c r="F2046" s="11">
        <v>43756</v>
      </c>
      <c r="G2046" s="2">
        <f>VLOOKUP(E2046,Produtos!$A:$E,5,FALSE)</f>
        <v>2600</v>
      </c>
      <c r="H2046" s="2">
        <f>VLOOKUP(E2046,Produtos!$A:$E,4,FALSE)</f>
        <v>2000</v>
      </c>
      <c r="I2046" s="2">
        <v>1</v>
      </c>
    </row>
    <row r="2047" spans="1:9" x14ac:dyDescent="0.25">
      <c r="A2047" s="2" t="str">
        <f>CONCATENATE(Códigos!S2046,Códigos!T2046,Códigos!U2046)</f>
        <v>svv2045v</v>
      </c>
      <c r="B2047" t="s">
        <v>406</v>
      </c>
      <c r="C2047" t="s">
        <v>503</v>
      </c>
      <c r="D2047" s="2" t="s">
        <v>482</v>
      </c>
      <c r="E2047" t="s">
        <v>324</v>
      </c>
      <c r="F2047" s="11">
        <v>43757</v>
      </c>
      <c r="G2047" s="2">
        <f>VLOOKUP(E2047,Produtos!$A:$E,5,FALSE)</f>
        <v>2600</v>
      </c>
      <c r="H2047" s="2">
        <f>VLOOKUP(E2047,Produtos!$A:$E,4,FALSE)</f>
        <v>2000</v>
      </c>
      <c r="I2047" s="2">
        <v>1</v>
      </c>
    </row>
    <row r="2048" spans="1:9" x14ac:dyDescent="0.25">
      <c r="A2048" s="2" t="str">
        <f>CONCATENATE(Códigos!S2047,Códigos!T2047,Códigos!U2047)</f>
        <v>svv2046v</v>
      </c>
      <c r="B2048" t="s">
        <v>406</v>
      </c>
      <c r="C2048" t="s">
        <v>503</v>
      </c>
      <c r="D2048" s="2" t="s">
        <v>482</v>
      </c>
      <c r="E2048" t="s">
        <v>324</v>
      </c>
      <c r="F2048" s="11">
        <v>43758</v>
      </c>
      <c r="G2048" s="2">
        <f>VLOOKUP(E2048,Produtos!$A:$E,5,FALSE)</f>
        <v>2600</v>
      </c>
      <c r="H2048" s="2">
        <f>VLOOKUP(E2048,Produtos!$A:$E,4,FALSE)</f>
        <v>2000</v>
      </c>
      <c r="I2048" s="2">
        <v>1</v>
      </c>
    </row>
    <row r="2049" spans="1:9" x14ac:dyDescent="0.25">
      <c r="A2049" s="2" t="str">
        <f>CONCATENATE(Códigos!S2048,Códigos!T2048,Códigos!U2048)</f>
        <v>svv2047v</v>
      </c>
      <c r="B2049" t="s">
        <v>406</v>
      </c>
      <c r="C2049" t="s">
        <v>503</v>
      </c>
      <c r="D2049" s="2" t="s">
        <v>482</v>
      </c>
      <c r="E2049" t="s">
        <v>324</v>
      </c>
      <c r="F2049" s="11">
        <v>43759</v>
      </c>
      <c r="G2049" s="2">
        <f>VLOOKUP(E2049,Produtos!$A:$E,5,FALSE)</f>
        <v>2600</v>
      </c>
      <c r="H2049" s="2">
        <f>VLOOKUP(E2049,Produtos!$A:$E,4,FALSE)</f>
        <v>2000</v>
      </c>
      <c r="I2049" s="2">
        <v>1</v>
      </c>
    </row>
    <row r="2050" spans="1:9" x14ac:dyDescent="0.25">
      <c r="A2050" s="2" t="str">
        <f>CONCATENATE(Códigos!S2049,Códigos!T2049,Códigos!U2049)</f>
        <v>svv2048v</v>
      </c>
      <c r="B2050" t="s">
        <v>406</v>
      </c>
      <c r="C2050" t="s">
        <v>503</v>
      </c>
      <c r="D2050" s="2" t="s">
        <v>482</v>
      </c>
      <c r="E2050" t="s">
        <v>324</v>
      </c>
      <c r="F2050" s="11">
        <v>43760</v>
      </c>
      <c r="G2050" s="2">
        <f>VLOOKUP(E2050,Produtos!$A:$E,5,FALSE)</f>
        <v>2600</v>
      </c>
      <c r="H2050" s="2">
        <f>VLOOKUP(E2050,Produtos!$A:$E,4,FALSE)</f>
        <v>2000</v>
      </c>
      <c r="I2050" s="2">
        <v>1</v>
      </c>
    </row>
    <row r="2051" spans="1:9" x14ac:dyDescent="0.25">
      <c r="A2051" s="2" t="str">
        <f>CONCATENATE(Códigos!S2050,Códigos!T2050,Códigos!U2050)</f>
        <v>svv2049v</v>
      </c>
      <c r="B2051" t="s">
        <v>406</v>
      </c>
      <c r="C2051" t="s">
        <v>503</v>
      </c>
      <c r="D2051" s="2" t="s">
        <v>482</v>
      </c>
      <c r="E2051" t="s">
        <v>324</v>
      </c>
      <c r="F2051" s="11">
        <v>43761</v>
      </c>
      <c r="G2051" s="2">
        <f>VLOOKUP(E2051,Produtos!$A:$E,5,FALSE)</f>
        <v>2600</v>
      </c>
      <c r="H2051" s="2">
        <f>VLOOKUP(E2051,Produtos!$A:$E,4,FALSE)</f>
        <v>2000</v>
      </c>
      <c r="I2051" s="2">
        <v>1</v>
      </c>
    </row>
    <row r="2052" spans="1:9" x14ac:dyDescent="0.25">
      <c r="A2052" s="2" t="str">
        <f>CONCATENATE(Códigos!S2051,Códigos!T2051,Códigos!U2051)</f>
        <v>svv2050v</v>
      </c>
      <c r="B2052" t="s">
        <v>406</v>
      </c>
      <c r="C2052" t="s">
        <v>503</v>
      </c>
      <c r="D2052" s="2" t="s">
        <v>482</v>
      </c>
      <c r="E2052" t="s">
        <v>324</v>
      </c>
      <c r="F2052" s="11">
        <v>43762</v>
      </c>
      <c r="G2052" s="2">
        <f>VLOOKUP(E2052,Produtos!$A:$E,5,FALSE)</f>
        <v>2600</v>
      </c>
      <c r="H2052" s="2">
        <f>VLOOKUP(E2052,Produtos!$A:$E,4,FALSE)</f>
        <v>2000</v>
      </c>
      <c r="I2052" s="2">
        <v>1</v>
      </c>
    </row>
    <row r="2053" spans="1:9" x14ac:dyDescent="0.25">
      <c r="A2053" s="2" t="str">
        <f>CONCATENATE(Códigos!S2052,Códigos!T2052,Códigos!U2052)</f>
        <v>svv2051v</v>
      </c>
      <c r="B2053" t="s">
        <v>406</v>
      </c>
      <c r="C2053" t="s">
        <v>503</v>
      </c>
      <c r="D2053" s="2" t="s">
        <v>482</v>
      </c>
      <c r="E2053" t="s">
        <v>324</v>
      </c>
      <c r="F2053" s="11">
        <v>43763</v>
      </c>
      <c r="G2053" s="2">
        <f>VLOOKUP(E2053,Produtos!$A:$E,5,FALSE)</f>
        <v>2600</v>
      </c>
      <c r="H2053" s="2">
        <f>VLOOKUP(E2053,Produtos!$A:$E,4,FALSE)</f>
        <v>2000</v>
      </c>
      <c r="I2053" s="2">
        <v>1</v>
      </c>
    </row>
    <row r="2054" spans="1:9" x14ac:dyDescent="0.25">
      <c r="A2054" s="2" t="str">
        <f>CONCATENATE(Códigos!S2053,Códigos!T2053,Códigos!U2053)</f>
        <v>svv2052v</v>
      </c>
      <c r="B2054" t="s">
        <v>406</v>
      </c>
      <c r="C2054" t="s">
        <v>503</v>
      </c>
      <c r="D2054" s="2" t="s">
        <v>482</v>
      </c>
      <c r="E2054" t="s">
        <v>324</v>
      </c>
      <c r="F2054" s="11">
        <v>43764</v>
      </c>
      <c r="G2054" s="2">
        <f>VLOOKUP(E2054,Produtos!$A:$E,5,FALSE)</f>
        <v>2600</v>
      </c>
      <c r="H2054" s="2">
        <f>VLOOKUP(E2054,Produtos!$A:$E,4,FALSE)</f>
        <v>2000</v>
      </c>
      <c r="I2054" s="2">
        <v>1</v>
      </c>
    </row>
    <row r="2055" spans="1:9" x14ac:dyDescent="0.25">
      <c r="A2055" s="2" t="str">
        <f>CONCATENATE(Códigos!S2054,Códigos!T2054,Códigos!U2054)</f>
        <v>svv2053v</v>
      </c>
      <c r="B2055" t="s">
        <v>406</v>
      </c>
      <c r="C2055" t="s">
        <v>503</v>
      </c>
      <c r="D2055" s="2" t="s">
        <v>482</v>
      </c>
      <c r="E2055" t="s">
        <v>324</v>
      </c>
      <c r="F2055" s="11">
        <v>43765</v>
      </c>
      <c r="G2055" s="2">
        <f>VLOOKUP(E2055,Produtos!$A:$E,5,FALSE)</f>
        <v>2600</v>
      </c>
      <c r="H2055" s="2">
        <f>VLOOKUP(E2055,Produtos!$A:$E,4,FALSE)</f>
        <v>2000</v>
      </c>
      <c r="I2055" s="2">
        <v>1</v>
      </c>
    </row>
    <row r="2056" spans="1:9" x14ac:dyDescent="0.25">
      <c r="A2056" s="2" t="str">
        <f>CONCATENATE(Códigos!S2055,Códigos!T2055,Códigos!U2055)</f>
        <v>svv2054v</v>
      </c>
      <c r="B2056" t="s">
        <v>406</v>
      </c>
      <c r="C2056" t="s">
        <v>503</v>
      </c>
      <c r="D2056" s="2" t="s">
        <v>482</v>
      </c>
      <c r="E2056" t="s">
        <v>324</v>
      </c>
      <c r="F2056" s="11">
        <v>43766</v>
      </c>
      <c r="G2056" s="2">
        <f>VLOOKUP(E2056,Produtos!$A:$E,5,FALSE)</f>
        <v>2600</v>
      </c>
      <c r="H2056" s="2">
        <f>VLOOKUP(E2056,Produtos!$A:$E,4,FALSE)</f>
        <v>2000</v>
      </c>
      <c r="I2056" s="2">
        <v>1</v>
      </c>
    </row>
    <row r="2057" spans="1:9" x14ac:dyDescent="0.25">
      <c r="A2057" s="2" t="str">
        <f>CONCATENATE(Códigos!S2056,Códigos!T2056,Códigos!U2056)</f>
        <v>svv2055v</v>
      </c>
      <c r="B2057" t="s">
        <v>406</v>
      </c>
      <c r="C2057" t="s">
        <v>503</v>
      </c>
      <c r="D2057" s="2" t="s">
        <v>482</v>
      </c>
      <c r="E2057" t="s">
        <v>324</v>
      </c>
      <c r="F2057" s="11">
        <v>43767</v>
      </c>
      <c r="G2057" s="2">
        <f>VLOOKUP(E2057,Produtos!$A:$E,5,FALSE)</f>
        <v>2600</v>
      </c>
      <c r="H2057" s="2">
        <f>VLOOKUP(E2057,Produtos!$A:$E,4,FALSE)</f>
        <v>2000</v>
      </c>
      <c r="I2057" s="2">
        <v>1</v>
      </c>
    </row>
    <row r="2058" spans="1:9" x14ac:dyDescent="0.25">
      <c r="A2058" s="2" t="str">
        <f>CONCATENATE(Códigos!S2057,Códigos!T2057,Códigos!U2057)</f>
        <v>svv2056v</v>
      </c>
      <c r="B2058" t="s">
        <v>406</v>
      </c>
      <c r="C2058" t="s">
        <v>503</v>
      </c>
      <c r="D2058" s="2" t="s">
        <v>482</v>
      </c>
      <c r="E2058" t="s">
        <v>324</v>
      </c>
      <c r="F2058" s="11">
        <v>43768</v>
      </c>
      <c r="G2058" s="2">
        <f>VLOOKUP(E2058,Produtos!$A:$E,5,FALSE)</f>
        <v>2600</v>
      </c>
      <c r="H2058" s="2">
        <f>VLOOKUP(E2058,Produtos!$A:$E,4,FALSE)</f>
        <v>2000</v>
      </c>
      <c r="I2058" s="2">
        <v>1</v>
      </c>
    </row>
    <row r="2059" spans="1:9" x14ac:dyDescent="0.25">
      <c r="A2059" s="2" t="str">
        <f>CONCATENATE(Códigos!S2058,Códigos!T2058,Códigos!U2058)</f>
        <v>svv2057v</v>
      </c>
      <c r="B2059" t="s">
        <v>406</v>
      </c>
      <c r="C2059" t="s">
        <v>503</v>
      </c>
      <c r="D2059" s="2" t="s">
        <v>482</v>
      </c>
      <c r="E2059" t="s">
        <v>324</v>
      </c>
      <c r="F2059" s="11">
        <v>43769</v>
      </c>
      <c r="G2059" s="2">
        <f>VLOOKUP(E2059,Produtos!$A:$E,5,FALSE)</f>
        <v>2600</v>
      </c>
      <c r="H2059" s="2">
        <f>VLOOKUP(E2059,Produtos!$A:$E,4,FALSE)</f>
        <v>2000</v>
      </c>
      <c r="I2059" s="2">
        <v>1</v>
      </c>
    </row>
    <row r="2060" spans="1:9" x14ac:dyDescent="0.25">
      <c r="A2060" s="2" t="str">
        <f>CONCATENATE(Códigos!S2059,Códigos!T2059,Códigos!U2059)</f>
        <v>svv2058v</v>
      </c>
      <c r="B2060" t="s">
        <v>406</v>
      </c>
      <c r="C2060" t="s">
        <v>503</v>
      </c>
      <c r="D2060" s="2" t="s">
        <v>482</v>
      </c>
      <c r="E2060" t="s">
        <v>324</v>
      </c>
      <c r="F2060" s="11">
        <v>43770</v>
      </c>
      <c r="G2060" s="2">
        <f>VLOOKUP(E2060,Produtos!$A:$E,5,FALSE)</f>
        <v>2600</v>
      </c>
      <c r="H2060" s="2">
        <f>VLOOKUP(E2060,Produtos!$A:$E,4,FALSE)</f>
        <v>2000</v>
      </c>
      <c r="I2060" s="2">
        <v>1</v>
      </c>
    </row>
    <row r="2061" spans="1:9" x14ac:dyDescent="0.25">
      <c r="A2061" s="2" t="str">
        <f>CONCATENATE(Códigos!S2060,Códigos!T2060,Códigos!U2060)</f>
        <v>svv2059v</v>
      </c>
      <c r="B2061" t="s">
        <v>406</v>
      </c>
      <c r="C2061" t="s">
        <v>503</v>
      </c>
      <c r="D2061" s="2" t="s">
        <v>482</v>
      </c>
      <c r="E2061" t="s">
        <v>324</v>
      </c>
      <c r="F2061" s="11">
        <v>43771</v>
      </c>
      <c r="G2061" s="2">
        <f>VLOOKUP(E2061,Produtos!$A:$E,5,FALSE)</f>
        <v>2600</v>
      </c>
      <c r="H2061" s="2">
        <f>VLOOKUP(E2061,Produtos!$A:$E,4,FALSE)</f>
        <v>2000</v>
      </c>
      <c r="I2061" s="2">
        <v>1</v>
      </c>
    </row>
    <row r="2062" spans="1:9" x14ac:dyDescent="0.25">
      <c r="A2062" s="2" t="str">
        <f>CONCATENATE(Códigos!S2061,Códigos!T2061,Códigos!U2061)</f>
        <v>svv2060v</v>
      </c>
      <c r="B2062" t="s">
        <v>406</v>
      </c>
      <c r="C2062" t="s">
        <v>503</v>
      </c>
      <c r="D2062" s="2" t="s">
        <v>482</v>
      </c>
      <c r="E2062" t="s">
        <v>324</v>
      </c>
      <c r="F2062" s="11">
        <v>43772</v>
      </c>
      <c r="G2062" s="2">
        <f>VLOOKUP(E2062,Produtos!$A:$E,5,FALSE)</f>
        <v>2600</v>
      </c>
      <c r="H2062" s="2">
        <f>VLOOKUP(E2062,Produtos!$A:$E,4,FALSE)</f>
        <v>2000</v>
      </c>
      <c r="I2062" s="2">
        <v>1</v>
      </c>
    </row>
    <row r="2063" spans="1:9" x14ac:dyDescent="0.25">
      <c r="A2063" s="2" t="str">
        <f>CONCATENATE(Códigos!S2062,Códigos!T2062,Códigos!U2062)</f>
        <v>svv2061v</v>
      </c>
      <c r="B2063" t="s">
        <v>406</v>
      </c>
      <c r="C2063" t="s">
        <v>503</v>
      </c>
      <c r="D2063" s="2" t="s">
        <v>482</v>
      </c>
      <c r="E2063" t="s">
        <v>324</v>
      </c>
      <c r="F2063" s="11">
        <v>43773</v>
      </c>
      <c r="G2063" s="2">
        <f>VLOOKUP(E2063,Produtos!$A:$E,5,FALSE)</f>
        <v>2600</v>
      </c>
      <c r="H2063" s="2">
        <f>VLOOKUP(E2063,Produtos!$A:$E,4,FALSE)</f>
        <v>2000</v>
      </c>
      <c r="I2063" s="2">
        <v>1</v>
      </c>
    </row>
    <row r="2064" spans="1:9" x14ac:dyDescent="0.25">
      <c r="A2064" s="2" t="str">
        <f>CONCATENATE(Códigos!S2063,Códigos!T2063,Códigos!U2063)</f>
        <v>svv2062v</v>
      </c>
      <c r="B2064" t="s">
        <v>406</v>
      </c>
      <c r="C2064" t="s">
        <v>503</v>
      </c>
      <c r="D2064" s="2" t="s">
        <v>482</v>
      </c>
      <c r="E2064" t="s">
        <v>324</v>
      </c>
      <c r="F2064" s="11">
        <v>43774</v>
      </c>
      <c r="G2064" s="2">
        <f>VLOOKUP(E2064,Produtos!$A:$E,5,FALSE)</f>
        <v>2600</v>
      </c>
      <c r="H2064" s="2">
        <f>VLOOKUP(E2064,Produtos!$A:$E,4,FALSE)</f>
        <v>2000</v>
      </c>
      <c r="I2064" s="2">
        <v>1</v>
      </c>
    </row>
    <row r="2065" spans="1:9" x14ac:dyDescent="0.25">
      <c r="A2065" s="2" t="str">
        <f>CONCATENATE(Códigos!S2064,Códigos!T2064,Códigos!U2064)</f>
        <v>svv2063v</v>
      </c>
      <c r="B2065" t="s">
        <v>406</v>
      </c>
      <c r="C2065" t="s">
        <v>503</v>
      </c>
      <c r="D2065" s="2" t="s">
        <v>482</v>
      </c>
      <c r="E2065" t="s">
        <v>324</v>
      </c>
      <c r="F2065" s="11">
        <v>43775</v>
      </c>
      <c r="G2065" s="2">
        <f>VLOOKUP(E2065,Produtos!$A:$E,5,FALSE)</f>
        <v>2600</v>
      </c>
      <c r="H2065" s="2">
        <f>VLOOKUP(E2065,Produtos!$A:$E,4,FALSE)</f>
        <v>2000</v>
      </c>
      <c r="I2065" s="2">
        <v>1</v>
      </c>
    </row>
    <row r="2066" spans="1:9" x14ac:dyDescent="0.25">
      <c r="A2066" s="2" t="str">
        <f>CONCATENATE(Códigos!S2065,Códigos!T2065,Códigos!U2065)</f>
        <v>svv2064v</v>
      </c>
      <c r="B2066" t="s">
        <v>406</v>
      </c>
      <c r="C2066" t="s">
        <v>503</v>
      </c>
      <c r="D2066" s="2" t="s">
        <v>482</v>
      </c>
      <c r="E2066" t="s">
        <v>324</v>
      </c>
      <c r="F2066" s="11">
        <v>43776</v>
      </c>
      <c r="G2066" s="2">
        <f>VLOOKUP(E2066,Produtos!$A:$E,5,FALSE)</f>
        <v>2600</v>
      </c>
      <c r="H2066" s="2">
        <f>VLOOKUP(E2066,Produtos!$A:$E,4,FALSE)</f>
        <v>2000</v>
      </c>
      <c r="I2066" s="2">
        <v>1</v>
      </c>
    </row>
    <row r="2067" spans="1:9" x14ac:dyDescent="0.25">
      <c r="A2067" s="2" t="str">
        <f>CONCATENATE(Códigos!S2066,Códigos!T2066,Códigos!U2066)</f>
        <v>svv2065v</v>
      </c>
      <c r="B2067" t="s">
        <v>406</v>
      </c>
      <c r="C2067" t="s">
        <v>503</v>
      </c>
      <c r="D2067" s="2" t="s">
        <v>482</v>
      </c>
      <c r="E2067" t="s">
        <v>324</v>
      </c>
      <c r="F2067" s="11">
        <v>43777</v>
      </c>
      <c r="G2067" s="2">
        <f>VLOOKUP(E2067,Produtos!$A:$E,5,FALSE)</f>
        <v>2600</v>
      </c>
      <c r="H2067" s="2">
        <f>VLOOKUP(E2067,Produtos!$A:$E,4,FALSE)</f>
        <v>2000</v>
      </c>
      <c r="I2067" s="2">
        <v>1</v>
      </c>
    </row>
    <row r="2068" spans="1:9" x14ac:dyDescent="0.25">
      <c r="A2068" s="2" t="str">
        <f>CONCATENATE(Códigos!S2067,Códigos!T2067,Códigos!U2067)</f>
        <v>svv2066v</v>
      </c>
      <c r="B2068" t="s">
        <v>406</v>
      </c>
      <c r="C2068" t="s">
        <v>503</v>
      </c>
      <c r="D2068" s="2" t="s">
        <v>482</v>
      </c>
      <c r="E2068" t="s">
        <v>324</v>
      </c>
      <c r="F2068" s="11">
        <v>43778</v>
      </c>
      <c r="G2068" s="2">
        <f>VLOOKUP(E2068,Produtos!$A:$E,5,FALSE)</f>
        <v>2600</v>
      </c>
      <c r="H2068" s="2">
        <f>VLOOKUP(E2068,Produtos!$A:$E,4,FALSE)</f>
        <v>2000</v>
      </c>
      <c r="I2068" s="2">
        <v>1</v>
      </c>
    </row>
    <row r="2069" spans="1:9" x14ac:dyDescent="0.25">
      <c r="A2069" s="2" t="str">
        <f>CONCATENATE(Códigos!S2068,Códigos!T2068,Códigos!U2068)</f>
        <v>svv2067v</v>
      </c>
      <c r="B2069" t="s">
        <v>406</v>
      </c>
      <c r="C2069" t="s">
        <v>503</v>
      </c>
      <c r="D2069" s="2" t="s">
        <v>482</v>
      </c>
      <c r="E2069" t="s">
        <v>324</v>
      </c>
      <c r="F2069" s="11">
        <v>43779</v>
      </c>
      <c r="G2069" s="2">
        <f>VLOOKUP(E2069,Produtos!$A:$E,5,FALSE)</f>
        <v>2600</v>
      </c>
      <c r="H2069" s="2">
        <f>VLOOKUP(E2069,Produtos!$A:$E,4,FALSE)</f>
        <v>2000</v>
      </c>
      <c r="I2069" s="2">
        <v>1</v>
      </c>
    </row>
    <row r="2070" spans="1:9" x14ac:dyDescent="0.25">
      <c r="A2070" s="2" t="str">
        <f>CONCATENATE(Códigos!S2069,Códigos!T2069,Códigos!U2069)</f>
        <v>svv2068v</v>
      </c>
      <c r="B2070" t="s">
        <v>406</v>
      </c>
      <c r="C2070" t="s">
        <v>503</v>
      </c>
      <c r="D2070" s="2" t="s">
        <v>482</v>
      </c>
      <c r="E2070" t="s">
        <v>324</v>
      </c>
      <c r="F2070" s="11">
        <v>43780</v>
      </c>
      <c r="G2070" s="2">
        <f>VLOOKUP(E2070,Produtos!$A:$E,5,FALSE)</f>
        <v>2600</v>
      </c>
      <c r="H2070" s="2">
        <f>VLOOKUP(E2070,Produtos!$A:$E,4,FALSE)</f>
        <v>2000</v>
      </c>
      <c r="I2070" s="2">
        <v>1</v>
      </c>
    </row>
    <row r="2071" spans="1:9" x14ac:dyDescent="0.25">
      <c r="A2071" s="2" t="str">
        <f>CONCATENATE(Códigos!S2070,Códigos!T2070,Códigos!U2070)</f>
        <v>svv2069v</v>
      </c>
      <c r="B2071" t="s">
        <v>406</v>
      </c>
      <c r="C2071" t="s">
        <v>503</v>
      </c>
      <c r="D2071" s="2" t="s">
        <v>482</v>
      </c>
      <c r="E2071" t="s">
        <v>324</v>
      </c>
      <c r="F2071" s="11">
        <v>43781</v>
      </c>
      <c r="G2071" s="2">
        <f>VLOOKUP(E2071,Produtos!$A:$E,5,FALSE)</f>
        <v>2600</v>
      </c>
      <c r="H2071" s="2">
        <f>VLOOKUP(E2071,Produtos!$A:$E,4,FALSE)</f>
        <v>2000</v>
      </c>
      <c r="I2071" s="2">
        <v>1</v>
      </c>
    </row>
    <row r="2072" spans="1:9" x14ac:dyDescent="0.25">
      <c r="A2072" s="2" t="str">
        <f>CONCATENATE(Códigos!S2071,Códigos!T2071,Códigos!U2071)</f>
        <v>svv2070v</v>
      </c>
      <c r="B2072" t="s">
        <v>322</v>
      </c>
      <c r="C2072" t="s">
        <v>503</v>
      </c>
      <c r="D2072" s="2" t="s">
        <v>482</v>
      </c>
      <c r="E2072" t="s">
        <v>491</v>
      </c>
      <c r="F2072" s="11">
        <v>43782</v>
      </c>
      <c r="G2072" s="2">
        <f>VLOOKUP(E2072,Produtos!$A:$E,5,FALSE)</f>
        <v>700</v>
      </c>
      <c r="H2072" s="2">
        <f>VLOOKUP(E2072,Produtos!$A:$E,4,FALSE)</f>
        <v>350</v>
      </c>
      <c r="I2072" s="2">
        <v>1</v>
      </c>
    </row>
    <row r="2073" spans="1:9" x14ac:dyDescent="0.25">
      <c r="A2073" s="2" t="str">
        <f>CONCATENATE(Códigos!S2072,Códigos!T2072,Códigos!U2072)</f>
        <v>svv2071v</v>
      </c>
      <c r="B2073" t="s">
        <v>322</v>
      </c>
      <c r="C2073" t="s">
        <v>503</v>
      </c>
      <c r="D2073" s="2" t="s">
        <v>482</v>
      </c>
      <c r="E2073" t="s">
        <v>491</v>
      </c>
      <c r="F2073" s="11">
        <v>43783</v>
      </c>
      <c r="G2073" s="2">
        <f>VLOOKUP(E2073,Produtos!$A:$E,5,FALSE)</f>
        <v>700</v>
      </c>
      <c r="H2073" s="2">
        <f>VLOOKUP(E2073,Produtos!$A:$E,4,FALSE)</f>
        <v>350</v>
      </c>
      <c r="I2073" s="2">
        <v>1</v>
      </c>
    </row>
    <row r="2074" spans="1:9" x14ac:dyDescent="0.25">
      <c r="A2074" s="2" t="str">
        <f>CONCATENATE(Códigos!S2073,Códigos!T2073,Códigos!U2073)</f>
        <v>svv2072v</v>
      </c>
      <c r="B2074" t="s">
        <v>322</v>
      </c>
      <c r="C2074" t="s">
        <v>503</v>
      </c>
      <c r="D2074" s="2" t="s">
        <v>482</v>
      </c>
      <c r="E2074" t="s">
        <v>491</v>
      </c>
      <c r="F2074" s="11">
        <v>43784</v>
      </c>
      <c r="G2074" s="2">
        <f>VLOOKUP(E2074,Produtos!$A:$E,5,FALSE)</f>
        <v>700</v>
      </c>
      <c r="H2074" s="2">
        <f>VLOOKUP(E2074,Produtos!$A:$E,4,FALSE)</f>
        <v>350</v>
      </c>
      <c r="I2074" s="2">
        <v>1</v>
      </c>
    </row>
    <row r="2075" spans="1:9" x14ac:dyDescent="0.25">
      <c r="A2075" s="2" t="str">
        <f>CONCATENATE(Códigos!S2074,Códigos!T2074,Códigos!U2074)</f>
        <v>svv2073v</v>
      </c>
      <c r="B2075" t="s">
        <v>322</v>
      </c>
      <c r="C2075" t="s">
        <v>503</v>
      </c>
      <c r="D2075" s="2" t="s">
        <v>482</v>
      </c>
      <c r="E2075" t="s">
        <v>491</v>
      </c>
      <c r="F2075" s="11">
        <v>43785</v>
      </c>
      <c r="G2075" s="2">
        <f>VLOOKUP(E2075,Produtos!$A:$E,5,FALSE)</f>
        <v>700</v>
      </c>
      <c r="H2075" s="2">
        <f>VLOOKUP(E2075,Produtos!$A:$E,4,FALSE)</f>
        <v>350</v>
      </c>
      <c r="I2075" s="2">
        <v>1</v>
      </c>
    </row>
    <row r="2076" spans="1:9" x14ac:dyDescent="0.25">
      <c r="A2076" s="2" t="str">
        <f>CONCATENATE(Códigos!S2075,Códigos!T2075,Códigos!U2075)</f>
        <v>svv2074v</v>
      </c>
      <c r="B2076" t="s">
        <v>322</v>
      </c>
      <c r="C2076" t="s">
        <v>503</v>
      </c>
      <c r="D2076" s="2" t="s">
        <v>482</v>
      </c>
      <c r="E2076" t="s">
        <v>491</v>
      </c>
      <c r="F2076" s="11">
        <v>43786</v>
      </c>
      <c r="G2076" s="2">
        <f>VLOOKUP(E2076,Produtos!$A:$E,5,FALSE)</f>
        <v>700</v>
      </c>
      <c r="H2076" s="2">
        <f>VLOOKUP(E2076,Produtos!$A:$E,4,FALSE)</f>
        <v>350</v>
      </c>
      <c r="I2076" s="2">
        <v>1</v>
      </c>
    </row>
    <row r="2077" spans="1:9" x14ac:dyDescent="0.25">
      <c r="A2077" s="2" t="str">
        <f>CONCATENATE(Códigos!S2076,Códigos!T2076,Códigos!U2076)</f>
        <v>svv2075v</v>
      </c>
      <c r="B2077" t="s">
        <v>322</v>
      </c>
      <c r="C2077" t="s">
        <v>503</v>
      </c>
      <c r="D2077" s="2" t="s">
        <v>482</v>
      </c>
      <c r="E2077" t="s">
        <v>491</v>
      </c>
      <c r="F2077" s="11">
        <v>43787</v>
      </c>
      <c r="G2077" s="2">
        <f>VLOOKUP(E2077,Produtos!$A:$E,5,FALSE)</f>
        <v>700</v>
      </c>
      <c r="H2077" s="2">
        <f>VLOOKUP(E2077,Produtos!$A:$E,4,FALSE)</f>
        <v>350</v>
      </c>
      <c r="I2077" s="2">
        <v>1</v>
      </c>
    </row>
    <row r="2078" spans="1:9" x14ac:dyDescent="0.25">
      <c r="A2078" s="2" t="str">
        <f>CONCATENATE(Códigos!S2077,Códigos!T2077,Códigos!U2077)</f>
        <v>svv2076v</v>
      </c>
      <c r="B2078" t="s">
        <v>322</v>
      </c>
      <c r="C2078" t="s">
        <v>503</v>
      </c>
      <c r="D2078" s="2" t="s">
        <v>482</v>
      </c>
      <c r="E2078" t="s">
        <v>491</v>
      </c>
      <c r="F2078" s="11">
        <v>43788</v>
      </c>
      <c r="G2078" s="2">
        <f>VLOOKUP(E2078,Produtos!$A:$E,5,FALSE)</f>
        <v>700</v>
      </c>
      <c r="H2078" s="2">
        <f>VLOOKUP(E2078,Produtos!$A:$E,4,FALSE)</f>
        <v>350</v>
      </c>
      <c r="I2078" s="2">
        <v>1</v>
      </c>
    </row>
    <row r="2079" spans="1:9" x14ac:dyDescent="0.25">
      <c r="A2079" s="2" t="str">
        <f>CONCATENATE(Códigos!S2078,Códigos!T2078,Códigos!U2078)</f>
        <v>svv2077v</v>
      </c>
      <c r="B2079" t="s">
        <v>322</v>
      </c>
      <c r="C2079" t="s">
        <v>503</v>
      </c>
      <c r="D2079" s="2" t="s">
        <v>482</v>
      </c>
      <c r="E2079" t="s">
        <v>491</v>
      </c>
      <c r="F2079" s="11">
        <v>43789</v>
      </c>
      <c r="G2079" s="2">
        <f>VLOOKUP(E2079,Produtos!$A:$E,5,FALSE)</f>
        <v>700</v>
      </c>
      <c r="H2079" s="2">
        <f>VLOOKUP(E2079,Produtos!$A:$E,4,FALSE)</f>
        <v>350</v>
      </c>
      <c r="I2079" s="2">
        <v>1</v>
      </c>
    </row>
    <row r="2080" spans="1:9" x14ac:dyDescent="0.25">
      <c r="A2080" s="2" t="str">
        <f>CONCATENATE(Códigos!S2079,Códigos!T2079,Códigos!U2079)</f>
        <v>svv2078v</v>
      </c>
      <c r="B2080" t="s">
        <v>322</v>
      </c>
      <c r="C2080" t="s">
        <v>503</v>
      </c>
      <c r="D2080" s="2" t="s">
        <v>482</v>
      </c>
      <c r="E2080" t="s">
        <v>491</v>
      </c>
      <c r="F2080" s="11">
        <v>43790</v>
      </c>
      <c r="G2080" s="2">
        <f>VLOOKUP(E2080,Produtos!$A:$E,5,FALSE)</f>
        <v>700</v>
      </c>
      <c r="H2080" s="2">
        <f>VLOOKUP(E2080,Produtos!$A:$E,4,FALSE)</f>
        <v>350</v>
      </c>
      <c r="I2080" s="2">
        <v>1</v>
      </c>
    </row>
    <row r="2081" spans="1:9" x14ac:dyDescent="0.25">
      <c r="A2081" s="2" t="str">
        <f>CONCATENATE(Códigos!S2080,Códigos!T2080,Códigos!U2080)</f>
        <v>svv2079v</v>
      </c>
      <c r="B2081" t="s">
        <v>322</v>
      </c>
      <c r="C2081" t="s">
        <v>503</v>
      </c>
      <c r="D2081" s="2" t="s">
        <v>482</v>
      </c>
      <c r="E2081" t="s">
        <v>491</v>
      </c>
      <c r="F2081" s="11">
        <v>43791</v>
      </c>
      <c r="G2081" s="2">
        <f>VLOOKUP(E2081,Produtos!$A:$E,5,FALSE)</f>
        <v>700</v>
      </c>
      <c r="H2081" s="2">
        <f>VLOOKUP(E2081,Produtos!$A:$E,4,FALSE)</f>
        <v>350</v>
      </c>
      <c r="I2081" s="2">
        <v>1</v>
      </c>
    </row>
    <row r="2082" spans="1:9" x14ac:dyDescent="0.25">
      <c r="A2082" s="2" t="str">
        <f>CONCATENATE(Códigos!S2081,Códigos!T2081,Códigos!U2081)</f>
        <v>svv2080v</v>
      </c>
      <c r="B2082" t="s">
        <v>322</v>
      </c>
      <c r="C2082" t="s">
        <v>503</v>
      </c>
      <c r="D2082" s="2" t="s">
        <v>482</v>
      </c>
      <c r="E2082" t="s">
        <v>491</v>
      </c>
      <c r="F2082" s="11">
        <v>43792</v>
      </c>
      <c r="G2082" s="2">
        <f>VLOOKUP(E2082,Produtos!$A:$E,5,FALSE)</f>
        <v>700</v>
      </c>
      <c r="H2082" s="2">
        <f>VLOOKUP(E2082,Produtos!$A:$E,4,FALSE)</f>
        <v>350</v>
      </c>
      <c r="I2082" s="2">
        <v>1</v>
      </c>
    </row>
    <row r="2083" spans="1:9" x14ac:dyDescent="0.25">
      <c r="A2083" s="2" t="str">
        <f>CONCATENATE(Códigos!S2082,Códigos!T2082,Códigos!U2082)</f>
        <v>svv2081v</v>
      </c>
      <c r="B2083" t="s">
        <v>322</v>
      </c>
      <c r="C2083" t="s">
        <v>503</v>
      </c>
      <c r="D2083" s="2" t="s">
        <v>482</v>
      </c>
      <c r="E2083" t="s">
        <v>491</v>
      </c>
      <c r="F2083" s="11">
        <v>43793</v>
      </c>
      <c r="G2083" s="2">
        <f>VLOOKUP(E2083,Produtos!$A:$E,5,FALSE)</f>
        <v>700</v>
      </c>
      <c r="H2083" s="2">
        <f>VLOOKUP(E2083,Produtos!$A:$E,4,FALSE)</f>
        <v>350</v>
      </c>
      <c r="I2083" s="2">
        <v>1</v>
      </c>
    </row>
    <row r="2084" spans="1:9" x14ac:dyDescent="0.25">
      <c r="A2084" s="2" t="str">
        <f>CONCATENATE(Códigos!S2083,Códigos!T2083,Códigos!U2083)</f>
        <v>svv2082v</v>
      </c>
      <c r="B2084" t="s">
        <v>322</v>
      </c>
      <c r="C2084" t="s">
        <v>503</v>
      </c>
      <c r="D2084" s="2" t="s">
        <v>482</v>
      </c>
      <c r="E2084" t="s">
        <v>491</v>
      </c>
      <c r="F2084" s="11">
        <v>43794</v>
      </c>
      <c r="G2084" s="2">
        <f>VLOOKUP(E2084,Produtos!$A:$E,5,FALSE)</f>
        <v>700</v>
      </c>
      <c r="H2084" s="2">
        <f>VLOOKUP(E2084,Produtos!$A:$E,4,FALSE)</f>
        <v>350</v>
      </c>
      <c r="I2084" s="2">
        <v>1</v>
      </c>
    </row>
    <row r="2085" spans="1:9" x14ac:dyDescent="0.25">
      <c r="A2085" s="2" t="str">
        <f>CONCATENATE(Códigos!S2084,Códigos!T2084,Códigos!U2084)</f>
        <v>svv2083v</v>
      </c>
      <c r="B2085" t="s">
        <v>322</v>
      </c>
      <c r="C2085" t="s">
        <v>503</v>
      </c>
      <c r="D2085" s="2" t="s">
        <v>482</v>
      </c>
      <c r="E2085" t="s">
        <v>491</v>
      </c>
      <c r="F2085" s="11">
        <v>43795</v>
      </c>
      <c r="G2085" s="2">
        <f>VLOOKUP(E2085,Produtos!$A:$E,5,FALSE)</f>
        <v>700</v>
      </c>
      <c r="H2085" s="2">
        <f>VLOOKUP(E2085,Produtos!$A:$E,4,FALSE)</f>
        <v>350</v>
      </c>
      <c r="I2085" s="2">
        <v>1</v>
      </c>
    </row>
    <row r="2086" spans="1:9" x14ac:dyDescent="0.25">
      <c r="A2086" s="2" t="str">
        <f>CONCATENATE(Códigos!S2085,Códigos!T2085,Códigos!U2085)</f>
        <v>svv2084v</v>
      </c>
      <c r="B2086" t="s">
        <v>322</v>
      </c>
      <c r="C2086" t="s">
        <v>503</v>
      </c>
      <c r="D2086" s="2" t="s">
        <v>482</v>
      </c>
      <c r="E2086" t="s">
        <v>491</v>
      </c>
      <c r="F2086" s="11">
        <v>43796</v>
      </c>
      <c r="G2086" s="2">
        <f>VLOOKUP(E2086,Produtos!$A:$E,5,FALSE)</f>
        <v>700</v>
      </c>
      <c r="H2086" s="2">
        <f>VLOOKUP(E2086,Produtos!$A:$E,4,FALSE)</f>
        <v>350</v>
      </c>
      <c r="I2086" s="2">
        <v>1</v>
      </c>
    </row>
    <row r="2087" spans="1:9" x14ac:dyDescent="0.25">
      <c r="A2087" s="2" t="str">
        <f>CONCATENATE(Códigos!S2086,Códigos!T2086,Códigos!U2086)</f>
        <v>svv2085v</v>
      </c>
      <c r="B2087" t="s">
        <v>322</v>
      </c>
      <c r="C2087" t="s">
        <v>503</v>
      </c>
      <c r="D2087" s="2" t="s">
        <v>482</v>
      </c>
      <c r="E2087" t="s">
        <v>491</v>
      </c>
      <c r="F2087" s="11">
        <v>43797</v>
      </c>
      <c r="G2087" s="2">
        <f>VLOOKUP(E2087,Produtos!$A:$E,5,FALSE)</f>
        <v>700</v>
      </c>
      <c r="H2087" s="2">
        <f>VLOOKUP(E2087,Produtos!$A:$E,4,FALSE)</f>
        <v>350</v>
      </c>
      <c r="I2087" s="2">
        <v>1</v>
      </c>
    </row>
    <row r="2088" spans="1:9" x14ac:dyDescent="0.25">
      <c r="A2088" s="2" t="str">
        <f>CONCATENATE(Códigos!S2087,Códigos!T2087,Códigos!U2087)</f>
        <v>svv2086v</v>
      </c>
      <c r="B2088" t="s">
        <v>322</v>
      </c>
      <c r="C2088" t="s">
        <v>503</v>
      </c>
      <c r="D2088" s="2" t="s">
        <v>482</v>
      </c>
      <c r="E2088" t="s">
        <v>491</v>
      </c>
      <c r="F2088" s="11">
        <v>43798</v>
      </c>
      <c r="G2088" s="2">
        <f>VLOOKUP(E2088,Produtos!$A:$E,5,FALSE)</f>
        <v>700</v>
      </c>
      <c r="H2088" s="2">
        <f>VLOOKUP(E2088,Produtos!$A:$E,4,FALSE)</f>
        <v>350</v>
      </c>
      <c r="I2088" s="2">
        <v>1</v>
      </c>
    </row>
    <row r="2089" spans="1:9" x14ac:dyDescent="0.25">
      <c r="A2089" s="2" t="str">
        <f>CONCATENATE(Códigos!S2088,Códigos!T2088,Códigos!U2088)</f>
        <v>svv2087v</v>
      </c>
      <c r="B2089" t="s">
        <v>322</v>
      </c>
      <c r="C2089" t="s">
        <v>503</v>
      </c>
      <c r="D2089" s="2" t="s">
        <v>482</v>
      </c>
      <c r="E2089" t="s">
        <v>491</v>
      </c>
      <c r="F2089" s="11">
        <v>43799</v>
      </c>
      <c r="G2089" s="2">
        <f>VLOOKUP(E2089,Produtos!$A:$E,5,FALSE)</f>
        <v>700</v>
      </c>
      <c r="H2089" s="2">
        <f>VLOOKUP(E2089,Produtos!$A:$E,4,FALSE)</f>
        <v>350</v>
      </c>
      <c r="I2089" s="2">
        <v>1</v>
      </c>
    </row>
    <row r="2090" spans="1:9" x14ac:dyDescent="0.25">
      <c r="A2090" s="2" t="str">
        <f>CONCATENATE(Códigos!S2089,Códigos!T2089,Códigos!U2089)</f>
        <v>svv2088v</v>
      </c>
      <c r="B2090" t="s">
        <v>322</v>
      </c>
      <c r="C2090" t="s">
        <v>503</v>
      </c>
      <c r="D2090" s="2" t="s">
        <v>482</v>
      </c>
      <c r="E2090" t="s">
        <v>491</v>
      </c>
      <c r="F2090" s="11">
        <v>43800</v>
      </c>
      <c r="G2090" s="2">
        <f>VLOOKUP(E2090,Produtos!$A:$E,5,FALSE)</f>
        <v>700</v>
      </c>
      <c r="H2090" s="2">
        <f>VLOOKUP(E2090,Produtos!$A:$E,4,FALSE)</f>
        <v>350</v>
      </c>
      <c r="I2090" s="2">
        <v>1</v>
      </c>
    </row>
    <row r="2091" spans="1:9" x14ac:dyDescent="0.25">
      <c r="A2091" s="2" t="str">
        <f>CONCATENATE(Códigos!S2090,Códigos!T2090,Códigos!U2090)</f>
        <v>svv2089v</v>
      </c>
      <c r="B2091" t="s">
        <v>322</v>
      </c>
      <c r="C2091" t="s">
        <v>503</v>
      </c>
      <c r="D2091" s="2" t="s">
        <v>482</v>
      </c>
      <c r="E2091" t="s">
        <v>491</v>
      </c>
      <c r="F2091" s="11">
        <v>43801</v>
      </c>
      <c r="G2091" s="2">
        <f>VLOOKUP(E2091,Produtos!$A:$E,5,FALSE)</f>
        <v>700</v>
      </c>
      <c r="H2091" s="2">
        <f>VLOOKUP(E2091,Produtos!$A:$E,4,FALSE)</f>
        <v>350</v>
      </c>
      <c r="I2091" s="2">
        <v>1</v>
      </c>
    </row>
    <row r="2092" spans="1:9" x14ac:dyDescent="0.25">
      <c r="A2092" s="2" t="str">
        <f>CONCATENATE(Códigos!S2091,Códigos!T2091,Códigos!U2091)</f>
        <v>svv2090v</v>
      </c>
      <c r="B2092" t="s">
        <v>322</v>
      </c>
      <c r="C2092" t="s">
        <v>503</v>
      </c>
      <c r="D2092" s="2" t="s">
        <v>482</v>
      </c>
      <c r="E2092" t="s">
        <v>491</v>
      </c>
      <c r="F2092" s="11">
        <v>43802</v>
      </c>
      <c r="G2092" s="2">
        <f>VLOOKUP(E2092,Produtos!$A:$E,5,FALSE)</f>
        <v>700</v>
      </c>
      <c r="H2092" s="2">
        <f>VLOOKUP(E2092,Produtos!$A:$E,4,FALSE)</f>
        <v>350</v>
      </c>
      <c r="I2092" s="2">
        <v>1</v>
      </c>
    </row>
    <row r="2093" spans="1:9" x14ac:dyDescent="0.25">
      <c r="A2093" s="2" t="str">
        <f>CONCATENATE(Códigos!S2092,Códigos!T2092,Códigos!U2092)</f>
        <v>svv2091v</v>
      </c>
      <c r="B2093" t="s">
        <v>322</v>
      </c>
      <c r="C2093" t="s">
        <v>503</v>
      </c>
      <c r="D2093" s="2" t="s">
        <v>482</v>
      </c>
      <c r="E2093" t="s">
        <v>491</v>
      </c>
      <c r="F2093" s="11">
        <v>43803</v>
      </c>
      <c r="G2093" s="2">
        <f>VLOOKUP(E2093,Produtos!$A:$E,5,FALSE)</f>
        <v>700</v>
      </c>
      <c r="H2093" s="2">
        <f>VLOOKUP(E2093,Produtos!$A:$E,4,FALSE)</f>
        <v>350</v>
      </c>
      <c r="I2093" s="2">
        <v>1</v>
      </c>
    </row>
    <row r="2094" spans="1:9" x14ac:dyDescent="0.25">
      <c r="A2094" s="2" t="str">
        <f>CONCATENATE(Códigos!S2093,Códigos!T2093,Códigos!U2093)</f>
        <v>svv2092v</v>
      </c>
      <c r="B2094" t="s">
        <v>322</v>
      </c>
      <c r="C2094" t="s">
        <v>503</v>
      </c>
      <c r="D2094" s="2" t="s">
        <v>482</v>
      </c>
      <c r="E2094" t="s">
        <v>491</v>
      </c>
      <c r="F2094" s="11">
        <v>43804</v>
      </c>
      <c r="G2094" s="2">
        <f>VLOOKUP(E2094,Produtos!$A:$E,5,FALSE)</f>
        <v>700</v>
      </c>
      <c r="H2094" s="2">
        <f>VLOOKUP(E2094,Produtos!$A:$E,4,FALSE)</f>
        <v>350</v>
      </c>
      <c r="I2094" s="2">
        <v>1</v>
      </c>
    </row>
    <row r="2095" spans="1:9" x14ac:dyDescent="0.25">
      <c r="A2095" s="2" t="str">
        <f>CONCATENATE(Códigos!S2094,Códigos!T2094,Códigos!U2094)</f>
        <v>svv2093v</v>
      </c>
      <c r="B2095" t="s">
        <v>322</v>
      </c>
      <c r="C2095" t="s">
        <v>503</v>
      </c>
      <c r="D2095" s="2" t="s">
        <v>482</v>
      </c>
      <c r="E2095" t="s">
        <v>491</v>
      </c>
      <c r="F2095" s="11">
        <v>43805</v>
      </c>
      <c r="G2095" s="2">
        <f>VLOOKUP(E2095,Produtos!$A:$E,5,FALSE)</f>
        <v>700</v>
      </c>
      <c r="H2095" s="2">
        <f>VLOOKUP(E2095,Produtos!$A:$E,4,FALSE)</f>
        <v>350</v>
      </c>
      <c r="I2095" s="2">
        <v>1</v>
      </c>
    </row>
    <row r="2096" spans="1:9" x14ac:dyDescent="0.25">
      <c r="A2096" s="2" t="str">
        <f>CONCATENATE(Códigos!S2095,Códigos!T2095,Códigos!U2095)</f>
        <v>svv2094v</v>
      </c>
      <c r="B2096" t="s">
        <v>322</v>
      </c>
      <c r="C2096" t="s">
        <v>503</v>
      </c>
      <c r="D2096" s="2" t="s">
        <v>482</v>
      </c>
      <c r="E2096" t="s">
        <v>491</v>
      </c>
      <c r="F2096" s="11">
        <v>43806</v>
      </c>
      <c r="G2096" s="2">
        <f>VLOOKUP(E2096,Produtos!$A:$E,5,FALSE)</f>
        <v>700</v>
      </c>
      <c r="H2096" s="2">
        <f>VLOOKUP(E2096,Produtos!$A:$E,4,FALSE)</f>
        <v>350</v>
      </c>
      <c r="I2096" s="2">
        <v>1</v>
      </c>
    </row>
    <row r="2097" spans="1:9" x14ac:dyDescent="0.25">
      <c r="A2097" s="2" t="str">
        <f>CONCATENATE(Códigos!S2096,Códigos!T2096,Códigos!U2096)</f>
        <v>svv2095v</v>
      </c>
      <c r="B2097" t="s">
        <v>322</v>
      </c>
      <c r="C2097" t="s">
        <v>503</v>
      </c>
      <c r="D2097" s="2" t="s">
        <v>482</v>
      </c>
      <c r="E2097" t="s">
        <v>491</v>
      </c>
      <c r="F2097" s="11">
        <v>43807</v>
      </c>
      <c r="G2097" s="2">
        <f>VLOOKUP(E2097,Produtos!$A:$E,5,FALSE)</f>
        <v>700</v>
      </c>
      <c r="H2097" s="2">
        <f>VLOOKUP(E2097,Produtos!$A:$E,4,FALSE)</f>
        <v>350</v>
      </c>
      <c r="I2097" s="2">
        <v>1</v>
      </c>
    </row>
    <row r="2098" spans="1:9" x14ac:dyDescent="0.25">
      <c r="A2098" s="2" t="str">
        <f>CONCATENATE(Códigos!S2097,Códigos!T2097,Códigos!U2097)</f>
        <v>svv2096v</v>
      </c>
      <c r="B2098" t="s">
        <v>322</v>
      </c>
      <c r="C2098" t="s">
        <v>503</v>
      </c>
      <c r="D2098" s="2" t="s">
        <v>482</v>
      </c>
      <c r="E2098" t="s">
        <v>491</v>
      </c>
      <c r="F2098" s="11">
        <v>43808</v>
      </c>
      <c r="G2098" s="2">
        <f>VLOOKUP(E2098,Produtos!$A:$E,5,FALSE)</f>
        <v>700</v>
      </c>
      <c r="H2098" s="2">
        <f>VLOOKUP(E2098,Produtos!$A:$E,4,FALSE)</f>
        <v>350</v>
      </c>
      <c r="I2098" s="2">
        <v>1</v>
      </c>
    </row>
    <row r="2099" spans="1:9" x14ac:dyDescent="0.25">
      <c r="A2099" s="2" t="str">
        <f>CONCATENATE(Códigos!S2098,Códigos!T2098,Códigos!U2098)</f>
        <v>svv2097v</v>
      </c>
      <c r="B2099" t="s">
        <v>322</v>
      </c>
      <c r="C2099" t="s">
        <v>503</v>
      </c>
      <c r="D2099" s="2" t="s">
        <v>482</v>
      </c>
      <c r="E2099" t="s">
        <v>492</v>
      </c>
      <c r="F2099" s="11">
        <v>43809</v>
      </c>
      <c r="G2099" s="2">
        <f>VLOOKUP(E2099,Produtos!$A:$E,5,FALSE)</f>
        <v>350</v>
      </c>
      <c r="H2099" s="2">
        <f>VLOOKUP(E2099,Produtos!$A:$E,4,FALSE)</f>
        <v>200</v>
      </c>
      <c r="I2099" s="2">
        <v>1</v>
      </c>
    </row>
    <row r="2100" spans="1:9" x14ac:dyDescent="0.25">
      <c r="A2100" s="2" t="str">
        <f>CONCATENATE(Códigos!S2099,Códigos!T2099,Códigos!U2099)</f>
        <v>svv2098v</v>
      </c>
      <c r="B2100" t="s">
        <v>322</v>
      </c>
      <c r="C2100" t="s">
        <v>511</v>
      </c>
      <c r="D2100" s="2" t="s">
        <v>459</v>
      </c>
      <c r="E2100" t="s">
        <v>492</v>
      </c>
      <c r="F2100" s="11">
        <v>43810</v>
      </c>
      <c r="G2100" s="2">
        <f>VLOOKUP(E2100,Produtos!$A:$E,5,FALSE)</f>
        <v>350</v>
      </c>
      <c r="H2100" s="2">
        <f>VLOOKUP(E2100,Produtos!$A:$E,4,FALSE)</f>
        <v>200</v>
      </c>
      <c r="I2100" s="2">
        <v>1</v>
      </c>
    </row>
    <row r="2101" spans="1:9" x14ac:dyDescent="0.25">
      <c r="A2101" s="2" t="str">
        <f>CONCATENATE(Códigos!S2100,Códigos!T2100,Códigos!U2100)</f>
        <v>svv2099v</v>
      </c>
      <c r="B2101" t="s">
        <v>322</v>
      </c>
      <c r="C2101" t="s">
        <v>511</v>
      </c>
      <c r="D2101" s="2" t="s">
        <v>459</v>
      </c>
      <c r="E2101" t="s">
        <v>492</v>
      </c>
      <c r="F2101" s="11">
        <v>43811</v>
      </c>
      <c r="G2101" s="2">
        <f>VLOOKUP(E2101,Produtos!$A:$E,5,FALSE)</f>
        <v>350</v>
      </c>
      <c r="H2101" s="2">
        <f>VLOOKUP(E2101,Produtos!$A:$E,4,FALSE)</f>
        <v>200</v>
      </c>
      <c r="I2101" s="2">
        <v>1</v>
      </c>
    </row>
    <row r="2102" spans="1:9" x14ac:dyDescent="0.25">
      <c r="A2102" s="2" t="str">
        <f>CONCATENATE(Códigos!S2101,Códigos!T2101,Códigos!U2101)</f>
        <v>svv2100v</v>
      </c>
      <c r="B2102" t="s">
        <v>322</v>
      </c>
      <c r="C2102" t="s">
        <v>511</v>
      </c>
      <c r="D2102" s="2" t="s">
        <v>459</v>
      </c>
      <c r="E2102" t="s">
        <v>492</v>
      </c>
      <c r="F2102" s="11">
        <v>43812</v>
      </c>
      <c r="G2102" s="2">
        <f>VLOOKUP(E2102,Produtos!$A:$E,5,FALSE)</f>
        <v>350</v>
      </c>
      <c r="H2102" s="2">
        <f>VLOOKUP(E2102,Produtos!$A:$E,4,FALSE)</f>
        <v>200</v>
      </c>
      <c r="I2102" s="2">
        <v>1</v>
      </c>
    </row>
    <row r="2103" spans="1:9" x14ac:dyDescent="0.25">
      <c r="A2103" s="2" t="str">
        <f>CONCATENATE(Códigos!S2102,Códigos!T2102,Códigos!U2102)</f>
        <v>svv2101v</v>
      </c>
      <c r="B2103" t="s">
        <v>322</v>
      </c>
      <c r="C2103" t="s">
        <v>511</v>
      </c>
      <c r="D2103" s="2" t="s">
        <v>459</v>
      </c>
      <c r="E2103" t="s">
        <v>492</v>
      </c>
      <c r="F2103" s="11">
        <v>43813</v>
      </c>
      <c r="G2103" s="2">
        <f>VLOOKUP(E2103,Produtos!$A:$E,5,FALSE)</f>
        <v>350</v>
      </c>
      <c r="H2103" s="2">
        <f>VLOOKUP(E2103,Produtos!$A:$E,4,FALSE)</f>
        <v>200</v>
      </c>
      <c r="I2103" s="2">
        <v>1</v>
      </c>
    </row>
    <row r="2104" spans="1:9" x14ac:dyDescent="0.25">
      <c r="A2104" s="2" t="str">
        <f>CONCATENATE(Códigos!S2103,Códigos!T2103,Códigos!U2103)</f>
        <v>svv2102v</v>
      </c>
      <c r="B2104" t="s">
        <v>322</v>
      </c>
      <c r="C2104" t="s">
        <v>511</v>
      </c>
      <c r="D2104" s="2" t="s">
        <v>459</v>
      </c>
      <c r="E2104" t="s">
        <v>492</v>
      </c>
      <c r="F2104" s="11">
        <v>43814</v>
      </c>
      <c r="G2104" s="2">
        <f>VLOOKUP(E2104,Produtos!$A:$E,5,FALSE)</f>
        <v>350</v>
      </c>
      <c r="H2104" s="2">
        <f>VLOOKUP(E2104,Produtos!$A:$E,4,FALSE)</f>
        <v>200</v>
      </c>
      <c r="I2104" s="2">
        <v>1</v>
      </c>
    </row>
    <row r="2105" spans="1:9" x14ac:dyDescent="0.25">
      <c r="A2105" s="2" t="str">
        <f>CONCATENATE(Códigos!S2104,Códigos!T2104,Códigos!U2104)</f>
        <v>svv2103v</v>
      </c>
      <c r="B2105" t="s">
        <v>322</v>
      </c>
      <c r="C2105" t="s">
        <v>511</v>
      </c>
      <c r="D2105" s="2" t="s">
        <v>459</v>
      </c>
      <c r="E2105" t="s">
        <v>492</v>
      </c>
      <c r="F2105" s="11">
        <v>43815</v>
      </c>
      <c r="G2105" s="2">
        <f>VLOOKUP(E2105,Produtos!$A:$E,5,FALSE)</f>
        <v>350</v>
      </c>
      <c r="H2105" s="2">
        <f>VLOOKUP(E2105,Produtos!$A:$E,4,FALSE)</f>
        <v>200</v>
      </c>
      <c r="I2105" s="2">
        <v>1</v>
      </c>
    </row>
    <row r="2106" spans="1:9" x14ac:dyDescent="0.25">
      <c r="A2106" s="2" t="str">
        <f>CONCATENATE(Códigos!S2105,Códigos!T2105,Códigos!U2105)</f>
        <v>svv2104v</v>
      </c>
      <c r="B2106" t="s">
        <v>322</v>
      </c>
      <c r="C2106" t="s">
        <v>511</v>
      </c>
      <c r="D2106" s="2" t="s">
        <v>459</v>
      </c>
      <c r="E2106" t="s">
        <v>492</v>
      </c>
      <c r="F2106" s="11">
        <v>43816</v>
      </c>
      <c r="G2106" s="2">
        <f>VLOOKUP(E2106,Produtos!$A:$E,5,FALSE)</f>
        <v>350</v>
      </c>
      <c r="H2106" s="2">
        <f>VLOOKUP(E2106,Produtos!$A:$E,4,FALSE)</f>
        <v>200</v>
      </c>
      <c r="I2106" s="2">
        <v>1</v>
      </c>
    </row>
    <row r="2107" spans="1:9" x14ac:dyDescent="0.25">
      <c r="A2107" s="2" t="str">
        <f>CONCATENATE(Códigos!S2106,Códigos!T2106,Códigos!U2106)</f>
        <v>svv2105v</v>
      </c>
      <c r="B2107" t="s">
        <v>322</v>
      </c>
      <c r="C2107" t="s">
        <v>511</v>
      </c>
      <c r="D2107" s="2" t="s">
        <v>459</v>
      </c>
      <c r="E2107" t="s">
        <v>492</v>
      </c>
      <c r="F2107" s="11">
        <v>43817</v>
      </c>
      <c r="G2107" s="2">
        <f>VLOOKUP(E2107,Produtos!$A:$E,5,FALSE)</f>
        <v>350</v>
      </c>
      <c r="H2107" s="2">
        <f>VLOOKUP(E2107,Produtos!$A:$E,4,FALSE)</f>
        <v>200</v>
      </c>
      <c r="I2107" s="2">
        <v>1</v>
      </c>
    </row>
    <row r="2108" spans="1:9" x14ac:dyDescent="0.25">
      <c r="A2108" s="2" t="str">
        <f>CONCATENATE(Códigos!S2107,Códigos!T2107,Códigos!U2107)</f>
        <v>svv2106v</v>
      </c>
      <c r="B2108" t="s">
        <v>322</v>
      </c>
      <c r="C2108" t="s">
        <v>511</v>
      </c>
      <c r="D2108" s="2" t="s">
        <v>459</v>
      </c>
      <c r="E2108" t="s">
        <v>492</v>
      </c>
      <c r="F2108" s="11">
        <v>43818</v>
      </c>
      <c r="G2108" s="2">
        <f>VLOOKUP(E2108,Produtos!$A:$E,5,FALSE)</f>
        <v>350</v>
      </c>
      <c r="H2108" s="2">
        <f>VLOOKUP(E2108,Produtos!$A:$E,4,FALSE)</f>
        <v>200</v>
      </c>
      <c r="I2108" s="2">
        <v>1</v>
      </c>
    </row>
    <row r="2109" spans="1:9" x14ac:dyDescent="0.25">
      <c r="A2109" s="2" t="str">
        <f>CONCATENATE(Códigos!S2108,Códigos!T2108,Códigos!U2108)</f>
        <v>svv2107v</v>
      </c>
      <c r="B2109" t="s">
        <v>322</v>
      </c>
      <c r="C2109" t="s">
        <v>511</v>
      </c>
      <c r="D2109" s="2" t="s">
        <v>459</v>
      </c>
      <c r="E2109" t="s">
        <v>492</v>
      </c>
      <c r="F2109" s="11">
        <v>43819</v>
      </c>
      <c r="G2109" s="2">
        <f>VLOOKUP(E2109,Produtos!$A:$E,5,FALSE)</f>
        <v>350</v>
      </c>
      <c r="H2109" s="2">
        <f>VLOOKUP(E2109,Produtos!$A:$E,4,FALSE)</f>
        <v>200</v>
      </c>
      <c r="I2109" s="2">
        <v>4</v>
      </c>
    </row>
    <row r="2110" spans="1:9" x14ac:dyDescent="0.25">
      <c r="A2110" s="2" t="str">
        <f>CONCATENATE(Códigos!S2109,Códigos!T2109,Códigos!U2109)</f>
        <v>svv2108v</v>
      </c>
      <c r="B2110" t="s">
        <v>322</v>
      </c>
      <c r="C2110" t="s">
        <v>511</v>
      </c>
      <c r="D2110" s="2" t="s">
        <v>459</v>
      </c>
      <c r="E2110" t="s">
        <v>492</v>
      </c>
      <c r="F2110" s="11">
        <v>43820</v>
      </c>
      <c r="G2110" s="2">
        <f>VLOOKUP(E2110,Produtos!$A:$E,5,FALSE)</f>
        <v>350</v>
      </c>
      <c r="H2110" s="2">
        <f>VLOOKUP(E2110,Produtos!$A:$E,4,FALSE)</f>
        <v>200</v>
      </c>
      <c r="I2110" s="2">
        <v>4</v>
      </c>
    </row>
    <row r="2111" spans="1:9" x14ac:dyDescent="0.25">
      <c r="A2111" s="2" t="str">
        <f>CONCATENATE(Códigos!S2110,Códigos!T2110,Códigos!U2110)</f>
        <v>svv2109v</v>
      </c>
      <c r="B2111" t="s">
        <v>322</v>
      </c>
      <c r="C2111" t="s">
        <v>511</v>
      </c>
      <c r="D2111" s="2" t="s">
        <v>459</v>
      </c>
      <c r="E2111" t="s">
        <v>492</v>
      </c>
      <c r="F2111" s="11">
        <v>43821</v>
      </c>
      <c r="G2111" s="2">
        <f>VLOOKUP(E2111,Produtos!$A:$E,5,FALSE)</f>
        <v>350</v>
      </c>
      <c r="H2111" s="2">
        <f>VLOOKUP(E2111,Produtos!$A:$E,4,FALSE)</f>
        <v>200</v>
      </c>
      <c r="I2111" s="2">
        <v>4</v>
      </c>
    </row>
    <row r="2112" spans="1:9" x14ac:dyDescent="0.25">
      <c r="A2112" s="2" t="str">
        <f>CONCATENATE(Códigos!S2111,Códigos!T2111,Códigos!U2111)</f>
        <v>svv2110v</v>
      </c>
      <c r="B2112" t="s">
        <v>322</v>
      </c>
      <c r="C2112" t="s">
        <v>511</v>
      </c>
      <c r="D2112" s="2" t="s">
        <v>459</v>
      </c>
      <c r="E2112" t="s">
        <v>492</v>
      </c>
      <c r="F2112" s="11">
        <v>43822</v>
      </c>
      <c r="G2112" s="2">
        <f>VLOOKUP(E2112,Produtos!$A:$E,5,FALSE)</f>
        <v>350</v>
      </c>
      <c r="H2112" s="2">
        <f>VLOOKUP(E2112,Produtos!$A:$E,4,FALSE)</f>
        <v>200</v>
      </c>
      <c r="I2112" s="2">
        <v>4</v>
      </c>
    </row>
    <row r="2113" spans="1:9" x14ac:dyDescent="0.25">
      <c r="A2113" s="2" t="str">
        <f>CONCATENATE(Códigos!S2112,Códigos!T2112,Códigos!U2112)</f>
        <v>svv2111v</v>
      </c>
      <c r="B2113" t="s">
        <v>322</v>
      </c>
      <c r="C2113" t="s">
        <v>511</v>
      </c>
      <c r="D2113" s="2" t="s">
        <v>459</v>
      </c>
      <c r="E2113" t="s">
        <v>492</v>
      </c>
      <c r="F2113" s="11">
        <v>43823</v>
      </c>
      <c r="G2113" s="2">
        <f>VLOOKUP(E2113,Produtos!$A:$E,5,FALSE)</f>
        <v>350</v>
      </c>
      <c r="H2113" s="2">
        <f>VLOOKUP(E2113,Produtos!$A:$E,4,FALSE)</f>
        <v>200</v>
      </c>
      <c r="I2113" s="2">
        <v>4</v>
      </c>
    </row>
    <row r="2114" spans="1:9" x14ac:dyDescent="0.25">
      <c r="A2114" s="2" t="str">
        <f>CONCATENATE(Códigos!S2113,Códigos!T2113,Códigos!U2113)</f>
        <v>svv2112v</v>
      </c>
      <c r="B2114" t="s">
        <v>322</v>
      </c>
      <c r="C2114" t="s">
        <v>511</v>
      </c>
      <c r="D2114" s="2" t="s">
        <v>459</v>
      </c>
      <c r="E2114" t="s">
        <v>492</v>
      </c>
      <c r="F2114" s="11">
        <v>43824</v>
      </c>
      <c r="G2114" s="2">
        <f>VLOOKUP(E2114,Produtos!$A:$E,5,FALSE)</f>
        <v>350</v>
      </c>
      <c r="H2114" s="2">
        <f>VLOOKUP(E2114,Produtos!$A:$E,4,FALSE)</f>
        <v>200</v>
      </c>
      <c r="I2114" s="2">
        <v>4</v>
      </c>
    </row>
    <row r="2115" spans="1:9" x14ac:dyDescent="0.25">
      <c r="A2115" s="2" t="str">
        <f>CONCATENATE(Códigos!S2114,Códigos!T2114,Códigos!U2114)</f>
        <v>svv2113v</v>
      </c>
      <c r="B2115" t="s">
        <v>322</v>
      </c>
      <c r="C2115" t="s">
        <v>510</v>
      </c>
      <c r="D2115" s="2" t="s">
        <v>448</v>
      </c>
      <c r="E2115" t="s">
        <v>492</v>
      </c>
      <c r="F2115" s="11">
        <v>43825</v>
      </c>
      <c r="G2115" s="2">
        <f>VLOOKUP(E2115,Produtos!$A:$E,5,FALSE)</f>
        <v>350</v>
      </c>
      <c r="H2115" s="2">
        <f>VLOOKUP(E2115,Produtos!$A:$E,4,FALSE)</f>
        <v>200</v>
      </c>
      <c r="I2115" s="2">
        <v>4</v>
      </c>
    </row>
    <row r="2116" spans="1:9" x14ac:dyDescent="0.25">
      <c r="A2116" s="2" t="str">
        <f>CONCATENATE(Códigos!S2115,Códigos!T2115,Códigos!U2115)</f>
        <v>svv2114v</v>
      </c>
      <c r="B2116" t="s">
        <v>322</v>
      </c>
      <c r="C2116" t="s">
        <v>510</v>
      </c>
      <c r="D2116" s="2" t="s">
        <v>448</v>
      </c>
      <c r="E2116" t="s">
        <v>492</v>
      </c>
      <c r="F2116" s="11">
        <v>43826</v>
      </c>
      <c r="G2116" s="2">
        <f>VLOOKUP(E2116,Produtos!$A:$E,5,FALSE)</f>
        <v>350</v>
      </c>
      <c r="H2116" s="2">
        <f>VLOOKUP(E2116,Produtos!$A:$E,4,FALSE)</f>
        <v>200</v>
      </c>
      <c r="I2116" s="2">
        <v>4</v>
      </c>
    </row>
    <row r="2117" spans="1:9" x14ac:dyDescent="0.25">
      <c r="A2117" s="2" t="str">
        <f>CONCATENATE(Códigos!S2116,Códigos!T2116,Códigos!U2116)</f>
        <v>svv2115v</v>
      </c>
      <c r="B2117" t="s">
        <v>322</v>
      </c>
      <c r="C2117" t="s">
        <v>510</v>
      </c>
      <c r="D2117" s="2" t="s">
        <v>448</v>
      </c>
      <c r="E2117" t="s">
        <v>492</v>
      </c>
      <c r="F2117" s="11">
        <v>43827</v>
      </c>
      <c r="G2117" s="2">
        <f>VLOOKUP(E2117,Produtos!$A:$E,5,FALSE)</f>
        <v>350</v>
      </c>
      <c r="H2117" s="2">
        <f>VLOOKUP(E2117,Produtos!$A:$E,4,FALSE)</f>
        <v>200</v>
      </c>
      <c r="I2117" s="2">
        <v>4</v>
      </c>
    </row>
    <row r="2118" spans="1:9" x14ac:dyDescent="0.25">
      <c r="A2118" s="2" t="str">
        <f>CONCATENATE(Códigos!S2117,Códigos!T2117,Códigos!U2117)</f>
        <v>svv2116v</v>
      </c>
      <c r="B2118" t="s">
        <v>322</v>
      </c>
      <c r="C2118" t="s">
        <v>510</v>
      </c>
      <c r="D2118" s="2" t="s">
        <v>448</v>
      </c>
      <c r="E2118" t="s">
        <v>492</v>
      </c>
      <c r="F2118" s="11">
        <v>43828</v>
      </c>
      <c r="G2118" s="2">
        <f>VLOOKUP(E2118,Produtos!$A:$E,5,FALSE)</f>
        <v>350</v>
      </c>
      <c r="H2118" s="2">
        <f>VLOOKUP(E2118,Produtos!$A:$E,4,FALSE)</f>
        <v>200</v>
      </c>
      <c r="I2118" s="2">
        <v>4</v>
      </c>
    </row>
    <row r="2119" spans="1:9" x14ac:dyDescent="0.25">
      <c r="A2119" s="2" t="str">
        <f>CONCATENATE(Códigos!S2118,Códigos!T2118,Códigos!U2118)</f>
        <v>svv2117v</v>
      </c>
      <c r="B2119" t="s">
        <v>322</v>
      </c>
      <c r="C2119" t="s">
        <v>510</v>
      </c>
      <c r="D2119" s="2" t="s">
        <v>448</v>
      </c>
      <c r="E2119" t="s">
        <v>492</v>
      </c>
      <c r="F2119" s="11">
        <v>43829</v>
      </c>
      <c r="G2119" s="2">
        <f>VLOOKUP(E2119,Produtos!$A:$E,5,FALSE)</f>
        <v>350</v>
      </c>
      <c r="H2119" s="2">
        <f>VLOOKUP(E2119,Produtos!$A:$E,4,FALSE)</f>
        <v>200</v>
      </c>
      <c r="I2119" s="2">
        <v>4</v>
      </c>
    </row>
    <row r="2120" spans="1:9" x14ac:dyDescent="0.25">
      <c r="A2120" s="2" t="str">
        <f>CONCATENATE(Códigos!S2119,Códigos!T2119,Códigos!U2119)</f>
        <v>svv2118v</v>
      </c>
      <c r="B2120" t="s">
        <v>322</v>
      </c>
      <c r="C2120" t="s">
        <v>510</v>
      </c>
      <c r="D2120" s="2" t="s">
        <v>448</v>
      </c>
      <c r="E2120" t="s">
        <v>492</v>
      </c>
      <c r="F2120" s="11">
        <v>43830</v>
      </c>
      <c r="G2120" s="2">
        <f>VLOOKUP(E2120,Produtos!$A:$E,5,FALSE)</f>
        <v>350</v>
      </c>
      <c r="H2120" s="2">
        <f>VLOOKUP(E2120,Produtos!$A:$E,4,FALSE)</f>
        <v>200</v>
      </c>
      <c r="I2120" s="2">
        <v>4</v>
      </c>
    </row>
    <row r="2121" spans="1:9" x14ac:dyDescent="0.25">
      <c r="A2121" s="2" t="str">
        <f>CONCATENATE(Códigos!S2120,Códigos!T2120,Códigos!U2120)</f>
        <v>svv2119v</v>
      </c>
      <c r="B2121" t="s">
        <v>322</v>
      </c>
      <c r="C2121" t="s">
        <v>510</v>
      </c>
      <c r="D2121" s="2" t="s">
        <v>448</v>
      </c>
      <c r="E2121" t="s">
        <v>492</v>
      </c>
      <c r="F2121" s="11">
        <v>43831</v>
      </c>
      <c r="G2121" s="2">
        <f>VLOOKUP(E2121,Produtos!$A:$E,5,FALSE)</f>
        <v>350</v>
      </c>
      <c r="H2121" s="2">
        <f>VLOOKUP(E2121,Produtos!$A:$E,4,FALSE)</f>
        <v>200</v>
      </c>
      <c r="I2121" s="2">
        <v>4</v>
      </c>
    </row>
    <row r="2122" spans="1:9" x14ac:dyDescent="0.25">
      <c r="A2122" s="2" t="str">
        <f>CONCATENATE(Códigos!S2121,Códigos!T2121,Códigos!U2121)</f>
        <v>svv2120v</v>
      </c>
      <c r="B2122" t="s">
        <v>322</v>
      </c>
      <c r="C2122" t="s">
        <v>510</v>
      </c>
      <c r="D2122" s="2" t="s">
        <v>448</v>
      </c>
      <c r="E2122" t="s">
        <v>492</v>
      </c>
      <c r="F2122" s="11">
        <v>43832</v>
      </c>
      <c r="G2122" s="2">
        <f>VLOOKUP(E2122,Produtos!$A:$E,5,FALSE)</f>
        <v>350</v>
      </c>
      <c r="H2122" s="2">
        <f>VLOOKUP(E2122,Produtos!$A:$E,4,FALSE)</f>
        <v>200</v>
      </c>
      <c r="I2122" s="2">
        <v>4</v>
      </c>
    </row>
    <row r="2123" spans="1:9" x14ac:dyDescent="0.25">
      <c r="A2123" s="2" t="str">
        <f>CONCATENATE(Códigos!S2122,Códigos!T2122,Códigos!U2122)</f>
        <v>svv2121v</v>
      </c>
      <c r="B2123" t="s">
        <v>322</v>
      </c>
      <c r="C2123" t="s">
        <v>510</v>
      </c>
      <c r="D2123" s="2" t="s">
        <v>448</v>
      </c>
      <c r="E2123" t="s">
        <v>492</v>
      </c>
      <c r="F2123" s="11">
        <v>43833</v>
      </c>
      <c r="G2123" s="2">
        <f>VLOOKUP(E2123,Produtos!$A:$E,5,FALSE)</f>
        <v>350</v>
      </c>
      <c r="H2123" s="2">
        <f>VLOOKUP(E2123,Produtos!$A:$E,4,FALSE)</f>
        <v>200</v>
      </c>
      <c r="I2123" s="2">
        <v>4</v>
      </c>
    </row>
    <row r="2124" spans="1:9" x14ac:dyDescent="0.25">
      <c r="A2124" s="2" t="str">
        <f>CONCATENATE(Códigos!S2123,Códigos!T2123,Códigos!U2123)</f>
        <v>svv2122v</v>
      </c>
      <c r="B2124" t="s">
        <v>322</v>
      </c>
      <c r="C2124" t="s">
        <v>510</v>
      </c>
      <c r="D2124" s="2" t="s">
        <v>448</v>
      </c>
      <c r="E2124" t="s">
        <v>492</v>
      </c>
      <c r="F2124" s="11">
        <v>43834</v>
      </c>
      <c r="G2124" s="2">
        <f>VLOOKUP(E2124,Produtos!$A:$E,5,FALSE)</f>
        <v>350</v>
      </c>
      <c r="H2124" s="2">
        <f>VLOOKUP(E2124,Produtos!$A:$E,4,FALSE)</f>
        <v>200</v>
      </c>
      <c r="I2124" s="2">
        <v>4</v>
      </c>
    </row>
    <row r="2125" spans="1:9" x14ac:dyDescent="0.25">
      <c r="A2125" s="2" t="str">
        <f>CONCATENATE(Códigos!S2124,Códigos!T2124,Códigos!U2124)</f>
        <v>svv2123v</v>
      </c>
      <c r="B2125" t="s">
        <v>322</v>
      </c>
      <c r="C2125" t="s">
        <v>510</v>
      </c>
      <c r="D2125" s="2" t="s">
        <v>448</v>
      </c>
      <c r="E2125" t="s">
        <v>492</v>
      </c>
      <c r="F2125" s="11">
        <v>43835</v>
      </c>
      <c r="G2125" s="2">
        <f>VLOOKUP(E2125,Produtos!$A:$E,5,FALSE)</f>
        <v>350</v>
      </c>
      <c r="H2125" s="2">
        <f>VLOOKUP(E2125,Produtos!$A:$E,4,FALSE)</f>
        <v>200</v>
      </c>
      <c r="I2125" s="2">
        <v>4</v>
      </c>
    </row>
    <row r="2126" spans="1:9" x14ac:dyDescent="0.25">
      <c r="A2126" s="2" t="str">
        <f>CONCATENATE(Códigos!S2125,Códigos!T2125,Códigos!U2125)</f>
        <v>svv2124v</v>
      </c>
      <c r="B2126" t="s">
        <v>322</v>
      </c>
      <c r="C2126" t="s">
        <v>510</v>
      </c>
      <c r="D2126" s="2" t="s">
        <v>448</v>
      </c>
      <c r="E2126" t="s">
        <v>492</v>
      </c>
      <c r="F2126" s="11">
        <v>43836</v>
      </c>
      <c r="G2126" s="2">
        <f>VLOOKUP(E2126,Produtos!$A:$E,5,FALSE)</f>
        <v>350</v>
      </c>
      <c r="H2126" s="2">
        <f>VLOOKUP(E2126,Produtos!$A:$E,4,FALSE)</f>
        <v>200</v>
      </c>
      <c r="I2126" s="2">
        <v>4</v>
      </c>
    </row>
    <row r="2127" spans="1:9" x14ac:dyDescent="0.25">
      <c r="A2127" s="2" t="str">
        <f>CONCATENATE(Códigos!S2126,Códigos!T2126,Códigos!U2126)</f>
        <v>svv2125v</v>
      </c>
      <c r="B2127" t="s">
        <v>322</v>
      </c>
      <c r="C2127" t="s">
        <v>510</v>
      </c>
      <c r="D2127" s="2" t="s">
        <v>448</v>
      </c>
      <c r="E2127" t="s">
        <v>492</v>
      </c>
      <c r="F2127" s="11">
        <v>43837</v>
      </c>
      <c r="G2127" s="2">
        <f>VLOOKUP(E2127,Produtos!$A:$E,5,FALSE)</f>
        <v>350</v>
      </c>
      <c r="H2127" s="2">
        <f>VLOOKUP(E2127,Produtos!$A:$E,4,FALSE)</f>
        <v>200</v>
      </c>
      <c r="I2127" s="2">
        <v>4</v>
      </c>
    </row>
    <row r="2128" spans="1:9" x14ac:dyDescent="0.25">
      <c r="A2128" s="2" t="str">
        <f>CONCATENATE(Códigos!S2127,Códigos!T2127,Códigos!U2127)</f>
        <v>svv2126v</v>
      </c>
      <c r="B2128" t="s">
        <v>322</v>
      </c>
      <c r="C2128" t="s">
        <v>510</v>
      </c>
      <c r="D2128" s="2" t="s">
        <v>448</v>
      </c>
      <c r="E2128" t="s">
        <v>492</v>
      </c>
      <c r="F2128" s="11">
        <v>43838</v>
      </c>
      <c r="G2128" s="2">
        <f>VLOOKUP(E2128,Produtos!$A:$E,5,FALSE)</f>
        <v>350</v>
      </c>
      <c r="H2128" s="2">
        <f>VLOOKUP(E2128,Produtos!$A:$E,4,FALSE)</f>
        <v>200</v>
      </c>
      <c r="I2128" s="2">
        <v>4</v>
      </c>
    </row>
    <row r="2129" spans="1:9" x14ac:dyDescent="0.25">
      <c r="A2129" s="2" t="str">
        <f>CONCATENATE(Códigos!S2128,Códigos!T2128,Códigos!U2128)</f>
        <v>svv2127v</v>
      </c>
      <c r="B2129" t="s">
        <v>322</v>
      </c>
      <c r="C2129" t="s">
        <v>510</v>
      </c>
      <c r="D2129" s="2" t="s">
        <v>448</v>
      </c>
      <c r="E2129" t="s">
        <v>492</v>
      </c>
      <c r="F2129" s="11">
        <v>43839</v>
      </c>
      <c r="G2129" s="2">
        <f>VLOOKUP(E2129,Produtos!$A:$E,5,FALSE)</f>
        <v>350</v>
      </c>
      <c r="H2129" s="2">
        <f>VLOOKUP(E2129,Produtos!$A:$E,4,FALSE)</f>
        <v>200</v>
      </c>
      <c r="I2129" s="2">
        <v>4</v>
      </c>
    </row>
    <row r="2130" spans="1:9" x14ac:dyDescent="0.25">
      <c r="A2130" s="2" t="str">
        <f>CONCATENATE(Códigos!S2129,Códigos!T2129,Códigos!U2129)</f>
        <v>svv2128v</v>
      </c>
      <c r="B2130" t="s">
        <v>322</v>
      </c>
      <c r="C2130" t="s">
        <v>510</v>
      </c>
      <c r="D2130" s="2" t="s">
        <v>448</v>
      </c>
      <c r="E2130" t="s">
        <v>492</v>
      </c>
      <c r="F2130" s="11">
        <v>43840</v>
      </c>
      <c r="G2130" s="2">
        <f>VLOOKUP(E2130,Produtos!$A:$E,5,FALSE)</f>
        <v>350</v>
      </c>
      <c r="H2130" s="2">
        <f>VLOOKUP(E2130,Produtos!$A:$E,4,FALSE)</f>
        <v>200</v>
      </c>
      <c r="I2130" s="2">
        <v>4</v>
      </c>
    </row>
    <row r="2131" spans="1:9" x14ac:dyDescent="0.25">
      <c r="A2131" s="2" t="str">
        <f>CONCATENATE(Códigos!S2130,Códigos!T2130,Códigos!U2130)</f>
        <v>svv2129v</v>
      </c>
      <c r="B2131" t="s">
        <v>322</v>
      </c>
      <c r="C2131" t="s">
        <v>510</v>
      </c>
      <c r="D2131" s="2" t="s">
        <v>448</v>
      </c>
      <c r="E2131" t="s">
        <v>492</v>
      </c>
      <c r="F2131" s="11">
        <v>43841</v>
      </c>
      <c r="G2131" s="2">
        <f>VLOOKUP(E2131,Produtos!$A:$E,5,FALSE)</f>
        <v>350</v>
      </c>
      <c r="H2131" s="2">
        <f>VLOOKUP(E2131,Produtos!$A:$E,4,FALSE)</f>
        <v>200</v>
      </c>
      <c r="I2131" s="2">
        <v>4</v>
      </c>
    </row>
    <row r="2132" spans="1:9" x14ac:dyDescent="0.25">
      <c r="A2132" s="2" t="str">
        <f>CONCATENATE(Códigos!S2131,Códigos!T2131,Códigos!U2131)</f>
        <v>svv2130v</v>
      </c>
      <c r="B2132" t="s">
        <v>322</v>
      </c>
      <c r="C2132" t="s">
        <v>510</v>
      </c>
      <c r="D2132" s="2" t="s">
        <v>448</v>
      </c>
      <c r="E2132" t="s">
        <v>492</v>
      </c>
      <c r="F2132" s="11">
        <v>43842</v>
      </c>
      <c r="G2132" s="2">
        <f>VLOOKUP(E2132,Produtos!$A:$E,5,FALSE)</f>
        <v>350</v>
      </c>
      <c r="H2132" s="2">
        <f>VLOOKUP(E2132,Produtos!$A:$E,4,FALSE)</f>
        <v>200</v>
      </c>
      <c r="I2132" s="2">
        <v>4</v>
      </c>
    </row>
    <row r="2133" spans="1:9" x14ac:dyDescent="0.25">
      <c r="A2133" s="2" t="str">
        <f>CONCATENATE(Códigos!S2132,Códigos!T2132,Códigos!U2132)</f>
        <v>svv2131v</v>
      </c>
      <c r="B2133" t="s">
        <v>322</v>
      </c>
      <c r="C2133" t="s">
        <v>510</v>
      </c>
      <c r="D2133" s="2" t="s">
        <v>448</v>
      </c>
      <c r="E2133" t="s">
        <v>492</v>
      </c>
      <c r="F2133" s="11">
        <v>43843</v>
      </c>
      <c r="G2133" s="2">
        <f>VLOOKUP(E2133,Produtos!$A:$E,5,FALSE)</f>
        <v>350</v>
      </c>
      <c r="H2133" s="2">
        <f>VLOOKUP(E2133,Produtos!$A:$E,4,FALSE)</f>
        <v>200</v>
      </c>
      <c r="I2133" s="2">
        <v>4</v>
      </c>
    </row>
    <row r="2134" spans="1:9" x14ac:dyDescent="0.25">
      <c r="A2134" s="2" t="str">
        <f>CONCATENATE(Códigos!S2133,Códigos!T2133,Códigos!U2133)</f>
        <v>svv2132v</v>
      </c>
      <c r="B2134" t="s">
        <v>322</v>
      </c>
      <c r="C2134" t="s">
        <v>510</v>
      </c>
      <c r="D2134" s="2" t="s">
        <v>448</v>
      </c>
      <c r="E2134" t="s">
        <v>492</v>
      </c>
      <c r="F2134" s="11">
        <v>43844</v>
      </c>
      <c r="G2134" s="2">
        <f>VLOOKUP(E2134,Produtos!$A:$E,5,FALSE)</f>
        <v>350</v>
      </c>
      <c r="H2134" s="2">
        <f>VLOOKUP(E2134,Produtos!$A:$E,4,FALSE)</f>
        <v>200</v>
      </c>
      <c r="I2134" s="2">
        <v>4</v>
      </c>
    </row>
    <row r="2135" spans="1:9" x14ac:dyDescent="0.25">
      <c r="A2135" s="2" t="str">
        <f>CONCATENATE(Códigos!S2134,Códigos!T2134,Códigos!U2134)</f>
        <v>svv2133v</v>
      </c>
      <c r="B2135" t="s">
        <v>322</v>
      </c>
      <c r="C2135" t="s">
        <v>510</v>
      </c>
      <c r="D2135" s="2" t="s">
        <v>448</v>
      </c>
      <c r="E2135" t="s">
        <v>492</v>
      </c>
      <c r="F2135" s="11">
        <v>43845</v>
      </c>
      <c r="G2135" s="2">
        <f>VLOOKUP(E2135,Produtos!$A:$E,5,FALSE)</f>
        <v>350</v>
      </c>
      <c r="H2135" s="2">
        <f>VLOOKUP(E2135,Produtos!$A:$E,4,FALSE)</f>
        <v>200</v>
      </c>
      <c r="I2135" s="2">
        <v>4</v>
      </c>
    </row>
    <row r="2136" spans="1:9" x14ac:dyDescent="0.25">
      <c r="A2136" s="2" t="str">
        <f>CONCATENATE(Códigos!S2135,Códigos!T2135,Códigos!U2135)</f>
        <v>svv2134v</v>
      </c>
      <c r="B2136" t="s">
        <v>322</v>
      </c>
      <c r="C2136" t="s">
        <v>510</v>
      </c>
      <c r="D2136" s="2" t="s">
        <v>448</v>
      </c>
      <c r="E2136" t="s">
        <v>492</v>
      </c>
      <c r="F2136" s="11">
        <v>43846</v>
      </c>
      <c r="G2136" s="2">
        <f>VLOOKUP(E2136,Produtos!$A:$E,5,FALSE)</f>
        <v>350</v>
      </c>
      <c r="H2136" s="2">
        <f>VLOOKUP(E2136,Produtos!$A:$E,4,FALSE)</f>
        <v>200</v>
      </c>
      <c r="I2136" s="2">
        <v>4</v>
      </c>
    </row>
    <row r="2137" spans="1:9" x14ac:dyDescent="0.25">
      <c r="A2137" s="2" t="str">
        <f>CONCATENATE(Códigos!S2136,Códigos!T2136,Códigos!U2136)</f>
        <v>svv2135v</v>
      </c>
      <c r="B2137" t="s">
        <v>322</v>
      </c>
      <c r="C2137" t="s">
        <v>510</v>
      </c>
      <c r="D2137" s="2" t="s">
        <v>448</v>
      </c>
      <c r="E2137" t="s">
        <v>492</v>
      </c>
      <c r="F2137" s="11">
        <v>43847</v>
      </c>
      <c r="G2137" s="2">
        <f>VLOOKUP(E2137,Produtos!$A:$E,5,FALSE)</f>
        <v>350</v>
      </c>
      <c r="H2137" s="2">
        <f>VLOOKUP(E2137,Produtos!$A:$E,4,FALSE)</f>
        <v>200</v>
      </c>
      <c r="I2137" s="2">
        <v>4</v>
      </c>
    </row>
    <row r="2138" spans="1:9" x14ac:dyDescent="0.25">
      <c r="A2138" s="2" t="str">
        <f>CONCATENATE(Códigos!S2137,Códigos!T2137,Códigos!U2137)</f>
        <v>svv2136v</v>
      </c>
      <c r="B2138" t="s">
        <v>322</v>
      </c>
      <c r="C2138" t="s">
        <v>510</v>
      </c>
      <c r="D2138" s="2" t="s">
        <v>448</v>
      </c>
      <c r="E2138" t="s">
        <v>492</v>
      </c>
      <c r="F2138" s="11">
        <v>43848</v>
      </c>
      <c r="G2138" s="2">
        <f>VLOOKUP(E2138,Produtos!$A:$E,5,FALSE)</f>
        <v>350</v>
      </c>
      <c r="H2138" s="2">
        <f>VLOOKUP(E2138,Produtos!$A:$E,4,FALSE)</f>
        <v>200</v>
      </c>
      <c r="I2138" s="2">
        <v>4</v>
      </c>
    </row>
    <row r="2139" spans="1:9" x14ac:dyDescent="0.25">
      <c r="A2139" s="2" t="str">
        <f>CONCATENATE(Códigos!S2138,Códigos!T2138,Códigos!U2138)</f>
        <v>svv2137v</v>
      </c>
      <c r="B2139" t="s">
        <v>322</v>
      </c>
      <c r="C2139" t="s">
        <v>510</v>
      </c>
      <c r="D2139" s="2" t="s">
        <v>448</v>
      </c>
      <c r="E2139" t="s">
        <v>492</v>
      </c>
      <c r="F2139" s="11">
        <v>43849</v>
      </c>
      <c r="G2139" s="2">
        <f>VLOOKUP(E2139,Produtos!$A:$E,5,FALSE)</f>
        <v>350</v>
      </c>
      <c r="H2139" s="2">
        <f>VLOOKUP(E2139,Produtos!$A:$E,4,FALSE)</f>
        <v>200</v>
      </c>
      <c r="I2139" s="2">
        <v>4</v>
      </c>
    </row>
    <row r="2140" spans="1:9" x14ac:dyDescent="0.25">
      <c r="A2140" s="2" t="str">
        <f>CONCATENATE(Códigos!S2139,Códigos!T2139,Códigos!U2139)</f>
        <v>svv2138v</v>
      </c>
      <c r="B2140" t="s">
        <v>322</v>
      </c>
      <c r="C2140" t="s">
        <v>510</v>
      </c>
      <c r="D2140" s="2" t="s">
        <v>448</v>
      </c>
      <c r="E2140" t="s">
        <v>492</v>
      </c>
      <c r="F2140" s="11">
        <v>43850</v>
      </c>
      <c r="G2140" s="2">
        <f>VLOOKUP(E2140,Produtos!$A:$E,5,FALSE)</f>
        <v>350</v>
      </c>
      <c r="H2140" s="2">
        <f>VLOOKUP(E2140,Produtos!$A:$E,4,FALSE)</f>
        <v>200</v>
      </c>
      <c r="I2140" s="2">
        <v>4</v>
      </c>
    </row>
    <row r="2141" spans="1:9" x14ac:dyDescent="0.25">
      <c r="A2141" s="2" t="str">
        <f>CONCATENATE(Códigos!S2140,Códigos!T2140,Códigos!U2140)</f>
        <v>svv2139v</v>
      </c>
      <c r="B2141" t="s">
        <v>322</v>
      </c>
      <c r="C2141" t="s">
        <v>510</v>
      </c>
      <c r="D2141" s="2" t="s">
        <v>448</v>
      </c>
      <c r="E2141" t="s">
        <v>492</v>
      </c>
      <c r="F2141" s="11">
        <v>43851</v>
      </c>
      <c r="G2141" s="2">
        <f>VLOOKUP(E2141,Produtos!$A:$E,5,FALSE)</f>
        <v>350</v>
      </c>
      <c r="H2141" s="2">
        <f>VLOOKUP(E2141,Produtos!$A:$E,4,FALSE)</f>
        <v>200</v>
      </c>
      <c r="I2141" s="2">
        <v>4</v>
      </c>
    </row>
    <row r="2142" spans="1:9" x14ac:dyDescent="0.25">
      <c r="A2142" s="2" t="str">
        <f>CONCATENATE(Códigos!S2141,Códigos!T2141,Códigos!U2141)</f>
        <v>svv2140v</v>
      </c>
      <c r="B2142" t="s">
        <v>322</v>
      </c>
      <c r="C2142" t="s">
        <v>510</v>
      </c>
      <c r="D2142" s="2" t="s">
        <v>448</v>
      </c>
      <c r="E2142" t="s">
        <v>492</v>
      </c>
      <c r="F2142" s="11">
        <v>43852</v>
      </c>
      <c r="G2142" s="2">
        <f>VLOOKUP(E2142,Produtos!$A:$E,5,FALSE)</f>
        <v>350</v>
      </c>
      <c r="H2142" s="2">
        <f>VLOOKUP(E2142,Produtos!$A:$E,4,FALSE)</f>
        <v>200</v>
      </c>
      <c r="I2142" s="2">
        <v>4</v>
      </c>
    </row>
    <row r="2143" spans="1:9" x14ac:dyDescent="0.25">
      <c r="A2143" s="2" t="str">
        <f>CONCATENATE(Códigos!S2142,Códigos!T2142,Códigos!U2142)</f>
        <v>svv2141v</v>
      </c>
      <c r="B2143" t="s">
        <v>322</v>
      </c>
      <c r="C2143" t="s">
        <v>510</v>
      </c>
      <c r="D2143" s="2" t="s">
        <v>448</v>
      </c>
      <c r="E2143" t="s">
        <v>492</v>
      </c>
      <c r="F2143" s="11">
        <v>43853</v>
      </c>
      <c r="G2143" s="2">
        <f>VLOOKUP(E2143,Produtos!$A:$E,5,FALSE)</f>
        <v>350</v>
      </c>
      <c r="H2143" s="2">
        <f>VLOOKUP(E2143,Produtos!$A:$E,4,FALSE)</f>
        <v>200</v>
      </c>
      <c r="I2143" s="2">
        <v>4</v>
      </c>
    </row>
    <row r="2144" spans="1:9" x14ac:dyDescent="0.25">
      <c r="A2144" s="2" t="str">
        <f>CONCATENATE(Códigos!S2143,Códigos!T2143,Códigos!U2143)</f>
        <v>svv2142v</v>
      </c>
      <c r="B2144" t="s">
        <v>322</v>
      </c>
      <c r="C2144" t="s">
        <v>510</v>
      </c>
      <c r="D2144" s="2" t="s">
        <v>448</v>
      </c>
      <c r="E2144" t="s">
        <v>492</v>
      </c>
      <c r="F2144" s="11">
        <v>43854</v>
      </c>
      <c r="G2144" s="2">
        <f>VLOOKUP(E2144,Produtos!$A:$E,5,FALSE)</f>
        <v>350</v>
      </c>
      <c r="H2144" s="2">
        <f>VLOOKUP(E2144,Produtos!$A:$E,4,FALSE)</f>
        <v>200</v>
      </c>
      <c r="I2144" s="2">
        <v>4</v>
      </c>
    </row>
    <row r="2145" spans="1:9" x14ac:dyDescent="0.25">
      <c r="A2145" s="2" t="str">
        <f>CONCATENATE(Códigos!S2144,Códigos!T2144,Códigos!U2144)</f>
        <v>svv2143v</v>
      </c>
      <c r="B2145" t="s">
        <v>322</v>
      </c>
      <c r="C2145" t="s">
        <v>510</v>
      </c>
      <c r="D2145" s="2" t="s">
        <v>448</v>
      </c>
      <c r="E2145" t="s">
        <v>492</v>
      </c>
      <c r="F2145" s="11">
        <v>43855</v>
      </c>
      <c r="G2145" s="2">
        <f>VLOOKUP(E2145,Produtos!$A:$E,5,FALSE)</f>
        <v>350</v>
      </c>
      <c r="H2145" s="2">
        <f>VLOOKUP(E2145,Produtos!$A:$E,4,FALSE)</f>
        <v>200</v>
      </c>
      <c r="I2145" s="2">
        <v>4</v>
      </c>
    </row>
    <row r="2146" spans="1:9" x14ac:dyDescent="0.25">
      <c r="A2146" s="2" t="str">
        <f>CONCATENATE(Códigos!S2145,Códigos!T2145,Códigos!U2145)</f>
        <v>svv2144v</v>
      </c>
      <c r="B2146" t="s">
        <v>322</v>
      </c>
      <c r="C2146" t="s">
        <v>444</v>
      </c>
      <c r="D2146" s="2" t="s">
        <v>445</v>
      </c>
      <c r="E2146" t="s">
        <v>491</v>
      </c>
      <c r="F2146" s="11">
        <v>43856</v>
      </c>
      <c r="G2146" s="2">
        <f>VLOOKUP(E2146,Produtos!$A:$E,5,FALSE)</f>
        <v>700</v>
      </c>
      <c r="H2146" s="2">
        <f>VLOOKUP(E2146,Produtos!$A:$E,4,FALSE)</f>
        <v>350</v>
      </c>
      <c r="I2146" s="2">
        <v>4</v>
      </c>
    </row>
    <row r="2147" spans="1:9" x14ac:dyDescent="0.25">
      <c r="A2147" s="2" t="str">
        <f>CONCATENATE(Códigos!S2146,Códigos!T2146,Códigos!U2146)</f>
        <v>svv2145v</v>
      </c>
      <c r="B2147" t="s">
        <v>322</v>
      </c>
      <c r="C2147" t="s">
        <v>444</v>
      </c>
      <c r="D2147" s="2" t="s">
        <v>445</v>
      </c>
      <c r="E2147" t="s">
        <v>491</v>
      </c>
      <c r="F2147" s="11">
        <v>43857</v>
      </c>
      <c r="G2147" s="2">
        <f>VLOOKUP(E2147,Produtos!$A:$E,5,FALSE)</f>
        <v>700</v>
      </c>
      <c r="H2147" s="2">
        <f>VLOOKUP(E2147,Produtos!$A:$E,4,FALSE)</f>
        <v>350</v>
      </c>
      <c r="I2147" s="2">
        <v>4</v>
      </c>
    </row>
    <row r="2148" spans="1:9" x14ac:dyDescent="0.25">
      <c r="A2148" s="2" t="str">
        <f>CONCATENATE(Códigos!S2147,Códigos!T2147,Códigos!U2147)</f>
        <v>svv2146v</v>
      </c>
      <c r="B2148" t="s">
        <v>322</v>
      </c>
      <c r="C2148" t="s">
        <v>444</v>
      </c>
      <c r="D2148" s="2" t="s">
        <v>445</v>
      </c>
      <c r="E2148" t="s">
        <v>491</v>
      </c>
      <c r="F2148" s="11">
        <v>43858</v>
      </c>
      <c r="G2148" s="2">
        <f>VLOOKUP(E2148,Produtos!$A:$E,5,FALSE)</f>
        <v>700</v>
      </c>
      <c r="H2148" s="2">
        <f>VLOOKUP(E2148,Produtos!$A:$E,4,FALSE)</f>
        <v>350</v>
      </c>
      <c r="I2148" s="2">
        <v>4</v>
      </c>
    </row>
    <row r="2149" spans="1:9" x14ac:dyDescent="0.25">
      <c r="A2149" s="2" t="str">
        <f>CONCATENATE(Códigos!S2148,Códigos!T2148,Códigos!U2148)</f>
        <v>svv2147v</v>
      </c>
      <c r="B2149" t="s">
        <v>322</v>
      </c>
      <c r="C2149" t="s">
        <v>444</v>
      </c>
      <c r="D2149" s="2" t="s">
        <v>445</v>
      </c>
      <c r="E2149" t="s">
        <v>491</v>
      </c>
      <c r="F2149" s="11">
        <v>43859</v>
      </c>
      <c r="G2149" s="2">
        <f>VLOOKUP(E2149,Produtos!$A:$E,5,FALSE)</f>
        <v>700</v>
      </c>
      <c r="H2149" s="2">
        <f>VLOOKUP(E2149,Produtos!$A:$E,4,FALSE)</f>
        <v>350</v>
      </c>
      <c r="I2149" s="2">
        <v>4</v>
      </c>
    </row>
    <row r="2150" spans="1:9" x14ac:dyDescent="0.25">
      <c r="A2150" s="2" t="str">
        <f>CONCATENATE(Códigos!S2149,Códigos!T2149,Códigos!U2149)</f>
        <v>svv2148v</v>
      </c>
      <c r="B2150" t="s">
        <v>322</v>
      </c>
      <c r="C2150" t="s">
        <v>444</v>
      </c>
      <c r="D2150" s="2" t="s">
        <v>445</v>
      </c>
      <c r="E2150" t="s">
        <v>491</v>
      </c>
      <c r="F2150" s="11">
        <v>43860</v>
      </c>
      <c r="G2150" s="2">
        <f>VLOOKUP(E2150,Produtos!$A:$E,5,FALSE)</f>
        <v>700</v>
      </c>
      <c r="H2150" s="2">
        <f>VLOOKUP(E2150,Produtos!$A:$E,4,FALSE)</f>
        <v>350</v>
      </c>
      <c r="I2150" s="2">
        <v>4</v>
      </c>
    </row>
    <row r="2151" spans="1:9" x14ac:dyDescent="0.25">
      <c r="A2151" s="2" t="str">
        <f>CONCATENATE(Códigos!S2150,Códigos!T2150,Códigos!U2150)</f>
        <v>svv2149v</v>
      </c>
      <c r="B2151" t="s">
        <v>322</v>
      </c>
      <c r="C2151" t="s">
        <v>444</v>
      </c>
      <c r="D2151" s="2" t="s">
        <v>445</v>
      </c>
      <c r="E2151" t="s">
        <v>491</v>
      </c>
      <c r="F2151" s="11">
        <v>43861</v>
      </c>
      <c r="G2151" s="2">
        <f>VLOOKUP(E2151,Produtos!$A:$E,5,FALSE)</f>
        <v>700</v>
      </c>
      <c r="H2151" s="2">
        <f>VLOOKUP(E2151,Produtos!$A:$E,4,FALSE)</f>
        <v>350</v>
      </c>
      <c r="I2151" s="2">
        <v>4</v>
      </c>
    </row>
    <row r="2152" spans="1:9" x14ac:dyDescent="0.25">
      <c r="A2152" s="2" t="str">
        <f>CONCATENATE(Códigos!S2151,Códigos!T2151,Códigos!U2151)</f>
        <v>svv2150v</v>
      </c>
      <c r="B2152" t="s">
        <v>322</v>
      </c>
      <c r="C2152" t="s">
        <v>444</v>
      </c>
      <c r="D2152" s="2" t="s">
        <v>445</v>
      </c>
      <c r="E2152" t="s">
        <v>491</v>
      </c>
      <c r="F2152" s="11">
        <v>43862</v>
      </c>
      <c r="G2152" s="2">
        <f>VLOOKUP(E2152,Produtos!$A:$E,5,FALSE)</f>
        <v>700</v>
      </c>
      <c r="H2152" s="2">
        <f>VLOOKUP(E2152,Produtos!$A:$E,4,FALSE)</f>
        <v>350</v>
      </c>
      <c r="I2152" s="2">
        <v>4</v>
      </c>
    </row>
    <row r="2153" spans="1:9" x14ac:dyDescent="0.25">
      <c r="A2153" s="2" t="str">
        <f>CONCATENATE(Códigos!S2152,Códigos!T2152,Códigos!U2152)</f>
        <v>svv2151v</v>
      </c>
      <c r="B2153" t="s">
        <v>322</v>
      </c>
      <c r="C2153" t="s">
        <v>444</v>
      </c>
      <c r="D2153" s="2" t="s">
        <v>445</v>
      </c>
      <c r="E2153" t="s">
        <v>491</v>
      </c>
      <c r="F2153" s="11">
        <v>43863</v>
      </c>
      <c r="G2153" s="2">
        <f>VLOOKUP(E2153,Produtos!$A:$E,5,FALSE)</f>
        <v>700</v>
      </c>
      <c r="H2153" s="2">
        <f>VLOOKUP(E2153,Produtos!$A:$E,4,FALSE)</f>
        <v>350</v>
      </c>
      <c r="I2153" s="2">
        <v>4</v>
      </c>
    </row>
    <row r="2154" spans="1:9" x14ac:dyDescent="0.25">
      <c r="A2154" s="2" t="str">
        <f>CONCATENATE(Códigos!S2153,Códigos!T2153,Códigos!U2153)</f>
        <v>svv2152v</v>
      </c>
      <c r="B2154" t="s">
        <v>322</v>
      </c>
      <c r="C2154" t="s">
        <v>444</v>
      </c>
      <c r="D2154" s="2" t="s">
        <v>445</v>
      </c>
      <c r="E2154" t="s">
        <v>491</v>
      </c>
      <c r="F2154" s="11">
        <v>43864</v>
      </c>
      <c r="G2154" s="2">
        <f>VLOOKUP(E2154,Produtos!$A:$E,5,FALSE)</f>
        <v>700</v>
      </c>
      <c r="H2154" s="2">
        <f>VLOOKUP(E2154,Produtos!$A:$E,4,FALSE)</f>
        <v>350</v>
      </c>
      <c r="I2154" s="2">
        <v>4</v>
      </c>
    </row>
    <row r="2155" spans="1:9" x14ac:dyDescent="0.25">
      <c r="A2155" s="2" t="str">
        <f>CONCATENATE(Códigos!S2154,Códigos!T2154,Códigos!U2154)</f>
        <v>svv2153v</v>
      </c>
      <c r="B2155" t="s">
        <v>322</v>
      </c>
      <c r="C2155" t="s">
        <v>444</v>
      </c>
      <c r="D2155" s="2" t="s">
        <v>445</v>
      </c>
      <c r="E2155" t="s">
        <v>491</v>
      </c>
      <c r="F2155" s="11">
        <v>43865</v>
      </c>
      <c r="G2155" s="2">
        <f>VLOOKUP(E2155,Produtos!$A:$E,5,FALSE)</f>
        <v>700</v>
      </c>
      <c r="H2155" s="2">
        <f>VLOOKUP(E2155,Produtos!$A:$E,4,FALSE)</f>
        <v>350</v>
      </c>
      <c r="I2155" s="2">
        <v>4</v>
      </c>
    </row>
    <row r="2156" spans="1:9" x14ac:dyDescent="0.25">
      <c r="A2156" s="2" t="str">
        <f>CONCATENATE(Códigos!S2155,Códigos!T2155,Códigos!U2155)</f>
        <v>svv2154v</v>
      </c>
      <c r="B2156" t="s">
        <v>322</v>
      </c>
      <c r="C2156" t="s">
        <v>444</v>
      </c>
      <c r="D2156" s="2" t="s">
        <v>445</v>
      </c>
      <c r="E2156" t="s">
        <v>491</v>
      </c>
      <c r="F2156" s="11">
        <v>43866</v>
      </c>
      <c r="G2156" s="2">
        <f>VLOOKUP(E2156,Produtos!$A:$E,5,FALSE)</f>
        <v>700</v>
      </c>
      <c r="H2156" s="2">
        <f>VLOOKUP(E2156,Produtos!$A:$E,4,FALSE)</f>
        <v>350</v>
      </c>
      <c r="I2156" s="2">
        <v>4</v>
      </c>
    </row>
    <row r="2157" spans="1:9" x14ac:dyDescent="0.25">
      <c r="A2157" s="2" t="str">
        <f>CONCATENATE(Códigos!S2156,Códigos!T2156,Códigos!U2156)</f>
        <v>svv2155v</v>
      </c>
      <c r="B2157" t="s">
        <v>322</v>
      </c>
      <c r="C2157" t="s">
        <v>444</v>
      </c>
      <c r="D2157" s="2" t="s">
        <v>445</v>
      </c>
      <c r="E2157" t="s">
        <v>491</v>
      </c>
      <c r="F2157" s="11">
        <v>43867</v>
      </c>
      <c r="G2157" s="2">
        <f>VLOOKUP(E2157,Produtos!$A:$E,5,FALSE)</f>
        <v>700</v>
      </c>
      <c r="H2157" s="2">
        <f>VLOOKUP(E2157,Produtos!$A:$E,4,FALSE)</f>
        <v>350</v>
      </c>
      <c r="I2157" s="2">
        <v>4</v>
      </c>
    </row>
    <row r="2158" spans="1:9" x14ac:dyDescent="0.25">
      <c r="A2158" s="2" t="str">
        <f>CONCATENATE(Códigos!S2157,Códigos!T2157,Códigos!U2157)</f>
        <v>svv2156v</v>
      </c>
      <c r="B2158" t="s">
        <v>322</v>
      </c>
      <c r="C2158" t="s">
        <v>444</v>
      </c>
      <c r="D2158" s="2" t="s">
        <v>445</v>
      </c>
      <c r="E2158" t="s">
        <v>491</v>
      </c>
      <c r="F2158" s="11">
        <v>43868</v>
      </c>
      <c r="G2158" s="2">
        <f>VLOOKUP(E2158,Produtos!$A:$E,5,FALSE)</f>
        <v>700</v>
      </c>
      <c r="H2158" s="2">
        <f>VLOOKUP(E2158,Produtos!$A:$E,4,FALSE)</f>
        <v>350</v>
      </c>
      <c r="I2158" s="2">
        <v>4</v>
      </c>
    </row>
    <row r="2159" spans="1:9" x14ac:dyDescent="0.25">
      <c r="A2159" s="2" t="str">
        <f>CONCATENATE(Códigos!S2158,Códigos!T2158,Códigos!U2158)</f>
        <v>svv2157v</v>
      </c>
      <c r="B2159" t="s">
        <v>322</v>
      </c>
      <c r="C2159" t="s">
        <v>444</v>
      </c>
      <c r="D2159" s="2" t="s">
        <v>445</v>
      </c>
      <c r="E2159" t="s">
        <v>491</v>
      </c>
      <c r="F2159" s="11">
        <v>43869</v>
      </c>
      <c r="G2159" s="2">
        <f>VLOOKUP(E2159,Produtos!$A:$E,5,FALSE)</f>
        <v>700</v>
      </c>
      <c r="H2159" s="2">
        <f>VLOOKUP(E2159,Produtos!$A:$E,4,FALSE)</f>
        <v>350</v>
      </c>
      <c r="I2159" s="2">
        <v>2</v>
      </c>
    </row>
    <row r="2160" spans="1:9" x14ac:dyDescent="0.25">
      <c r="A2160" s="2" t="str">
        <f>CONCATENATE(Códigos!S2159,Códigos!T2159,Códigos!U2159)</f>
        <v>svv2158v</v>
      </c>
      <c r="B2160" t="s">
        <v>322</v>
      </c>
      <c r="C2160" t="s">
        <v>444</v>
      </c>
      <c r="D2160" s="2" t="s">
        <v>445</v>
      </c>
      <c r="E2160" t="s">
        <v>491</v>
      </c>
      <c r="F2160" s="11">
        <v>43870</v>
      </c>
      <c r="G2160" s="2">
        <f>VLOOKUP(E2160,Produtos!$A:$E,5,FALSE)</f>
        <v>700</v>
      </c>
      <c r="H2160" s="2">
        <f>VLOOKUP(E2160,Produtos!$A:$E,4,FALSE)</f>
        <v>350</v>
      </c>
      <c r="I2160" s="2">
        <v>2</v>
      </c>
    </row>
    <row r="2161" spans="1:9" x14ac:dyDescent="0.25">
      <c r="A2161" s="2" t="str">
        <f>CONCATENATE(Códigos!S2160,Códigos!T2160,Códigos!U2160)</f>
        <v>svv2159v</v>
      </c>
      <c r="B2161" t="s">
        <v>322</v>
      </c>
      <c r="C2161" t="s">
        <v>444</v>
      </c>
      <c r="D2161" s="2" t="s">
        <v>445</v>
      </c>
      <c r="E2161" t="s">
        <v>491</v>
      </c>
      <c r="F2161" s="11">
        <v>43871</v>
      </c>
      <c r="G2161" s="2">
        <f>VLOOKUP(E2161,Produtos!$A:$E,5,FALSE)</f>
        <v>700</v>
      </c>
      <c r="H2161" s="2">
        <f>VLOOKUP(E2161,Produtos!$A:$E,4,FALSE)</f>
        <v>350</v>
      </c>
      <c r="I2161" s="2">
        <v>2</v>
      </c>
    </row>
    <row r="2162" spans="1:9" x14ac:dyDescent="0.25">
      <c r="A2162" s="2" t="str">
        <f>CONCATENATE(Códigos!S2161,Códigos!T2161,Códigos!U2161)</f>
        <v>svv2160v</v>
      </c>
      <c r="B2162" t="s">
        <v>322</v>
      </c>
      <c r="C2162" t="s">
        <v>444</v>
      </c>
      <c r="D2162" s="2" t="s">
        <v>445</v>
      </c>
      <c r="E2162" t="s">
        <v>491</v>
      </c>
      <c r="F2162" s="11">
        <v>43872</v>
      </c>
      <c r="G2162" s="2">
        <f>VLOOKUP(E2162,Produtos!$A:$E,5,FALSE)</f>
        <v>700</v>
      </c>
      <c r="H2162" s="2">
        <f>VLOOKUP(E2162,Produtos!$A:$E,4,FALSE)</f>
        <v>350</v>
      </c>
      <c r="I2162" s="2">
        <v>2</v>
      </c>
    </row>
    <row r="2163" spans="1:9" x14ac:dyDescent="0.25">
      <c r="A2163" s="2" t="str">
        <f>CONCATENATE(Códigos!S2162,Códigos!T2162,Códigos!U2162)</f>
        <v>svv2161v</v>
      </c>
      <c r="B2163" t="s">
        <v>322</v>
      </c>
      <c r="C2163" t="s">
        <v>444</v>
      </c>
      <c r="D2163" s="2" t="s">
        <v>445</v>
      </c>
      <c r="E2163" t="s">
        <v>491</v>
      </c>
      <c r="F2163" s="11">
        <v>43873</v>
      </c>
      <c r="G2163" s="2">
        <f>VLOOKUP(E2163,Produtos!$A:$E,5,FALSE)</f>
        <v>700</v>
      </c>
      <c r="H2163" s="2">
        <f>VLOOKUP(E2163,Produtos!$A:$E,4,FALSE)</f>
        <v>350</v>
      </c>
      <c r="I2163" s="2">
        <v>2</v>
      </c>
    </row>
    <row r="2164" spans="1:9" x14ac:dyDescent="0.25">
      <c r="A2164" s="2" t="str">
        <f>CONCATENATE(Códigos!S2163,Códigos!T2163,Códigos!U2163)</f>
        <v>svv2162v</v>
      </c>
      <c r="B2164" t="s">
        <v>322</v>
      </c>
      <c r="C2164" t="s">
        <v>444</v>
      </c>
      <c r="D2164" s="2" t="s">
        <v>445</v>
      </c>
      <c r="E2164" t="s">
        <v>491</v>
      </c>
      <c r="F2164" s="11">
        <v>43874</v>
      </c>
      <c r="G2164" s="2">
        <f>VLOOKUP(E2164,Produtos!$A:$E,5,FALSE)</f>
        <v>700</v>
      </c>
      <c r="H2164" s="2">
        <f>VLOOKUP(E2164,Produtos!$A:$E,4,FALSE)</f>
        <v>350</v>
      </c>
      <c r="I2164" s="2">
        <v>2</v>
      </c>
    </row>
    <row r="2165" spans="1:9" x14ac:dyDescent="0.25">
      <c r="A2165" s="2" t="str">
        <f>CONCATENATE(Códigos!S2164,Códigos!T2164,Códigos!U2164)</f>
        <v>svv2163v</v>
      </c>
      <c r="B2165" t="s">
        <v>322</v>
      </c>
      <c r="C2165" t="s">
        <v>444</v>
      </c>
      <c r="D2165" s="2" t="s">
        <v>445</v>
      </c>
      <c r="E2165" t="s">
        <v>491</v>
      </c>
      <c r="F2165" s="11">
        <v>43875</v>
      </c>
      <c r="G2165" s="2">
        <f>VLOOKUP(E2165,Produtos!$A:$E,5,FALSE)</f>
        <v>700</v>
      </c>
      <c r="H2165" s="2">
        <f>VLOOKUP(E2165,Produtos!$A:$E,4,FALSE)</f>
        <v>350</v>
      </c>
      <c r="I2165" s="2">
        <v>2</v>
      </c>
    </row>
    <row r="2166" spans="1:9" x14ac:dyDescent="0.25">
      <c r="A2166" s="2" t="str">
        <f>CONCATENATE(Códigos!S2165,Códigos!T2165,Códigos!U2165)</f>
        <v>svv2164v</v>
      </c>
      <c r="B2166" t="s">
        <v>322</v>
      </c>
      <c r="C2166" t="s">
        <v>444</v>
      </c>
      <c r="D2166" s="2" t="s">
        <v>445</v>
      </c>
      <c r="E2166" t="s">
        <v>491</v>
      </c>
      <c r="F2166" s="11">
        <v>43876</v>
      </c>
      <c r="G2166" s="2">
        <f>VLOOKUP(E2166,Produtos!$A:$E,5,FALSE)</f>
        <v>700</v>
      </c>
      <c r="H2166" s="2">
        <f>VLOOKUP(E2166,Produtos!$A:$E,4,FALSE)</f>
        <v>350</v>
      </c>
      <c r="I2166" s="2">
        <v>2</v>
      </c>
    </row>
    <row r="2167" spans="1:9" x14ac:dyDescent="0.25">
      <c r="A2167" s="2" t="str">
        <f>CONCATENATE(Códigos!S2166,Códigos!T2166,Códigos!U2166)</f>
        <v>svv2165v</v>
      </c>
      <c r="B2167" t="s">
        <v>322</v>
      </c>
      <c r="C2167" t="s">
        <v>444</v>
      </c>
      <c r="D2167" s="2" t="s">
        <v>445</v>
      </c>
      <c r="E2167" t="s">
        <v>491</v>
      </c>
      <c r="F2167" s="11">
        <v>43877</v>
      </c>
      <c r="G2167" s="2">
        <f>VLOOKUP(E2167,Produtos!$A:$E,5,FALSE)</f>
        <v>700</v>
      </c>
      <c r="H2167" s="2">
        <f>VLOOKUP(E2167,Produtos!$A:$E,4,FALSE)</f>
        <v>350</v>
      </c>
      <c r="I2167" s="2">
        <v>2</v>
      </c>
    </row>
    <row r="2168" spans="1:9" x14ac:dyDescent="0.25">
      <c r="A2168" s="2" t="str">
        <f>CONCATENATE(Códigos!S2167,Códigos!T2167,Códigos!U2167)</f>
        <v>svv2166v</v>
      </c>
      <c r="B2168" t="s">
        <v>322</v>
      </c>
      <c r="C2168" t="s">
        <v>444</v>
      </c>
      <c r="D2168" s="2" t="s">
        <v>445</v>
      </c>
      <c r="E2168" t="s">
        <v>491</v>
      </c>
      <c r="F2168" s="11">
        <v>43878</v>
      </c>
      <c r="G2168" s="2">
        <f>VLOOKUP(E2168,Produtos!$A:$E,5,FALSE)</f>
        <v>700</v>
      </c>
      <c r="H2168" s="2">
        <f>VLOOKUP(E2168,Produtos!$A:$E,4,FALSE)</f>
        <v>350</v>
      </c>
      <c r="I2168" s="2">
        <v>2</v>
      </c>
    </row>
    <row r="2169" spans="1:9" x14ac:dyDescent="0.25">
      <c r="A2169" s="2" t="str">
        <f>CONCATENATE(Códigos!S2168,Códigos!T2168,Códigos!U2168)</f>
        <v>svv2167v</v>
      </c>
      <c r="B2169" t="s">
        <v>322</v>
      </c>
      <c r="C2169" t="s">
        <v>444</v>
      </c>
      <c r="D2169" s="2" t="s">
        <v>445</v>
      </c>
      <c r="E2169" t="s">
        <v>491</v>
      </c>
      <c r="F2169" s="11">
        <v>43879</v>
      </c>
      <c r="G2169" s="2">
        <f>VLOOKUP(E2169,Produtos!$A:$E,5,FALSE)</f>
        <v>700</v>
      </c>
      <c r="H2169" s="2">
        <f>VLOOKUP(E2169,Produtos!$A:$E,4,FALSE)</f>
        <v>350</v>
      </c>
      <c r="I2169" s="2">
        <v>2</v>
      </c>
    </row>
    <row r="2170" spans="1:9" x14ac:dyDescent="0.25">
      <c r="A2170" s="2" t="str">
        <f>CONCATENATE(Códigos!S2169,Códigos!T2169,Códigos!U2169)</f>
        <v>svv2168v</v>
      </c>
      <c r="B2170" t="s">
        <v>322</v>
      </c>
      <c r="C2170" t="s">
        <v>444</v>
      </c>
      <c r="D2170" s="2" t="s">
        <v>445</v>
      </c>
      <c r="E2170" t="s">
        <v>491</v>
      </c>
      <c r="F2170" s="11">
        <v>43880</v>
      </c>
      <c r="G2170" s="2">
        <f>VLOOKUP(E2170,Produtos!$A:$E,5,FALSE)</f>
        <v>700</v>
      </c>
      <c r="H2170" s="2">
        <f>VLOOKUP(E2170,Produtos!$A:$E,4,FALSE)</f>
        <v>350</v>
      </c>
      <c r="I2170" s="2">
        <v>2</v>
      </c>
    </row>
    <row r="2171" spans="1:9" x14ac:dyDescent="0.25">
      <c r="A2171" s="2" t="str">
        <f>CONCATENATE(Códigos!S2170,Códigos!T2170,Códigos!U2170)</f>
        <v>svv2169v</v>
      </c>
      <c r="B2171" t="s">
        <v>322</v>
      </c>
      <c r="C2171" t="s">
        <v>444</v>
      </c>
      <c r="D2171" s="2" t="s">
        <v>445</v>
      </c>
      <c r="E2171" t="s">
        <v>491</v>
      </c>
      <c r="F2171" s="11">
        <v>43881</v>
      </c>
      <c r="G2171" s="2">
        <f>VLOOKUP(E2171,Produtos!$A:$E,5,FALSE)</f>
        <v>700</v>
      </c>
      <c r="H2171" s="2">
        <f>VLOOKUP(E2171,Produtos!$A:$E,4,FALSE)</f>
        <v>350</v>
      </c>
      <c r="I2171" s="2">
        <v>2</v>
      </c>
    </row>
    <row r="2172" spans="1:9" x14ac:dyDescent="0.25">
      <c r="A2172" s="2" t="str">
        <f>CONCATENATE(Códigos!S2171,Códigos!T2171,Códigos!U2171)</f>
        <v>svv2170v</v>
      </c>
      <c r="B2172" t="s">
        <v>322</v>
      </c>
      <c r="C2172" t="s">
        <v>444</v>
      </c>
      <c r="D2172" s="2" t="s">
        <v>445</v>
      </c>
      <c r="E2172" t="s">
        <v>491</v>
      </c>
      <c r="F2172" s="11">
        <v>43882</v>
      </c>
      <c r="G2172" s="2">
        <f>VLOOKUP(E2172,Produtos!$A:$E,5,FALSE)</f>
        <v>700</v>
      </c>
      <c r="H2172" s="2">
        <f>VLOOKUP(E2172,Produtos!$A:$E,4,FALSE)</f>
        <v>350</v>
      </c>
      <c r="I2172" s="2">
        <v>2</v>
      </c>
    </row>
    <row r="2173" spans="1:9" x14ac:dyDescent="0.25">
      <c r="A2173" s="2" t="str">
        <f>CONCATENATE(Códigos!S2172,Códigos!T2172,Códigos!U2172)</f>
        <v>svv2171v</v>
      </c>
      <c r="B2173" t="s">
        <v>322</v>
      </c>
      <c r="C2173" t="s">
        <v>444</v>
      </c>
      <c r="D2173" s="2" t="s">
        <v>445</v>
      </c>
      <c r="E2173" t="s">
        <v>491</v>
      </c>
      <c r="F2173" s="11">
        <v>43883</v>
      </c>
      <c r="G2173" s="2">
        <f>VLOOKUP(E2173,Produtos!$A:$E,5,FALSE)</f>
        <v>700</v>
      </c>
      <c r="H2173" s="2">
        <f>VLOOKUP(E2173,Produtos!$A:$E,4,FALSE)</f>
        <v>350</v>
      </c>
      <c r="I2173" s="2">
        <v>2</v>
      </c>
    </row>
    <row r="2174" spans="1:9" x14ac:dyDescent="0.25">
      <c r="A2174" s="2" t="str">
        <f>CONCATENATE(Códigos!S2173,Códigos!T2173,Códigos!U2173)</f>
        <v>svv2172v</v>
      </c>
      <c r="B2174" t="s">
        <v>322</v>
      </c>
      <c r="C2174" t="s">
        <v>444</v>
      </c>
      <c r="D2174" s="2" t="s">
        <v>445</v>
      </c>
      <c r="E2174" t="s">
        <v>491</v>
      </c>
      <c r="F2174" s="11">
        <v>43884</v>
      </c>
      <c r="G2174" s="2">
        <f>VLOOKUP(E2174,Produtos!$A:$E,5,FALSE)</f>
        <v>700</v>
      </c>
      <c r="H2174" s="2">
        <f>VLOOKUP(E2174,Produtos!$A:$E,4,FALSE)</f>
        <v>350</v>
      </c>
      <c r="I2174" s="2">
        <v>2</v>
      </c>
    </row>
    <row r="2175" spans="1:9" x14ac:dyDescent="0.25">
      <c r="A2175" s="2" t="str">
        <f>CONCATENATE(Códigos!S2174,Códigos!T2174,Códigos!U2174)</f>
        <v>svv2173v</v>
      </c>
      <c r="B2175" t="s">
        <v>322</v>
      </c>
      <c r="C2175" t="s">
        <v>444</v>
      </c>
      <c r="D2175" s="2" t="s">
        <v>445</v>
      </c>
      <c r="E2175" t="s">
        <v>491</v>
      </c>
      <c r="F2175" s="11">
        <v>43885</v>
      </c>
      <c r="G2175" s="2">
        <f>VLOOKUP(E2175,Produtos!$A:$E,5,FALSE)</f>
        <v>700</v>
      </c>
      <c r="H2175" s="2">
        <f>VLOOKUP(E2175,Produtos!$A:$E,4,FALSE)</f>
        <v>350</v>
      </c>
      <c r="I2175" s="2">
        <v>2</v>
      </c>
    </row>
    <row r="2176" spans="1:9" x14ac:dyDescent="0.25">
      <c r="A2176" s="2" t="str">
        <f>CONCATENATE(Códigos!S2175,Códigos!T2175,Códigos!U2175)</f>
        <v>svv2174v</v>
      </c>
      <c r="B2176" t="s">
        <v>322</v>
      </c>
      <c r="C2176" t="s">
        <v>444</v>
      </c>
      <c r="D2176" s="2" t="s">
        <v>445</v>
      </c>
      <c r="E2176" t="s">
        <v>491</v>
      </c>
      <c r="F2176" s="11">
        <v>43886</v>
      </c>
      <c r="G2176" s="2">
        <f>VLOOKUP(E2176,Produtos!$A:$E,5,FALSE)</f>
        <v>700</v>
      </c>
      <c r="H2176" s="2">
        <f>VLOOKUP(E2176,Produtos!$A:$E,4,FALSE)</f>
        <v>350</v>
      </c>
      <c r="I2176" s="2">
        <v>2</v>
      </c>
    </row>
    <row r="2177" spans="1:9" x14ac:dyDescent="0.25">
      <c r="A2177" s="2" t="str">
        <f>CONCATENATE(Códigos!S2176,Códigos!T2176,Códigos!U2176)</f>
        <v>svv2175v</v>
      </c>
      <c r="B2177" t="s">
        <v>322</v>
      </c>
      <c r="C2177" t="s">
        <v>444</v>
      </c>
      <c r="D2177" s="2" t="s">
        <v>445</v>
      </c>
      <c r="E2177" t="s">
        <v>491</v>
      </c>
      <c r="F2177" s="11">
        <v>43887</v>
      </c>
      <c r="G2177" s="2">
        <f>VLOOKUP(E2177,Produtos!$A:$E,5,FALSE)</f>
        <v>700</v>
      </c>
      <c r="H2177" s="2">
        <f>VLOOKUP(E2177,Produtos!$A:$E,4,FALSE)</f>
        <v>350</v>
      </c>
      <c r="I2177" s="2">
        <v>2</v>
      </c>
    </row>
    <row r="2178" spans="1:9" x14ac:dyDescent="0.25">
      <c r="A2178" s="2" t="str">
        <f>CONCATENATE(Códigos!S2177,Códigos!T2177,Códigos!U2177)</f>
        <v>svv2176v</v>
      </c>
      <c r="B2178" t="s">
        <v>322</v>
      </c>
      <c r="C2178" t="s">
        <v>444</v>
      </c>
      <c r="D2178" s="2" t="s">
        <v>445</v>
      </c>
      <c r="E2178" t="s">
        <v>491</v>
      </c>
      <c r="F2178" s="11">
        <v>43888</v>
      </c>
      <c r="G2178" s="2">
        <f>VLOOKUP(E2178,Produtos!$A:$E,5,FALSE)</f>
        <v>700</v>
      </c>
      <c r="H2178" s="2">
        <f>VLOOKUP(E2178,Produtos!$A:$E,4,FALSE)</f>
        <v>350</v>
      </c>
      <c r="I2178" s="2">
        <v>2</v>
      </c>
    </row>
    <row r="2179" spans="1:9" x14ac:dyDescent="0.25">
      <c r="A2179" s="2" t="str">
        <f>CONCATENATE(Códigos!S2178,Códigos!T2178,Códigos!U2178)</f>
        <v>svv2177v</v>
      </c>
      <c r="B2179" t="s">
        <v>322</v>
      </c>
      <c r="C2179" t="s">
        <v>444</v>
      </c>
      <c r="D2179" s="2" t="s">
        <v>445</v>
      </c>
      <c r="E2179" t="s">
        <v>491</v>
      </c>
      <c r="F2179" s="11">
        <v>43889</v>
      </c>
      <c r="G2179" s="2">
        <f>VLOOKUP(E2179,Produtos!$A:$E,5,FALSE)</f>
        <v>700</v>
      </c>
      <c r="H2179" s="2">
        <f>VLOOKUP(E2179,Produtos!$A:$E,4,FALSE)</f>
        <v>350</v>
      </c>
      <c r="I2179" s="2">
        <v>2</v>
      </c>
    </row>
    <row r="2180" spans="1:9" x14ac:dyDescent="0.25">
      <c r="A2180" s="2" t="str">
        <f>CONCATENATE(Códigos!S2179,Códigos!T2179,Códigos!U2179)</f>
        <v>svv2178v</v>
      </c>
      <c r="B2180" t="s">
        <v>322</v>
      </c>
      <c r="C2180" t="s">
        <v>444</v>
      </c>
      <c r="D2180" s="2" t="s">
        <v>445</v>
      </c>
      <c r="E2180" t="s">
        <v>491</v>
      </c>
      <c r="F2180" s="11">
        <v>43890</v>
      </c>
      <c r="G2180" s="2">
        <f>VLOOKUP(E2180,Produtos!$A:$E,5,FALSE)</f>
        <v>700</v>
      </c>
      <c r="H2180" s="2">
        <f>VLOOKUP(E2180,Produtos!$A:$E,4,FALSE)</f>
        <v>350</v>
      </c>
      <c r="I2180" s="2">
        <v>2</v>
      </c>
    </row>
    <row r="2181" spans="1:9" x14ac:dyDescent="0.25">
      <c r="A2181" s="2" t="str">
        <f>CONCATENATE(Códigos!S2180,Códigos!T2180,Códigos!U2180)</f>
        <v>svv2179v</v>
      </c>
      <c r="B2181" t="s">
        <v>322</v>
      </c>
      <c r="C2181" t="s">
        <v>444</v>
      </c>
      <c r="D2181" s="2" t="s">
        <v>445</v>
      </c>
      <c r="E2181" t="s">
        <v>491</v>
      </c>
      <c r="F2181" s="11">
        <v>43891</v>
      </c>
      <c r="G2181" s="2">
        <f>VLOOKUP(E2181,Produtos!$A:$E,5,FALSE)</f>
        <v>700</v>
      </c>
      <c r="H2181" s="2">
        <f>VLOOKUP(E2181,Produtos!$A:$E,4,FALSE)</f>
        <v>350</v>
      </c>
      <c r="I2181" s="2">
        <v>2</v>
      </c>
    </row>
    <row r="2182" spans="1:9" x14ac:dyDescent="0.25">
      <c r="A2182" s="2" t="str">
        <f>CONCATENATE(Códigos!S2181,Códigos!T2181,Códigos!U2181)</f>
        <v>svv2180v</v>
      </c>
      <c r="B2182" t="s">
        <v>322</v>
      </c>
      <c r="C2182" t="s">
        <v>444</v>
      </c>
      <c r="D2182" s="2" t="s">
        <v>445</v>
      </c>
      <c r="E2182" t="s">
        <v>491</v>
      </c>
      <c r="F2182" s="11">
        <v>43892</v>
      </c>
      <c r="G2182" s="2">
        <f>VLOOKUP(E2182,Produtos!$A:$E,5,FALSE)</f>
        <v>700</v>
      </c>
      <c r="H2182" s="2">
        <f>VLOOKUP(E2182,Produtos!$A:$E,4,FALSE)</f>
        <v>350</v>
      </c>
      <c r="I2182" s="2">
        <v>2</v>
      </c>
    </row>
    <row r="2183" spans="1:9" x14ac:dyDescent="0.25">
      <c r="A2183" s="2" t="str">
        <f>CONCATENATE(Códigos!S2182,Códigos!T2182,Códigos!U2182)</f>
        <v>svv2181v</v>
      </c>
      <c r="B2183" t="s">
        <v>322</v>
      </c>
      <c r="C2183" t="s">
        <v>444</v>
      </c>
      <c r="D2183" s="2" t="s">
        <v>445</v>
      </c>
      <c r="E2183" t="s">
        <v>491</v>
      </c>
      <c r="F2183" s="11">
        <v>43893</v>
      </c>
      <c r="G2183" s="2">
        <f>VLOOKUP(E2183,Produtos!$A:$E,5,FALSE)</f>
        <v>700</v>
      </c>
      <c r="H2183" s="2">
        <f>VLOOKUP(E2183,Produtos!$A:$E,4,FALSE)</f>
        <v>350</v>
      </c>
      <c r="I2183" s="2">
        <v>2</v>
      </c>
    </row>
    <row r="2184" spans="1:9" x14ac:dyDescent="0.25">
      <c r="A2184" s="2" t="str">
        <f>CONCATENATE(Códigos!S2183,Códigos!T2183,Códigos!U2183)</f>
        <v>svv2182v</v>
      </c>
      <c r="B2184" t="s">
        <v>322</v>
      </c>
      <c r="C2184" t="s">
        <v>353</v>
      </c>
      <c r="D2184" s="2" t="s">
        <v>354</v>
      </c>
      <c r="E2184" t="s">
        <v>491</v>
      </c>
      <c r="F2184" s="11">
        <v>43894</v>
      </c>
      <c r="G2184" s="2">
        <f>VLOOKUP(E2184,Produtos!$A:$E,5,FALSE)</f>
        <v>700</v>
      </c>
      <c r="H2184" s="2">
        <f>VLOOKUP(E2184,Produtos!$A:$E,4,FALSE)</f>
        <v>350</v>
      </c>
      <c r="I2184" s="2">
        <v>2</v>
      </c>
    </row>
    <row r="2185" spans="1:9" x14ac:dyDescent="0.25">
      <c r="A2185" s="2" t="str">
        <f>CONCATENATE(Códigos!S2184,Códigos!T2184,Códigos!U2184)</f>
        <v>svv2183v</v>
      </c>
      <c r="B2185" t="s">
        <v>322</v>
      </c>
      <c r="C2185" t="s">
        <v>353</v>
      </c>
      <c r="D2185" s="2" t="s">
        <v>354</v>
      </c>
      <c r="E2185" t="s">
        <v>491</v>
      </c>
      <c r="F2185" s="11">
        <v>43895</v>
      </c>
      <c r="G2185" s="2">
        <f>VLOOKUP(E2185,Produtos!$A:$E,5,FALSE)</f>
        <v>700</v>
      </c>
      <c r="H2185" s="2">
        <f>VLOOKUP(E2185,Produtos!$A:$E,4,FALSE)</f>
        <v>350</v>
      </c>
      <c r="I2185" s="2">
        <v>2</v>
      </c>
    </row>
    <row r="2186" spans="1:9" x14ac:dyDescent="0.25">
      <c r="A2186" s="2" t="str">
        <f>CONCATENATE(Códigos!S2185,Códigos!T2185,Códigos!U2185)</f>
        <v>svv2184v</v>
      </c>
      <c r="B2186" t="s">
        <v>322</v>
      </c>
      <c r="C2186" t="s">
        <v>353</v>
      </c>
      <c r="D2186" s="2" t="s">
        <v>354</v>
      </c>
      <c r="E2186" t="s">
        <v>491</v>
      </c>
      <c r="F2186" s="11">
        <v>43896</v>
      </c>
      <c r="G2186" s="2">
        <f>VLOOKUP(E2186,Produtos!$A:$E,5,FALSE)</f>
        <v>700</v>
      </c>
      <c r="H2186" s="2">
        <f>VLOOKUP(E2186,Produtos!$A:$E,4,FALSE)</f>
        <v>350</v>
      </c>
      <c r="I2186" s="2">
        <v>2</v>
      </c>
    </row>
    <row r="2187" spans="1:9" x14ac:dyDescent="0.25">
      <c r="A2187" s="2" t="str">
        <f>CONCATENATE(Códigos!S2186,Códigos!T2186,Códigos!U2186)</f>
        <v>svv2185v</v>
      </c>
      <c r="B2187" t="s">
        <v>322</v>
      </c>
      <c r="C2187" t="s">
        <v>353</v>
      </c>
      <c r="D2187" s="2" t="s">
        <v>354</v>
      </c>
      <c r="E2187" t="s">
        <v>491</v>
      </c>
      <c r="F2187" s="11">
        <v>43897</v>
      </c>
      <c r="G2187" s="2">
        <f>VLOOKUP(E2187,Produtos!$A:$E,5,FALSE)</f>
        <v>700</v>
      </c>
      <c r="H2187" s="2">
        <f>VLOOKUP(E2187,Produtos!$A:$E,4,FALSE)</f>
        <v>350</v>
      </c>
      <c r="I2187" s="2">
        <v>2</v>
      </c>
    </row>
    <row r="2188" spans="1:9" x14ac:dyDescent="0.25">
      <c r="A2188" s="2" t="str">
        <f>CONCATENATE(Códigos!S2187,Códigos!T2187,Códigos!U2187)</f>
        <v>svv2186v</v>
      </c>
      <c r="B2188" t="s">
        <v>322</v>
      </c>
      <c r="C2188" t="s">
        <v>353</v>
      </c>
      <c r="D2188" s="2" t="s">
        <v>354</v>
      </c>
      <c r="E2188" t="s">
        <v>491</v>
      </c>
      <c r="F2188" s="11">
        <v>43898</v>
      </c>
      <c r="G2188" s="2">
        <f>VLOOKUP(E2188,Produtos!$A:$E,5,FALSE)</f>
        <v>700</v>
      </c>
      <c r="H2188" s="2">
        <f>VLOOKUP(E2188,Produtos!$A:$E,4,FALSE)</f>
        <v>350</v>
      </c>
      <c r="I2188" s="2">
        <v>2</v>
      </c>
    </row>
    <row r="2189" spans="1:9" x14ac:dyDescent="0.25">
      <c r="A2189" s="2" t="str">
        <f>CONCATENATE(Códigos!S2188,Códigos!T2188,Códigos!U2188)</f>
        <v>svv2187v</v>
      </c>
      <c r="B2189" t="s">
        <v>322</v>
      </c>
      <c r="C2189" t="s">
        <v>353</v>
      </c>
      <c r="D2189" s="2" t="s">
        <v>354</v>
      </c>
      <c r="E2189" t="s">
        <v>491</v>
      </c>
      <c r="F2189" s="11">
        <v>43899</v>
      </c>
      <c r="G2189" s="2">
        <f>VLOOKUP(E2189,Produtos!$A:$E,5,FALSE)</f>
        <v>700</v>
      </c>
      <c r="H2189" s="2">
        <f>VLOOKUP(E2189,Produtos!$A:$E,4,FALSE)</f>
        <v>350</v>
      </c>
      <c r="I2189" s="2">
        <v>2</v>
      </c>
    </row>
    <row r="2190" spans="1:9" x14ac:dyDescent="0.25">
      <c r="A2190" s="2" t="str">
        <f>CONCATENATE(Códigos!S2189,Códigos!T2189,Códigos!U2189)</f>
        <v>svv2188v</v>
      </c>
      <c r="B2190" t="s">
        <v>322</v>
      </c>
      <c r="C2190" t="s">
        <v>353</v>
      </c>
      <c r="D2190" s="2" t="s">
        <v>354</v>
      </c>
      <c r="E2190" t="s">
        <v>491</v>
      </c>
      <c r="F2190" s="11">
        <v>43900</v>
      </c>
      <c r="G2190" s="2">
        <f>VLOOKUP(E2190,Produtos!$A:$E,5,FALSE)</f>
        <v>700</v>
      </c>
      <c r="H2190" s="2">
        <f>VLOOKUP(E2190,Produtos!$A:$E,4,FALSE)</f>
        <v>350</v>
      </c>
      <c r="I2190" s="2">
        <v>2</v>
      </c>
    </row>
    <row r="2191" spans="1:9" x14ac:dyDescent="0.25">
      <c r="A2191" s="2" t="str">
        <f>CONCATENATE(Códigos!S2190,Códigos!T2190,Códigos!U2190)</f>
        <v>svv2189v</v>
      </c>
      <c r="B2191" t="s">
        <v>322</v>
      </c>
      <c r="C2191" t="s">
        <v>353</v>
      </c>
      <c r="D2191" s="2" t="s">
        <v>354</v>
      </c>
      <c r="E2191" t="s">
        <v>491</v>
      </c>
      <c r="F2191" s="11">
        <v>43901</v>
      </c>
      <c r="G2191" s="2">
        <f>VLOOKUP(E2191,Produtos!$A:$E,5,FALSE)</f>
        <v>700</v>
      </c>
      <c r="H2191" s="2">
        <f>VLOOKUP(E2191,Produtos!$A:$E,4,FALSE)</f>
        <v>350</v>
      </c>
      <c r="I2191" s="2">
        <v>2</v>
      </c>
    </row>
    <row r="2192" spans="1:9" x14ac:dyDescent="0.25">
      <c r="A2192" s="2" t="str">
        <f>CONCATENATE(Códigos!S2191,Códigos!T2191,Códigos!U2191)</f>
        <v>svv2190v</v>
      </c>
      <c r="B2192" t="s">
        <v>322</v>
      </c>
      <c r="C2192" t="s">
        <v>353</v>
      </c>
      <c r="D2192" s="2" t="s">
        <v>354</v>
      </c>
      <c r="E2192" t="s">
        <v>491</v>
      </c>
      <c r="F2192" s="11">
        <v>43902</v>
      </c>
      <c r="G2192" s="2">
        <f>VLOOKUP(E2192,Produtos!$A:$E,5,FALSE)</f>
        <v>700</v>
      </c>
      <c r="H2192" s="2">
        <f>VLOOKUP(E2192,Produtos!$A:$E,4,FALSE)</f>
        <v>350</v>
      </c>
      <c r="I2192" s="2">
        <v>2</v>
      </c>
    </row>
    <row r="2193" spans="1:9" x14ac:dyDescent="0.25">
      <c r="A2193" s="2" t="str">
        <f>CONCATENATE(Códigos!S2192,Códigos!T2192,Códigos!U2192)</f>
        <v>svv2191v</v>
      </c>
      <c r="B2193" t="s">
        <v>322</v>
      </c>
      <c r="C2193" t="s">
        <v>353</v>
      </c>
      <c r="D2193" s="2" t="s">
        <v>354</v>
      </c>
      <c r="E2193" t="s">
        <v>491</v>
      </c>
      <c r="F2193" s="11">
        <v>43903</v>
      </c>
      <c r="G2193" s="2">
        <f>VLOOKUP(E2193,Produtos!$A:$E,5,FALSE)</f>
        <v>700</v>
      </c>
      <c r="H2193" s="2">
        <f>VLOOKUP(E2193,Produtos!$A:$E,4,FALSE)</f>
        <v>350</v>
      </c>
      <c r="I2193" s="2">
        <v>2</v>
      </c>
    </row>
    <row r="2194" spans="1:9" x14ac:dyDescent="0.25">
      <c r="A2194" s="2" t="str">
        <f>CONCATENATE(Códigos!S2193,Códigos!T2193,Códigos!U2193)</f>
        <v>svv2192v</v>
      </c>
      <c r="B2194" t="s">
        <v>322</v>
      </c>
      <c r="C2194" t="s">
        <v>353</v>
      </c>
      <c r="D2194" s="2" t="s">
        <v>354</v>
      </c>
      <c r="E2194" t="s">
        <v>491</v>
      </c>
      <c r="F2194" s="11">
        <v>43904</v>
      </c>
      <c r="G2194" s="2">
        <f>VLOOKUP(E2194,Produtos!$A:$E,5,FALSE)</f>
        <v>700</v>
      </c>
      <c r="H2194" s="2">
        <f>VLOOKUP(E2194,Produtos!$A:$E,4,FALSE)</f>
        <v>350</v>
      </c>
      <c r="I2194" s="2">
        <v>2</v>
      </c>
    </row>
    <row r="2195" spans="1:9" x14ac:dyDescent="0.25">
      <c r="A2195" s="2" t="str">
        <f>CONCATENATE(Códigos!S2194,Códigos!T2194,Códigos!U2194)</f>
        <v>svv2193v</v>
      </c>
      <c r="B2195" t="s">
        <v>322</v>
      </c>
      <c r="C2195" t="s">
        <v>353</v>
      </c>
      <c r="D2195" s="2" t="s">
        <v>354</v>
      </c>
      <c r="E2195" t="s">
        <v>491</v>
      </c>
      <c r="F2195" s="11">
        <v>43905</v>
      </c>
      <c r="G2195" s="2">
        <f>VLOOKUP(E2195,Produtos!$A:$E,5,FALSE)</f>
        <v>700</v>
      </c>
      <c r="H2195" s="2">
        <f>VLOOKUP(E2195,Produtos!$A:$E,4,FALSE)</f>
        <v>350</v>
      </c>
      <c r="I2195" s="2">
        <v>5</v>
      </c>
    </row>
    <row r="2196" spans="1:9" x14ac:dyDescent="0.25">
      <c r="A2196" s="2" t="str">
        <f>CONCATENATE(Códigos!S2195,Códigos!T2195,Códigos!U2195)</f>
        <v>svv2194v</v>
      </c>
      <c r="B2196" t="s">
        <v>322</v>
      </c>
      <c r="C2196" t="s">
        <v>353</v>
      </c>
      <c r="D2196" s="2" t="s">
        <v>354</v>
      </c>
      <c r="E2196" t="s">
        <v>491</v>
      </c>
      <c r="F2196" s="11">
        <v>43906</v>
      </c>
      <c r="G2196" s="2">
        <f>VLOOKUP(E2196,Produtos!$A:$E,5,FALSE)</f>
        <v>700</v>
      </c>
      <c r="H2196" s="2">
        <f>VLOOKUP(E2196,Produtos!$A:$E,4,FALSE)</f>
        <v>350</v>
      </c>
      <c r="I2196" s="2">
        <v>5</v>
      </c>
    </row>
    <row r="2197" spans="1:9" x14ac:dyDescent="0.25">
      <c r="A2197" s="2" t="str">
        <f>CONCATENATE(Códigos!S2196,Códigos!T2196,Códigos!U2196)</f>
        <v>svv2195v</v>
      </c>
      <c r="B2197" t="s">
        <v>322</v>
      </c>
      <c r="C2197" t="s">
        <v>353</v>
      </c>
      <c r="D2197" s="2" t="s">
        <v>354</v>
      </c>
      <c r="E2197" t="s">
        <v>491</v>
      </c>
      <c r="F2197" s="11">
        <v>43907</v>
      </c>
      <c r="G2197" s="2">
        <f>VLOOKUP(E2197,Produtos!$A:$E,5,FALSE)</f>
        <v>700</v>
      </c>
      <c r="H2197" s="2">
        <f>VLOOKUP(E2197,Produtos!$A:$E,4,FALSE)</f>
        <v>350</v>
      </c>
      <c r="I2197" s="2">
        <v>5</v>
      </c>
    </row>
    <row r="2198" spans="1:9" x14ac:dyDescent="0.25">
      <c r="A2198" s="2" t="str">
        <f>CONCATENATE(Códigos!S2197,Códigos!T2197,Códigos!U2197)</f>
        <v>svv2196v</v>
      </c>
      <c r="B2198" t="s">
        <v>322</v>
      </c>
      <c r="C2198" t="s">
        <v>353</v>
      </c>
      <c r="D2198" s="2" t="s">
        <v>354</v>
      </c>
      <c r="E2198" t="s">
        <v>491</v>
      </c>
      <c r="F2198" s="11">
        <v>43908</v>
      </c>
      <c r="G2198" s="2">
        <f>VLOOKUP(E2198,Produtos!$A:$E,5,FALSE)</f>
        <v>700</v>
      </c>
      <c r="H2198" s="2">
        <f>VLOOKUP(E2198,Produtos!$A:$E,4,FALSE)</f>
        <v>350</v>
      </c>
      <c r="I2198" s="2">
        <v>5</v>
      </c>
    </row>
    <row r="2199" spans="1:9" x14ac:dyDescent="0.25">
      <c r="A2199" s="2" t="str">
        <f>CONCATENATE(Códigos!S2198,Códigos!T2198,Códigos!U2198)</f>
        <v>svv2197v</v>
      </c>
      <c r="B2199" t="s">
        <v>322</v>
      </c>
      <c r="C2199" t="s">
        <v>353</v>
      </c>
      <c r="D2199" s="2" t="s">
        <v>354</v>
      </c>
      <c r="E2199" t="s">
        <v>491</v>
      </c>
      <c r="F2199" s="11">
        <v>43909</v>
      </c>
      <c r="G2199" s="2">
        <f>VLOOKUP(E2199,Produtos!$A:$E,5,FALSE)</f>
        <v>700</v>
      </c>
      <c r="H2199" s="2">
        <f>VLOOKUP(E2199,Produtos!$A:$E,4,FALSE)</f>
        <v>350</v>
      </c>
      <c r="I2199" s="2">
        <v>5</v>
      </c>
    </row>
    <row r="2200" spans="1:9" x14ac:dyDescent="0.25">
      <c r="A2200" s="2" t="str">
        <f>CONCATENATE(Códigos!S2199,Códigos!T2199,Códigos!U2199)</f>
        <v>svv2198v</v>
      </c>
      <c r="B2200" t="s">
        <v>322</v>
      </c>
      <c r="C2200" t="s">
        <v>353</v>
      </c>
      <c r="D2200" s="2" t="s">
        <v>354</v>
      </c>
      <c r="E2200" t="s">
        <v>491</v>
      </c>
      <c r="F2200" s="11">
        <v>43910</v>
      </c>
      <c r="G2200" s="2">
        <f>VLOOKUP(E2200,Produtos!$A:$E,5,FALSE)</f>
        <v>700</v>
      </c>
      <c r="H2200" s="2">
        <f>VLOOKUP(E2200,Produtos!$A:$E,4,FALSE)</f>
        <v>350</v>
      </c>
      <c r="I2200" s="2">
        <v>5</v>
      </c>
    </row>
    <row r="2201" spans="1:9" x14ac:dyDescent="0.25">
      <c r="A2201" s="2" t="str">
        <f>CONCATENATE(Códigos!S2200,Códigos!T2200,Códigos!U2200)</f>
        <v>svv2199v</v>
      </c>
      <c r="B2201" t="s">
        <v>322</v>
      </c>
      <c r="C2201" t="s">
        <v>353</v>
      </c>
      <c r="D2201" s="2" t="s">
        <v>354</v>
      </c>
      <c r="E2201" t="s">
        <v>491</v>
      </c>
      <c r="F2201" s="11">
        <v>43911</v>
      </c>
      <c r="G2201" s="2">
        <f>VLOOKUP(E2201,Produtos!$A:$E,5,FALSE)</f>
        <v>700</v>
      </c>
      <c r="H2201" s="2">
        <f>VLOOKUP(E2201,Produtos!$A:$E,4,FALSE)</f>
        <v>350</v>
      </c>
      <c r="I2201" s="2">
        <v>5</v>
      </c>
    </row>
    <row r="2202" spans="1:9" x14ac:dyDescent="0.25">
      <c r="A2202" s="2" t="str">
        <f>CONCATENATE(Códigos!S2201,Códigos!T2201,Códigos!U2201)</f>
        <v>svv2200v</v>
      </c>
      <c r="B2202" t="s">
        <v>322</v>
      </c>
      <c r="C2202" t="s">
        <v>353</v>
      </c>
      <c r="D2202" s="2" t="s">
        <v>354</v>
      </c>
      <c r="E2202" t="s">
        <v>490</v>
      </c>
      <c r="F2202" s="11">
        <v>43912</v>
      </c>
      <c r="G2202" s="2">
        <f>VLOOKUP(E2202,Produtos!$A:$E,5,FALSE)</f>
        <v>1100</v>
      </c>
      <c r="H2202" s="2">
        <f>VLOOKUP(E2202,Produtos!$A:$E,4,FALSE)</f>
        <v>500</v>
      </c>
      <c r="I2202" s="2">
        <v>5</v>
      </c>
    </row>
    <row r="2203" spans="1:9" x14ac:dyDescent="0.25">
      <c r="A2203" s="2" t="str">
        <f>CONCATENATE(Códigos!S2202,Códigos!T2202,Códigos!U2202)</f>
        <v>svv2201v</v>
      </c>
      <c r="B2203" t="s">
        <v>322</v>
      </c>
      <c r="C2203" t="s">
        <v>353</v>
      </c>
      <c r="D2203" s="2" t="s">
        <v>354</v>
      </c>
      <c r="E2203" t="s">
        <v>490</v>
      </c>
      <c r="F2203" s="11">
        <v>43913</v>
      </c>
      <c r="G2203" s="2">
        <f>VLOOKUP(E2203,Produtos!$A:$E,5,FALSE)</f>
        <v>1100</v>
      </c>
      <c r="H2203" s="2">
        <f>VLOOKUP(E2203,Produtos!$A:$E,4,FALSE)</f>
        <v>500</v>
      </c>
      <c r="I2203" s="2">
        <v>5</v>
      </c>
    </row>
    <row r="2204" spans="1:9" x14ac:dyDescent="0.25">
      <c r="A2204" s="2" t="str">
        <f>CONCATENATE(Códigos!S2203,Códigos!T2203,Códigos!U2203)</f>
        <v>svv2202v</v>
      </c>
      <c r="B2204" t="s">
        <v>322</v>
      </c>
      <c r="C2204" t="s">
        <v>353</v>
      </c>
      <c r="D2204" s="2" t="s">
        <v>354</v>
      </c>
      <c r="E2204" t="s">
        <v>490</v>
      </c>
      <c r="F2204" s="11">
        <v>43914</v>
      </c>
      <c r="G2204" s="2">
        <f>VLOOKUP(E2204,Produtos!$A:$E,5,FALSE)</f>
        <v>1100</v>
      </c>
      <c r="H2204" s="2">
        <f>VLOOKUP(E2204,Produtos!$A:$E,4,FALSE)</f>
        <v>500</v>
      </c>
      <c r="I2204" s="2">
        <v>5</v>
      </c>
    </row>
    <row r="2205" spans="1:9" x14ac:dyDescent="0.25">
      <c r="A2205" s="2" t="str">
        <f>CONCATENATE(Códigos!S2204,Códigos!T2204,Códigos!U2204)</f>
        <v>svv2203v</v>
      </c>
      <c r="B2205" t="s">
        <v>322</v>
      </c>
      <c r="C2205" t="s">
        <v>353</v>
      </c>
      <c r="D2205" s="2" t="s">
        <v>354</v>
      </c>
      <c r="E2205" t="s">
        <v>490</v>
      </c>
      <c r="F2205" s="11">
        <v>43915</v>
      </c>
      <c r="G2205" s="2">
        <f>VLOOKUP(E2205,Produtos!$A:$E,5,FALSE)</f>
        <v>1100</v>
      </c>
      <c r="H2205" s="2">
        <f>VLOOKUP(E2205,Produtos!$A:$E,4,FALSE)</f>
        <v>500</v>
      </c>
      <c r="I2205" s="2">
        <v>5</v>
      </c>
    </row>
    <row r="2206" spans="1:9" x14ac:dyDescent="0.25">
      <c r="A2206" s="2" t="str">
        <f>CONCATENATE(Códigos!S2205,Códigos!T2205,Códigos!U2205)</f>
        <v>svv2204v</v>
      </c>
      <c r="B2206" t="s">
        <v>322</v>
      </c>
      <c r="C2206" t="s">
        <v>353</v>
      </c>
      <c r="D2206" s="2" t="s">
        <v>354</v>
      </c>
      <c r="E2206" t="s">
        <v>490</v>
      </c>
      <c r="F2206" s="11">
        <v>43916</v>
      </c>
      <c r="G2206" s="2">
        <f>VLOOKUP(E2206,Produtos!$A:$E,5,FALSE)</f>
        <v>1100</v>
      </c>
      <c r="H2206" s="2">
        <f>VLOOKUP(E2206,Produtos!$A:$E,4,FALSE)</f>
        <v>500</v>
      </c>
      <c r="I2206" s="2">
        <v>5</v>
      </c>
    </row>
    <row r="2207" spans="1:9" x14ac:dyDescent="0.25">
      <c r="A2207" s="2" t="str">
        <f>CONCATENATE(Códigos!S2206,Códigos!T2206,Códigos!U2206)</f>
        <v>svv2205v</v>
      </c>
      <c r="B2207" t="s">
        <v>322</v>
      </c>
      <c r="C2207" t="s">
        <v>353</v>
      </c>
      <c r="D2207" s="2" t="s">
        <v>354</v>
      </c>
      <c r="E2207" t="s">
        <v>490</v>
      </c>
      <c r="F2207" s="11">
        <v>43917</v>
      </c>
      <c r="G2207" s="2">
        <f>VLOOKUP(E2207,Produtos!$A:$E,5,FALSE)</f>
        <v>1100</v>
      </c>
      <c r="H2207" s="2">
        <f>VLOOKUP(E2207,Produtos!$A:$E,4,FALSE)</f>
        <v>500</v>
      </c>
      <c r="I2207" s="2">
        <v>5</v>
      </c>
    </row>
    <row r="2208" spans="1:9" x14ac:dyDescent="0.25">
      <c r="A2208" s="2" t="str">
        <f>CONCATENATE(Códigos!S2207,Códigos!T2207,Códigos!U2207)</f>
        <v>svv2206v</v>
      </c>
      <c r="B2208" t="s">
        <v>322</v>
      </c>
      <c r="C2208" t="s">
        <v>353</v>
      </c>
      <c r="D2208" s="2" t="s">
        <v>354</v>
      </c>
      <c r="E2208" t="s">
        <v>490</v>
      </c>
      <c r="F2208" s="11">
        <v>43918</v>
      </c>
      <c r="G2208" s="2">
        <f>VLOOKUP(E2208,Produtos!$A:$E,5,FALSE)</f>
        <v>1100</v>
      </c>
      <c r="H2208" s="2">
        <f>VLOOKUP(E2208,Produtos!$A:$E,4,FALSE)</f>
        <v>500</v>
      </c>
      <c r="I2208" s="2">
        <v>5</v>
      </c>
    </row>
    <row r="2209" spans="1:9" x14ac:dyDescent="0.25">
      <c r="A2209" s="2" t="str">
        <f>CONCATENATE(Códigos!S2208,Códigos!T2208,Códigos!U2208)</f>
        <v>svv2207v</v>
      </c>
      <c r="B2209" t="s">
        <v>322</v>
      </c>
      <c r="C2209" t="s">
        <v>353</v>
      </c>
      <c r="D2209" s="2" t="s">
        <v>354</v>
      </c>
      <c r="E2209" t="s">
        <v>490</v>
      </c>
      <c r="F2209" s="11">
        <v>43919</v>
      </c>
      <c r="G2209" s="2">
        <f>VLOOKUP(E2209,Produtos!$A:$E,5,FALSE)</f>
        <v>1100</v>
      </c>
      <c r="H2209" s="2">
        <f>VLOOKUP(E2209,Produtos!$A:$E,4,FALSE)</f>
        <v>500</v>
      </c>
      <c r="I2209" s="2">
        <v>5</v>
      </c>
    </row>
    <row r="2210" spans="1:9" x14ac:dyDescent="0.25">
      <c r="A2210" s="2" t="str">
        <f>CONCATENATE(Códigos!S2209,Códigos!T2209,Códigos!U2209)</f>
        <v>svv2208v</v>
      </c>
      <c r="B2210" t="s">
        <v>322</v>
      </c>
      <c r="C2210" t="s">
        <v>353</v>
      </c>
      <c r="D2210" s="2" t="s">
        <v>354</v>
      </c>
      <c r="E2210" t="s">
        <v>490</v>
      </c>
      <c r="F2210" s="11">
        <v>43920</v>
      </c>
      <c r="G2210" s="2">
        <f>VLOOKUP(E2210,Produtos!$A:$E,5,FALSE)</f>
        <v>1100</v>
      </c>
      <c r="H2210" s="2">
        <f>VLOOKUP(E2210,Produtos!$A:$E,4,FALSE)</f>
        <v>500</v>
      </c>
      <c r="I2210" s="2">
        <v>5</v>
      </c>
    </row>
    <row r="2211" spans="1:9" x14ac:dyDescent="0.25">
      <c r="A2211" s="2" t="str">
        <f>CONCATENATE(Códigos!S2210,Códigos!T2210,Códigos!U2210)</f>
        <v>svv2209v</v>
      </c>
      <c r="B2211" t="s">
        <v>322</v>
      </c>
      <c r="C2211" t="s">
        <v>353</v>
      </c>
      <c r="D2211" s="2" t="s">
        <v>354</v>
      </c>
      <c r="E2211" t="s">
        <v>490</v>
      </c>
      <c r="F2211" s="11">
        <v>43921</v>
      </c>
      <c r="G2211" s="2">
        <f>VLOOKUP(E2211,Produtos!$A:$E,5,FALSE)</f>
        <v>1100</v>
      </c>
      <c r="H2211" s="2">
        <f>VLOOKUP(E2211,Produtos!$A:$E,4,FALSE)</f>
        <v>500</v>
      </c>
      <c r="I2211" s="2">
        <v>5</v>
      </c>
    </row>
    <row r="2212" spans="1:9" x14ac:dyDescent="0.25">
      <c r="A2212" s="2" t="str">
        <f>CONCATENATE(Códigos!S2211,Códigos!T2211,Códigos!U2211)</f>
        <v>svv2210v</v>
      </c>
      <c r="B2212" t="s">
        <v>322</v>
      </c>
      <c r="C2212" t="s">
        <v>353</v>
      </c>
      <c r="D2212" s="2" t="s">
        <v>354</v>
      </c>
      <c r="E2212" t="s">
        <v>490</v>
      </c>
      <c r="F2212" s="11">
        <v>43922</v>
      </c>
      <c r="G2212" s="2">
        <f>VLOOKUP(E2212,Produtos!$A:$E,5,FALSE)</f>
        <v>1100</v>
      </c>
      <c r="H2212" s="2">
        <f>VLOOKUP(E2212,Produtos!$A:$E,4,FALSE)</f>
        <v>500</v>
      </c>
      <c r="I2212" s="2">
        <v>5</v>
      </c>
    </row>
    <row r="2213" spans="1:9" x14ac:dyDescent="0.25">
      <c r="A2213" s="2" t="str">
        <f>CONCATENATE(Códigos!S2212,Códigos!T2212,Códigos!U2212)</f>
        <v>svv2211v</v>
      </c>
      <c r="B2213" t="s">
        <v>322</v>
      </c>
      <c r="C2213" t="s">
        <v>353</v>
      </c>
      <c r="D2213" s="2" t="s">
        <v>354</v>
      </c>
      <c r="E2213" t="s">
        <v>490</v>
      </c>
      <c r="F2213" s="11">
        <v>43923</v>
      </c>
      <c r="G2213" s="2">
        <f>VLOOKUP(E2213,Produtos!$A:$E,5,FALSE)</f>
        <v>1100</v>
      </c>
      <c r="H2213" s="2">
        <f>VLOOKUP(E2213,Produtos!$A:$E,4,FALSE)</f>
        <v>500</v>
      </c>
      <c r="I2213" s="2">
        <v>5</v>
      </c>
    </row>
    <row r="2214" spans="1:9" x14ac:dyDescent="0.25">
      <c r="A2214" s="2" t="str">
        <f>CONCATENATE(Códigos!S2213,Códigos!T2213,Códigos!U2213)</f>
        <v>svv2212v</v>
      </c>
      <c r="B2214" t="s">
        <v>322</v>
      </c>
      <c r="C2214" t="s">
        <v>353</v>
      </c>
      <c r="D2214" s="2" t="s">
        <v>354</v>
      </c>
      <c r="E2214" t="s">
        <v>490</v>
      </c>
      <c r="F2214" s="11">
        <v>43924</v>
      </c>
      <c r="G2214" s="2">
        <f>VLOOKUP(E2214,Produtos!$A:$E,5,FALSE)</f>
        <v>1100</v>
      </c>
      <c r="H2214" s="2">
        <f>VLOOKUP(E2214,Produtos!$A:$E,4,FALSE)</f>
        <v>500</v>
      </c>
      <c r="I2214" s="2">
        <v>5</v>
      </c>
    </row>
    <row r="2215" spans="1:9" x14ac:dyDescent="0.25">
      <c r="A2215" s="2" t="str">
        <f>CONCATENATE(Códigos!S2214,Códigos!T2214,Códigos!U2214)</f>
        <v>svv2213v</v>
      </c>
      <c r="B2215" t="s">
        <v>322</v>
      </c>
      <c r="C2215" t="s">
        <v>353</v>
      </c>
      <c r="D2215" s="2" t="s">
        <v>354</v>
      </c>
      <c r="E2215" t="s">
        <v>490</v>
      </c>
      <c r="F2215" s="11">
        <v>43925</v>
      </c>
      <c r="G2215" s="2">
        <f>VLOOKUP(E2215,Produtos!$A:$E,5,FALSE)</f>
        <v>1100</v>
      </c>
      <c r="H2215" s="2">
        <f>VLOOKUP(E2215,Produtos!$A:$E,4,FALSE)</f>
        <v>500</v>
      </c>
      <c r="I2215" s="2">
        <v>5</v>
      </c>
    </row>
    <row r="2216" spans="1:9" x14ac:dyDescent="0.25">
      <c r="A2216" s="2" t="str">
        <f>CONCATENATE(Códigos!S2215,Códigos!T2215,Códigos!U2215)</f>
        <v>svv2214v</v>
      </c>
      <c r="B2216" t="s">
        <v>322</v>
      </c>
      <c r="C2216" t="s">
        <v>353</v>
      </c>
      <c r="D2216" s="2" t="s">
        <v>354</v>
      </c>
      <c r="E2216" t="s">
        <v>490</v>
      </c>
      <c r="F2216" s="11">
        <v>43926</v>
      </c>
      <c r="G2216" s="2">
        <f>VLOOKUP(E2216,Produtos!$A:$E,5,FALSE)</f>
        <v>1100</v>
      </c>
      <c r="H2216" s="2">
        <f>VLOOKUP(E2216,Produtos!$A:$E,4,FALSE)</f>
        <v>500</v>
      </c>
      <c r="I2216" s="2">
        <v>5</v>
      </c>
    </row>
    <row r="2217" spans="1:9" x14ac:dyDescent="0.25">
      <c r="A2217" s="2" t="str">
        <f>CONCATENATE(Códigos!S2216,Códigos!T2216,Códigos!U2216)</f>
        <v>svv2215v</v>
      </c>
      <c r="B2217" t="s">
        <v>499</v>
      </c>
      <c r="C2217" t="s">
        <v>353</v>
      </c>
      <c r="D2217" s="2" t="s">
        <v>354</v>
      </c>
      <c r="E2217" t="s">
        <v>366</v>
      </c>
      <c r="F2217" s="11">
        <v>43927</v>
      </c>
      <c r="G2217" s="2">
        <f>VLOOKUP(E2217,Produtos!$A:$E,5,FALSE)</f>
        <v>220</v>
      </c>
      <c r="H2217" s="2">
        <f>VLOOKUP(E2217,Produtos!$A:$E,4,FALSE)</f>
        <v>110</v>
      </c>
      <c r="I2217" s="2">
        <v>5</v>
      </c>
    </row>
    <row r="2218" spans="1:9" x14ac:dyDescent="0.25">
      <c r="A2218" s="2" t="str">
        <f>CONCATENATE(Códigos!S2217,Códigos!T2217,Códigos!U2217)</f>
        <v>svv2216v</v>
      </c>
      <c r="B2218" t="s">
        <v>499</v>
      </c>
      <c r="C2218" t="s">
        <v>353</v>
      </c>
      <c r="D2218" s="2" t="s">
        <v>354</v>
      </c>
      <c r="E2218" t="s">
        <v>366</v>
      </c>
      <c r="F2218" s="11">
        <v>43928</v>
      </c>
      <c r="G2218" s="2">
        <f>VLOOKUP(E2218,Produtos!$A:$E,5,FALSE)</f>
        <v>220</v>
      </c>
      <c r="H2218" s="2">
        <f>VLOOKUP(E2218,Produtos!$A:$E,4,FALSE)</f>
        <v>110</v>
      </c>
      <c r="I2218" s="2">
        <v>5</v>
      </c>
    </row>
    <row r="2219" spans="1:9" x14ac:dyDescent="0.25">
      <c r="A2219" s="2" t="str">
        <f>CONCATENATE(Códigos!S2218,Códigos!T2218,Códigos!U2218)</f>
        <v>svv2217v</v>
      </c>
      <c r="B2219" t="s">
        <v>499</v>
      </c>
      <c r="C2219" t="s">
        <v>353</v>
      </c>
      <c r="D2219" s="2" t="s">
        <v>354</v>
      </c>
      <c r="E2219" t="s">
        <v>366</v>
      </c>
      <c r="F2219" s="11">
        <v>43929</v>
      </c>
      <c r="G2219" s="2">
        <f>VLOOKUP(E2219,Produtos!$A:$E,5,FALSE)</f>
        <v>220</v>
      </c>
      <c r="H2219" s="2">
        <f>VLOOKUP(E2219,Produtos!$A:$E,4,FALSE)</f>
        <v>110</v>
      </c>
      <c r="I2219" s="2">
        <v>5</v>
      </c>
    </row>
    <row r="2220" spans="1:9" x14ac:dyDescent="0.25">
      <c r="A2220" s="2" t="str">
        <f>CONCATENATE(Códigos!S2219,Códigos!T2219,Códigos!U2219)</f>
        <v>svv2218v</v>
      </c>
      <c r="B2220" t="s">
        <v>499</v>
      </c>
      <c r="C2220" t="s">
        <v>353</v>
      </c>
      <c r="D2220" s="2" t="s">
        <v>354</v>
      </c>
      <c r="E2220" t="s">
        <v>366</v>
      </c>
      <c r="F2220" s="11">
        <v>43930</v>
      </c>
      <c r="G2220" s="2">
        <f>VLOOKUP(E2220,Produtos!$A:$E,5,FALSE)</f>
        <v>220</v>
      </c>
      <c r="H2220" s="2">
        <f>VLOOKUP(E2220,Produtos!$A:$E,4,FALSE)</f>
        <v>110</v>
      </c>
      <c r="I2220" s="2">
        <v>5</v>
      </c>
    </row>
    <row r="2221" spans="1:9" x14ac:dyDescent="0.25">
      <c r="A2221" s="2" t="str">
        <f>CONCATENATE(Códigos!S2220,Códigos!T2220,Códigos!U2220)</f>
        <v>svv2219v</v>
      </c>
      <c r="B2221" t="s">
        <v>499</v>
      </c>
      <c r="C2221" t="s">
        <v>353</v>
      </c>
      <c r="D2221" s="2" t="s">
        <v>354</v>
      </c>
      <c r="E2221" t="s">
        <v>366</v>
      </c>
      <c r="F2221" s="11">
        <v>43931</v>
      </c>
      <c r="G2221" s="2">
        <f>VLOOKUP(E2221,Produtos!$A:$E,5,FALSE)</f>
        <v>220</v>
      </c>
      <c r="H2221" s="2">
        <f>VLOOKUP(E2221,Produtos!$A:$E,4,FALSE)</f>
        <v>110</v>
      </c>
      <c r="I2221" s="2">
        <v>5</v>
      </c>
    </row>
    <row r="2222" spans="1:9" x14ac:dyDescent="0.25">
      <c r="A2222" s="2" t="str">
        <f>CONCATENATE(Códigos!S2221,Códigos!T2221,Códigos!U2221)</f>
        <v>svv2220v</v>
      </c>
      <c r="B2222" t="s">
        <v>499</v>
      </c>
      <c r="C2222" t="s">
        <v>353</v>
      </c>
      <c r="D2222" s="2" t="s">
        <v>354</v>
      </c>
      <c r="E2222" t="s">
        <v>366</v>
      </c>
      <c r="F2222" s="11">
        <v>43932</v>
      </c>
      <c r="G2222" s="2">
        <f>VLOOKUP(E2222,Produtos!$A:$E,5,FALSE)</f>
        <v>220</v>
      </c>
      <c r="H2222" s="2">
        <f>VLOOKUP(E2222,Produtos!$A:$E,4,FALSE)</f>
        <v>110</v>
      </c>
      <c r="I2222" s="2">
        <v>5</v>
      </c>
    </row>
    <row r="2223" spans="1:9" x14ac:dyDescent="0.25">
      <c r="A2223" s="2" t="str">
        <f>CONCATENATE(Códigos!S2222,Códigos!T2222,Códigos!U2222)</f>
        <v>svv2221v</v>
      </c>
      <c r="B2223" t="s">
        <v>499</v>
      </c>
      <c r="C2223" t="s">
        <v>353</v>
      </c>
      <c r="D2223" s="2" t="s">
        <v>354</v>
      </c>
      <c r="E2223" t="s">
        <v>366</v>
      </c>
      <c r="F2223" s="11">
        <v>43933</v>
      </c>
      <c r="G2223" s="2">
        <f>VLOOKUP(E2223,Produtos!$A:$E,5,FALSE)</f>
        <v>220</v>
      </c>
      <c r="H2223" s="2">
        <f>VLOOKUP(E2223,Produtos!$A:$E,4,FALSE)</f>
        <v>110</v>
      </c>
      <c r="I2223" s="2">
        <v>5</v>
      </c>
    </row>
    <row r="2224" spans="1:9" x14ac:dyDescent="0.25">
      <c r="A2224" s="2" t="str">
        <f>CONCATENATE(Códigos!S2223,Códigos!T2223,Códigos!U2223)</f>
        <v>svv2222v</v>
      </c>
      <c r="B2224" t="s">
        <v>499</v>
      </c>
      <c r="C2224" t="s">
        <v>353</v>
      </c>
      <c r="D2224" s="2" t="s">
        <v>354</v>
      </c>
      <c r="E2224" t="s">
        <v>366</v>
      </c>
      <c r="F2224" s="11">
        <v>43934</v>
      </c>
      <c r="G2224" s="2">
        <f>VLOOKUP(E2224,Produtos!$A:$E,5,FALSE)</f>
        <v>220</v>
      </c>
      <c r="H2224" s="2">
        <f>VLOOKUP(E2224,Produtos!$A:$E,4,FALSE)</f>
        <v>110</v>
      </c>
      <c r="I2224" s="2">
        <v>5</v>
      </c>
    </row>
    <row r="2225" spans="1:9" x14ac:dyDescent="0.25">
      <c r="A2225" s="2" t="str">
        <f>CONCATENATE(Códigos!S2224,Códigos!T2224,Códigos!U2224)</f>
        <v>svv2223v</v>
      </c>
      <c r="B2225" t="s">
        <v>499</v>
      </c>
      <c r="C2225" t="s">
        <v>353</v>
      </c>
      <c r="D2225" s="2" t="s">
        <v>354</v>
      </c>
      <c r="E2225" t="s">
        <v>366</v>
      </c>
      <c r="F2225" s="11">
        <v>43935</v>
      </c>
      <c r="G2225" s="2">
        <f>VLOOKUP(E2225,Produtos!$A:$E,5,FALSE)</f>
        <v>220</v>
      </c>
      <c r="H2225" s="2">
        <f>VLOOKUP(E2225,Produtos!$A:$E,4,FALSE)</f>
        <v>110</v>
      </c>
      <c r="I2225" s="2">
        <v>5</v>
      </c>
    </row>
    <row r="2226" spans="1:9" x14ac:dyDescent="0.25">
      <c r="A2226" s="2" t="str">
        <f>CONCATENATE(Códigos!S2225,Códigos!T2225,Códigos!U2225)</f>
        <v>svv2224v</v>
      </c>
      <c r="B2226" t="s">
        <v>499</v>
      </c>
      <c r="C2226" t="s">
        <v>353</v>
      </c>
      <c r="D2226" s="2" t="s">
        <v>354</v>
      </c>
      <c r="E2226" t="s">
        <v>366</v>
      </c>
      <c r="F2226" s="11">
        <v>43936</v>
      </c>
      <c r="G2226" s="2">
        <f>VLOOKUP(E2226,Produtos!$A:$E,5,FALSE)</f>
        <v>220</v>
      </c>
      <c r="H2226" s="2">
        <f>VLOOKUP(E2226,Produtos!$A:$E,4,FALSE)</f>
        <v>110</v>
      </c>
      <c r="I2226" s="2">
        <v>5</v>
      </c>
    </row>
    <row r="2227" spans="1:9" x14ac:dyDescent="0.25">
      <c r="A2227" s="2" t="str">
        <f>CONCATENATE(Códigos!S2226,Códigos!T2226,Códigos!U2226)</f>
        <v>svv2225v</v>
      </c>
      <c r="B2227" t="s">
        <v>499</v>
      </c>
      <c r="C2227" t="s">
        <v>353</v>
      </c>
      <c r="D2227" s="2" t="s">
        <v>354</v>
      </c>
      <c r="E2227" t="s">
        <v>366</v>
      </c>
      <c r="F2227" s="11">
        <v>43937</v>
      </c>
      <c r="G2227" s="2">
        <f>VLOOKUP(E2227,Produtos!$A:$E,5,FALSE)</f>
        <v>220</v>
      </c>
      <c r="H2227" s="2">
        <f>VLOOKUP(E2227,Produtos!$A:$E,4,FALSE)</f>
        <v>110</v>
      </c>
      <c r="I2227" s="2">
        <v>5</v>
      </c>
    </row>
    <row r="2228" spans="1:9" x14ac:dyDescent="0.25">
      <c r="A2228" s="2" t="str">
        <f>CONCATENATE(Códigos!S2227,Códigos!T2227,Códigos!U2227)</f>
        <v>svv2226v</v>
      </c>
      <c r="B2228" t="s">
        <v>499</v>
      </c>
      <c r="C2228" t="s">
        <v>353</v>
      </c>
      <c r="D2228" s="2" t="s">
        <v>354</v>
      </c>
      <c r="E2228" t="s">
        <v>366</v>
      </c>
      <c r="F2228" s="11">
        <v>43938</v>
      </c>
      <c r="G2228" s="2">
        <f>VLOOKUP(E2228,Produtos!$A:$E,5,FALSE)</f>
        <v>220</v>
      </c>
      <c r="H2228" s="2">
        <f>VLOOKUP(E2228,Produtos!$A:$E,4,FALSE)</f>
        <v>110</v>
      </c>
      <c r="I2228" s="2">
        <v>5</v>
      </c>
    </row>
    <row r="2229" spans="1:9" x14ac:dyDescent="0.25">
      <c r="A2229" s="2" t="str">
        <f>CONCATENATE(Códigos!S2228,Códigos!T2228,Códigos!U2228)</f>
        <v>svv2227v</v>
      </c>
      <c r="B2229" t="s">
        <v>499</v>
      </c>
      <c r="C2229" t="s">
        <v>353</v>
      </c>
      <c r="D2229" s="2" t="s">
        <v>354</v>
      </c>
      <c r="E2229" t="s">
        <v>366</v>
      </c>
      <c r="F2229" s="11">
        <v>43939</v>
      </c>
      <c r="G2229" s="2">
        <f>VLOOKUP(E2229,Produtos!$A:$E,5,FALSE)</f>
        <v>220</v>
      </c>
      <c r="H2229" s="2">
        <f>VLOOKUP(E2229,Produtos!$A:$E,4,FALSE)</f>
        <v>110</v>
      </c>
      <c r="I2229" s="2">
        <v>5</v>
      </c>
    </row>
    <row r="2230" spans="1:9" x14ac:dyDescent="0.25">
      <c r="A2230" s="2" t="str">
        <f>CONCATENATE(Códigos!S2229,Códigos!T2229,Códigos!U2229)</f>
        <v>svv2228v</v>
      </c>
      <c r="B2230" t="s">
        <v>499</v>
      </c>
      <c r="C2230" t="s">
        <v>353</v>
      </c>
      <c r="D2230" s="2" t="s">
        <v>354</v>
      </c>
      <c r="E2230" t="s">
        <v>366</v>
      </c>
      <c r="F2230" s="11">
        <v>43940</v>
      </c>
      <c r="G2230" s="2">
        <f>VLOOKUP(E2230,Produtos!$A:$E,5,FALSE)</f>
        <v>220</v>
      </c>
      <c r="H2230" s="2">
        <f>VLOOKUP(E2230,Produtos!$A:$E,4,FALSE)</f>
        <v>110</v>
      </c>
      <c r="I2230" s="2">
        <v>5</v>
      </c>
    </row>
    <row r="2231" spans="1:9" x14ac:dyDescent="0.25">
      <c r="A2231" s="2" t="str">
        <f>CONCATENATE(Códigos!S2230,Códigos!T2230,Códigos!U2230)</f>
        <v>svv2229v</v>
      </c>
      <c r="B2231" t="s">
        <v>499</v>
      </c>
      <c r="C2231" t="s">
        <v>353</v>
      </c>
      <c r="D2231" s="2" t="s">
        <v>354</v>
      </c>
      <c r="E2231" t="s">
        <v>366</v>
      </c>
      <c r="F2231" s="11">
        <v>43941</v>
      </c>
      <c r="G2231" s="2">
        <f>VLOOKUP(E2231,Produtos!$A:$E,5,FALSE)</f>
        <v>220</v>
      </c>
      <c r="H2231" s="2">
        <f>VLOOKUP(E2231,Produtos!$A:$E,4,FALSE)</f>
        <v>110</v>
      </c>
      <c r="I2231" s="2">
        <v>5</v>
      </c>
    </row>
    <row r="2232" spans="1:9" x14ac:dyDescent="0.25">
      <c r="A2232" s="2" t="str">
        <f>CONCATENATE(Códigos!S2231,Códigos!T2231,Códigos!U2231)</f>
        <v>svv2230v</v>
      </c>
      <c r="B2232" t="s">
        <v>499</v>
      </c>
      <c r="C2232" t="s">
        <v>353</v>
      </c>
      <c r="D2232" s="2" t="s">
        <v>354</v>
      </c>
      <c r="E2232" t="s">
        <v>366</v>
      </c>
      <c r="F2232" s="11">
        <v>43942</v>
      </c>
      <c r="G2232" s="2">
        <f>VLOOKUP(E2232,Produtos!$A:$E,5,FALSE)</f>
        <v>220</v>
      </c>
      <c r="H2232" s="2">
        <f>VLOOKUP(E2232,Produtos!$A:$E,4,FALSE)</f>
        <v>110</v>
      </c>
      <c r="I2232" s="2">
        <v>5</v>
      </c>
    </row>
    <row r="2233" spans="1:9" x14ac:dyDescent="0.25">
      <c r="A2233" s="2" t="str">
        <f>CONCATENATE(Códigos!S2232,Códigos!T2232,Códigos!U2232)</f>
        <v>svv2231v</v>
      </c>
      <c r="B2233" t="s">
        <v>499</v>
      </c>
      <c r="C2233" t="s">
        <v>353</v>
      </c>
      <c r="D2233" s="2" t="s">
        <v>354</v>
      </c>
      <c r="E2233" t="s">
        <v>366</v>
      </c>
      <c r="F2233" s="11">
        <v>43943</v>
      </c>
      <c r="G2233" s="2">
        <f>VLOOKUP(E2233,Produtos!$A:$E,5,FALSE)</f>
        <v>220</v>
      </c>
      <c r="H2233" s="2">
        <f>VLOOKUP(E2233,Produtos!$A:$E,4,FALSE)</f>
        <v>110</v>
      </c>
      <c r="I2233" s="2">
        <v>5</v>
      </c>
    </row>
    <row r="2234" spans="1:9" x14ac:dyDescent="0.25">
      <c r="A2234" s="2" t="str">
        <f>CONCATENATE(Códigos!S2233,Códigos!T2233,Códigos!U2233)</f>
        <v>svv2232v</v>
      </c>
      <c r="B2234" t="s">
        <v>499</v>
      </c>
      <c r="C2234" t="s">
        <v>353</v>
      </c>
      <c r="D2234" s="2" t="s">
        <v>354</v>
      </c>
      <c r="E2234" t="s">
        <v>366</v>
      </c>
      <c r="F2234" s="11">
        <v>43944</v>
      </c>
      <c r="G2234" s="2">
        <f>VLOOKUP(E2234,Produtos!$A:$E,5,FALSE)</f>
        <v>220</v>
      </c>
      <c r="H2234" s="2">
        <f>VLOOKUP(E2234,Produtos!$A:$E,4,FALSE)</f>
        <v>110</v>
      </c>
      <c r="I2234" s="2">
        <v>5</v>
      </c>
    </row>
    <row r="2235" spans="1:9" x14ac:dyDescent="0.25">
      <c r="A2235" s="2" t="str">
        <f>CONCATENATE(Códigos!S2234,Códigos!T2234,Códigos!U2234)</f>
        <v>svv2233v</v>
      </c>
      <c r="B2235" t="s">
        <v>499</v>
      </c>
      <c r="C2235" t="s">
        <v>353</v>
      </c>
      <c r="D2235" s="2" t="s">
        <v>354</v>
      </c>
      <c r="E2235" t="s">
        <v>366</v>
      </c>
      <c r="F2235" s="11">
        <v>43945</v>
      </c>
      <c r="G2235" s="2">
        <f>VLOOKUP(E2235,Produtos!$A:$E,5,FALSE)</f>
        <v>220</v>
      </c>
      <c r="H2235" s="2">
        <f>VLOOKUP(E2235,Produtos!$A:$E,4,FALSE)</f>
        <v>110</v>
      </c>
      <c r="I2235" s="2">
        <v>5</v>
      </c>
    </row>
    <row r="2236" spans="1:9" x14ac:dyDescent="0.25">
      <c r="A2236" s="2" t="str">
        <f>CONCATENATE(Códigos!S2235,Códigos!T2235,Códigos!U2235)</f>
        <v>svv2234v</v>
      </c>
      <c r="B2236" t="s">
        <v>499</v>
      </c>
      <c r="C2236" t="s">
        <v>353</v>
      </c>
      <c r="D2236" s="2" t="s">
        <v>354</v>
      </c>
      <c r="E2236" t="s">
        <v>366</v>
      </c>
      <c r="F2236" s="11">
        <v>43946</v>
      </c>
      <c r="G2236" s="2">
        <f>VLOOKUP(E2236,Produtos!$A:$E,5,FALSE)</f>
        <v>220</v>
      </c>
      <c r="H2236" s="2">
        <f>VLOOKUP(E2236,Produtos!$A:$E,4,FALSE)</f>
        <v>110</v>
      </c>
      <c r="I2236" s="2">
        <v>5</v>
      </c>
    </row>
    <row r="2237" spans="1:9" x14ac:dyDescent="0.25">
      <c r="A2237" s="2" t="str">
        <f>CONCATENATE(Códigos!S2236,Códigos!T2236,Códigos!U2236)</f>
        <v>svv2235v</v>
      </c>
      <c r="B2237" t="s">
        <v>499</v>
      </c>
      <c r="C2237" t="s">
        <v>353</v>
      </c>
      <c r="D2237" s="2" t="s">
        <v>354</v>
      </c>
      <c r="E2237" t="s">
        <v>366</v>
      </c>
      <c r="F2237" s="11">
        <v>43947</v>
      </c>
      <c r="G2237" s="2">
        <f>VLOOKUP(E2237,Produtos!$A:$E,5,FALSE)</f>
        <v>220</v>
      </c>
      <c r="H2237" s="2">
        <f>VLOOKUP(E2237,Produtos!$A:$E,4,FALSE)</f>
        <v>110</v>
      </c>
      <c r="I2237" s="2">
        <v>5</v>
      </c>
    </row>
    <row r="2238" spans="1:9" x14ac:dyDescent="0.25">
      <c r="A2238" s="2" t="str">
        <f>CONCATENATE(Códigos!S2237,Códigos!T2237,Códigos!U2237)</f>
        <v>svv2236v</v>
      </c>
      <c r="B2238" t="s">
        <v>499</v>
      </c>
      <c r="C2238" t="s">
        <v>353</v>
      </c>
      <c r="D2238" s="2" t="s">
        <v>354</v>
      </c>
      <c r="E2238" t="s">
        <v>366</v>
      </c>
      <c r="F2238" s="11">
        <v>43948</v>
      </c>
      <c r="G2238" s="2">
        <f>VLOOKUP(E2238,Produtos!$A:$E,5,FALSE)</f>
        <v>220</v>
      </c>
      <c r="H2238" s="2">
        <f>VLOOKUP(E2238,Produtos!$A:$E,4,FALSE)</f>
        <v>110</v>
      </c>
      <c r="I2238" s="2">
        <v>5</v>
      </c>
    </row>
    <row r="2239" spans="1:9" x14ac:dyDescent="0.25">
      <c r="A2239" s="2" t="str">
        <f>CONCATENATE(Códigos!S2238,Códigos!T2238,Códigos!U2238)</f>
        <v>svv2237v</v>
      </c>
      <c r="B2239" t="s">
        <v>499</v>
      </c>
      <c r="C2239" t="s">
        <v>353</v>
      </c>
      <c r="D2239" s="2" t="s">
        <v>354</v>
      </c>
      <c r="E2239" t="s">
        <v>366</v>
      </c>
      <c r="F2239" s="11">
        <v>43949</v>
      </c>
      <c r="G2239" s="2">
        <f>VLOOKUP(E2239,Produtos!$A:$E,5,FALSE)</f>
        <v>220</v>
      </c>
      <c r="H2239" s="2">
        <f>VLOOKUP(E2239,Produtos!$A:$E,4,FALSE)</f>
        <v>110</v>
      </c>
      <c r="I2239" s="2">
        <v>5</v>
      </c>
    </row>
    <row r="2240" spans="1:9" x14ac:dyDescent="0.25">
      <c r="A2240" s="2" t="str">
        <f>CONCATENATE(Códigos!S2239,Códigos!T2239,Códigos!U2239)</f>
        <v>svv2238v</v>
      </c>
      <c r="B2240" t="s">
        <v>499</v>
      </c>
      <c r="C2240" t="s">
        <v>353</v>
      </c>
      <c r="D2240" s="2" t="s">
        <v>354</v>
      </c>
      <c r="E2240" t="s">
        <v>366</v>
      </c>
      <c r="F2240" s="11">
        <v>43950</v>
      </c>
      <c r="G2240" s="2">
        <f>VLOOKUP(E2240,Produtos!$A:$E,5,FALSE)</f>
        <v>220</v>
      </c>
      <c r="H2240" s="2">
        <f>VLOOKUP(E2240,Produtos!$A:$E,4,FALSE)</f>
        <v>110</v>
      </c>
      <c r="I2240" s="2">
        <v>5</v>
      </c>
    </row>
    <row r="2241" spans="1:9" x14ac:dyDescent="0.25">
      <c r="A2241" s="2" t="str">
        <f>CONCATENATE(Códigos!S2240,Códigos!T2240,Códigos!U2240)</f>
        <v>svv2239v</v>
      </c>
      <c r="B2241" t="s">
        <v>499</v>
      </c>
      <c r="C2241" t="s">
        <v>353</v>
      </c>
      <c r="D2241" s="2" t="s">
        <v>354</v>
      </c>
      <c r="E2241" t="s">
        <v>366</v>
      </c>
      <c r="F2241" s="11">
        <v>43951</v>
      </c>
      <c r="G2241" s="2">
        <f>VLOOKUP(E2241,Produtos!$A:$E,5,FALSE)</f>
        <v>220</v>
      </c>
      <c r="H2241" s="2">
        <f>VLOOKUP(E2241,Produtos!$A:$E,4,FALSE)</f>
        <v>110</v>
      </c>
      <c r="I2241" s="2">
        <v>5</v>
      </c>
    </row>
    <row r="2242" spans="1:9" x14ac:dyDescent="0.25">
      <c r="A2242" s="2" t="str">
        <f>CONCATENATE(Códigos!S2241,Códigos!T2241,Códigos!U2241)</f>
        <v>svv2240v</v>
      </c>
      <c r="B2242" t="s">
        <v>499</v>
      </c>
      <c r="C2242" t="s">
        <v>353</v>
      </c>
      <c r="D2242" s="2" t="s">
        <v>354</v>
      </c>
      <c r="E2242" t="s">
        <v>366</v>
      </c>
      <c r="F2242" s="11">
        <v>43952</v>
      </c>
      <c r="G2242" s="2">
        <f>VLOOKUP(E2242,Produtos!$A:$E,5,FALSE)</f>
        <v>220</v>
      </c>
      <c r="H2242" s="2">
        <f>VLOOKUP(E2242,Produtos!$A:$E,4,FALSE)</f>
        <v>110</v>
      </c>
      <c r="I2242" s="2">
        <v>5</v>
      </c>
    </row>
    <row r="2243" spans="1:9" x14ac:dyDescent="0.25">
      <c r="A2243" s="2" t="str">
        <f>CONCATENATE(Códigos!S2242,Códigos!T2242,Códigos!U2242)</f>
        <v>svv2241v</v>
      </c>
      <c r="B2243" t="s">
        <v>499</v>
      </c>
      <c r="C2243" t="s">
        <v>353</v>
      </c>
      <c r="D2243" s="2" t="s">
        <v>354</v>
      </c>
      <c r="E2243" t="s">
        <v>366</v>
      </c>
      <c r="F2243" s="11">
        <v>43953</v>
      </c>
      <c r="G2243" s="2">
        <f>VLOOKUP(E2243,Produtos!$A:$E,5,FALSE)</f>
        <v>220</v>
      </c>
      <c r="H2243" s="2">
        <f>VLOOKUP(E2243,Produtos!$A:$E,4,FALSE)</f>
        <v>110</v>
      </c>
      <c r="I2243" s="2">
        <v>5</v>
      </c>
    </row>
    <row r="2244" spans="1:9" x14ac:dyDescent="0.25">
      <c r="A2244" s="2" t="str">
        <f>CONCATENATE(Códigos!S2243,Códigos!T2243,Códigos!U2243)</f>
        <v>svv2242v</v>
      </c>
      <c r="B2244" t="s">
        <v>499</v>
      </c>
      <c r="C2244" t="s">
        <v>353</v>
      </c>
      <c r="D2244" s="2" t="s">
        <v>354</v>
      </c>
      <c r="E2244" t="s">
        <v>366</v>
      </c>
      <c r="F2244" s="11">
        <v>43954</v>
      </c>
      <c r="G2244" s="2">
        <f>VLOOKUP(E2244,Produtos!$A:$E,5,FALSE)</f>
        <v>220</v>
      </c>
      <c r="H2244" s="2">
        <f>VLOOKUP(E2244,Produtos!$A:$E,4,FALSE)</f>
        <v>110</v>
      </c>
      <c r="I2244" s="2">
        <v>5</v>
      </c>
    </row>
    <row r="2245" spans="1:9" x14ac:dyDescent="0.25">
      <c r="A2245" s="2" t="str">
        <f>CONCATENATE(Códigos!S2244,Códigos!T2244,Códigos!U2244)</f>
        <v>svv2243v</v>
      </c>
      <c r="B2245" t="s">
        <v>499</v>
      </c>
      <c r="C2245" t="s">
        <v>351</v>
      </c>
      <c r="D2245" s="2" t="s">
        <v>352</v>
      </c>
      <c r="E2245" t="s">
        <v>366</v>
      </c>
      <c r="F2245" s="11">
        <v>43955</v>
      </c>
      <c r="G2245" s="2">
        <f>VLOOKUP(E2245,Produtos!$A:$E,5,FALSE)</f>
        <v>220</v>
      </c>
      <c r="H2245" s="2">
        <f>VLOOKUP(E2245,Produtos!$A:$E,4,FALSE)</f>
        <v>110</v>
      </c>
      <c r="I2245" s="2">
        <v>5</v>
      </c>
    </row>
    <row r="2246" spans="1:9" x14ac:dyDescent="0.25">
      <c r="A2246" s="2" t="str">
        <f>CONCATENATE(Códigos!S2245,Códigos!T2245,Códigos!U2245)</f>
        <v>svv2244v</v>
      </c>
      <c r="B2246" t="s">
        <v>499</v>
      </c>
      <c r="C2246" t="s">
        <v>351</v>
      </c>
      <c r="D2246" s="2" t="s">
        <v>352</v>
      </c>
      <c r="E2246" t="s">
        <v>366</v>
      </c>
      <c r="F2246" s="11">
        <v>43956</v>
      </c>
      <c r="G2246" s="2">
        <f>VLOOKUP(E2246,Produtos!$A:$E,5,FALSE)</f>
        <v>220</v>
      </c>
      <c r="H2246" s="2">
        <f>VLOOKUP(E2246,Produtos!$A:$E,4,FALSE)</f>
        <v>110</v>
      </c>
      <c r="I2246" s="2">
        <v>5</v>
      </c>
    </row>
    <row r="2247" spans="1:9" x14ac:dyDescent="0.25">
      <c r="A2247" s="2" t="str">
        <f>CONCATENATE(Códigos!S2246,Códigos!T2246,Códigos!U2246)</f>
        <v>svv2245v</v>
      </c>
      <c r="B2247" t="s">
        <v>499</v>
      </c>
      <c r="C2247" t="s">
        <v>351</v>
      </c>
      <c r="D2247" s="2" t="s">
        <v>352</v>
      </c>
      <c r="E2247" t="s">
        <v>366</v>
      </c>
      <c r="F2247" s="11">
        <v>43957</v>
      </c>
      <c r="G2247" s="2">
        <f>VLOOKUP(E2247,Produtos!$A:$E,5,FALSE)</f>
        <v>220</v>
      </c>
      <c r="H2247" s="2">
        <f>VLOOKUP(E2247,Produtos!$A:$E,4,FALSE)</f>
        <v>110</v>
      </c>
      <c r="I2247" s="2">
        <v>5</v>
      </c>
    </row>
    <row r="2248" spans="1:9" x14ac:dyDescent="0.25">
      <c r="A2248" s="2" t="str">
        <f>CONCATENATE(Códigos!S2247,Códigos!T2247,Códigos!U2247)</f>
        <v>svv2246v</v>
      </c>
      <c r="B2248" t="s">
        <v>499</v>
      </c>
      <c r="C2248" t="s">
        <v>351</v>
      </c>
      <c r="D2248" s="2" t="s">
        <v>352</v>
      </c>
      <c r="E2248" t="s">
        <v>366</v>
      </c>
      <c r="F2248" s="11">
        <v>43958</v>
      </c>
      <c r="G2248" s="2">
        <f>VLOOKUP(E2248,Produtos!$A:$E,5,FALSE)</f>
        <v>220</v>
      </c>
      <c r="H2248" s="2">
        <f>VLOOKUP(E2248,Produtos!$A:$E,4,FALSE)</f>
        <v>110</v>
      </c>
      <c r="I2248" s="2">
        <v>5</v>
      </c>
    </row>
    <row r="2249" spans="1:9" x14ac:dyDescent="0.25">
      <c r="A2249" s="2" t="str">
        <f>CONCATENATE(Códigos!S2248,Códigos!T2248,Códigos!U2248)</f>
        <v>svv2247v</v>
      </c>
      <c r="B2249" t="s">
        <v>499</v>
      </c>
      <c r="C2249" t="s">
        <v>351</v>
      </c>
      <c r="D2249" s="2" t="s">
        <v>352</v>
      </c>
      <c r="E2249" t="s">
        <v>366</v>
      </c>
      <c r="F2249" s="11">
        <v>43959</v>
      </c>
      <c r="G2249" s="2">
        <f>VLOOKUP(E2249,Produtos!$A:$E,5,FALSE)</f>
        <v>220</v>
      </c>
      <c r="H2249" s="2">
        <f>VLOOKUP(E2249,Produtos!$A:$E,4,FALSE)</f>
        <v>110</v>
      </c>
      <c r="I2249" s="2">
        <v>5</v>
      </c>
    </row>
    <row r="2250" spans="1:9" x14ac:dyDescent="0.25">
      <c r="A2250" s="2" t="str">
        <f>CONCATENATE(Códigos!S2249,Códigos!T2249,Códigos!U2249)</f>
        <v>svv2248v</v>
      </c>
      <c r="B2250" t="s">
        <v>499</v>
      </c>
      <c r="C2250" t="s">
        <v>351</v>
      </c>
      <c r="D2250" s="2" t="s">
        <v>352</v>
      </c>
      <c r="E2250" t="s">
        <v>366</v>
      </c>
      <c r="F2250" s="11">
        <v>43960</v>
      </c>
      <c r="G2250" s="2">
        <f>VLOOKUP(E2250,Produtos!$A:$E,5,FALSE)</f>
        <v>220</v>
      </c>
      <c r="H2250" s="2">
        <f>VLOOKUP(E2250,Produtos!$A:$E,4,FALSE)</f>
        <v>110</v>
      </c>
      <c r="I2250" s="2">
        <v>5</v>
      </c>
    </row>
    <row r="2251" spans="1:9" x14ac:dyDescent="0.25">
      <c r="A2251" s="2" t="str">
        <f>CONCATENATE(Códigos!S2250,Códigos!T2250,Códigos!U2250)</f>
        <v>svv2249v</v>
      </c>
      <c r="B2251" t="s">
        <v>499</v>
      </c>
      <c r="C2251" t="s">
        <v>351</v>
      </c>
      <c r="D2251" s="2" t="s">
        <v>352</v>
      </c>
      <c r="E2251" t="s">
        <v>366</v>
      </c>
      <c r="F2251" s="11">
        <v>43961</v>
      </c>
      <c r="G2251" s="2">
        <f>VLOOKUP(E2251,Produtos!$A:$E,5,FALSE)</f>
        <v>220</v>
      </c>
      <c r="H2251" s="2">
        <f>VLOOKUP(E2251,Produtos!$A:$E,4,FALSE)</f>
        <v>110</v>
      </c>
      <c r="I2251" s="2">
        <v>5</v>
      </c>
    </row>
    <row r="2252" spans="1:9" x14ac:dyDescent="0.25">
      <c r="A2252" s="2" t="str">
        <f>CONCATENATE(Códigos!S2251,Códigos!T2251,Códigos!U2251)</f>
        <v>svv2250v</v>
      </c>
      <c r="B2252" t="s">
        <v>499</v>
      </c>
      <c r="C2252" t="s">
        <v>351</v>
      </c>
      <c r="D2252" s="2" t="s">
        <v>352</v>
      </c>
      <c r="E2252" t="s">
        <v>366</v>
      </c>
      <c r="F2252" s="11">
        <v>43962</v>
      </c>
      <c r="G2252" s="2">
        <f>VLOOKUP(E2252,Produtos!$A:$E,5,FALSE)</f>
        <v>220</v>
      </c>
      <c r="H2252" s="2">
        <f>VLOOKUP(E2252,Produtos!$A:$E,4,FALSE)</f>
        <v>110</v>
      </c>
      <c r="I2252" s="2">
        <v>5</v>
      </c>
    </row>
    <row r="2253" spans="1:9" x14ac:dyDescent="0.25">
      <c r="A2253" s="2" t="str">
        <f>CONCATENATE(Códigos!S2252,Códigos!T2252,Códigos!U2252)</f>
        <v>svv2251v</v>
      </c>
      <c r="B2253" t="s">
        <v>499</v>
      </c>
      <c r="C2253" t="s">
        <v>351</v>
      </c>
      <c r="D2253" s="2" t="s">
        <v>352</v>
      </c>
      <c r="E2253" t="s">
        <v>366</v>
      </c>
      <c r="F2253" s="11">
        <v>43963</v>
      </c>
      <c r="G2253" s="2">
        <f>VLOOKUP(E2253,Produtos!$A:$E,5,FALSE)</f>
        <v>220</v>
      </c>
      <c r="H2253" s="2">
        <f>VLOOKUP(E2253,Produtos!$A:$E,4,FALSE)</f>
        <v>110</v>
      </c>
      <c r="I2253" s="2">
        <v>5</v>
      </c>
    </row>
    <row r="2254" spans="1:9" x14ac:dyDescent="0.25">
      <c r="A2254" s="2" t="str">
        <f>CONCATENATE(Códigos!S2253,Códigos!T2253,Códigos!U2253)</f>
        <v>svv2252v</v>
      </c>
      <c r="B2254" t="s">
        <v>499</v>
      </c>
      <c r="C2254" t="s">
        <v>351</v>
      </c>
      <c r="D2254" s="2" t="s">
        <v>352</v>
      </c>
      <c r="E2254" t="s">
        <v>366</v>
      </c>
      <c r="F2254" s="11">
        <v>43964</v>
      </c>
      <c r="G2254" s="2">
        <f>VLOOKUP(E2254,Produtos!$A:$E,5,FALSE)</f>
        <v>220</v>
      </c>
      <c r="H2254" s="2">
        <f>VLOOKUP(E2254,Produtos!$A:$E,4,FALSE)</f>
        <v>110</v>
      </c>
      <c r="I2254" s="2">
        <v>5</v>
      </c>
    </row>
    <row r="2255" spans="1:9" x14ac:dyDescent="0.25">
      <c r="A2255" s="2" t="str">
        <f>CONCATENATE(Códigos!S2254,Códigos!T2254,Códigos!U2254)</f>
        <v>svv2253v</v>
      </c>
      <c r="B2255" t="s">
        <v>499</v>
      </c>
      <c r="C2255" t="s">
        <v>351</v>
      </c>
      <c r="D2255" s="2" t="s">
        <v>352</v>
      </c>
      <c r="E2255" t="s">
        <v>366</v>
      </c>
      <c r="F2255" s="11">
        <v>43965</v>
      </c>
      <c r="G2255" s="2">
        <f>VLOOKUP(E2255,Produtos!$A:$E,5,FALSE)</f>
        <v>220</v>
      </c>
      <c r="H2255" s="2">
        <f>VLOOKUP(E2255,Produtos!$A:$E,4,FALSE)</f>
        <v>110</v>
      </c>
      <c r="I2255" s="2">
        <v>5</v>
      </c>
    </row>
    <row r="2256" spans="1:9" x14ac:dyDescent="0.25">
      <c r="A2256" s="2" t="str">
        <f>CONCATENATE(Códigos!S2255,Códigos!T2255,Códigos!U2255)</f>
        <v>svv2254v</v>
      </c>
      <c r="B2256" t="s">
        <v>499</v>
      </c>
      <c r="C2256" t="s">
        <v>351</v>
      </c>
      <c r="D2256" s="2" t="s">
        <v>352</v>
      </c>
      <c r="E2256" t="s">
        <v>366</v>
      </c>
      <c r="F2256" s="11">
        <v>43966</v>
      </c>
      <c r="G2256" s="2">
        <f>VLOOKUP(E2256,Produtos!$A:$E,5,FALSE)</f>
        <v>220</v>
      </c>
      <c r="H2256" s="2">
        <f>VLOOKUP(E2256,Produtos!$A:$E,4,FALSE)</f>
        <v>110</v>
      </c>
      <c r="I2256" s="2">
        <v>5</v>
      </c>
    </row>
    <row r="2257" spans="1:9" x14ac:dyDescent="0.25">
      <c r="A2257" s="2" t="str">
        <f>CONCATENATE(Códigos!S2256,Códigos!T2256,Códigos!U2256)</f>
        <v>svv2255v</v>
      </c>
      <c r="B2257" t="s">
        <v>499</v>
      </c>
      <c r="C2257" t="s">
        <v>351</v>
      </c>
      <c r="D2257" s="2" t="s">
        <v>352</v>
      </c>
      <c r="E2257" t="s">
        <v>366</v>
      </c>
      <c r="F2257" s="11">
        <v>43967</v>
      </c>
      <c r="G2257" s="2">
        <f>VLOOKUP(E2257,Produtos!$A:$E,5,FALSE)</f>
        <v>220</v>
      </c>
      <c r="H2257" s="2">
        <f>VLOOKUP(E2257,Produtos!$A:$E,4,FALSE)</f>
        <v>110</v>
      </c>
      <c r="I2257" s="2">
        <v>5</v>
      </c>
    </row>
    <row r="2258" spans="1:9" x14ac:dyDescent="0.25">
      <c r="A2258" s="2" t="str">
        <f>CONCATENATE(Códigos!S2257,Códigos!T2257,Códigos!U2257)</f>
        <v>svv2256v</v>
      </c>
      <c r="B2258" t="s">
        <v>499</v>
      </c>
      <c r="C2258" t="s">
        <v>351</v>
      </c>
      <c r="D2258" s="2" t="s">
        <v>352</v>
      </c>
      <c r="E2258" t="s">
        <v>366</v>
      </c>
      <c r="F2258" s="11">
        <v>43968</v>
      </c>
      <c r="G2258" s="2">
        <f>VLOOKUP(E2258,Produtos!$A:$E,5,FALSE)</f>
        <v>220</v>
      </c>
      <c r="H2258" s="2">
        <f>VLOOKUP(E2258,Produtos!$A:$E,4,FALSE)</f>
        <v>110</v>
      </c>
      <c r="I2258" s="2">
        <v>5</v>
      </c>
    </row>
    <row r="2259" spans="1:9" x14ac:dyDescent="0.25">
      <c r="A2259" s="2" t="str">
        <f>CONCATENATE(Códigos!S2258,Códigos!T2258,Códigos!U2258)</f>
        <v>svv2257v</v>
      </c>
      <c r="B2259" t="s">
        <v>499</v>
      </c>
      <c r="C2259" t="s">
        <v>351</v>
      </c>
      <c r="D2259" s="2" t="s">
        <v>352</v>
      </c>
      <c r="E2259" t="s">
        <v>366</v>
      </c>
      <c r="F2259" s="11">
        <v>43969</v>
      </c>
      <c r="G2259" s="2">
        <f>VLOOKUP(E2259,Produtos!$A:$E,5,FALSE)</f>
        <v>220</v>
      </c>
      <c r="H2259" s="2">
        <f>VLOOKUP(E2259,Produtos!$A:$E,4,FALSE)</f>
        <v>110</v>
      </c>
      <c r="I2259" s="2">
        <v>5</v>
      </c>
    </row>
    <row r="2260" spans="1:9" x14ac:dyDescent="0.25">
      <c r="A2260" s="2" t="str">
        <f>CONCATENATE(Códigos!S2259,Códigos!T2259,Códigos!U2259)</f>
        <v>svv2258v</v>
      </c>
      <c r="B2260" t="s">
        <v>499</v>
      </c>
      <c r="C2260" t="s">
        <v>351</v>
      </c>
      <c r="D2260" s="2" t="s">
        <v>352</v>
      </c>
      <c r="E2260" t="s">
        <v>366</v>
      </c>
      <c r="F2260" s="11">
        <v>43970</v>
      </c>
      <c r="G2260" s="2">
        <f>VLOOKUP(E2260,Produtos!$A:$E,5,FALSE)</f>
        <v>220</v>
      </c>
      <c r="H2260" s="2">
        <f>VLOOKUP(E2260,Produtos!$A:$E,4,FALSE)</f>
        <v>110</v>
      </c>
      <c r="I2260" s="2">
        <v>5</v>
      </c>
    </row>
    <row r="2261" spans="1:9" x14ac:dyDescent="0.25">
      <c r="A2261" s="2" t="str">
        <f>CONCATENATE(Códigos!S2260,Códigos!T2260,Códigos!U2260)</f>
        <v>svv2259v</v>
      </c>
      <c r="B2261" t="s">
        <v>499</v>
      </c>
      <c r="C2261" t="s">
        <v>351</v>
      </c>
      <c r="D2261" s="2" t="s">
        <v>352</v>
      </c>
      <c r="E2261" t="s">
        <v>366</v>
      </c>
      <c r="F2261" s="11">
        <v>43971</v>
      </c>
      <c r="G2261" s="2">
        <f>VLOOKUP(E2261,Produtos!$A:$E,5,FALSE)</f>
        <v>220</v>
      </c>
      <c r="H2261" s="2">
        <f>VLOOKUP(E2261,Produtos!$A:$E,4,FALSE)</f>
        <v>110</v>
      </c>
      <c r="I2261" s="2">
        <v>5</v>
      </c>
    </row>
    <row r="2262" spans="1:9" x14ac:dyDescent="0.25">
      <c r="A2262" s="2" t="str">
        <f>CONCATENATE(Códigos!S2261,Códigos!T2261,Códigos!U2261)</f>
        <v>svv2260v</v>
      </c>
      <c r="B2262" t="s">
        <v>499</v>
      </c>
      <c r="C2262" t="s">
        <v>351</v>
      </c>
      <c r="D2262" s="2" t="s">
        <v>352</v>
      </c>
      <c r="E2262" t="s">
        <v>366</v>
      </c>
      <c r="F2262" s="11">
        <v>43972</v>
      </c>
      <c r="G2262" s="2">
        <f>VLOOKUP(E2262,Produtos!$A:$E,5,FALSE)</f>
        <v>220</v>
      </c>
      <c r="H2262" s="2">
        <f>VLOOKUP(E2262,Produtos!$A:$E,4,FALSE)</f>
        <v>110</v>
      </c>
      <c r="I2262" s="2">
        <v>5</v>
      </c>
    </row>
    <row r="2263" spans="1:9" x14ac:dyDescent="0.25">
      <c r="A2263" s="2" t="str">
        <f>CONCATENATE(Códigos!S2262,Códigos!T2262,Códigos!U2262)</f>
        <v>svv2261v</v>
      </c>
      <c r="B2263" t="s">
        <v>499</v>
      </c>
      <c r="C2263" t="s">
        <v>351</v>
      </c>
      <c r="D2263" s="2" t="s">
        <v>352</v>
      </c>
      <c r="E2263" t="s">
        <v>366</v>
      </c>
      <c r="F2263" s="11">
        <v>43973</v>
      </c>
      <c r="G2263" s="2">
        <f>VLOOKUP(E2263,Produtos!$A:$E,5,FALSE)</f>
        <v>220</v>
      </c>
      <c r="H2263" s="2">
        <f>VLOOKUP(E2263,Produtos!$A:$E,4,FALSE)</f>
        <v>110</v>
      </c>
      <c r="I2263" s="2">
        <v>5</v>
      </c>
    </row>
    <row r="2264" spans="1:9" x14ac:dyDescent="0.25">
      <c r="A2264" s="2" t="str">
        <f>CONCATENATE(Códigos!S2263,Códigos!T2263,Códigos!U2263)</f>
        <v>svv2262v</v>
      </c>
      <c r="B2264" t="s">
        <v>499</v>
      </c>
      <c r="C2264" t="s">
        <v>351</v>
      </c>
      <c r="D2264" s="2" t="s">
        <v>352</v>
      </c>
      <c r="E2264" t="s">
        <v>366</v>
      </c>
      <c r="F2264" s="11">
        <v>43974</v>
      </c>
      <c r="G2264" s="2">
        <f>VLOOKUP(E2264,Produtos!$A:$E,5,FALSE)</f>
        <v>220</v>
      </c>
      <c r="H2264" s="2">
        <f>VLOOKUP(E2264,Produtos!$A:$E,4,FALSE)</f>
        <v>110</v>
      </c>
      <c r="I2264" s="2">
        <v>5</v>
      </c>
    </row>
    <row r="2265" spans="1:9" x14ac:dyDescent="0.25">
      <c r="A2265" s="2" t="str">
        <f>CONCATENATE(Códigos!S2264,Códigos!T2264,Códigos!U2264)</f>
        <v>svv2263v</v>
      </c>
      <c r="B2265" t="s">
        <v>499</v>
      </c>
      <c r="C2265" t="s">
        <v>351</v>
      </c>
      <c r="D2265" s="2" t="s">
        <v>352</v>
      </c>
      <c r="E2265" t="s">
        <v>366</v>
      </c>
      <c r="F2265" s="11">
        <v>43975</v>
      </c>
      <c r="G2265" s="2">
        <f>VLOOKUP(E2265,Produtos!$A:$E,5,FALSE)</f>
        <v>220</v>
      </c>
      <c r="H2265" s="2">
        <f>VLOOKUP(E2265,Produtos!$A:$E,4,FALSE)</f>
        <v>110</v>
      </c>
      <c r="I2265" s="2">
        <v>5</v>
      </c>
    </row>
    <row r="2266" spans="1:9" x14ac:dyDescent="0.25">
      <c r="A2266" s="2" t="str">
        <f>CONCATENATE(Códigos!S2265,Códigos!T2265,Códigos!U2265)</f>
        <v>svv2264v</v>
      </c>
      <c r="B2266" t="s">
        <v>499</v>
      </c>
      <c r="C2266" t="s">
        <v>351</v>
      </c>
      <c r="D2266" s="2" t="s">
        <v>352</v>
      </c>
      <c r="E2266" t="s">
        <v>366</v>
      </c>
      <c r="F2266" s="11">
        <v>43976</v>
      </c>
      <c r="G2266" s="2">
        <f>VLOOKUP(E2266,Produtos!$A:$E,5,FALSE)</f>
        <v>220</v>
      </c>
      <c r="H2266" s="2">
        <f>VLOOKUP(E2266,Produtos!$A:$E,4,FALSE)</f>
        <v>110</v>
      </c>
      <c r="I2266" s="2">
        <v>5</v>
      </c>
    </row>
    <row r="2267" spans="1:9" x14ac:dyDescent="0.25">
      <c r="A2267" s="2" t="str">
        <f>CONCATENATE(Códigos!S2266,Códigos!T2266,Códigos!U2266)</f>
        <v>svv2265v</v>
      </c>
      <c r="B2267" t="s">
        <v>499</v>
      </c>
      <c r="C2267" t="s">
        <v>351</v>
      </c>
      <c r="D2267" s="2" t="s">
        <v>352</v>
      </c>
      <c r="E2267" t="s">
        <v>366</v>
      </c>
      <c r="F2267" s="11">
        <v>43977</v>
      </c>
      <c r="G2267" s="2">
        <f>VLOOKUP(E2267,Produtos!$A:$E,5,FALSE)</f>
        <v>220</v>
      </c>
      <c r="H2267" s="2">
        <f>VLOOKUP(E2267,Produtos!$A:$E,4,FALSE)</f>
        <v>110</v>
      </c>
      <c r="I2267" s="2">
        <v>5</v>
      </c>
    </row>
    <row r="2268" spans="1:9" x14ac:dyDescent="0.25">
      <c r="A2268" s="2" t="str">
        <f>CONCATENATE(Códigos!S2267,Códigos!T2267,Códigos!U2267)</f>
        <v>svv2266v</v>
      </c>
      <c r="B2268" t="s">
        <v>499</v>
      </c>
      <c r="C2268" t="s">
        <v>351</v>
      </c>
      <c r="D2268" s="2" t="s">
        <v>352</v>
      </c>
      <c r="E2268" t="s">
        <v>366</v>
      </c>
      <c r="F2268" s="11">
        <v>43978</v>
      </c>
      <c r="G2268" s="2">
        <f>VLOOKUP(E2268,Produtos!$A:$E,5,FALSE)</f>
        <v>220</v>
      </c>
      <c r="H2268" s="2">
        <f>VLOOKUP(E2268,Produtos!$A:$E,4,FALSE)</f>
        <v>110</v>
      </c>
      <c r="I2268" s="2">
        <v>5</v>
      </c>
    </row>
    <row r="2269" spans="1:9" x14ac:dyDescent="0.25">
      <c r="A2269" s="2" t="str">
        <f>CONCATENATE(Códigos!S2268,Códigos!T2268,Códigos!U2268)</f>
        <v>svv2267v</v>
      </c>
      <c r="B2269" t="s">
        <v>499</v>
      </c>
      <c r="C2269" t="s">
        <v>351</v>
      </c>
      <c r="D2269" s="2" t="s">
        <v>352</v>
      </c>
      <c r="E2269" t="s">
        <v>366</v>
      </c>
      <c r="F2269" s="11">
        <v>43979</v>
      </c>
      <c r="G2269" s="2">
        <f>VLOOKUP(E2269,Produtos!$A:$E,5,FALSE)</f>
        <v>220</v>
      </c>
      <c r="H2269" s="2">
        <f>VLOOKUP(E2269,Produtos!$A:$E,4,FALSE)</f>
        <v>110</v>
      </c>
      <c r="I2269" s="2">
        <v>5</v>
      </c>
    </row>
    <row r="2270" spans="1:9" x14ac:dyDescent="0.25">
      <c r="A2270" s="2" t="str">
        <f>CONCATENATE(Códigos!S2269,Códigos!T2269,Códigos!U2269)</f>
        <v>svv2268v</v>
      </c>
      <c r="B2270" t="s">
        <v>499</v>
      </c>
      <c r="C2270" t="s">
        <v>351</v>
      </c>
      <c r="D2270" s="2" t="s">
        <v>352</v>
      </c>
      <c r="E2270" t="s">
        <v>366</v>
      </c>
      <c r="F2270" s="11">
        <v>43980</v>
      </c>
      <c r="G2270" s="2">
        <f>VLOOKUP(E2270,Produtos!$A:$E,5,FALSE)</f>
        <v>220</v>
      </c>
      <c r="H2270" s="2">
        <f>VLOOKUP(E2270,Produtos!$A:$E,4,FALSE)</f>
        <v>110</v>
      </c>
      <c r="I2270" s="2">
        <v>5</v>
      </c>
    </row>
    <row r="2271" spans="1:9" x14ac:dyDescent="0.25">
      <c r="A2271" s="2" t="str">
        <f>CONCATENATE(Códigos!S2270,Códigos!T2270,Códigos!U2270)</f>
        <v>svv2269v</v>
      </c>
      <c r="B2271" t="s">
        <v>499</v>
      </c>
      <c r="C2271" t="s">
        <v>351</v>
      </c>
      <c r="D2271" s="2" t="s">
        <v>352</v>
      </c>
      <c r="E2271" t="s">
        <v>366</v>
      </c>
      <c r="F2271" s="11">
        <v>43981</v>
      </c>
      <c r="G2271" s="2">
        <f>VLOOKUP(E2271,Produtos!$A:$E,5,FALSE)</f>
        <v>220</v>
      </c>
      <c r="H2271" s="2">
        <f>VLOOKUP(E2271,Produtos!$A:$E,4,FALSE)</f>
        <v>110</v>
      </c>
      <c r="I2271" s="2">
        <v>5</v>
      </c>
    </row>
    <row r="2272" spans="1:9" x14ac:dyDescent="0.25">
      <c r="A2272" s="2" t="str">
        <f>CONCATENATE(Códigos!S2271,Códigos!T2271,Códigos!U2271)</f>
        <v>svv2270v</v>
      </c>
      <c r="B2272" t="s">
        <v>499</v>
      </c>
      <c r="C2272" t="s">
        <v>351</v>
      </c>
      <c r="D2272" s="2" t="s">
        <v>352</v>
      </c>
      <c r="E2272" t="s">
        <v>366</v>
      </c>
      <c r="F2272" s="11">
        <v>43982</v>
      </c>
      <c r="G2272" s="2">
        <f>VLOOKUP(E2272,Produtos!$A:$E,5,FALSE)</f>
        <v>220</v>
      </c>
      <c r="H2272" s="2">
        <f>VLOOKUP(E2272,Produtos!$A:$E,4,FALSE)</f>
        <v>110</v>
      </c>
      <c r="I2272" s="2">
        <v>5</v>
      </c>
    </row>
    <row r="2273" spans="1:9" x14ac:dyDescent="0.25">
      <c r="A2273" s="2" t="str">
        <f>CONCATENATE(Códigos!S2272,Códigos!T2272,Códigos!U2272)</f>
        <v>svv2271v</v>
      </c>
      <c r="B2273" t="s">
        <v>499</v>
      </c>
      <c r="C2273" t="s">
        <v>351</v>
      </c>
      <c r="D2273" s="2" t="s">
        <v>352</v>
      </c>
      <c r="E2273" t="s">
        <v>366</v>
      </c>
      <c r="F2273" s="11">
        <v>43983</v>
      </c>
      <c r="G2273" s="2">
        <f>VLOOKUP(E2273,Produtos!$A:$E,5,FALSE)</f>
        <v>220</v>
      </c>
      <c r="H2273" s="2">
        <f>VLOOKUP(E2273,Produtos!$A:$E,4,FALSE)</f>
        <v>110</v>
      </c>
      <c r="I2273" s="2">
        <v>5</v>
      </c>
    </row>
    <row r="2274" spans="1:9" x14ac:dyDescent="0.25">
      <c r="A2274" s="2" t="str">
        <f>CONCATENATE(Códigos!S2273,Códigos!T2273,Códigos!U2273)</f>
        <v>svv2272v</v>
      </c>
      <c r="B2274" t="s">
        <v>499</v>
      </c>
      <c r="C2274" t="s">
        <v>351</v>
      </c>
      <c r="D2274" s="2" t="s">
        <v>352</v>
      </c>
      <c r="E2274" t="s">
        <v>366</v>
      </c>
      <c r="F2274" s="11">
        <v>43984</v>
      </c>
      <c r="G2274" s="2">
        <f>VLOOKUP(E2274,Produtos!$A:$E,5,FALSE)</f>
        <v>220</v>
      </c>
      <c r="H2274" s="2">
        <f>VLOOKUP(E2274,Produtos!$A:$E,4,FALSE)</f>
        <v>110</v>
      </c>
      <c r="I2274" s="2">
        <v>5</v>
      </c>
    </row>
    <row r="2275" spans="1:9" x14ac:dyDescent="0.25">
      <c r="A2275" s="2" t="str">
        <f>CONCATENATE(Códigos!S2274,Códigos!T2274,Códigos!U2274)</f>
        <v>svv2273v</v>
      </c>
      <c r="B2275" t="s">
        <v>499</v>
      </c>
      <c r="C2275" t="s">
        <v>351</v>
      </c>
      <c r="D2275" s="2" t="s">
        <v>352</v>
      </c>
      <c r="E2275" t="s">
        <v>366</v>
      </c>
      <c r="F2275" s="11">
        <v>43985</v>
      </c>
      <c r="G2275" s="2">
        <f>VLOOKUP(E2275,Produtos!$A:$E,5,FALSE)</f>
        <v>220</v>
      </c>
      <c r="H2275" s="2">
        <f>VLOOKUP(E2275,Produtos!$A:$E,4,FALSE)</f>
        <v>110</v>
      </c>
      <c r="I2275" s="2">
        <v>5</v>
      </c>
    </row>
    <row r="2276" spans="1:9" x14ac:dyDescent="0.25">
      <c r="A2276" s="2" t="str">
        <f>CONCATENATE(Códigos!S2275,Códigos!T2275,Códigos!U2275)</f>
        <v>svv2274v</v>
      </c>
      <c r="B2276" t="s">
        <v>499</v>
      </c>
      <c r="C2276" t="s">
        <v>351</v>
      </c>
      <c r="D2276" s="2" t="s">
        <v>352</v>
      </c>
      <c r="E2276" t="s">
        <v>366</v>
      </c>
      <c r="F2276" s="11">
        <v>43986</v>
      </c>
      <c r="G2276" s="2">
        <f>VLOOKUP(E2276,Produtos!$A:$E,5,FALSE)</f>
        <v>220</v>
      </c>
      <c r="H2276" s="2">
        <f>VLOOKUP(E2276,Produtos!$A:$E,4,FALSE)</f>
        <v>110</v>
      </c>
      <c r="I2276" s="2">
        <v>1</v>
      </c>
    </row>
    <row r="2277" spans="1:9" x14ac:dyDescent="0.25">
      <c r="A2277" s="2" t="str">
        <f>CONCATENATE(Códigos!S2276,Códigos!T2276,Códigos!U2276)</f>
        <v>svv2275v</v>
      </c>
      <c r="B2277" t="s">
        <v>499</v>
      </c>
      <c r="C2277" t="s">
        <v>351</v>
      </c>
      <c r="D2277" s="2" t="s">
        <v>352</v>
      </c>
      <c r="E2277" t="s">
        <v>366</v>
      </c>
      <c r="F2277" s="11">
        <v>43987</v>
      </c>
      <c r="G2277" s="2">
        <f>VLOOKUP(E2277,Produtos!$A:$E,5,FALSE)</f>
        <v>220</v>
      </c>
      <c r="H2277" s="2">
        <f>VLOOKUP(E2277,Produtos!$A:$E,4,FALSE)</f>
        <v>110</v>
      </c>
      <c r="I2277" s="2">
        <v>1</v>
      </c>
    </row>
    <row r="2278" spans="1:9" x14ac:dyDescent="0.25">
      <c r="A2278" s="2" t="str">
        <f>CONCATENATE(Códigos!S2277,Códigos!T2277,Códigos!U2277)</f>
        <v>svv2276v</v>
      </c>
      <c r="B2278" t="s">
        <v>499</v>
      </c>
      <c r="C2278" t="s">
        <v>351</v>
      </c>
      <c r="D2278" s="2" t="s">
        <v>352</v>
      </c>
      <c r="E2278" t="s">
        <v>366</v>
      </c>
      <c r="F2278" s="11">
        <v>43988</v>
      </c>
      <c r="G2278" s="2">
        <f>VLOOKUP(E2278,Produtos!$A:$E,5,FALSE)</f>
        <v>220</v>
      </c>
      <c r="H2278" s="2">
        <f>VLOOKUP(E2278,Produtos!$A:$E,4,FALSE)</f>
        <v>110</v>
      </c>
      <c r="I2278" s="2">
        <v>1</v>
      </c>
    </row>
    <row r="2279" spans="1:9" x14ac:dyDescent="0.25">
      <c r="A2279" s="2" t="str">
        <f>CONCATENATE(Códigos!S2278,Códigos!T2278,Códigos!U2278)</f>
        <v>svv2277v</v>
      </c>
      <c r="B2279" t="s">
        <v>499</v>
      </c>
      <c r="C2279" t="s">
        <v>351</v>
      </c>
      <c r="D2279" s="2" t="s">
        <v>352</v>
      </c>
      <c r="E2279" t="s">
        <v>366</v>
      </c>
      <c r="F2279" s="11">
        <v>43989</v>
      </c>
      <c r="G2279" s="2">
        <f>VLOOKUP(E2279,Produtos!$A:$E,5,FALSE)</f>
        <v>220</v>
      </c>
      <c r="H2279" s="2">
        <f>VLOOKUP(E2279,Produtos!$A:$E,4,FALSE)</f>
        <v>110</v>
      </c>
      <c r="I2279" s="2">
        <v>1</v>
      </c>
    </row>
    <row r="2280" spans="1:9" x14ac:dyDescent="0.25">
      <c r="A2280" s="2" t="str">
        <f>CONCATENATE(Códigos!S2279,Códigos!T2279,Códigos!U2279)</f>
        <v>svv2278v</v>
      </c>
      <c r="B2280" t="s">
        <v>499</v>
      </c>
      <c r="C2280" t="s">
        <v>351</v>
      </c>
      <c r="D2280" s="2" t="s">
        <v>352</v>
      </c>
      <c r="E2280" t="s">
        <v>366</v>
      </c>
      <c r="F2280" s="11">
        <v>43990</v>
      </c>
      <c r="G2280" s="2">
        <f>VLOOKUP(E2280,Produtos!$A:$E,5,FALSE)</f>
        <v>220</v>
      </c>
      <c r="H2280" s="2">
        <f>VLOOKUP(E2280,Produtos!$A:$E,4,FALSE)</f>
        <v>110</v>
      </c>
      <c r="I2280" s="2">
        <v>1</v>
      </c>
    </row>
    <row r="2281" spans="1:9" x14ac:dyDescent="0.25">
      <c r="A2281" s="2" t="str">
        <f>CONCATENATE(Códigos!S2280,Códigos!T2280,Códigos!U2280)</f>
        <v>svv2279v</v>
      </c>
      <c r="B2281" t="s">
        <v>499</v>
      </c>
      <c r="C2281" t="s">
        <v>351</v>
      </c>
      <c r="D2281" s="2" t="s">
        <v>352</v>
      </c>
      <c r="E2281" t="s">
        <v>366</v>
      </c>
      <c r="F2281" s="11">
        <v>43991</v>
      </c>
      <c r="G2281" s="2">
        <f>VLOOKUP(E2281,Produtos!$A:$E,5,FALSE)</f>
        <v>220</v>
      </c>
      <c r="H2281" s="2">
        <f>VLOOKUP(E2281,Produtos!$A:$E,4,FALSE)</f>
        <v>110</v>
      </c>
      <c r="I2281" s="2">
        <v>1</v>
      </c>
    </row>
    <row r="2282" spans="1:9" x14ac:dyDescent="0.25">
      <c r="A2282" s="2" t="str">
        <f>CONCATENATE(Códigos!S2281,Códigos!T2281,Códigos!U2281)</f>
        <v>svv2280v</v>
      </c>
      <c r="B2282" t="s">
        <v>499</v>
      </c>
      <c r="C2282" t="s">
        <v>351</v>
      </c>
      <c r="D2282" s="2" t="s">
        <v>352</v>
      </c>
      <c r="E2282" t="s">
        <v>366</v>
      </c>
      <c r="F2282" s="11">
        <v>43992</v>
      </c>
      <c r="G2282" s="2">
        <f>VLOOKUP(E2282,Produtos!$A:$E,5,FALSE)</f>
        <v>220</v>
      </c>
      <c r="H2282" s="2">
        <f>VLOOKUP(E2282,Produtos!$A:$E,4,FALSE)</f>
        <v>110</v>
      </c>
      <c r="I2282" s="2">
        <v>1</v>
      </c>
    </row>
    <row r="2283" spans="1:9" x14ac:dyDescent="0.25">
      <c r="A2283" s="2" t="str">
        <f>CONCATENATE(Códigos!S2282,Códigos!T2282,Códigos!U2282)</f>
        <v>svv2281v</v>
      </c>
      <c r="B2283" t="s">
        <v>499</v>
      </c>
      <c r="C2283" t="s">
        <v>351</v>
      </c>
      <c r="D2283" s="2" t="s">
        <v>352</v>
      </c>
      <c r="E2283" t="s">
        <v>366</v>
      </c>
      <c r="F2283" s="11">
        <v>43993</v>
      </c>
      <c r="G2283" s="2">
        <f>VLOOKUP(E2283,Produtos!$A:$E,5,FALSE)</f>
        <v>220</v>
      </c>
      <c r="H2283" s="2">
        <f>VLOOKUP(E2283,Produtos!$A:$E,4,FALSE)</f>
        <v>110</v>
      </c>
      <c r="I2283" s="2">
        <v>1</v>
      </c>
    </row>
    <row r="2284" spans="1:9" x14ac:dyDescent="0.25">
      <c r="A2284" s="2" t="str">
        <f>CONCATENATE(Códigos!S2283,Códigos!T2283,Códigos!U2283)</f>
        <v>svv2282v</v>
      </c>
      <c r="B2284" t="s">
        <v>499</v>
      </c>
      <c r="C2284" t="s">
        <v>351</v>
      </c>
      <c r="D2284" s="2" t="s">
        <v>352</v>
      </c>
      <c r="E2284" t="s">
        <v>366</v>
      </c>
      <c r="F2284" s="11">
        <v>43994</v>
      </c>
      <c r="G2284" s="2">
        <f>VLOOKUP(E2284,Produtos!$A:$E,5,FALSE)</f>
        <v>220</v>
      </c>
      <c r="H2284" s="2">
        <f>VLOOKUP(E2284,Produtos!$A:$E,4,FALSE)</f>
        <v>110</v>
      </c>
      <c r="I2284" s="2">
        <v>1</v>
      </c>
    </row>
    <row r="2285" spans="1:9" x14ac:dyDescent="0.25">
      <c r="A2285" s="2" t="str">
        <f>CONCATENATE(Códigos!S2284,Códigos!T2284,Códigos!U2284)</f>
        <v>svv2283v</v>
      </c>
      <c r="B2285" t="s">
        <v>499</v>
      </c>
      <c r="C2285" t="s">
        <v>351</v>
      </c>
      <c r="D2285" s="2" t="s">
        <v>352</v>
      </c>
      <c r="E2285" t="s">
        <v>366</v>
      </c>
      <c r="F2285" s="11">
        <v>43995</v>
      </c>
      <c r="G2285" s="2">
        <f>VLOOKUP(E2285,Produtos!$A:$E,5,FALSE)</f>
        <v>220</v>
      </c>
      <c r="H2285" s="2">
        <f>VLOOKUP(E2285,Produtos!$A:$E,4,FALSE)</f>
        <v>110</v>
      </c>
      <c r="I2285" s="2">
        <v>1</v>
      </c>
    </row>
    <row r="2286" spans="1:9" x14ac:dyDescent="0.25">
      <c r="A2286" s="2" t="str">
        <f>CONCATENATE(Códigos!S2285,Códigos!T2285,Códigos!U2285)</f>
        <v>svv2284v</v>
      </c>
      <c r="B2286" t="s">
        <v>499</v>
      </c>
      <c r="C2286" t="s">
        <v>351</v>
      </c>
      <c r="D2286" s="2" t="s">
        <v>352</v>
      </c>
      <c r="E2286" t="s">
        <v>333</v>
      </c>
      <c r="F2286" s="11">
        <v>43996</v>
      </c>
      <c r="G2286" s="2">
        <f>VLOOKUP(E2286,Produtos!$A:$E,5,FALSE)</f>
        <v>170</v>
      </c>
      <c r="H2286" s="2">
        <f>VLOOKUP(E2286,Produtos!$A:$E,4,FALSE)</f>
        <v>80</v>
      </c>
      <c r="I2286" s="2">
        <v>1</v>
      </c>
    </row>
    <row r="2287" spans="1:9" x14ac:dyDescent="0.25">
      <c r="A2287" s="2" t="str">
        <f>CONCATENATE(Códigos!S2286,Códigos!T2286,Códigos!U2286)</f>
        <v>svv2285v</v>
      </c>
      <c r="B2287" t="s">
        <v>499</v>
      </c>
      <c r="C2287" t="s">
        <v>351</v>
      </c>
      <c r="D2287" s="2" t="s">
        <v>352</v>
      </c>
      <c r="E2287" t="s">
        <v>333</v>
      </c>
      <c r="F2287" s="11">
        <v>43997</v>
      </c>
      <c r="G2287" s="2">
        <f>VLOOKUP(E2287,Produtos!$A:$E,5,FALSE)</f>
        <v>170</v>
      </c>
      <c r="H2287" s="2">
        <f>VLOOKUP(E2287,Produtos!$A:$E,4,FALSE)</f>
        <v>80</v>
      </c>
      <c r="I2287" s="2">
        <v>1</v>
      </c>
    </row>
    <row r="2288" spans="1:9" x14ac:dyDescent="0.25">
      <c r="A2288" s="2" t="str">
        <f>CONCATENATE(Códigos!S2287,Códigos!T2287,Códigos!U2287)</f>
        <v>svv2286v</v>
      </c>
      <c r="B2288" t="s">
        <v>499</v>
      </c>
      <c r="C2288" t="s">
        <v>351</v>
      </c>
      <c r="D2288" s="2" t="s">
        <v>352</v>
      </c>
      <c r="E2288" t="s">
        <v>333</v>
      </c>
      <c r="F2288" s="11">
        <v>43998</v>
      </c>
      <c r="G2288" s="2">
        <f>VLOOKUP(E2288,Produtos!$A:$E,5,FALSE)</f>
        <v>170</v>
      </c>
      <c r="H2288" s="2">
        <f>VLOOKUP(E2288,Produtos!$A:$E,4,FALSE)</f>
        <v>80</v>
      </c>
      <c r="I2288" s="2">
        <v>1</v>
      </c>
    </row>
    <row r="2289" spans="1:9" x14ac:dyDescent="0.25">
      <c r="A2289" s="2" t="str">
        <f>CONCATENATE(Códigos!S2288,Códigos!T2288,Códigos!U2288)</f>
        <v>svv2287v</v>
      </c>
      <c r="B2289" t="s">
        <v>499</v>
      </c>
      <c r="C2289" t="s">
        <v>351</v>
      </c>
      <c r="D2289" s="2" t="s">
        <v>352</v>
      </c>
      <c r="E2289" t="s">
        <v>333</v>
      </c>
      <c r="F2289" s="11">
        <v>43999</v>
      </c>
      <c r="G2289" s="2">
        <f>VLOOKUP(E2289,Produtos!$A:$E,5,FALSE)</f>
        <v>170</v>
      </c>
      <c r="H2289" s="2">
        <f>VLOOKUP(E2289,Produtos!$A:$E,4,FALSE)</f>
        <v>80</v>
      </c>
      <c r="I2289" s="2">
        <v>1</v>
      </c>
    </row>
    <row r="2290" spans="1:9" x14ac:dyDescent="0.25">
      <c r="A2290" s="2" t="str">
        <f>CONCATENATE(Códigos!S2289,Códigos!T2289,Códigos!U2289)</f>
        <v>svv2288v</v>
      </c>
      <c r="B2290" t="s">
        <v>499</v>
      </c>
      <c r="C2290" t="s">
        <v>351</v>
      </c>
      <c r="D2290" s="2" t="s">
        <v>352</v>
      </c>
      <c r="E2290" t="s">
        <v>333</v>
      </c>
      <c r="F2290" s="11">
        <v>44000</v>
      </c>
      <c r="G2290" s="2">
        <f>VLOOKUP(E2290,Produtos!$A:$E,5,FALSE)</f>
        <v>170</v>
      </c>
      <c r="H2290" s="2">
        <f>VLOOKUP(E2290,Produtos!$A:$E,4,FALSE)</f>
        <v>80</v>
      </c>
      <c r="I2290" s="2">
        <v>1</v>
      </c>
    </row>
    <row r="2291" spans="1:9" x14ac:dyDescent="0.25">
      <c r="A2291" s="2" t="str">
        <f>CONCATENATE(Códigos!S2290,Códigos!T2290,Códigos!U2290)</f>
        <v>svv2289v</v>
      </c>
      <c r="B2291" t="s">
        <v>499</v>
      </c>
      <c r="C2291" t="s">
        <v>351</v>
      </c>
      <c r="D2291" s="2" t="s">
        <v>352</v>
      </c>
      <c r="E2291" t="s">
        <v>333</v>
      </c>
      <c r="F2291" s="11">
        <v>44001</v>
      </c>
      <c r="G2291" s="2">
        <f>VLOOKUP(E2291,Produtos!$A:$E,5,FALSE)</f>
        <v>170</v>
      </c>
      <c r="H2291" s="2">
        <f>VLOOKUP(E2291,Produtos!$A:$E,4,FALSE)</f>
        <v>80</v>
      </c>
      <c r="I2291" s="2">
        <v>1</v>
      </c>
    </row>
    <row r="2292" spans="1:9" x14ac:dyDescent="0.25">
      <c r="A2292" s="2" t="str">
        <f>CONCATENATE(Códigos!S2291,Códigos!T2291,Códigos!U2291)</f>
        <v>svv2290v</v>
      </c>
      <c r="B2292" t="s">
        <v>499</v>
      </c>
      <c r="C2292" t="s">
        <v>351</v>
      </c>
      <c r="D2292" s="2" t="s">
        <v>352</v>
      </c>
      <c r="E2292" t="s">
        <v>333</v>
      </c>
      <c r="F2292" s="11">
        <v>44002</v>
      </c>
      <c r="G2292" s="2">
        <f>VLOOKUP(E2292,Produtos!$A:$E,5,FALSE)</f>
        <v>170</v>
      </c>
      <c r="H2292" s="2">
        <f>VLOOKUP(E2292,Produtos!$A:$E,4,FALSE)</f>
        <v>80</v>
      </c>
      <c r="I2292" s="2">
        <v>1</v>
      </c>
    </row>
    <row r="2293" spans="1:9" x14ac:dyDescent="0.25">
      <c r="A2293" s="2" t="str">
        <f>CONCATENATE(Códigos!S2292,Códigos!T2292,Códigos!U2292)</f>
        <v>svv2291v</v>
      </c>
      <c r="B2293" t="s">
        <v>499</v>
      </c>
      <c r="C2293" t="s">
        <v>351</v>
      </c>
      <c r="D2293" s="2" t="s">
        <v>352</v>
      </c>
      <c r="E2293" t="s">
        <v>333</v>
      </c>
      <c r="F2293" s="11">
        <v>44003</v>
      </c>
      <c r="G2293" s="2">
        <f>VLOOKUP(E2293,Produtos!$A:$E,5,FALSE)</f>
        <v>170</v>
      </c>
      <c r="H2293" s="2">
        <f>VLOOKUP(E2293,Produtos!$A:$E,4,FALSE)</f>
        <v>80</v>
      </c>
      <c r="I2293" s="2">
        <v>1</v>
      </c>
    </row>
    <row r="2294" spans="1:9" x14ac:dyDescent="0.25">
      <c r="A2294" s="2" t="str">
        <f>CONCATENATE(Códigos!S2293,Códigos!T2293,Códigos!U2293)</f>
        <v>svv2292v</v>
      </c>
      <c r="B2294" t="s">
        <v>499</v>
      </c>
      <c r="C2294" t="s">
        <v>351</v>
      </c>
      <c r="D2294" s="2" t="s">
        <v>352</v>
      </c>
      <c r="E2294" t="s">
        <v>333</v>
      </c>
      <c r="F2294" s="11">
        <v>44004</v>
      </c>
      <c r="G2294" s="2">
        <f>VLOOKUP(E2294,Produtos!$A:$E,5,FALSE)</f>
        <v>170</v>
      </c>
      <c r="H2294" s="2">
        <f>VLOOKUP(E2294,Produtos!$A:$E,4,FALSE)</f>
        <v>80</v>
      </c>
      <c r="I2294" s="2">
        <v>1</v>
      </c>
    </row>
    <row r="2295" spans="1:9" x14ac:dyDescent="0.25">
      <c r="A2295" s="2" t="str">
        <f>CONCATENATE(Códigos!S2294,Códigos!T2294,Códigos!U2294)</f>
        <v>svv2293v</v>
      </c>
      <c r="B2295" t="s">
        <v>499</v>
      </c>
      <c r="C2295" t="s">
        <v>351</v>
      </c>
      <c r="D2295" s="2" t="s">
        <v>352</v>
      </c>
      <c r="E2295" t="s">
        <v>333</v>
      </c>
      <c r="F2295" s="11">
        <v>44005</v>
      </c>
      <c r="G2295" s="2">
        <f>VLOOKUP(E2295,Produtos!$A:$E,5,FALSE)</f>
        <v>170</v>
      </c>
      <c r="H2295" s="2">
        <f>VLOOKUP(E2295,Produtos!$A:$E,4,FALSE)</f>
        <v>80</v>
      </c>
      <c r="I2295" s="2">
        <v>1</v>
      </c>
    </row>
    <row r="2296" spans="1:9" x14ac:dyDescent="0.25">
      <c r="A2296" s="2" t="str">
        <f>CONCATENATE(Códigos!S2295,Códigos!T2295,Códigos!U2295)</f>
        <v>svv2294v</v>
      </c>
      <c r="B2296" t="s">
        <v>499</v>
      </c>
      <c r="C2296" t="s">
        <v>507</v>
      </c>
      <c r="D2296" s="2" t="s">
        <v>508</v>
      </c>
      <c r="E2296" t="s">
        <v>333</v>
      </c>
      <c r="F2296" s="11">
        <v>44006</v>
      </c>
      <c r="G2296" s="2">
        <f>VLOOKUP(E2296,Produtos!$A:$E,5,FALSE)</f>
        <v>170</v>
      </c>
      <c r="H2296" s="2">
        <f>VLOOKUP(E2296,Produtos!$A:$E,4,FALSE)</f>
        <v>80</v>
      </c>
      <c r="I2296" s="2">
        <v>1</v>
      </c>
    </row>
    <row r="2297" spans="1:9" x14ac:dyDescent="0.25">
      <c r="A2297" s="2" t="str">
        <f>CONCATENATE(Códigos!S2296,Códigos!T2296,Códigos!U2296)</f>
        <v>svv2295v</v>
      </c>
      <c r="B2297" t="s">
        <v>499</v>
      </c>
      <c r="C2297" t="s">
        <v>507</v>
      </c>
      <c r="D2297" s="2" t="s">
        <v>508</v>
      </c>
      <c r="E2297" t="s">
        <v>333</v>
      </c>
      <c r="F2297" s="11">
        <v>44007</v>
      </c>
      <c r="G2297" s="2">
        <f>VLOOKUP(E2297,Produtos!$A:$E,5,FALSE)</f>
        <v>170</v>
      </c>
      <c r="H2297" s="2">
        <f>VLOOKUP(E2297,Produtos!$A:$E,4,FALSE)</f>
        <v>80</v>
      </c>
      <c r="I2297" s="2">
        <v>1</v>
      </c>
    </row>
    <row r="2298" spans="1:9" x14ac:dyDescent="0.25">
      <c r="A2298" s="2" t="str">
        <f>CONCATENATE(Códigos!S2297,Códigos!T2297,Códigos!U2297)</f>
        <v>svv2296v</v>
      </c>
      <c r="B2298" t="s">
        <v>499</v>
      </c>
      <c r="C2298" t="s">
        <v>507</v>
      </c>
      <c r="D2298" s="2" t="s">
        <v>508</v>
      </c>
      <c r="E2298" t="s">
        <v>333</v>
      </c>
      <c r="F2298" s="11">
        <v>44008</v>
      </c>
      <c r="G2298" s="2">
        <f>VLOOKUP(E2298,Produtos!$A:$E,5,FALSE)</f>
        <v>170</v>
      </c>
      <c r="H2298" s="2">
        <f>VLOOKUP(E2298,Produtos!$A:$E,4,FALSE)</f>
        <v>80</v>
      </c>
      <c r="I2298" s="2">
        <v>1</v>
      </c>
    </row>
    <row r="2299" spans="1:9" x14ac:dyDescent="0.25">
      <c r="A2299" s="2" t="str">
        <f>CONCATENATE(Códigos!S2298,Códigos!T2298,Códigos!U2298)</f>
        <v>svv2297v</v>
      </c>
      <c r="B2299" t="s">
        <v>499</v>
      </c>
      <c r="C2299" t="s">
        <v>507</v>
      </c>
      <c r="D2299" s="2" t="s">
        <v>508</v>
      </c>
      <c r="E2299" t="s">
        <v>333</v>
      </c>
      <c r="F2299" s="11">
        <v>44009</v>
      </c>
      <c r="G2299" s="2">
        <f>VLOOKUP(E2299,Produtos!$A:$E,5,FALSE)</f>
        <v>170</v>
      </c>
      <c r="H2299" s="2">
        <f>VLOOKUP(E2299,Produtos!$A:$E,4,FALSE)</f>
        <v>80</v>
      </c>
      <c r="I2299" s="2">
        <v>1</v>
      </c>
    </row>
    <row r="2300" spans="1:9" x14ac:dyDescent="0.25">
      <c r="A2300" s="2" t="str">
        <f>CONCATENATE(Códigos!S2299,Códigos!T2299,Códigos!U2299)</f>
        <v>svv2298v</v>
      </c>
      <c r="B2300" t="s">
        <v>499</v>
      </c>
      <c r="C2300" t="s">
        <v>507</v>
      </c>
      <c r="D2300" s="2" t="s">
        <v>508</v>
      </c>
      <c r="E2300" t="s">
        <v>333</v>
      </c>
      <c r="F2300" s="11">
        <v>44010</v>
      </c>
      <c r="G2300" s="2">
        <f>VLOOKUP(E2300,Produtos!$A:$E,5,FALSE)</f>
        <v>170</v>
      </c>
      <c r="H2300" s="2">
        <f>VLOOKUP(E2300,Produtos!$A:$E,4,FALSE)</f>
        <v>80</v>
      </c>
      <c r="I2300" s="2">
        <v>1</v>
      </c>
    </row>
    <row r="2301" spans="1:9" x14ac:dyDescent="0.25">
      <c r="A2301" s="2" t="str">
        <f>CONCATENATE(Códigos!S2300,Códigos!T2300,Códigos!U2300)</f>
        <v>svv2299v</v>
      </c>
      <c r="B2301" t="s">
        <v>499</v>
      </c>
      <c r="C2301" t="s">
        <v>507</v>
      </c>
      <c r="D2301" s="2" t="s">
        <v>508</v>
      </c>
      <c r="E2301" t="s">
        <v>333</v>
      </c>
      <c r="F2301" s="11">
        <v>44011</v>
      </c>
      <c r="G2301" s="2">
        <f>VLOOKUP(E2301,Produtos!$A:$E,5,FALSE)</f>
        <v>170</v>
      </c>
      <c r="H2301" s="2">
        <f>VLOOKUP(E2301,Produtos!$A:$E,4,FALSE)</f>
        <v>80</v>
      </c>
      <c r="I2301" s="2">
        <v>1</v>
      </c>
    </row>
    <row r="2302" spans="1:9" x14ac:dyDescent="0.25">
      <c r="A2302" s="2" t="str">
        <f>CONCATENATE(Códigos!S2301,Códigos!T2301,Códigos!U2301)</f>
        <v>svv2300v</v>
      </c>
      <c r="B2302" t="s">
        <v>499</v>
      </c>
      <c r="C2302" t="s">
        <v>507</v>
      </c>
      <c r="D2302" s="2" t="s">
        <v>508</v>
      </c>
      <c r="E2302" t="s">
        <v>333</v>
      </c>
      <c r="F2302" s="11">
        <v>44012</v>
      </c>
      <c r="G2302" s="2">
        <f>VLOOKUP(E2302,Produtos!$A:$E,5,FALSE)</f>
        <v>170</v>
      </c>
      <c r="H2302" s="2">
        <f>VLOOKUP(E2302,Produtos!$A:$E,4,FALSE)</f>
        <v>80</v>
      </c>
      <c r="I2302" s="2">
        <v>1</v>
      </c>
    </row>
    <row r="2303" spans="1:9" x14ac:dyDescent="0.25">
      <c r="A2303" s="2" t="str">
        <f>CONCATENATE(Códigos!S2302,Códigos!T2302,Códigos!U2302)</f>
        <v>svv2301v</v>
      </c>
      <c r="B2303" t="s">
        <v>499</v>
      </c>
      <c r="C2303" t="s">
        <v>507</v>
      </c>
      <c r="D2303" s="2" t="s">
        <v>508</v>
      </c>
      <c r="E2303" t="s">
        <v>333</v>
      </c>
      <c r="F2303" s="11">
        <v>44013</v>
      </c>
      <c r="G2303" s="2">
        <f>VLOOKUP(E2303,Produtos!$A:$E,5,FALSE)</f>
        <v>170</v>
      </c>
      <c r="H2303" s="2">
        <f>VLOOKUP(E2303,Produtos!$A:$E,4,FALSE)</f>
        <v>80</v>
      </c>
      <c r="I2303" s="2">
        <v>1</v>
      </c>
    </row>
    <row r="2304" spans="1:9" x14ac:dyDescent="0.25">
      <c r="A2304" s="2" t="str">
        <f>CONCATENATE(Códigos!S2303,Códigos!T2303,Códigos!U2303)</f>
        <v>svv2302v</v>
      </c>
      <c r="B2304" t="s">
        <v>499</v>
      </c>
      <c r="C2304" t="s">
        <v>507</v>
      </c>
      <c r="D2304" s="2" t="s">
        <v>508</v>
      </c>
      <c r="E2304" t="s">
        <v>333</v>
      </c>
      <c r="F2304" s="11">
        <v>44014</v>
      </c>
      <c r="G2304" s="2">
        <f>VLOOKUP(E2304,Produtos!$A:$E,5,FALSE)</f>
        <v>170</v>
      </c>
      <c r="H2304" s="2">
        <f>VLOOKUP(E2304,Produtos!$A:$E,4,FALSE)</f>
        <v>80</v>
      </c>
      <c r="I2304" s="2">
        <v>1</v>
      </c>
    </row>
    <row r="2305" spans="1:9" x14ac:dyDescent="0.25">
      <c r="A2305" s="2" t="str">
        <f>CONCATENATE(Códigos!S2304,Códigos!T2304,Códigos!U2304)</f>
        <v>svv2303v</v>
      </c>
      <c r="B2305" t="s">
        <v>499</v>
      </c>
      <c r="C2305" t="s">
        <v>507</v>
      </c>
      <c r="D2305" s="2" t="s">
        <v>508</v>
      </c>
      <c r="E2305" t="s">
        <v>333</v>
      </c>
      <c r="F2305" s="11">
        <v>44015</v>
      </c>
      <c r="G2305" s="2">
        <f>VLOOKUP(E2305,Produtos!$A:$E,5,FALSE)</f>
        <v>170</v>
      </c>
      <c r="H2305" s="2">
        <f>VLOOKUP(E2305,Produtos!$A:$E,4,FALSE)</f>
        <v>80</v>
      </c>
      <c r="I2305" s="2">
        <v>1</v>
      </c>
    </row>
    <row r="2306" spans="1:9" x14ac:dyDescent="0.25">
      <c r="A2306" s="2" t="str">
        <f>CONCATENATE(Códigos!S2305,Códigos!T2305,Códigos!U2305)</f>
        <v>svv2304v</v>
      </c>
      <c r="B2306" t="s">
        <v>499</v>
      </c>
      <c r="C2306" t="s">
        <v>507</v>
      </c>
      <c r="D2306" s="2" t="s">
        <v>508</v>
      </c>
      <c r="E2306" t="s">
        <v>333</v>
      </c>
      <c r="F2306" s="11">
        <v>44016</v>
      </c>
      <c r="G2306" s="2">
        <f>VLOOKUP(E2306,Produtos!$A:$E,5,FALSE)</f>
        <v>170</v>
      </c>
      <c r="H2306" s="2">
        <f>VLOOKUP(E2306,Produtos!$A:$E,4,FALSE)</f>
        <v>80</v>
      </c>
      <c r="I2306" s="2">
        <v>1</v>
      </c>
    </row>
    <row r="2307" spans="1:9" x14ac:dyDescent="0.25">
      <c r="A2307" s="2" t="str">
        <f>CONCATENATE(Códigos!S2306,Códigos!T2306,Códigos!U2306)</f>
        <v>svv2305v</v>
      </c>
      <c r="B2307" t="s">
        <v>499</v>
      </c>
      <c r="C2307" t="s">
        <v>507</v>
      </c>
      <c r="D2307" s="2" t="s">
        <v>508</v>
      </c>
      <c r="E2307" t="s">
        <v>333</v>
      </c>
      <c r="F2307" s="11">
        <v>44017</v>
      </c>
      <c r="G2307" s="2">
        <f>VLOOKUP(E2307,Produtos!$A:$E,5,FALSE)</f>
        <v>170</v>
      </c>
      <c r="H2307" s="2">
        <f>VLOOKUP(E2307,Produtos!$A:$E,4,FALSE)</f>
        <v>80</v>
      </c>
      <c r="I2307" s="2">
        <v>1</v>
      </c>
    </row>
    <row r="2308" spans="1:9" x14ac:dyDescent="0.25">
      <c r="A2308" s="2" t="str">
        <f>CONCATENATE(Códigos!S2307,Códigos!T2307,Códigos!U2307)</f>
        <v>svv2306v</v>
      </c>
      <c r="B2308" t="s">
        <v>499</v>
      </c>
      <c r="C2308" t="s">
        <v>507</v>
      </c>
      <c r="D2308" s="2" t="s">
        <v>508</v>
      </c>
      <c r="E2308" t="s">
        <v>333</v>
      </c>
      <c r="F2308" s="11">
        <v>44018</v>
      </c>
      <c r="G2308" s="2">
        <f>VLOOKUP(E2308,Produtos!$A:$E,5,FALSE)</f>
        <v>170</v>
      </c>
      <c r="H2308" s="2">
        <f>VLOOKUP(E2308,Produtos!$A:$E,4,FALSE)</f>
        <v>80</v>
      </c>
      <c r="I2308" s="2">
        <v>1</v>
      </c>
    </row>
    <row r="2309" spans="1:9" x14ac:dyDescent="0.25">
      <c r="A2309" s="2" t="str">
        <f>CONCATENATE(Códigos!S2308,Códigos!T2308,Códigos!U2308)</f>
        <v>svv2307v</v>
      </c>
      <c r="B2309" t="s">
        <v>499</v>
      </c>
      <c r="C2309" t="s">
        <v>507</v>
      </c>
      <c r="D2309" s="2" t="s">
        <v>508</v>
      </c>
      <c r="E2309" t="s">
        <v>333</v>
      </c>
      <c r="F2309" s="11">
        <v>44019</v>
      </c>
      <c r="G2309" s="2">
        <f>VLOOKUP(E2309,Produtos!$A:$E,5,FALSE)</f>
        <v>170</v>
      </c>
      <c r="H2309" s="2">
        <f>VLOOKUP(E2309,Produtos!$A:$E,4,FALSE)</f>
        <v>80</v>
      </c>
      <c r="I2309" s="2">
        <v>1</v>
      </c>
    </row>
    <row r="2310" spans="1:9" x14ac:dyDescent="0.25">
      <c r="A2310" s="2" t="str">
        <f>CONCATENATE(Códigos!S2309,Códigos!T2309,Códigos!U2309)</f>
        <v>svv2308v</v>
      </c>
      <c r="B2310" t="s">
        <v>499</v>
      </c>
      <c r="C2310" t="s">
        <v>507</v>
      </c>
      <c r="D2310" s="2" t="s">
        <v>508</v>
      </c>
      <c r="E2310" t="s">
        <v>333</v>
      </c>
      <c r="F2310" s="11">
        <v>44020</v>
      </c>
      <c r="G2310" s="2">
        <f>VLOOKUP(E2310,Produtos!$A:$E,5,FALSE)</f>
        <v>170</v>
      </c>
      <c r="H2310" s="2">
        <f>VLOOKUP(E2310,Produtos!$A:$E,4,FALSE)</f>
        <v>80</v>
      </c>
      <c r="I2310" s="2">
        <v>1</v>
      </c>
    </row>
    <row r="2311" spans="1:9" x14ac:dyDescent="0.25">
      <c r="A2311" s="2" t="str">
        <f>CONCATENATE(Códigos!S2310,Códigos!T2310,Códigos!U2310)</f>
        <v>svv2309v</v>
      </c>
      <c r="B2311" t="s">
        <v>499</v>
      </c>
      <c r="C2311" t="s">
        <v>507</v>
      </c>
      <c r="D2311" s="2" t="s">
        <v>508</v>
      </c>
      <c r="E2311" t="s">
        <v>333</v>
      </c>
      <c r="F2311" s="11">
        <v>44021</v>
      </c>
      <c r="G2311" s="2">
        <f>VLOOKUP(E2311,Produtos!$A:$E,5,FALSE)</f>
        <v>170</v>
      </c>
      <c r="H2311" s="2">
        <f>VLOOKUP(E2311,Produtos!$A:$E,4,FALSE)</f>
        <v>80</v>
      </c>
      <c r="I2311" s="2">
        <v>1</v>
      </c>
    </row>
    <row r="2312" spans="1:9" x14ac:dyDescent="0.25">
      <c r="A2312" s="2" t="str">
        <f>CONCATENATE(Códigos!S2311,Códigos!T2311,Códigos!U2311)</f>
        <v>svv2310v</v>
      </c>
      <c r="B2312" t="s">
        <v>499</v>
      </c>
      <c r="C2312" t="s">
        <v>507</v>
      </c>
      <c r="D2312" s="2" t="s">
        <v>508</v>
      </c>
      <c r="E2312" t="s">
        <v>333</v>
      </c>
      <c r="F2312" s="11">
        <v>44022</v>
      </c>
      <c r="G2312" s="2">
        <f>VLOOKUP(E2312,Produtos!$A:$E,5,FALSE)</f>
        <v>170</v>
      </c>
      <c r="H2312" s="2">
        <f>VLOOKUP(E2312,Produtos!$A:$E,4,FALSE)</f>
        <v>80</v>
      </c>
      <c r="I2312" s="2">
        <v>1</v>
      </c>
    </row>
    <row r="2313" spans="1:9" x14ac:dyDescent="0.25">
      <c r="A2313" s="2" t="str">
        <f>CONCATENATE(Códigos!S2312,Códigos!T2312,Códigos!U2312)</f>
        <v>svv2311v</v>
      </c>
      <c r="B2313" t="s">
        <v>499</v>
      </c>
      <c r="C2313" t="s">
        <v>507</v>
      </c>
      <c r="D2313" s="2" t="s">
        <v>508</v>
      </c>
      <c r="E2313" t="s">
        <v>333</v>
      </c>
      <c r="F2313" s="11">
        <v>44023</v>
      </c>
      <c r="G2313" s="2">
        <f>VLOOKUP(E2313,Produtos!$A:$E,5,FALSE)</f>
        <v>170</v>
      </c>
      <c r="H2313" s="2">
        <f>VLOOKUP(E2313,Produtos!$A:$E,4,FALSE)</f>
        <v>80</v>
      </c>
      <c r="I2313" s="2">
        <v>1</v>
      </c>
    </row>
    <row r="2314" spans="1:9" x14ac:dyDescent="0.25">
      <c r="A2314" s="2" t="str">
        <f>CONCATENATE(Códigos!S2313,Códigos!T2313,Códigos!U2313)</f>
        <v>svv2312v</v>
      </c>
      <c r="B2314" t="s">
        <v>499</v>
      </c>
      <c r="C2314" t="s">
        <v>507</v>
      </c>
      <c r="D2314" s="2" t="s">
        <v>508</v>
      </c>
      <c r="E2314" t="s">
        <v>333</v>
      </c>
      <c r="F2314" s="11">
        <v>44024</v>
      </c>
      <c r="G2314" s="2">
        <f>VLOOKUP(E2314,Produtos!$A:$E,5,FALSE)</f>
        <v>170</v>
      </c>
      <c r="H2314" s="2">
        <f>VLOOKUP(E2314,Produtos!$A:$E,4,FALSE)</f>
        <v>80</v>
      </c>
      <c r="I2314" s="2">
        <v>1</v>
      </c>
    </row>
    <row r="2315" spans="1:9" x14ac:dyDescent="0.25">
      <c r="A2315" s="2" t="str">
        <f>CONCATENATE(Códigos!S2314,Códigos!T2314,Códigos!U2314)</f>
        <v>svv2313v</v>
      </c>
      <c r="B2315" t="s">
        <v>499</v>
      </c>
      <c r="C2315" t="s">
        <v>507</v>
      </c>
      <c r="D2315" s="2" t="s">
        <v>508</v>
      </c>
      <c r="E2315" t="s">
        <v>333</v>
      </c>
      <c r="F2315" s="11">
        <v>44025</v>
      </c>
      <c r="G2315" s="2">
        <f>VLOOKUP(E2315,Produtos!$A:$E,5,FALSE)</f>
        <v>170</v>
      </c>
      <c r="H2315" s="2">
        <f>VLOOKUP(E2315,Produtos!$A:$E,4,FALSE)</f>
        <v>80</v>
      </c>
      <c r="I2315" s="2">
        <v>1</v>
      </c>
    </row>
    <row r="2316" spans="1:9" x14ac:dyDescent="0.25">
      <c r="A2316" s="2" t="str">
        <f>CONCATENATE(Códigos!S2315,Códigos!T2315,Códigos!U2315)</f>
        <v>svv2314v</v>
      </c>
      <c r="B2316" t="s">
        <v>499</v>
      </c>
      <c r="C2316" t="s">
        <v>507</v>
      </c>
      <c r="D2316" s="2" t="s">
        <v>508</v>
      </c>
      <c r="E2316" t="s">
        <v>333</v>
      </c>
      <c r="F2316" s="11">
        <v>44026</v>
      </c>
      <c r="G2316" s="2">
        <f>VLOOKUP(E2316,Produtos!$A:$E,5,FALSE)</f>
        <v>170</v>
      </c>
      <c r="H2316" s="2">
        <f>VLOOKUP(E2316,Produtos!$A:$E,4,FALSE)</f>
        <v>80</v>
      </c>
      <c r="I2316" s="2">
        <v>1</v>
      </c>
    </row>
    <row r="2317" spans="1:9" x14ac:dyDescent="0.25">
      <c r="A2317" s="2" t="str">
        <f>CONCATENATE(Códigos!S2316,Códigos!T2316,Códigos!U2316)</f>
        <v>svv2315v</v>
      </c>
      <c r="B2317" t="s">
        <v>499</v>
      </c>
      <c r="C2317" t="s">
        <v>507</v>
      </c>
      <c r="D2317" s="2" t="s">
        <v>508</v>
      </c>
      <c r="E2317" t="s">
        <v>333</v>
      </c>
      <c r="F2317" s="11">
        <v>44027</v>
      </c>
      <c r="G2317" s="2">
        <f>VLOOKUP(E2317,Produtos!$A:$E,5,FALSE)</f>
        <v>170</v>
      </c>
      <c r="H2317" s="2">
        <f>VLOOKUP(E2317,Produtos!$A:$E,4,FALSE)</f>
        <v>80</v>
      </c>
      <c r="I2317" s="2">
        <v>1</v>
      </c>
    </row>
    <row r="2318" spans="1:9" x14ac:dyDescent="0.25">
      <c r="A2318" s="2" t="str">
        <f>CONCATENATE(Códigos!S2317,Códigos!T2317,Códigos!U2317)</f>
        <v>svv2316v</v>
      </c>
      <c r="B2318" t="s">
        <v>499</v>
      </c>
      <c r="C2318" t="s">
        <v>507</v>
      </c>
      <c r="D2318" s="2" t="s">
        <v>508</v>
      </c>
      <c r="E2318" t="s">
        <v>333</v>
      </c>
      <c r="F2318" s="11">
        <v>44028</v>
      </c>
      <c r="G2318" s="2">
        <f>VLOOKUP(E2318,Produtos!$A:$E,5,FALSE)</f>
        <v>170</v>
      </c>
      <c r="H2318" s="2">
        <f>VLOOKUP(E2318,Produtos!$A:$E,4,FALSE)</f>
        <v>80</v>
      </c>
      <c r="I2318" s="2">
        <v>1</v>
      </c>
    </row>
    <row r="2319" spans="1:9" x14ac:dyDescent="0.25">
      <c r="A2319" s="2" t="str">
        <f>CONCATENATE(Códigos!S2318,Códigos!T2318,Códigos!U2318)</f>
        <v>svv2317v</v>
      </c>
      <c r="B2319" t="s">
        <v>499</v>
      </c>
      <c r="C2319" t="s">
        <v>507</v>
      </c>
      <c r="D2319" s="2" t="s">
        <v>508</v>
      </c>
      <c r="E2319" t="s">
        <v>333</v>
      </c>
      <c r="F2319" s="11">
        <v>44029</v>
      </c>
      <c r="G2319" s="2">
        <f>VLOOKUP(E2319,Produtos!$A:$E,5,FALSE)</f>
        <v>170</v>
      </c>
      <c r="H2319" s="2">
        <f>VLOOKUP(E2319,Produtos!$A:$E,4,FALSE)</f>
        <v>80</v>
      </c>
      <c r="I2319" s="2">
        <v>1</v>
      </c>
    </row>
    <row r="2320" spans="1:9" x14ac:dyDescent="0.25">
      <c r="A2320" s="2" t="str">
        <f>CONCATENATE(Códigos!S2319,Códigos!T2319,Códigos!U2319)</f>
        <v>svv2318v</v>
      </c>
      <c r="B2320" t="s">
        <v>499</v>
      </c>
      <c r="C2320" t="s">
        <v>507</v>
      </c>
      <c r="D2320" s="2" t="s">
        <v>508</v>
      </c>
      <c r="E2320" t="s">
        <v>333</v>
      </c>
      <c r="F2320" s="11">
        <v>44030</v>
      </c>
      <c r="G2320" s="2">
        <f>VLOOKUP(E2320,Produtos!$A:$E,5,FALSE)</f>
        <v>170</v>
      </c>
      <c r="H2320" s="2">
        <f>VLOOKUP(E2320,Produtos!$A:$E,4,FALSE)</f>
        <v>80</v>
      </c>
      <c r="I2320" s="2">
        <v>1</v>
      </c>
    </row>
    <row r="2321" spans="1:9" x14ac:dyDescent="0.25">
      <c r="A2321" s="2" t="str">
        <f>CONCATENATE(Códigos!S2320,Códigos!T2320,Códigos!U2320)</f>
        <v>svv2319v</v>
      </c>
      <c r="B2321" t="s">
        <v>499</v>
      </c>
      <c r="C2321" t="s">
        <v>507</v>
      </c>
      <c r="D2321" s="2" t="s">
        <v>508</v>
      </c>
      <c r="E2321" t="s">
        <v>333</v>
      </c>
      <c r="F2321" s="11">
        <v>44031</v>
      </c>
      <c r="G2321" s="2">
        <f>VLOOKUP(E2321,Produtos!$A:$E,5,FALSE)</f>
        <v>170</v>
      </c>
      <c r="H2321" s="2">
        <f>VLOOKUP(E2321,Produtos!$A:$E,4,FALSE)</f>
        <v>80</v>
      </c>
      <c r="I2321" s="2">
        <v>1</v>
      </c>
    </row>
    <row r="2322" spans="1:9" x14ac:dyDescent="0.25">
      <c r="A2322" s="2" t="str">
        <f>CONCATENATE(Códigos!S2321,Códigos!T2321,Códigos!U2321)</f>
        <v>svv2320v</v>
      </c>
      <c r="B2322" t="s">
        <v>499</v>
      </c>
      <c r="C2322" t="s">
        <v>507</v>
      </c>
      <c r="D2322" s="2" t="s">
        <v>508</v>
      </c>
      <c r="E2322" t="s">
        <v>333</v>
      </c>
      <c r="F2322" s="11">
        <v>44032</v>
      </c>
      <c r="G2322" s="2">
        <f>VLOOKUP(E2322,Produtos!$A:$E,5,FALSE)</f>
        <v>170</v>
      </c>
      <c r="H2322" s="2">
        <f>VLOOKUP(E2322,Produtos!$A:$E,4,FALSE)</f>
        <v>80</v>
      </c>
      <c r="I2322" s="2">
        <v>1</v>
      </c>
    </row>
    <row r="2323" spans="1:9" x14ac:dyDescent="0.25">
      <c r="A2323" s="2" t="str">
        <f>CONCATENATE(Códigos!S2322,Códigos!T2322,Códigos!U2322)</f>
        <v>svv2321v</v>
      </c>
      <c r="B2323" t="s">
        <v>499</v>
      </c>
      <c r="C2323" t="s">
        <v>507</v>
      </c>
      <c r="D2323" s="2" t="s">
        <v>508</v>
      </c>
      <c r="E2323" t="s">
        <v>333</v>
      </c>
      <c r="F2323" s="11">
        <v>44033</v>
      </c>
      <c r="G2323" s="2">
        <f>VLOOKUP(E2323,Produtos!$A:$E,5,FALSE)</f>
        <v>170</v>
      </c>
      <c r="H2323" s="2">
        <f>VLOOKUP(E2323,Produtos!$A:$E,4,FALSE)</f>
        <v>80</v>
      </c>
      <c r="I2323" s="2">
        <v>1</v>
      </c>
    </row>
    <row r="2324" spans="1:9" x14ac:dyDescent="0.25">
      <c r="A2324" s="2" t="str">
        <f>CONCATENATE(Códigos!S2323,Códigos!T2323,Códigos!U2323)</f>
        <v>svv2322v</v>
      </c>
      <c r="B2324" t="s">
        <v>499</v>
      </c>
      <c r="C2324" t="s">
        <v>507</v>
      </c>
      <c r="D2324" s="2" t="s">
        <v>508</v>
      </c>
      <c r="E2324" t="s">
        <v>333</v>
      </c>
      <c r="F2324" s="11">
        <v>44034</v>
      </c>
      <c r="G2324" s="2">
        <f>VLOOKUP(E2324,Produtos!$A:$E,5,FALSE)</f>
        <v>170</v>
      </c>
      <c r="H2324" s="2">
        <f>VLOOKUP(E2324,Produtos!$A:$E,4,FALSE)</f>
        <v>80</v>
      </c>
      <c r="I2324" s="2">
        <v>1</v>
      </c>
    </row>
    <row r="2325" spans="1:9" x14ac:dyDescent="0.25">
      <c r="A2325" s="2" t="str">
        <f>CONCATENATE(Códigos!S2324,Códigos!T2324,Códigos!U2324)</f>
        <v>svv2323v</v>
      </c>
      <c r="B2325" t="s">
        <v>499</v>
      </c>
      <c r="C2325" t="s">
        <v>507</v>
      </c>
      <c r="D2325" s="2" t="s">
        <v>508</v>
      </c>
      <c r="E2325" t="s">
        <v>327</v>
      </c>
      <c r="F2325" s="11">
        <v>44035</v>
      </c>
      <c r="G2325" s="2">
        <f>VLOOKUP(E2325,Produtos!$A:$E,5,FALSE)</f>
        <v>890</v>
      </c>
      <c r="H2325" s="2">
        <f>VLOOKUP(E2325,Produtos!$A:$E,4,FALSE)</f>
        <v>600</v>
      </c>
      <c r="I2325" s="2">
        <v>1</v>
      </c>
    </row>
    <row r="2326" spans="1:9" x14ac:dyDescent="0.25">
      <c r="A2326" s="2" t="str">
        <f>CONCATENATE(Códigos!S2325,Códigos!T2325,Códigos!U2325)</f>
        <v>svv2324v</v>
      </c>
      <c r="B2326" t="s">
        <v>499</v>
      </c>
      <c r="C2326" t="s">
        <v>507</v>
      </c>
      <c r="D2326" s="2" t="s">
        <v>508</v>
      </c>
      <c r="E2326" t="s">
        <v>327</v>
      </c>
      <c r="F2326" s="11">
        <v>44036</v>
      </c>
      <c r="G2326" s="2">
        <f>VLOOKUP(E2326,Produtos!$A:$E,5,FALSE)</f>
        <v>890</v>
      </c>
      <c r="H2326" s="2">
        <f>VLOOKUP(E2326,Produtos!$A:$E,4,FALSE)</f>
        <v>600</v>
      </c>
      <c r="I2326" s="2">
        <v>1</v>
      </c>
    </row>
    <row r="2327" spans="1:9" x14ac:dyDescent="0.25">
      <c r="A2327" s="2" t="str">
        <f>CONCATENATE(Códigos!S2326,Códigos!T2326,Códigos!U2326)</f>
        <v>svv2325v</v>
      </c>
      <c r="B2327" t="s">
        <v>499</v>
      </c>
      <c r="C2327" t="s">
        <v>507</v>
      </c>
      <c r="D2327" s="2" t="s">
        <v>508</v>
      </c>
      <c r="E2327" t="s">
        <v>327</v>
      </c>
      <c r="F2327" s="11">
        <v>44037</v>
      </c>
      <c r="G2327" s="2">
        <f>VLOOKUP(E2327,Produtos!$A:$E,5,FALSE)</f>
        <v>890</v>
      </c>
      <c r="H2327" s="2">
        <f>VLOOKUP(E2327,Produtos!$A:$E,4,FALSE)</f>
        <v>600</v>
      </c>
      <c r="I2327" s="2">
        <v>1</v>
      </c>
    </row>
    <row r="2328" spans="1:9" x14ac:dyDescent="0.25">
      <c r="A2328" s="2" t="str">
        <f>CONCATENATE(Códigos!S2327,Códigos!T2327,Códigos!U2327)</f>
        <v>svv2326v</v>
      </c>
      <c r="B2328" t="s">
        <v>499</v>
      </c>
      <c r="C2328" t="s">
        <v>507</v>
      </c>
      <c r="D2328" s="2" t="s">
        <v>508</v>
      </c>
      <c r="E2328" t="s">
        <v>327</v>
      </c>
      <c r="F2328" s="11">
        <v>44038</v>
      </c>
      <c r="G2328" s="2">
        <f>VLOOKUP(E2328,Produtos!$A:$E,5,FALSE)</f>
        <v>890</v>
      </c>
      <c r="H2328" s="2">
        <f>VLOOKUP(E2328,Produtos!$A:$E,4,FALSE)</f>
        <v>600</v>
      </c>
      <c r="I2328" s="2">
        <v>1</v>
      </c>
    </row>
    <row r="2329" spans="1:9" x14ac:dyDescent="0.25">
      <c r="A2329" s="2" t="str">
        <f>CONCATENATE(Códigos!S2328,Códigos!T2328,Códigos!U2328)</f>
        <v>svv2327v</v>
      </c>
      <c r="B2329" t="s">
        <v>499</v>
      </c>
      <c r="C2329" t="s">
        <v>507</v>
      </c>
      <c r="D2329" s="2" t="s">
        <v>508</v>
      </c>
      <c r="E2329" t="s">
        <v>327</v>
      </c>
      <c r="F2329" s="11">
        <v>44039</v>
      </c>
      <c r="G2329" s="2">
        <f>VLOOKUP(E2329,Produtos!$A:$E,5,FALSE)</f>
        <v>890</v>
      </c>
      <c r="H2329" s="2">
        <f>VLOOKUP(E2329,Produtos!$A:$E,4,FALSE)</f>
        <v>600</v>
      </c>
      <c r="I2329" s="2">
        <v>1</v>
      </c>
    </row>
    <row r="2330" spans="1:9" x14ac:dyDescent="0.25">
      <c r="A2330" s="2" t="str">
        <f>CONCATENATE(Códigos!S2329,Códigos!T2329,Códigos!U2329)</f>
        <v>svv2328v</v>
      </c>
      <c r="B2330" t="s">
        <v>499</v>
      </c>
      <c r="C2330" t="s">
        <v>507</v>
      </c>
      <c r="D2330" s="2" t="s">
        <v>508</v>
      </c>
      <c r="E2330" t="s">
        <v>327</v>
      </c>
      <c r="F2330" s="11">
        <v>44040</v>
      </c>
      <c r="G2330" s="2">
        <f>VLOOKUP(E2330,Produtos!$A:$E,5,FALSE)</f>
        <v>890</v>
      </c>
      <c r="H2330" s="2">
        <f>VLOOKUP(E2330,Produtos!$A:$E,4,FALSE)</f>
        <v>600</v>
      </c>
      <c r="I2330" s="2">
        <v>1</v>
      </c>
    </row>
    <row r="2331" spans="1:9" x14ac:dyDescent="0.25">
      <c r="A2331" s="2" t="str">
        <f>CONCATENATE(Códigos!S2330,Códigos!T2330,Códigos!U2330)</f>
        <v>svv2329v</v>
      </c>
      <c r="B2331" t="s">
        <v>499</v>
      </c>
      <c r="C2331" t="s">
        <v>507</v>
      </c>
      <c r="D2331" s="2" t="s">
        <v>508</v>
      </c>
      <c r="E2331" t="s">
        <v>327</v>
      </c>
      <c r="F2331" s="11">
        <v>44041</v>
      </c>
      <c r="G2331" s="2">
        <f>VLOOKUP(E2331,Produtos!$A:$E,5,FALSE)</f>
        <v>890</v>
      </c>
      <c r="H2331" s="2">
        <f>VLOOKUP(E2331,Produtos!$A:$E,4,FALSE)</f>
        <v>600</v>
      </c>
      <c r="I2331" s="2">
        <v>1</v>
      </c>
    </row>
    <row r="2332" spans="1:9" x14ac:dyDescent="0.25">
      <c r="A2332" s="2" t="str">
        <f>CONCATENATE(Códigos!S2331,Códigos!T2331,Códigos!U2331)</f>
        <v>svv2330v</v>
      </c>
      <c r="B2332" t="s">
        <v>499</v>
      </c>
      <c r="C2332" t="s">
        <v>507</v>
      </c>
      <c r="D2332" s="2" t="s">
        <v>508</v>
      </c>
      <c r="E2332" t="s">
        <v>327</v>
      </c>
      <c r="F2332" s="11">
        <v>44042</v>
      </c>
      <c r="G2332" s="2">
        <f>VLOOKUP(E2332,Produtos!$A:$E,5,FALSE)</f>
        <v>890</v>
      </c>
      <c r="H2332" s="2">
        <f>VLOOKUP(E2332,Produtos!$A:$E,4,FALSE)</f>
        <v>600</v>
      </c>
      <c r="I2332" s="2">
        <v>1</v>
      </c>
    </row>
    <row r="2333" spans="1:9" x14ac:dyDescent="0.25">
      <c r="A2333" s="2" t="str">
        <f>CONCATENATE(Códigos!S2332,Códigos!T2332,Códigos!U2332)</f>
        <v>svv2331v</v>
      </c>
      <c r="B2333" t="s">
        <v>499</v>
      </c>
      <c r="C2333" t="s">
        <v>507</v>
      </c>
      <c r="D2333" s="2" t="s">
        <v>508</v>
      </c>
      <c r="E2333" t="s">
        <v>327</v>
      </c>
      <c r="F2333" s="11">
        <v>44043</v>
      </c>
      <c r="G2333" s="2">
        <f>VLOOKUP(E2333,Produtos!$A:$E,5,FALSE)</f>
        <v>890</v>
      </c>
      <c r="H2333" s="2">
        <f>VLOOKUP(E2333,Produtos!$A:$E,4,FALSE)</f>
        <v>600</v>
      </c>
      <c r="I2333" s="2">
        <v>1</v>
      </c>
    </row>
    <row r="2334" spans="1:9" x14ac:dyDescent="0.25">
      <c r="A2334" s="2" t="str">
        <f>CONCATENATE(Códigos!S2333,Códigos!T2333,Códigos!U2333)</f>
        <v>svv2332v</v>
      </c>
      <c r="B2334" t="s">
        <v>499</v>
      </c>
      <c r="C2334" t="s">
        <v>507</v>
      </c>
      <c r="D2334" s="2" t="s">
        <v>508</v>
      </c>
      <c r="E2334" t="s">
        <v>327</v>
      </c>
      <c r="F2334" s="11">
        <v>44044</v>
      </c>
      <c r="G2334" s="2">
        <f>VLOOKUP(E2334,Produtos!$A:$E,5,FALSE)</f>
        <v>890</v>
      </c>
      <c r="H2334" s="2">
        <f>VLOOKUP(E2334,Produtos!$A:$E,4,FALSE)</f>
        <v>600</v>
      </c>
      <c r="I2334" s="2">
        <v>1</v>
      </c>
    </row>
    <row r="2335" spans="1:9" x14ac:dyDescent="0.25">
      <c r="A2335" s="2" t="str">
        <f>CONCATENATE(Códigos!S2334,Códigos!T2334,Códigos!U2334)</f>
        <v>svv2333v</v>
      </c>
      <c r="B2335" t="s">
        <v>499</v>
      </c>
      <c r="C2335" t="s">
        <v>507</v>
      </c>
      <c r="D2335" s="2" t="s">
        <v>508</v>
      </c>
      <c r="E2335" t="s">
        <v>327</v>
      </c>
      <c r="F2335" s="11">
        <v>44045</v>
      </c>
      <c r="G2335" s="2">
        <f>VLOOKUP(E2335,Produtos!$A:$E,5,FALSE)</f>
        <v>890</v>
      </c>
      <c r="H2335" s="2">
        <f>VLOOKUP(E2335,Produtos!$A:$E,4,FALSE)</f>
        <v>600</v>
      </c>
      <c r="I2335" s="2">
        <v>1</v>
      </c>
    </row>
    <row r="2336" spans="1:9" x14ac:dyDescent="0.25">
      <c r="A2336" s="2" t="str">
        <f>CONCATENATE(Códigos!S2335,Códigos!T2335,Códigos!U2335)</f>
        <v>svv2334v</v>
      </c>
      <c r="B2336" t="s">
        <v>499</v>
      </c>
      <c r="C2336" t="s">
        <v>507</v>
      </c>
      <c r="D2336" s="2" t="s">
        <v>508</v>
      </c>
      <c r="E2336" t="s">
        <v>327</v>
      </c>
      <c r="F2336" s="11">
        <v>44046</v>
      </c>
      <c r="G2336" s="2">
        <f>VLOOKUP(E2336,Produtos!$A:$E,5,FALSE)</f>
        <v>890</v>
      </c>
      <c r="H2336" s="2">
        <f>VLOOKUP(E2336,Produtos!$A:$E,4,FALSE)</f>
        <v>600</v>
      </c>
      <c r="I2336" s="2">
        <v>1</v>
      </c>
    </row>
    <row r="2337" spans="1:9" x14ac:dyDescent="0.25">
      <c r="A2337" s="2" t="str">
        <f>CONCATENATE(Códigos!S2336,Códigos!T2336,Códigos!U2336)</f>
        <v>svv2335v</v>
      </c>
      <c r="B2337" t="s">
        <v>499</v>
      </c>
      <c r="C2337" t="s">
        <v>507</v>
      </c>
      <c r="D2337" s="2" t="s">
        <v>508</v>
      </c>
      <c r="E2337" t="s">
        <v>327</v>
      </c>
      <c r="F2337" s="11">
        <v>44047</v>
      </c>
      <c r="G2337" s="2">
        <f>VLOOKUP(E2337,Produtos!$A:$E,5,FALSE)</f>
        <v>890</v>
      </c>
      <c r="H2337" s="2">
        <f>VLOOKUP(E2337,Produtos!$A:$E,4,FALSE)</f>
        <v>600</v>
      </c>
      <c r="I2337" s="2">
        <v>1</v>
      </c>
    </row>
    <row r="2338" spans="1:9" x14ac:dyDescent="0.25">
      <c r="A2338" s="2" t="str">
        <f>CONCATENATE(Códigos!S2337,Códigos!T2337,Códigos!U2337)</f>
        <v>svv2336v</v>
      </c>
      <c r="B2338" t="s">
        <v>499</v>
      </c>
      <c r="C2338" t="s">
        <v>507</v>
      </c>
      <c r="D2338" s="2" t="s">
        <v>508</v>
      </c>
      <c r="E2338" t="s">
        <v>327</v>
      </c>
      <c r="F2338" s="11">
        <v>44048</v>
      </c>
      <c r="G2338" s="2">
        <f>VLOOKUP(E2338,Produtos!$A:$E,5,FALSE)</f>
        <v>890</v>
      </c>
      <c r="H2338" s="2">
        <f>VLOOKUP(E2338,Produtos!$A:$E,4,FALSE)</f>
        <v>600</v>
      </c>
      <c r="I2338" s="2">
        <v>1</v>
      </c>
    </row>
    <row r="2339" spans="1:9" x14ac:dyDescent="0.25">
      <c r="A2339" s="2" t="str">
        <f>CONCATENATE(Códigos!S2338,Códigos!T2338,Códigos!U2338)</f>
        <v>svv2337v</v>
      </c>
      <c r="B2339" t="s">
        <v>499</v>
      </c>
      <c r="C2339" t="s">
        <v>507</v>
      </c>
      <c r="D2339" s="2" t="s">
        <v>508</v>
      </c>
      <c r="E2339" t="s">
        <v>327</v>
      </c>
      <c r="F2339" s="11">
        <v>44049</v>
      </c>
      <c r="G2339" s="2">
        <f>VLOOKUP(E2339,Produtos!$A:$E,5,FALSE)</f>
        <v>890</v>
      </c>
      <c r="H2339" s="2">
        <f>VLOOKUP(E2339,Produtos!$A:$E,4,FALSE)</f>
        <v>600</v>
      </c>
      <c r="I2339" s="2">
        <v>1</v>
      </c>
    </row>
    <row r="2340" spans="1:9" x14ac:dyDescent="0.25">
      <c r="A2340" s="2" t="str">
        <f>CONCATENATE(Códigos!S2339,Códigos!T2339,Códigos!U2339)</f>
        <v>svv2338v</v>
      </c>
      <c r="B2340" t="s">
        <v>499</v>
      </c>
      <c r="C2340" t="s">
        <v>507</v>
      </c>
      <c r="D2340" s="2" t="s">
        <v>508</v>
      </c>
      <c r="E2340" t="s">
        <v>327</v>
      </c>
      <c r="F2340" s="11">
        <v>44050</v>
      </c>
      <c r="G2340" s="2">
        <f>VLOOKUP(E2340,Produtos!$A:$E,5,FALSE)</f>
        <v>890</v>
      </c>
      <c r="H2340" s="2">
        <f>VLOOKUP(E2340,Produtos!$A:$E,4,FALSE)</f>
        <v>600</v>
      </c>
      <c r="I2340" s="2">
        <v>1</v>
      </c>
    </row>
    <row r="2341" spans="1:9" x14ac:dyDescent="0.25">
      <c r="A2341" s="2" t="str">
        <f>CONCATENATE(Códigos!S2340,Códigos!T2340,Códigos!U2340)</f>
        <v>svv2339v</v>
      </c>
      <c r="B2341" t="s">
        <v>499</v>
      </c>
      <c r="C2341" t="s">
        <v>507</v>
      </c>
      <c r="D2341" s="2" t="s">
        <v>508</v>
      </c>
      <c r="E2341" t="s">
        <v>327</v>
      </c>
      <c r="F2341" s="11">
        <v>44051</v>
      </c>
      <c r="G2341" s="2">
        <f>VLOOKUP(E2341,Produtos!$A:$E,5,FALSE)</f>
        <v>890</v>
      </c>
      <c r="H2341" s="2">
        <f>VLOOKUP(E2341,Produtos!$A:$E,4,FALSE)</f>
        <v>600</v>
      </c>
      <c r="I2341" s="2">
        <v>1</v>
      </c>
    </row>
    <row r="2342" spans="1:9" x14ac:dyDescent="0.25">
      <c r="A2342" s="2" t="str">
        <f>CONCATENATE(Códigos!S2341,Códigos!T2341,Códigos!U2341)</f>
        <v>svv2340v</v>
      </c>
      <c r="B2342" t="s">
        <v>499</v>
      </c>
      <c r="C2342" t="s">
        <v>507</v>
      </c>
      <c r="D2342" s="2" t="s">
        <v>508</v>
      </c>
      <c r="E2342" t="s">
        <v>327</v>
      </c>
      <c r="F2342" s="11">
        <v>44052</v>
      </c>
      <c r="G2342" s="2">
        <f>VLOOKUP(E2342,Produtos!$A:$E,5,FALSE)</f>
        <v>890</v>
      </c>
      <c r="H2342" s="2">
        <f>VLOOKUP(E2342,Produtos!$A:$E,4,FALSE)</f>
        <v>600</v>
      </c>
      <c r="I2342" s="2">
        <v>1</v>
      </c>
    </row>
    <row r="2343" spans="1:9" x14ac:dyDescent="0.25">
      <c r="A2343" s="2" t="str">
        <f>CONCATENATE(Códigos!S2342,Códigos!T2342,Códigos!U2342)</f>
        <v>svv2341v</v>
      </c>
      <c r="B2343" t="s">
        <v>499</v>
      </c>
      <c r="C2343" t="s">
        <v>507</v>
      </c>
      <c r="D2343" s="2" t="s">
        <v>508</v>
      </c>
      <c r="E2343" t="s">
        <v>327</v>
      </c>
      <c r="F2343" s="11">
        <v>44053</v>
      </c>
      <c r="G2343" s="2">
        <f>VLOOKUP(E2343,Produtos!$A:$E,5,FALSE)</f>
        <v>890</v>
      </c>
      <c r="H2343" s="2">
        <f>VLOOKUP(E2343,Produtos!$A:$E,4,FALSE)</f>
        <v>600</v>
      </c>
      <c r="I2343" s="2">
        <v>1</v>
      </c>
    </row>
    <row r="2344" spans="1:9" x14ac:dyDescent="0.25">
      <c r="A2344" s="2" t="str">
        <f>CONCATENATE(Códigos!S2343,Códigos!T2343,Códigos!U2343)</f>
        <v>svv2342v</v>
      </c>
      <c r="B2344" t="s">
        <v>499</v>
      </c>
      <c r="C2344" t="s">
        <v>507</v>
      </c>
      <c r="D2344" s="2" t="s">
        <v>508</v>
      </c>
      <c r="E2344" t="s">
        <v>327</v>
      </c>
      <c r="F2344" s="11">
        <v>44054</v>
      </c>
      <c r="G2344" s="2">
        <f>VLOOKUP(E2344,Produtos!$A:$E,5,FALSE)</f>
        <v>890</v>
      </c>
      <c r="H2344" s="2">
        <f>VLOOKUP(E2344,Produtos!$A:$E,4,FALSE)</f>
        <v>600</v>
      </c>
      <c r="I2344" s="2">
        <v>1</v>
      </c>
    </row>
    <row r="2345" spans="1:9" x14ac:dyDescent="0.25">
      <c r="A2345" s="2" t="str">
        <f>CONCATENATE(Códigos!S2344,Códigos!T2344,Códigos!U2344)</f>
        <v>svv2343v</v>
      </c>
      <c r="B2345" t="s">
        <v>499</v>
      </c>
      <c r="C2345" t="s">
        <v>507</v>
      </c>
      <c r="D2345" s="2" t="s">
        <v>508</v>
      </c>
      <c r="E2345" t="s">
        <v>327</v>
      </c>
      <c r="F2345" s="11">
        <v>44055</v>
      </c>
      <c r="G2345" s="2">
        <f>VLOOKUP(E2345,Produtos!$A:$E,5,FALSE)</f>
        <v>890</v>
      </c>
      <c r="H2345" s="2">
        <f>VLOOKUP(E2345,Produtos!$A:$E,4,FALSE)</f>
        <v>600</v>
      </c>
      <c r="I2345" s="2">
        <v>1</v>
      </c>
    </row>
    <row r="2346" spans="1:9" x14ac:dyDescent="0.25">
      <c r="A2346" s="2" t="str">
        <f>CONCATENATE(Códigos!S2345,Códigos!T2345,Códigos!U2345)</f>
        <v>svv2344v</v>
      </c>
      <c r="B2346" t="s">
        <v>499</v>
      </c>
      <c r="C2346" t="s">
        <v>507</v>
      </c>
      <c r="D2346" s="2" t="s">
        <v>508</v>
      </c>
      <c r="E2346" t="s">
        <v>327</v>
      </c>
      <c r="F2346" s="11">
        <v>44056</v>
      </c>
      <c r="G2346" s="2">
        <f>VLOOKUP(E2346,Produtos!$A:$E,5,FALSE)</f>
        <v>890</v>
      </c>
      <c r="H2346" s="2">
        <f>VLOOKUP(E2346,Produtos!$A:$E,4,FALSE)</f>
        <v>600</v>
      </c>
      <c r="I2346" s="2">
        <v>1</v>
      </c>
    </row>
    <row r="2347" spans="1:9" x14ac:dyDescent="0.25">
      <c r="A2347" s="2" t="str">
        <f>CONCATENATE(Códigos!S2346,Códigos!T2346,Códigos!U2346)</f>
        <v>svv2345v</v>
      </c>
      <c r="B2347" t="s">
        <v>499</v>
      </c>
      <c r="C2347" t="s">
        <v>507</v>
      </c>
      <c r="D2347" s="2" t="s">
        <v>508</v>
      </c>
      <c r="E2347" t="s">
        <v>327</v>
      </c>
      <c r="F2347" s="11">
        <v>44057</v>
      </c>
      <c r="G2347" s="2">
        <f>VLOOKUP(E2347,Produtos!$A:$E,5,FALSE)</f>
        <v>890</v>
      </c>
      <c r="H2347" s="2">
        <f>VLOOKUP(E2347,Produtos!$A:$E,4,FALSE)</f>
        <v>600</v>
      </c>
      <c r="I2347" s="2">
        <v>1</v>
      </c>
    </row>
    <row r="2348" spans="1:9" x14ac:dyDescent="0.25">
      <c r="A2348" s="2" t="str">
        <f>CONCATENATE(Códigos!S2347,Códigos!T2347,Códigos!U2347)</f>
        <v>svv2346v</v>
      </c>
      <c r="B2348" t="s">
        <v>499</v>
      </c>
      <c r="C2348" t="s">
        <v>507</v>
      </c>
      <c r="D2348" s="2" t="s">
        <v>508</v>
      </c>
      <c r="E2348" t="s">
        <v>327</v>
      </c>
      <c r="F2348" s="11">
        <v>44058</v>
      </c>
      <c r="G2348" s="2">
        <f>VLOOKUP(E2348,Produtos!$A:$E,5,FALSE)</f>
        <v>890</v>
      </c>
      <c r="H2348" s="2">
        <f>VLOOKUP(E2348,Produtos!$A:$E,4,FALSE)</f>
        <v>600</v>
      </c>
      <c r="I2348" s="2">
        <v>1</v>
      </c>
    </row>
    <row r="2349" spans="1:9" x14ac:dyDescent="0.25">
      <c r="A2349" s="2" t="str">
        <f>CONCATENATE(Códigos!S2348,Códigos!T2348,Códigos!U2348)</f>
        <v>svv2347v</v>
      </c>
      <c r="B2349" t="s">
        <v>499</v>
      </c>
      <c r="C2349" t="s">
        <v>507</v>
      </c>
      <c r="D2349" s="2" t="s">
        <v>508</v>
      </c>
      <c r="E2349" t="s">
        <v>327</v>
      </c>
      <c r="F2349" s="11">
        <v>44059</v>
      </c>
      <c r="G2349" s="2">
        <f>VLOOKUP(E2349,Produtos!$A:$E,5,FALSE)</f>
        <v>890</v>
      </c>
      <c r="H2349" s="2">
        <f>VLOOKUP(E2349,Produtos!$A:$E,4,FALSE)</f>
        <v>600</v>
      </c>
      <c r="I2349" s="2">
        <v>1</v>
      </c>
    </row>
    <row r="2350" spans="1:9" x14ac:dyDescent="0.25">
      <c r="A2350" s="2" t="str">
        <f>CONCATENATE(Códigos!S2349,Códigos!T2349,Códigos!U2349)</f>
        <v>svv2348v</v>
      </c>
      <c r="B2350" t="s">
        <v>499</v>
      </c>
      <c r="C2350" t="s">
        <v>507</v>
      </c>
      <c r="D2350" s="2" t="s">
        <v>508</v>
      </c>
      <c r="E2350" t="s">
        <v>327</v>
      </c>
      <c r="F2350" s="11">
        <v>44060</v>
      </c>
      <c r="G2350" s="2">
        <f>VLOOKUP(E2350,Produtos!$A:$E,5,FALSE)</f>
        <v>890</v>
      </c>
      <c r="H2350" s="2">
        <f>VLOOKUP(E2350,Produtos!$A:$E,4,FALSE)</f>
        <v>600</v>
      </c>
      <c r="I2350" s="2">
        <v>1</v>
      </c>
    </row>
    <row r="2351" spans="1:9" x14ac:dyDescent="0.25">
      <c r="A2351" s="2" t="str">
        <f>CONCATENATE(Códigos!S2350,Códigos!T2350,Códigos!U2350)</f>
        <v>svv2349v</v>
      </c>
      <c r="B2351" t="s">
        <v>499</v>
      </c>
      <c r="C2351" t="s">
        <v>507</v>
      </c>
      <c r="D2351" s="2" t="s">
        <v>508</v>
      </c>
      <c r="E2351" t="s">
        <v>327</v>
      </c>
      <c r="F2351" s="11">
        <v>44061</v>
      </c>
      <c r="G2351" s="2">
        <f>VLOOKUP(E2351,Produtos!$A:$E,5,FALSE)</f>
        <v>890</v>
      </c>
      <c r="H2351" s="2">
        <f>VLOOKUP(E2351,Produtos!$A:$E,4,FALSE)</f>
        <v>600</v>
      </c>
      <c r="I2351" s="2">
        <v>1</v>
      </c>
    </row>
    <row r="2352" spans="1:9" x14ac:dyDescent="0.25">
      <c r="A2352" s="2" t="str">
        <f>CONCATENATE(Códigos!S2351,Códigos!T2351,Códigos!U2351)</f>
        <v>svv2350v</v>
      </c>
      <c r="B2352" t="s">
        <v>499</v>
      </c>
      <c r="C2352" t="s">
        <v>507</v>
      </c>
      <c r="D2352" s="2" t="s">
        <v>508</v>
      </c>
      <c r="E2352" t="s">
        <v>327</v>
      </c>
      <c r="F2352" s="11">
        <v>44062</v>
      </c>
      <c r="G2352" s="2">
        <f>VLOOKUP(E2352,Produtos!$A:$E,5,FALSE)</f>
        <v>890</v>
      </c>
      <c r="H2352" s="2">
        <f>VLOOKUP(E2352,Produtos!$A:$E,4,FALSE)</f>
        <v>600</v>
      </c>
      <c r="I2352" s="2">
        <v>1</v>
      </c>
    </row>
    <row r="2353" spans="1:9" x14ac:dyDescent="0.25">
      <c r="A2353" s="2" t="str">
        <f>CONCATENATE(Códigos!S2352,Códigos!T2352,Códigos!U2352)</f>
        <v>svv2351v</v>
      </c>
      <c r="B2353" t="s">
        <v>499</v>
      </c>
      <c r="C2353" t="s">
        <v>507</v>
      </c>
      <c r="D2353" s="2" t="s">
        <v>508</v>
      </c>
      <c r="E2353" t="s">
        <v>327</v>
      </c>
      <c r="F2353" s="11">
        <v>44063</v>
      </c>
      <c r="G2353" s="2">
        <f>VLOOKUP(E2353,Produtos!$A:$E,5,FALSE)</f>
        <v>890</v>
      </c>
      <c r="H2353" s="2">
        <f>VLOOKUP(E2353,Produtos!$A:$E,4,FALSE)</f>
        <v>600</v>
      </c>
      <c r="I2353" s="2">
        <v>1</v>
      </c>
    </row>
    <row r="2354" spans="1:9" x14ac:dyDescent="0.25">
      <c r="A2354" s="2" t="str">
        <f>CONCATENATE(Códigos!S2353,Códigos!T2353,Códigos!U2353)</f>
        <v>svv2352v</v>
      </c>
      <c r="B2354" t="s">
        <v>499</v>
      </c>
      <c r="C2354" t="s">
        <v>507</v>
      </c>
      <c r="D2354" s="2" t="s">
        <v>508</v>
      </c>
      <c r="E2354" t="s">
        <v>327</v>
      </c>
      <c r="F2354" s="11">
        <v>44064</v>
      </c>
      <c r="G2354" s="2">
        <f>VLOOKUP(E2354,Produtos!$A:$E,5,FALSE)</f>
        <v>890</v>
      </c>
      <c r="H2354" s="2">
        <f>VLOOKUP(E2354,Produtos!$A:$E,4,FALSE)</f>
        <v>600</v>
      </c>
      <c r="I2354" s="2">
        <v>1</v>
      </c>
    </row>
    <row r="2355" spans="1:9" x14ac:dyDescent="0.25">
      <c r="A2355" s="2" t="str">
        <f>CONCATENATE(Códigos!S2354,Códigos!T2354,Códigos!U2354)</f>
        <v>svv2353v</v>
      </c>
      <c r="B2355" t="s">
        <v>499</v>
      </c>
      <c r="C2355" t="s">
        <v>507</v>
      </c>
      <c r="D2355" s="2" t="s">
        <v>508</v>
      </c>
      <c r="E2355" t="s">
        <v>327</v>
      </c>
      <c r="F2355" s="11">
        <v>44065</v>
      </c>
      <c r="G2355" s="2">
        <f>VLOOKUP(E2355,Produtos!$A:$E,5,FALSE)</f>
        <v>890</v>
      </c>
      <c r="H2355" s="2">
        <f>VLOOKUP(E2355,Produtos!$A:$E,4,FALSE)</f>
        <v>600</v>
      </c>
      <c r="I2355" s="2">
        <v>1</v>
      </c>
    </row>
    <row r="2356" spans="1:9" x14ac:dyDescent="0.25">
      <c r="A2356" s="2" t="str">
        <f>CONCATENATE(Códigos!S2355,Códigos!T2355,Códigos!U2355)</f>
        <v>svv2354v</v>
      </c>
      <c r="B2356" t="s">
        <v>499</v>
      </c>
      <c r="C2356" t="s">
        <v>507</v>
      </c>
      <c r="D2356" s="2" t="s">
        <v>508</v>
      </c>
      <c r="E2356" t="s">
        <v>327</v>
      </c>
      <c r="F2356" s="11">
        <v>44066</v>
      </c>
      <c r="G2356" s="2">
        <f>VLOOKUP(E2356,Produtos!$A:$E,5,FALSE)</f>
        <v>890</v>
      </c>
      <c r="H2356" s="2">
        <f>VLOOKUP(E2356,Produtos!$A:$E,4,FALSE)</f>
        <v>600</v>
      </c>
      <c r="I2356" s="2">
        <v>1</v>
      </c>
    </row>
    <row r="2357" spans="1:9" x14ac:dyDescent="0.25">
      <c r="A2357" s="2" t="str">
        <f>CONCATENATE(Códigos!S2356,Códigos!T2356,Códigos!U2356)</f>
        <v>svv2355v</v>
      </c>
      <c r="B2357" t="s">
        <v>499</v>
      </c>
      <c r="C2357" t="s">
        <v>507</v>
      </c>
      <c r="D2357" s="2" t="s">
        <v>508</v>
      </c>
      <c r="E2357" t="s">
        <v>327</v>
      </c>
      <c r="F2357" s="11">
        <v>44067</v>
      </c>
      <c r="G2357" s="2">
        <f>VLOOKUP(E2357,Produtos!$A:$E,5,FALSE)</f>
        <v>890</v>
      </c>
      <c r="H2357" s="2">
        <f>VLOOKUP(E2357,Produtos!$A:$E,4,FALSE)</f>
        <v>600</v>
      </c>
      <c r="I2357" s="2">
        <v>1</v>
      </c>
    </row>
    <row r="2358" spans="1:9" x14ac:dyDescent="0.25">
      <c r="A2358" s="2" t="str">
        <f>CONCATENATE(Códigos!S2357,Códigos!T2357,Códigos!U2357)</f>
        <v>svv2356v</v>
      </c>
      <c r="B2358" t="s">
        <v>499</v>
      </c>
      <c r="C2358" t="s">
        <v>507</v>
      </c>
      <c r="D2358" s="2" t="s">
        <v>508</v>
      </c>
      <c r="E2358" t="s">
        <v>327</v>
      </c>
      <c r="F2358" s="11">
        <v>44068</v>
      </c>
      <c r="G2358" s="2">
        <f>VLOOKUP(E2358,Produtos!$A:$E,5,FALSE)</f>
        <v>890</v>
      </c>
      <c r="H2358" s="2">
        <f>VLOOKUP(E2358,Produtos!$A:$E,4,FALSE)</f>
        <v>600</v>
      </c>
      <c r="I2358" s="2">
        <v>1</v>
      </c>
    </row>
    <row r="2359" spans="1:9" x14ac:dyDescent="0.25">
      <c r="A2359" s="2" t="str">
        <f>CONCATENATE(Códigos!S2358,Códigos!T2358,Códigos!U2358)</f>
        <v>svv2357v</v>
      </c>
      <c r="B2359" t="s">
        <v>499</v>
      </c>
      <c r="C2359" t="s">
        <v>507</v>
      </c>
      <c r="D2359" s="2" t="s">
        <v>508</v>
      </c>
      <c r="E2359" t="s">
        <v>327</v>
      </c>
      <c r="F2359" s="11">
        <v>44069</v>
      </c>
      <c r="G2359" s="2">
        <f>VLOOKUP(E2359,Produtos!$A:$E,5,FALSE)</f>
        <v>890</v>
      </c>
      <c r="H2359" s="2">
        <f>VLOOKUP(E2359,Produtos!$A:$E,4,FALSE)</f>
        <v>600</v>
      </c>
      <c r="I2359" s="2">
        <v>1</v>
      </c>
    </row>
    <row r="2360" spans="1:9" x14ac:dyDescent="0.25">
      <c r="A2360" s="2" t="str">
        <f>CONCATENATE(Códigos!S2359,Códigos!T2359,Códigos!U2359)</f>
        <v>svv2358v</v>
      </c>
      <c r="B2360" t="s">
        <v>499</v>
      </c>
      <c r="C2360" t="s">
        <v>507</v>
      </c>
      <c r="D2360" s="2" t="s">
        <v>508</v>
      </c>
      <c r="E2360" t="s">
        <v>327</v>
      </c>
      <c r="F2360" s="11">
        <v>44070</v>
      </c>
      <c r="G2360" s="2">
        <f>VLOOKUP(E2360,Produtos!$A:$E,5,FALSE)</f>
        <v>890</v>
      </c>
      <c r="H2360" s="2">
        <f>VLOOKUP(E2360,Produtos!$A:$E,4,FALSE)</f>
        <v>600</v>
      </c>
      <c r="I2360" s="2">
        <v>1</v>
      </c>
    </row>
    <row r="2361" spans="1:9" x14ac:dyDescent="0.25">
      <c r="A2361" s="2" t="str">
        <f>CONCATENATE(Códigos!S2360,Códigos!T2360,Códigos!U2360)</f>
        <v>svv2359v</v>
      </c>
      <c r="B2361" t="s">
        <v>499</v>
      </c>
      <c r="C2361" t="s">
        <v>507</v>
      </c>
      <c r="D2361" s="2" t="s">
        <v>508</v>
      </c>
      <c r="E2361" t="s">
        <v>327</v>
      </c>
      <c r="F2361" s="11">
        <v>44071</v>
      </c>
      <c r="G2361" s="2">
        <f>VLOOKUP(E2361,Produtos!$A:$E,5,FALSE)</f>
        <v>890</v>
      </c>
      <c r="H2361" s="2">
        <f>VLOOKUP(E2361,Produtos!$A:$E,4,FALSE)</f>
        <v>600</v>
      </c>
      <c r="I2361" s="2">
        <v>1</v>
      </c>
    </row>
    <row r="2362" spans="1:9" x14ac:dyDescent="0.25">
      <c r="A2362" s="2" t="str">
        <f>CONCATENATE(Códigos!S2361,Códigos!T2361,Códigos!U2361)</f>
        <v>svv2360v</v>
      </c>
      <c r="B2362" t="s">
        <v>499</v>
      </c>
      <c r="C2362" t="s">
        <v>507</v>
      </c>
      <c r="D2362" s="2" t="s">
        <v>508</v>
      </c>
      <c r="E2362" t="s">
        <v>509</v>
      </c>
      <c r="F2362" s="11">
        <v>44072</v>
      </c>
      <c r="G2362" s="2">
        <f>VLOOKUP(E2362,Produtos!$A:$E,5,FALSE)</f>
        <v>1800</v>
      </c>
      <c r="H2362" s="2">
        <f>VLOOKUP(E2362,Produtos!$A:$E,4,FALSE)</f>
        <v>1200</v>
      </c>
      <c r="I2362" s="2">
        <v>1</v>
      </c>
    </row>
    <row r="2363" spans="1:9" x14ac:dyDescent="0.25">
      <c r="A2363" s="2" t="str">
        <f>CONCATENATE(Códigos!S2362,Códigos!T2362,Códigos!U2362)</f>
        <v>svv2361v</v>
      </c>
      <c r="B2363" t="s">
        <v>499</v>
      </c>
      <c r="C2363" t="s">
        <v>507</v>
      </c>
      <c r="D2363" s="2" t="s">
        <v>508</v>
      </c>
      <c r="E2363" t="s">
        <v>509</v>
      </c>
      <c r="F2363" s="11">
        <v>44073</v>
      </c>
      <c r="G2363" s="2">
        <f>VLOOKUP(E2363,Produtos!$A:$E,5,FALSE)</f>
        <v>1800</v>
      </c>
      <c r="H2363" s="2">
        <f>VLOOKUP(E2363,Produtos!$A:$E,4,FALSE)</f>
        <v>1200</v>
      </c>
      <c r="I2363" s="2">
        <v>1</v>
      </c>
    </row>
    <row r="2364" spans="1:9" x14ac:dyDescent="0.25">
      <c r="A2364" s="2" t="str">
        <f>CONCATENATE(Códigos!S2363,Códigos!T2363,Códigos!U2363)</f>
        <v>svv2362v</v>
      </c>
      <c r="B2364" t="s">
        <v>499</v>
      </c>
      <c r="C2364" t="s">
        <v>507</v>
      </c>
      <c r="D2364" s="2" t="s">
        <v>508</v>
      </c>
      <c r="E2364" t="s">
        <v>509</v>
      </c>
      <c r="F2364" s="11">
        <v>44074</v>
      </c>
      <c r="G2364" s="2">
        <f>VLOOKUP(E2364,Produtos!$A:$E,5,FALSE)</f>
        <v>1800</v>
      </c>
      <c r="H2364" s="2">
        <f>VLOOKUP(E2364,Produtos!$A:$E,4,FALSE)</f>
        <v>1200</v>
      </c>
      <c r="I2364" s="2">
        <v>1</v>
      </c>
    </row>
    <row r="2365" spans="1:9" x14ac:dyDescent="0.25">
      <c r="A2365" s="2" t="str">
        <f>CONCATENATE(Códigos!S2364,Códigos!T2364,Códigos!U2364)</f>
        <v>svv2363v</v>
      </c>
      <c r="B2365" t="s">
        <v>499</v>
      </c>
      <c r="C2365" t="s">
        <v>507</v>
      </c>
      <c r="D2365" s="2" t="s">
        <v>508</v>
      </c>
      <c r="E2365" t="s">
        <v>509</v>
      </c>
      <c r="F2365" s="11">
        <v>44075</v>
      </c>
      <c r="G2365" s="2">
        <f>VLOOKUP(E2365,Produtos!$A:$E,5,FALSE)</f>
        <v>1800</v>
      </c>
      <c r="H2365" s="2">
        <f>VLOOKUP(E2365,Produtos!$A:$E,4,FALSE)</f>
        <v>1200</v>
      </c>
      <c r="I2365" s="2">
        <v>1</v>
      </c>
    </row>
    <row r="2366" spans="1:9" x14ac:dyDescent="0.25">
      <c r="A2366" s="2" t="str">
        <f>CONCATENATE(Códigos!S2365,Códigos!T2365,Códigos!U2365)</f>
        <v>svv2364v</v>
      </c>
      <c r="B2366" t="s">
        <v>499</v>
      </c>
      <c r="C2366" t="s">
        <v>507</v>
      </c>
      <c r="D2366" s="2" t="s">
        <v>508</v>
      </c>
      <c r="E2366" t="s">
        <v>509</v>
      </c>
      <c r="F2366" s="11">
        <v>44076</v>
      </c>
      <c r="G2366" s="2">
        <f>VLOOKUP(E2366,Produtos!$A:$E,5,FALSE)</f>
        <v>1800</v>
      </c>
      <c r="H2366" s="2">
        <f>VLOOKUP(E2366,Produtos!$A:$E,4,FALSE)</f>
        <v>1200</v>
      </c>
      <c r="I2366" s="2">
        <v>1</v>
      </c>
    </row>
    <row r="2367" spans="1:9" x14ac:dyDescent="0.25">
      <c r="A2367" s="2" t="str">
        <f>CONCATENATE(Códigos!S2366,Códigos!T2366,Códigos!U2366)</f>
        <v>svv2365v</v>
      </c>
      <c r="B2367" t="s">
        <v>499</v>
      </c>
      <c r="C2367" t="s">
        <v>507</v>
      </c>
      <c r="D2367" s="2" t="s">
        <v>508</v>
      </c>
      <c r="E2367" t="s">
        <v>509</v>
      </c>
      <c r="F2367" s="11">
        <v>44077</v>
      </c>
      <c r="G2367" s="2">
        <f>VLOOKUP(E2367,Produtos!$A:$E,5,FALSE)</f>
        <v>1800</v>
      </c>
      <c r="H2367" s="2">
        <f>VLOOKUP(E2367,Produtos!$A:$E,4,FALSE)</f>
        <v>1200</v>
      </c>
      <c r="I2367" s="2">
        <v>1</v>
      </c>
    </row>
    <row r="2368" spans="1:9" x14ac:dyDescent="0.25">
      <c r="A2368" s="2" t="str">
        <f>CONCATENATE(Códigos!S2367,Códigos!T2367,Códigos!U2367)</f>
        <v>svv2366v</v>
      </c>
      <c r="B2368" t="s">
        <v>499</v>
      </c>
      <c r="C2368" t="s">
        <v>507</v>
      </c>
      <c r="D2368" s="2" t="s">
        <v>508</v>
      </c>
      <c r="E2368" t="s">
        <v>509</v>
      </c>
      <c r="F2368" s="11">
        <v>44078</v>
      </c>
      <c r="G2368" s="2">
        <f>VLOOKUP(E2368,Produtos!$A:$E,5,FALSE)</f>
        <v>1800</v>
      </c>
      <c r="H2368" s="2">
        <f>VLOOKUP(E2368,Produtos!$A:$E,4,FALSE)</f>
        <v>1200</v>
      </c>
      <c r="I2368" s="2">
        <v>1</v>
      </c>
    </row>
    <row r="2369" spans="1:9" x14ac:dyDescent="0.25">
      <c r="A2369" s="2" t="str">
        <f>CONCATENATE(Códigos!S2368,Códigos!T2368,Códigos!U2368)</f>
        <v>svv2367v</v>
      </c>
      <c r="B2369" t="s">
        <v>499</v>
      </c>
      <c r="C2369" t="s">
        <v>507</v>
      </c>
      <c r="D2369" s="2" t="s">
        <v>508</v>
      </c>
      <c r="E2369" t="s">
        <v>509</v>
      </c>
      <c r="F2369" s="11">
        <v>44079</v>
      </c>
      <c r="G2369" s="2">
        <f>VLOOKUP(E2369,Produtos!$A:$E,5,FALSE)</f>
        <v>1800</v>
      </c>
      <c r="H2369" s="2">
        <f>VLOOKUP(E2369,Produtos!$A:$E,4,FALSE)</f>
        <v>1200</v>
      </c>
      <c r="I2369" s="2">
        <v>1</v>
      </c>
    </row>
    <row r="2370" spans="1:9" x14ac:dyDescent="0.25">
      <c r="A2370" s="2" t="str">
        <f>CONCATENATE(Códigos!S2369,Códigos!T2369,Códigos!U2369)</f>
        <v>svv2368v</v>
      </c>
      <c r="B2370" t="s">
        <v>499</v>
      </c>
      <c r="C2370" t="s">
        <v>507</v>
      </c>
      <c r="D2370" s="2" t="s">
        <v>508</v>
      </c>
      <c r="E2370" t="s">
        <v>509</v>
      </c>
      <c r="F2370" s="11">
        <v>44080</v>
      </c>
      <c r="G2370" s="2">
        <f>VLOOKUP(E2370,Produtos!$A:$E,5,FALSE)</f>
        <v>1800</v>
      </c>
      <c r="H2370" s="2">
        <f>VLOOKUP(E2370,Produtos!$A:$E,4,FALSE)</f>
        <v>1200</v>
      </c>
      <c r="I2370" s="2">
        <v>1</v>
      </c>
    </row>
    <row r="2371" spans="1:9" x14ac:dyDescent="0.25">
      <c r="A2371" s="2" t="str">
        <f>CONCATENATE(Códigos!S2370,Códigos!T2370,Códigos!U2370)</f>
        <v>svv2369v</v>
      </c>
      <c r="B2371" t="s">
        <v>499</v>
      </c>
      <c r="C2371" t="s">
        <v>507</v>
      </c>
      <c r="D2371" s="2" t="s">
        <v>508</v>
      </c>
      <c r="E2371" t="s">
        <v>502</v>
      </c>
      <c r="F2371" s="11">
        <v>44081</v>
      </c>
      <c r="G2371" s="2">
        <f>VLOOKUP(E2371,Produtos!$A:$E,5,FALSE)</f>
        <v>1</v>
      </c>
      <c r="H2371" s="2">
        <f>VLOOKUP(E2371,Produtos!$A:$E,4,FALSE)</f>
        <v>0.5</v>
      </c>
      <c r="I2371" s="2">
        <v>1</v>
      </c>
    </row>
    <row r="2372" spans="1:9" x14ac:dyDescent="0.25">
      <c r="A2372" s="2" t="str">
        <f>CONCATENATE(Códigos!S2371,Códigos!T2371,Códigos!U2371)</f>
        <v>svv2370v</v>
      </c>
      <c r="B2372" t="s">
        <v>499</v>
      </c>
      <c r="C2372" t="s">
        <v>507</v>
      </c>
      <c r="D2372" s="2" t="s">
        <v>508</v>
      </c>
      <c r="E2372" t="s">
        <v>502</v>
      </c>
      <c r="F2372" s="11">
        <v>44082</v>
      </c>
      <c r="G2372" s="2">
        <f>VLOOKUP(E2372,Produtos!$A:$E,5,FALSE)</f>
        <v>1</v>
      </c>
      <c r="H2372" s="2">
        <f>VLOOKUP(E2372,Produtos!$A:$E,4,FALSE)</f>
        <v>0.5</v>
      </c>
      <c r="I2372" s="2">
        <v>1</v>
      </c>
    </row>
    <row r="2373" spans="1:9" x14ac:dyDescent="0.25">
      <c r="A2373" s="2" t="str">
        <f>CONCATENATE(Códigos!S2372,Códigos!T2372,Códigos!U2372)</f>
        <v>svv2371v</v>
      </c>
      <c r="B2373" t="s">
        <v>499</v>
      </c>
      <c r="C2373" t="s">
        <v>507</v>
      </c>
      <c r="D2373" s="2" t="s">
        <v>508</v>
      </c>
      <c r="E2373" t="s">
        <v>502</v>
      </c>
      <c r="F2373" s="11">
        <v>44083</v>
      </c>
      <c r="G2373" s="2">
        <f>VLOOKUP(E2373,Produtos!$A:$E,5,FALSE)</f>
        <v>1</v>
      </c>
      <c r="H2373" s="2">
        <f>VLOOKUP(E2373,Produtos!$A:$E,4,FALSE)</f>
        <v>0.5</v>
      </c>
      <c r="I2373" s="2">
        <v>1</v>
      </c>
    </row>
    <row r="2374" spans="1:9" x14ac:dyDescent="0.25">
      <c r="A2374" s="2" t="str">
        <f>CONCATENATE(Códigos!S2373,Códigos!T2373,Códigos!U2373)</f>
        <v>svv2372v</v>
      </c>
      <c r="B2374" t="s">
        <v>499</v>
      </c>
      <c r="C2374" t="s">
        <v>507</v>
      </c>
      <c r="D2374" s="2" t="s">
        <v>508</v>
      </c>
      <c r="E2374" t="s">
        <v>502</v>
      </c>
      <c r="F2374" s="11">
        <v>44084</v>
      </c>
      <c r="G2374" s="2">
        <f>VLOOKUP(E2374,Produtos!$A:$E,5,FALSE)</f>
        <v>1</v>
      </c>
      <c r="H2374" s="2">
        <f>VLOOKUP(E2374,Produtos!$A:$E,4,FALSE)</f>
        <v>0.5</v>
      </c>
      <c r="I2374" s="2">
        <v>1</v>
      </c>
    </row>
    <row r="2375" spans="1:9" x14ac:dyDescent="0.25">
      <c r="A2375" s="2" t="str">
        <f>CONCATENATE(Códigos!S2374,Códigos!T2374,Códigos!U2374)</f>
        <v>svv2373v</v>
      </c>
      <c r="B2375" t="s">
        <v>499</v>
      </c>
      <c r="C2375" t="s">
        <v>507</v>
      </c>
      <c r="D2375" s="2" t="s">
        <v>508</v>
      </c>
      <c r="E2375" t="s">
        <v>502</v>
      </c>
      <c r="F2375" s="11">
        <v>44085</v>
      </c>
      <c r="G2375" s="2">
        <f>VLOOKUP(E2375,Produtos!$A:$E,5,FALSE)</f>
        <v>1</v>
      </c>
      <c r="H2375" s="2">
        <f>VLOOKUP(E2375,Produtos!$A:$E,4,FALSE)</f>
        <v>0.5</v>
      </c>
      <c r="I2375" s="2">
        <v>1</v>
      </c>
    </row>
    <row r="2376" spans="1:9" x14ac:dyDescent="0.25">
      <c r="A2376" s="2" t="str">
        <f>CONCATENATE(Códigos!S2375,Códigos!T2375,Códigos!U2375)</f>
        <v>svv2374v</v>
      </c>
      <c r="B2376" t="s">
        <v>499</v>
      </c>
      <c r="C2376" t="s">
        <v>507</v>
      </c>
      <c r="D2376" s="2" t="s">
        <v>508</v>
      </c>
      <c r="E2376" t="s">
        <v>502</v>
      </c>
      <c r="F2376" s="11">
        <v>44086</v>
      </c>
      <c r="G2376" s="2">
        <f>VLOOKUP(E2376,Produtos!$A:$E,5,FALSE)</f>
        <v>1</v>
      </c>
      <c r="H2376" s="2">
        <f>VLOOKUP(E2376,Produtos!$A:$E,4,FALSE)</f>
        <v>0.5</v>
      </c>
      <c r="I2376" s="2">
        <v>1</v>
      </c>
    </row>
    <row r="2377" spans="1:9" x14ac:dyDescent="0.25">
      <c r="A2377" s="2" t="str">
        <f>CONCATENATE(Códigos!S2376,Códigos!T2376,Códigos!U2376)</f>
        <v>svv2375v</v>
      </c>
      <c r="B2377" t="s">
        <v>499</v>
      </c>
      <c r="C2377" t="s">
        <v>507</v>
      </c>
      <c r="D2377" s="2" t="s">
        <v>508</v>
      </c>
      <c r="E2377" t="s">
        <v>502</v>
      </c>
      <c r="F2377" s="11">
        <v>44087</v>
      </c>
      <c r="G2377" s="2">
        <f>VLOOKUP(E2377,Produtos!$A:$E,5,FALSE)</f>
        <v>1</v>
      </c>
      <c r="H2377" s="2">
        <f>VLOOKUP(E2377,Produtos!$A:$E,4,FALSE)</f>
        <v>0.5</v>
      </c>
      <c r="I2377" s="2">
        <v>1</v>
      </c>
    </row>
    <row r="2378" spans="1:9" x14ac:dyDescent="0.25">
      <c r="A2378" s="2" t="str">
        <f>CONCATENATE(Códigos!S2377,Códigos!T2377,Códigos!U2377)</f>
        <v>svv2376v</v>
      </c>
      <c r="B2378" t="s">
        <v>499</v>
      </c>
      <c r="C2378" t="s">
        <v>507</v>
      </c>
      <c r="D2378" s="2" t="s">
        <v>508</v>
      </c>
      <c r="E2378" t="s">
        <v>502</v>
      </c>
      <c r="F2378" s="11">
        <v>44088</v>
      </c>
      <c r="G2378" s="2">
        <f>VLOOKUP(E2378,Produtos!$A:$E,5,FALSE)</f>
        <v>1</v>
      </c>
      <c r="H2378" s="2">
        <f>VLOOKUP(E2378,Produtos!$A:$E,4,FALSE)</f>
        <v>0.5</v>
      </c>
      <c r="I2378" s="2">
        <v>1</v>
      </c>
    </row>
    <row r="2379" spans="1:9" x14ac:dyDescent="0.25">
      <c r="A2379" s="2" t="str">
        <f>CONCATENATE(Códigos!S2378,Códigos!T2378,Códigos!U2378)</f>
        <v>svv2377v</v>
      </c>
      <c r="B2379" t="s">
        <v>499</v>
      </c>
      <c r="C2379" t="s">
        <v>507</v>
      </c>
      <c r="D2379" s="2" t="s">
        <v>508</v>
      </c>
      <c r="E2379" t="s">
        <v>502</v>
      </c>
      <c r="F2379" s="11">
        <v>44089</v>
      </c>
      <c r="G2379" s="2">
        <f>VLOOKUP(E2379,Produtos!$A:$E,5,FALSE)</f>
        <v>1</v>
      </c>
      <c r="H2379" s="2">
        <f>VLOOKUP(E2379,Produtos!$A:$E,4,FALSE)</f>
        <v>0.5</v>
      </c>
      <c r="I2379" s="2">
        <v>1</v>
      </c>
    </row>
    <row r="2380" spans="1:9" x14ac:dyDescent="0.25">
      <c r="A2380" s="2" t="str">
        <f>CONCATENATE(Códigos!S2379,Códigos!T2379,Códigos!U2379)</f>
        <v>svv2378v</v>
      </c>
      <c r="B2380" t="s">
        <v>499</v>
      </c>
      <c r="C2380" t="s">
        <v>507</v>
      </c>
      <c r="D2380" s="2" t="s">
        <v>508</v>
      </c>
      <c r="E2380" t="s">
        <v>502</v>
      </c>
      <c r="F2380" s="11">
        <v>44090</v>
      </c>
      <c r="G2380" s="2">
        <f>VLOOKUP(E2380,Produtos!$A:$E,5,FALSE)</f>
        <v>1</v>
      </c>
      <c r="H2380" s="2">
        <f>VLOOKUP(E2380,Produtos!$A:$E,4,FALSE)</f>
        <v>0.5</v>
      </c>
      <c r="I2380" s="2">
        <v>1</v>
      </c>
    </row>
    <row r="2381" spans="1:9" x14ac:dyDescent="0.25">
      <c r="A2381" s="2" t="str">
        <f>CONCATENATE(Códigos!S2380,Códigos!T2380,Códigos!U2380)</f>
        <v>svv2379v</v>
      </c>
      <c r="B2381" t="s">
        <v>499</v>
      </c>
      <c r="C2381" t="s">
        <v>507</v>
      </c>
      <c r="D2381" s="2" t="s">
        <v>508</v>
      </c>
      <c r="E2381" t="s">
        <v>502</v>
      </c>
      <c r="F2381" s="11">
        <v>44091</v>
      </c>
      <c r="G2381" s="2">
        <f>VLOOKUP(E2381,Produtos!$A:$E,5,FALSE)</f>
        <v>1</v>
      </c>
      <c r="H2381" s="2">
        <f>VLOOKUP(E2381,Produtos!$A:$E,4,FALSE)</f>
        <v>0.5</v>
      </c>
      <c r="I2381" s="2">
        <v>1</v>
      </c>
    </row>
    <row r="2382" spans="1:9" x14ac:dyDescent="0.25">
      <c r="A2382" s="2" t="str">
        <f>CONCATENATE(Códigos!S2381,Códigos!T2381,Códigos!U2381)</f>
        <v>svv2380v</v>
      </c>
      <c r="B2382" t="s">
        <v>499</v>
      </c>
      <c r="C2382" t="s">
        <v>507</v>
      </c>
      <c r="D2382" s="2" t="s">
        <v>508</v>
      </c>
      <c r="E2382" t="s">
        <v>502</v>
      </c>
      <c r="F2382" s="11">
        <v>44092</v>
      </c>
      <c r="G2382" s="2">
        <f>VLOOKUP(E2382,Produtos!$A:$E,5,FALSE)</f>
        <v>1</v>
      </c>
      <c r="H2382" s="2">
        <f>VLOOKUP(E2382,Produtos!$A:$E,4,FALSE)</f>
        <v>0.5</v>
      </c>
      <c r="I2382" s="2">
        <v>1</v>
      </c>
    </row>
    <row r="2383" spans="1:9" x14ac:dyDescent="0.25">
      <c r="A2383" s="2" t="str">
        <f>CONCATENATE(Códigos!S2382,Códigos!T2382,Códigos!U2382)</f>
        <v>svv2381v</v>
      </c>
      <c r="B2383" t="s">
        <v>499</v>
      </c>
      <c r="C2383" t="s">
        <v>507</v>
      </c>
      <c r="D2383" s="2" t="s">
        <v>508</v>
      </c>
      <c r="E2383" t="s">
        <v>502</v>
      </c>
      <c r="F2383" s="11">
        <v>44093</v>
      </c>
      <c r="G2383" s="2">
        <f>VLOOKUP(E2383,Produtos!$A:$E,5,FALSE)</f>
        <v>1</v>
      </c>
      <c r="H2383" s="2">
        <f>VLOOKUP(E2383,Produtos!$A:$E,4,FALSE)</f>
        <v>0.5</v>
      </c>
      <c r="I2383" s="2">
        <v>1</v>
      </c>
    </row>
    <row r="2384" spans="1:9" x14ac:dyDescent="0.25">
      <c r="A2384" s="2" t="str">
        <f>CONCATENATE(Códigos!S2383,Códigos!T2383,Códigos!U2383)</f>
        <v>svv2382v</v>
      </c>
      <c r="B2384" t="s">
        <v>499</v>
      </c>
      <c r="C2384" t="s">
        <v>507</v>
      </c>
      <c r="D2384" s="2" t="s">
        <v>508</v>
      </c>
      <c r="E2384" t="s">
        <v>502</v>
      </c>
      <c r="F2384" s="11">
        <v>44094</v>
      </c>
      <c r="G2384" s="2">
        <f>VLOOKUP(E2384,Produtos!$A:$E,5,FALSE)</f>
        <v>1</v>
      </c>
      <c r="H2384" s="2">
        <f>VLOOKUP(E2384,Produtos!$A:$E,4,FALSE)</f>
        <v>0.5</v>
      </c>
      <c r="I2384" s="2">
        <v>1</v>
      </c>
    </row>
    <row r="2385" spans="1:9" x14ac:dyDescent="0.25">
      <c r="A2385" s="2" t="str">
        <f>CONCATENATE(Códigos!S2384,Códigos!T2384,Códigos!U2384)</f>
        <v>svv2383v</v>
      </c>
      <c r="B2385" t="s">
        <v>499</v>
      </c>
      <c r="C2385" t="s">
        <v>507</v>
      </c>
      <c r="D2385" s="2" t="s">
        <v>508</v>
      </c>
      <c r="E2385" t="s">
        <v>502</v>
      </c>
      <c r="F2385" s="11">
        <v>44095</v>
      </c>
      <c r="G2385" s="2">
        <f>VLOOKUP(E2385,Produtos!$A:$E,5,FALSE)</f>
        <v>1</v>
      </c>
      <c r="H2385" s="2">
        <f>VLOOKUP(E2385,Produtos!$A:$E,4,FALSE)</f>
        <v>0.5</v>
      </c>
      <c r="I2385" s="2">
        <v>1</v>
      </c>
    </row>
    <row r="2386" spans="1:9" x14ac:dyDescent="0.25">
      <c r="A2386" s="2" t="str">
        <f>CONCATENATE(Códigos!S2385,Códigos!T2385,Códigos!U2385)</f>
        <v>svv2384v</v>
      </c>
      <c r="B2386" t="s">
        <v>499</v>
      </c>
      <c r="C2386" t="s">
        <v>349</v>
      </c>
      <c r="D2386" s="2" t="s">
        <v>350</v>
      </c>
      <c r="E2386" t="s">
        <v>502</v>
      </c>
      <c r="F2386" s="11">
        <v>44096</v>
      </c>
      <c r="G2386" s="2">
        <f>VLOOKUP(E2386,Produtos!$A:$E,5,FALSE)</f>
        <v>1</v>
      </c>
      <c r="H2386" s="2">
        <f>VLOOKUP(E2386,Produtos!$A:$E,4,FALSE)</f>
        <v>0.5</v>
      </c>
      <c r="I2386" s="2">
        <v>1</v>
      </c>
    </row>
    <row r="2387" spans="1:9" x14ac:dyDescent="0.25">
      <c r="A2387" s="2" t="str">
        <f>CONCATENATE(Códigos!S2386,Códigos!T2386,Códigos!U2386)</f>
        <v>svv2385v</v>
      </c>
      <c r="B2387" t="s">
        <v>499</v>
      </c>
      <c r="C2387" t="s">
        <v>349</v>
      </c>
      <c r="D2387" s="2" t="s">
        <v>350</v>
      </c>
      <c r="E2387" t="s">
        <v>502</v>
      </c>
      <c r="F2387" s="11">
        <v>44097</v>
      </c>
      <c r="G2387" s="2">
        <f>VLOOKUP(E2387,Produtos!$A:$E,5,FALSE)</f>
        <v>1</v>
      </c>
      <c r="H2387" s="2">
        <f>VLOOKUP(E2387,Produtos!$A:$E,4,FALSE)</f>
        <v>0.5</v>
      </c>
      <c r="I2387" s="2">
        <v>1</v>
      </c>
    </row>
    <row r="2388" spans="1:9" x14ac:dyDescent="0.25">
      <c r="A2388" s="2" t="str">
        <f>CONCATENATE(Códigos!S2387,Códigos!T2387,Códigos!U2387)</f>
        <v>svv2386v</v>
      </c>
      <c r="B2388" t="s">
        <v>499</v>
      </c>
      <c r="C2388" t="s">
        <v>349</v>
      </c>
      <c r="D2388" s="2" t="s">
        <v>350</v>
      </c>
      <c r="E2388" t="s">
        <v>502</v>
      </c>
      <c r="F2388" s="11">
        <v>44098</v>
      </c>
      <c r="G2388" s="2">
        <f>VLOOKUP(E2388,Produtos!$A:$E,5,FALSE)</f>
        <v>1</v>
      </c>
      <c r="H2388" s="2">
        <f>VLOOKUP(E2388,Produtos!$A:$E,4,FALSE)</f>
        <v>0.5</v>
      </c>
      <c r="I2388" s="2">
        <v>1</v>
      </c>
    </row>
    <row r="2389" spans="1:9" x14ac:dyDescent="0.25">
      <c r="A2389" s="2" t="str">
        <f>CONCATENATE(Códigos!S2388,Códigos!T2388,Códigos!U2388)</f>
        <v>svv2387v</v>
      </c>
      <c r="B2389" t="s">
        <v>499</v>
      </c>
      <c r="C2389" t="s">
        <v>349</v>
      </c>
      <c r="D2389" s="2" t="s">
        <v>350</v>
      </c>
      <c r="E2389" t="s">
        <v>502</v>
      </c>
      <c r="F2389" s="11">
        <v>44099</v>
      </c>
      <c r="G2389" s="2">
        <f>VLOOKUP(E2389,Produtos!$A:$E,5,FALSE)</f>
        <v>1</v>
      </c>
      <c r="H2389" s="2">
        <f>VLOOKUP(E2389,Produtos!$A:$E,4,FALSE)</f>
        <v>0.5</v>
      </c>
      <c r="I2389" s="2">
        <v>1</v>
      </c>
    </row>
    <row r="2390" spans="1:9" x14ac:dyDescent="0.25">
      <c r="A2390" s="2" t="str">
        <f>CONCATENATE(Códigos!S2389,Códigos!T2389,Códigos!U2389)</f>
        <v>svv2388v</v>
      </c>
      <c r="B2390" t="s">
        <v>499</v>
      </c>
      <c r="C2390" t="s">
        <v>349</v>
      </c>
      <c r="D2390" s="2" t="s">
        <v>350</v>
      </c>
      <c r="E2390" t="s">
        <v>502</v>
      </c>
      <c r="F2390" s="11">
        <v>44100</v>
      </c>
      <c r="G2390" s="2">
        <f>VLOOKUP(E2390,Produtos!$A:$E,5,FALSE)</f>
        <v>1</v>
      </c>
      <c r="H2390" s="2">
        <f>VLOOKUP(E2390,Produtos!$A:$E,4,FALSE)</f>
        <v>0.5</v>
      </c>
      <c r="I2390" s="2">
        <v>1</v>
      </c>
    </row>
    <row r="2391" spans="1:9" x14ac:dyDescent="0.25">
      <c r="A2391" s="2" t="str">
        <f>CONCATENATE(Códigos!S2390,Códigos!T2390,Códigos!U2390)</f>
        <v>svv2389v</v>
      </c>
      <c r="B2391" t="s">
        <v>499</v>
      </c>
      <c r="C2391" t="s">
        <v>349</v>
      </c>
      <c r="D2391" s="2" t="s">
        <v>350</v>
      </c>
      <c r="E2391" t="s">
        <v>502</v>
      </c>
      <c r="F2391" s="11">
        <v>44101</v>
      </c>
      <c r="G2391" s="2">
        <f>VLOOKUP(E2391,Produtos!$A:$E,5,FALSE)</f>
        <v>1</v>
      </c>
      <c r="H2391" s="2">
        <f>VLOOKUP(E2391,Produtos!$A:$E,4,FALSE)</f>
        <v>0.5</v>
      </c>
      <c r="I2391" s="2">
        <v>1</v>
      </c>
    </row>
    <row r="2392" spans="1:9" x14ac:dyDescent="0.25">
      <c r="A2392" s="2" t="str">
        <f>CONCATENATE(Códigos!S2391,Códigos!T2391,Códigos!U2391)</f>
        <v>svv2390v</v>
      </c>
      <c r="B2392" t="s">
        <v>499</v>
      </c>
      <c r="C2392" t="s">
        <v>349</v>
      </c>
      <c r="D2392" s="2" t="s">
        <v>350</v>
      </c>
      <c r="E2392" t="s">
        <v>502</v>
      </c>
      <c r="F2392" s="11">
        <v>44102</v>
      </c>
      <c r="G2392" s="2">
        <f>VLOOKUP(E2392,Produtos!$A:$E,5,FALSE)</f>
        <v>1</v>
      </c>
      <c r="H2392" s="2">
        <f>VLOOKUP(E2392,Produtos!$A:$E,4,FALSE)</f>
        <v>0.5</v>
      </c>
      <c r="I2392" s="2">
        <v>1</v>
      </c>
    </row>
    <row r="2393" spans="1:9" x14ac:dyDescent="0.25">
      <c r="A2393" s="2" t="str">
        <f>CONCATENATE(Códigos!S2392,Códigos!T2392,Códigos!U2392)</f>
        <v>svv2391v</v>
      </c>
      <c r="B2393" t="s">
        <v>499</v>
      </c>
      <c r="C2393" t="s">
        <v>349</v>
      </c>
      <c r="D2393" s="2" t="s">
        <v>350</v>
      </c>
      <c r="E2393" t="s">
        <v>502</v>
      </c>
      <c r="F2393" s="11">
        <v>44103</v>
      </c>
      <c r="G2393" s="2">
        <f>VLOOKUP(E2393,Produtos!$A:$E,5,FALSE)</f>
        <v>1</v>
      </c>
      <c r="H2393" s="2">
        <f>VLOOKUP(E2393,Produtos!$A:$E,4,FALSE)</f>
        <v>0.5</v>
      </c>
      <c r="I2393" s="2">
        <v>1</v>
      </c>
    </row>
    <row r="2394" spans="1:9" x14ac:dyDescent="0.25">
      <c r="A2394" s="2" t="str">
        <f>CONCATENATE(Códigos!S2393,Códigos!T2393,Códigos!U2393)</f>
        <v>svv2392v</v>
      </c>
      <c r="B2394" t="s">
        <v>499</v>
      </c>
      <c r="C2394" t="s">
        <v>349</v>
      </c>
      <c r="D2394" s="2" t="s">
        <v>350</v>
      </c>
      <c r="E2394" t="s">
        <v>502</v>
      </c>
      <c r="F2394" s="11">
        <v>44104</v>
      </c>
      <c r="G2394" s="2">
        <f>VLOOKUP(E2394,Produtos!$A:$E,5,FALSE)</f>
        <v>1</v>
      </c>
      <c r="H2394" s="2">
        <f>VLOOKUP(E2394,Produtos!$A:$E,4,FALSE)</f>
        <v>0.5</v>
      </c>
      <c r="I2394" s="2">
        <v>1</v>
      </c>
    </row>
    <row r="2395" spans="1:9" x14ac:dyDescent="0.25">
      <c r="A2395" s="2" t="str">
        <f>CONCATENATE(Códigos!S2394,Códigos!T2394,Códigos!U2394)</f>
        <v>svv2393v</v>
      </c>
      <c r="B2395" t="s">
        <v>499</v>
      </c>
      <c r="C2395" t="s">
        <v>349</v>
      </c>
      <c r="D2395" s="2" t="s">
        <v>350</v>
      </c>
      <c r="E2395" t="s">
        <v>502</v>
      </c>
      <c r="F2395" s="11">
        <v>44105</v>
      </c>
      <c r="G2395" s="2">
        <f>VLOOKUP(E2395,Produtos!$A:$E,5,FALSE)</f>
        <v>1</v>
      </c>
      <c r="H2395" s="2">
        <f>VLOOKUP(E2395,Produtos!$A:$E,4,FALSE)</f>
        <v>0.5</v>
      </c>
      <c r="I2395" s="2">
        <v>1</v>
      </c>
    </row>
    <row r="2396" spans="1:9" x14ac:dyDescent="0.25">
      <c r="A2396" s="2" t="str">
        <f>CONCATENATE(Códigos!S2395,Códigos!T2395,Códigos!U2395)</f>
        <v>svv2394v</v>
      </c>
      <c r="B2396" t="s">
        <v>499</v>
      </c>
      <c r="C2396" t="s">
        <v>349</v>
      </c>
      <c r="D2396" s="2" t="s">
        <v>350</v>
      </c>
      <c r="E2396" t="s">
        <v>502</v>
      </c>
      <c r="F2396" s="11">
        <v>44106</v>
      </c>
      <c r="G2396" s="2">
        <f>VLOOKUP(E2396,Produtos!$A:$E,5,FALSE)</f>
        <v>1</v>
      </c>
      <c r="H2396" s="2">
        <f>VLOOKUP(E2396,Produtos!$A:$E,4,FALSE)</f>
        <v>0.5</v>
      </c>
      <c r="I2396" s="2">
        <v>1</v>
      </c>
    </row>
    <row r="2397" spans="1:9" x14ac:dyDescent="0.25">
      <c r="A2397" s="2" t="str">
        <f>CONCATENATE(Códigos!S2396,Códigos!T2396,Códigos!U2396)</f>
        <v>svv2395v</v>
      </c>
      <c r="B2397" t="s">
        <v>499</v>
      </c>
      <c r="C2397" t="s">
        <v>349</v>
      </c>
      <c r="D2397" s="2" t="s">
        <v>350</v>
      </c>
      <c r="E2397" t="s">
        <v>502</v>
      </c>
      <c r="F2397" s="11">
        <v>44107</v>
      </c>
      <c r="G2397" s="2">
        <f>VLOOKUP(E2397,Produtos!$A:$E,5,FALSE)</f>
        <v>1</v>
      </c>
      <c r="H2397" s="2">
        <f>VLOOKUP(E2397,Produtos!$A:$E,4,FALSE)</f>
        <v>0.5</v>
      </c>
      <c r="I2397" s="2">
        <v>1</v>
      </c>
    </row>
    <row r="2398" spans="1:9" x14ac:dyDescent="0.25">
      <c r="A2398" s="2" t="str">
        <f>CONCATENATE(Códigos!S2397,Códigos!T2397,Códigos!U2397)</f>
        <v>svv2396v</v>
      </c>
      <c r="B2398" t="s">
        <v>499</v>
      </c>
      <c r="C2398" t="s">
        <v>349</v>
      </c>
      <c r="D2398" s="2" t="s">
        <v>350</v>
      </c>
      <c r="E2398" t="s">
        <v>502</v>
      </c>
      <c r="F2398" s="11">
        <v>44108</v>
      </c>
      <c r="G2398" s="2">
        <f>VLOOKUP(E2398,Produtos!$A:$E,5,FALSE)</f>
        <v>1</v>
      </c>
      <c r="H2398" s="2">
        <f>VLOOKUP(E2398,Produtos!$A:$E,4,FALSE)</f>
        <v>0.5</v>
      </c>
      <c r="I2398" s="2">
        <v>1</v>
      </c>
    </row>
    <row r="2399" spans="1:9" x14ac:dyDescent="0.25">
      <c r="A2399" s="2" t="str">
        <f>CONCATENATE(Códigos!S2398,Códigos!T2398,Códigos!U2398)</f>
        <v>svv2397v</v>
      </c>
      <c r="B2399" t="s">
        <v>499</v>
      </c>
      <c r="C2399" t="s">
        <v>349</v>
      </c>
      <c r="D2399" s="2" t="s">
        <v>350</v>
      </c>
      <c r="E2399" t="s">
        <v>502</v>
      </c>
      <c r="F2399" s="11">
        <v>44109</v>
      </c>
      <c r="G2399" s="2">
        <f>VLOOKUP(E2399,Produtos!$A:$E,5,FALSE)</f>
        <v>1</v>
      </c>
      <c r="H2399" s="2">
        <f>VLOOKUP(E2399,Produtos!$A:$E,4,FALSE)</f>
        <v>0.5</v>
      </c>
      <c r="I2399" s="2">
        <v>1</v>
      </c>
    </row>
    <row r="2400" spans="1:9" x14ac:dyDescent="0.25">
      <c r="A2400" s="2" t="str">
        <f>CONCATENATE(Códigos!S2399,Códigos!T2399,Códigos!U2399)</f>
        <v>svv2398v</v>
      </c>
      <c r="B2400" t="s">
        <v>499</v>
      </c>
      <c r="C2400" t="s">
        <v>349</v>
      </c>
      <c r="D2400" s="2" t="s">
        <v>350</v>
      </c>
      <c r="E2400" t="s">
        <v>502</v>
      </c>
      <c r="F2400" s="11">
        <v>44110</v>
      </c>
      <c r="G2400" s="2">
        <f>VLOOKUP(E2400,Produtos!$A:$E,5,FALSE)</f>
        <v>1</v>
      </c>
      <c r="H2400" s="2">
        <f>VLOOKUP(E2400,Produtos!$A:$E,4,FALSE)</f>
        <v>0.5</v>
      </c>
      <c r="I2400" s="2">
        <v>1</v>
      </c>
    </row>
    <row r="2401" spans="1:9" x14ac:dyDescent="0.25">
      <c r="A2401" s="2" t="str">
        <f>CONCATENATE(Códigos!S2400,Códigos!T2400,Códigos!U2400)</f>
        <v>svv2399v</v>
      </c>
      <c r="B2401" t="s">
        <v>499</v>
      </c>
      <c r="C2401" t="s">
        <v>349</v>
      </c>
      <c r="D2401" s="2" t="s">
        <v>350</v>
      </c>
      <c r="E2401" t="s">
        <v>502</v>
      </c>
      <c r="F2401" s="11">
        <v>44111</v>
      </c>
      <c r="G2401" s="2">
        <f>VLOOKUP(E2401,Produtos!$A:$E,5,FALSE)</f>
        <v>1</v>
      </c>
      <c r="H2401" s="2">
        <f>VLOOKUP(E2401,Produtos!$A:$E,4,FALSE)</f>
        <v>0.5</v>
      </c>
      <c r="I2401" s="2">
        <v>1</v>
      </c>
    </row>
    <row r="2402" spans="1:9" x14ac:dyDescent="0.25">
      <c r="A2402" s="2" t="str">
        <f>CONCATENATE(Códigos!S2401,Códigos!T2401,Códigos!U2401)</f>
        <v>svv2400v</v>
      </c>
      <c r="B2402" t="s">
        <v>499</v>
      </c>
      <c r="C2402" t="s">
        <v>349</v>
      </c>
      <c r="D2402" s="2" t="s">
        <v>350</v>
      </c>
      <c r="E2402" t="s">
        <v>502</v>
      </c>
      <c r="F2402" s="11">
        <v>44112</v>
      </c>
      <c r="G2402" s="2">
        <f>VLOOKUP(E2402,Produtos!$A:$E,5,FALSE)</f>
        <v>1</v>
      </c>
      <c r="H2402" s="2">
        <f>VLOOKUP(E2402,Produtos!$A:$E,4,FALSE)</f>
        <v>0.5</v>
      </c>
      <c r="I2402" s="2">
        <v>1</v>
      </c>
    </row>
    <row r="2403" spans="1:9" x14ac:dyDescent="0.25">
      <c r="A2403" s="2" t="str">
        <f>CONCATENATE(Códigos!S2402,Códigos!T2402,Códigos!U2402)</f>
        <v>svv2401v</v>
      </c>
      <c r="B2403" t="s">
        <v>499</v>
      </c>
      <c r="C2403" t="s">
        <v>349</v>
      </c>
      <c r="D2403" s="2" t="s">
        <v>350</v>
      </c>
      <c r="E2403" t="s">
        <v>502</v>
      </c>
      <c r="F2403" s="11">
        <v>44113</v>
      </c>
      <c r="G2403" s="2">
        <f>VLOOKUP(E2403,Produtos!$A:$E,5,FALSE)</f>
        <v>1</v>
      </c>
      <c r="H2403" s="2">
        <f>VLOOKUP(E2403,Produtos!$A:$E,4,FALSE)</f>
        <v>0.5</v>
      </c>
      <c r="I2403" s="2">
        <v>1</v>
      </c>
    </row>
    <row r="2404" spans="1:9" x14ac:dyDescent="0.25">
      <c r="A2404" s="2" t="str">
        <f>CONCATENATE(Códigos!S2403,Códigos!T2403,Códigos!U2403)</f>
        <v>svv2402v</v>
      </c>
      <c r="B2404" t="s">
        <v>499</v>
      </c>
      <c r="C2404" t="s">
        <v>349</v>
      </c>
      <c r="D2404" s="2" t="s">
        <v>350</v>
      </c>
      <c r="E2404" t="s">
        <v>502</v>
      </c>
      <c r="F2404" s="11">
        <v>44114</v>
      </c>
      <c r="G2404" s="2">
        <f>VLOOKUP(E2404,Produtos!$A:$E,5,FALSE)</f>
        <v>1</v>
      </c>
      <c r="H2404" s="2">
        <f>VLOOKUP(E2404,Produtos!$A:$E,4,FALSE)</f>
        <v>0.5</v>
      </c>
      <c r="I2404" s="2">
        <v>1</v>
      </c>
    </row>
    <row r="2405" spans="1:9" x14ac:dyDescent="0.25">
      <c r="A2405" s="2" t="str">
        <f>CONCATENATE(Códigos!S2404,Códigos!T2404,Códigos!U2404)</f>
        <v>svv2403v</v>
      </c>
      <c r="B2405" t="s">
        <v>499</v>
      </c>
      <c r="C2405" t="s">
        <v>349</v>
      </c>
      <c r="D2405" s="2" t="s">
        <v>350</v>
      </c>
      <c r="E2405" t="s">
        <v>502</v>
      </c>
      <c r="F2405" s="11">
        <v>44115</v>
      </c>
      <c r="G2405" s="2">
        <f>VLOOKUP(E2405,Produtos!$A:$E,5,FALSE)</f>
        <v>1</v>
      </c>
      <c r="H2405" s="2">
        <f>VLOOKUP(E2405,Produtos!$A:$E,4,FALSE)</f>
        <v>0.5</v>
      </c>
      <c r="I2405" s="2">
        <v>1</v>
      </c>
    </row>
    <row r="2406" spans="1:9" x14ac:dyDescent="0.25">
      <c r="A2406" s="2" t="str">
        <f>CONCATENATE(Códigos!S2405,Códigos!T2405,Códigos!U2405)</f>
        <v>svv2404v</v>
      </c>
      <c r="B2406" t="s">
        <v>499</v>
      </c>
      <c r="C2406" t="s">
        <v>349</v>
      </c>
      <c r="D2406" s="2" t="s">
        <v>350</v>
      </c>
      <c r="E2406" t="s">
        <v>502</v>
      </c>
      <c r="F2406" s="11">
        <v>44116</v>
      </c>
      <c r="G2406" s="2">
        <f>VLOOKUP(E2406,Produtos!$A:$E,5,FALSE)</f>
        <v>1</v>
      </c>
      <c r="H2406" s="2">
        <f>VLOOKUP(E2406,Produtos!$A:$E,4,FALSE)</f>
        <v>0.5</v>
      </c>
      <c r="I2406" s="2">
        <v>1</v>
      </c>
    </row>
    <row r="2407" spans="1:9" x14ac:dyDescent="0.25">
      <c r="A2407" s="2" t="str">
        <f>CONCATENATE(Códigos!S2406,Códigos!T2406,Códigos!U2406)</f>
        <v>svv2405v</v>
      </c>
      <c r="B2407" t="s">
        <v>499</v>
      </c>
      <c r="C2407" t="s">
        <v>349</v>
      </c>
      <c r="D2407" s="2" t="s">
        <v>350</v>
      </c>
      <c r="E2407" t="s">
        <v>502</v>
      </c>
      <c r="F2407" s="11">
        <v>44117</v>
      </c>
      <c r="G2407" s="2">
        <f>VLOOKUP(E2407,Produtos!$A:$E,5,FALSE)</f>
        <v>1</v>
      </c>
      <c r="H2407" s="2">
        <f>VLOOKUP(E2407,Produtos!$A:$E,4,FALSE)</f>
        <v>0.5</v>
      </c>
      <c r="I2407" s="2">
        <v>1</v>
      </c>
    </row>
    <row r="2408" spans="1:9" x14ac:dyDescent="0.25">
      <c r="A2408" s="2" t="str">
        <f>CONCATENATE(Códigos!S2407,Códigos!T2407,Códigos!U2407)</f>
        <v>svv2406v</v>
      </c>
      <c r="B2408" t="s">
        <v>499</v>
      </c>
      <c r="C2408" t="s">
        <v>349</v>
      </c>
      <c r="D2408" s="2" t="s">
        <v>350</v>
      </c>
      <c r="E2408" t="s">
        <v>502</v>
      </c>
      <c r="F2408" s="11">
        <v>44118</v>
      </c>
      <c r="G2408" s="2">
        <f>VLOOKUP(E2408,Produtos!$A:$E,5,FALSE)</f>
        <v>1</v>
      </c>
      <c r="H2408" s="2">
        <f>VLOOKUP(E2408,Produtos!$A:$E,4,FALSE)</f>
        <v>0.5</v>
      </c>
      <c r="I2408" s="2">
        <v>1</v>
      </c>
    </row>
    <row r="2409" spans="1:9" x14ac:dyDescent="0.25">
      <c r="A2409" s="2" t="str">
        <f>CONCATENATE(Códigos!S2408,Códigos!T2408,Códigos!U2408)</f>
        <v>svv2407v</v>
      </c>
      <c r="B2409" t="s">
        <v>499</v>
      </c>
      <c r="C2409" t="s">
        <v>349</v>
      </c>
      <c r="D2409" s="2" t="s">
        <v>350</v>
      </c>
      <c r="E2409" t="s">
        <v>502</v>
      </c>
      <c r="F2409" s="11">
        <v>44119</v>
      </c>
      <c r="G2409" s="2">
        <f>VLOOKUP(E2409,Produtos!$A:$E,5,FALSE)</f>
        <v>1</v>
      </c>
      <c r="H2409" s="2">
        <f>VLOOKUP(E2409,Produtos!$A:$E,4,FALSE)</f>
        <v>0.5</v>
      </c>
      <c r="I2409" s="2">
        <v>1</v>
      </c>
    </row>
    <row r="2410" spans="1:9" x14ac:dyDescent="0.25">
      <c r="A2410" s="2" t="str">
        <f>CONCATENATE(Códigos!S2409,Códigos!T2409,Códigos!U2409)</f>
        <v>svv2408v</v>
      </c>
      <c r="B2410" t="s">
        <v>499</v>
      </c>
      <c r="C2410" t="s">
        <v>349</v>
      </c>
      <c r="D2410" s="2" t="s">
        <v>350</v>
      </c>
      <c r="E2410" t="s">
        <v>502</v>
      </c>
      <c r="F2410" s="11">
        <v>44120</v>
      </c>
      <c r="G2410" s="2">
        <f>VLOOKUP(E2410,Produtos!$A:$E,5,FALSE)</f>
        <v>1</v>
      </c>
      <c r="H2410" s="2">
        <f>VLOOKUP(E2410,Produtos!$A:$E,4,FALSE)</f>
        <v>0.5</v>
      </c>
      <c r="I2410" s="2">
        <v>1</v>
      </c>
    </row>
    <row r="2411" spans="1:9" x14ac:dyDescent="0.25">
      <c r="A2411" s="2" t="str">
        <f>CONCATENATE(Códigos!S2410,Códigos!T2410,Códigos!U2410)</f>
        <v>svv2409v</v>
      </c>
      <c r="B2411" t="s">
        <v>499</v>
      </c>
      <c r="C2411" t="s">
        <v>349</v>
      </c>
      <c r="D2411" s="2" t="s">
        <v>350</v>
      </c>
      <c r="E2411" t="s">
        <v>502</v>
      </c>
      <c r="F2411" s="11">
        <v>44121</v>
      </c>
      <c r="G2411" s="2">
        <f>VLOOKUP(E2411,Produtos!$A:$E,5,FALSE)</f>
        <v>1</v>
      </c>
      <c r="H2411" s="2">
        <f>VLOOKUP(E2411,Produtos!$A:$E,4,FALSE)</f>
        <v>0.5</v>
      </c>
      <c r="I2411" s="2">
        <v>1</v>
      </c>
    </row>
    <row r="2412" spans="1:9" x14ac:dyDescent="0.25">
      <c r="A2412" s="2" t="str">
        <f>CONCATENATE(Códigos!S2411,Códigos!T2411,Códigos!U2411)</f>
        <v>svv2410v</v>
      </c>
      <c r="B2412" t="s">
        <v>499</v>
      </c>
      <c r="C2412" t="s">
        <v>349</v>
      </c>
      <c r="D2412" s="2" t="s">
        <v>350</v>
      </c>
      <c r="E2412" t="s">
        <v>502</v>
      </c>
      <c r="F2412" s="11">
        <v>44122</v>
      </c>
      <c r="G2412" s="2">
        <f>VLOOKUP(E2412,Produtos!$A:$E,5,FALSE)</f>
        <v>1</v>
      </c>
      <c r="H2412" s="2">
        <f>VLOOKUP(E2412,Produtos!$A:$E,4,FALSE)</f>
        <v>0.5</v>
      </c>
      <c r="I2412" s="2">
        <v>1</v>
      </c>
    </row>
    <row r="2413" spans="1:9" x14ac:dyDescent="0.25">
      <c r="A2413" s="2" t="str">
        <f>CONCATENATE(Códigos!S2412,Códigos!T2412,Códigos!U2412)</f>
        <v>svv2411v</v>
      </c>
      <c r="B2413" t="s">
        <v>499</v>
      </c>
      <c r="C2413" t="s">
        <v>349</v>
      </c>
      <c r="D2413" s="2" t="s">
        <v>350</v>
      </c>
      <c r="E2413" t="s">
        <v>502</v>
      </c>
      <c r="F2413" s="11">
        <v>44123</v>
      </c>
      <c r="G2413" s="2">
        <f>VLOOKUP(E2413,Produtos!$A:$E,5,FALSE)</f>
        <v>1</v>
      </c>
      <c r="H2413" s="2">
        <f>VLOOKUP(E2413,Produtos!$A:$E,4,FALSE)</f>
        <v>0.5</v>
      </c>
      <c r="I2413" s="2">
        <v>1</v>
      </c>
    </row>
    <row r="2414" spans="1:9" x14ac:dyDescent="0.25">
      <c r="A2414" s="2" t="str">
        <f>CONCATENATE(Códigos!S2413,Códigos!T2413,Códigos!U2413)</f>
        <v>svv2412v</v>
      </c>
      <c r="B2414" t="s">
        <v>499</v>
      </c>
      <c r="C2414" t="s">
        <v>349</v>
      </c>
      <c r="D2414" s="2" t="s">
        <v>350</v>
      </c>
      <c r="E2414" t="s">
        <v>502</v>
      </c>
      <c r="F2414" s="11">
        <v>44124</v>
      </c>
      <c r="G2414" s="2">
        <f>VLOOKUP(E2414,Produtos!$A:$E,5,FALSE)</f>
        <v>1</v>
      </c>
      <c r="H2414" s="2">
        <f>VLOOKUP(E2414,Produtos!$A:$E,4,FALSE)</f>
        <v>0.5</v>
      </c>
      <c r="I2414" s="2">
        <v>1</v>
      </c>
    </row>
    <row r="2415" spans="1:9" x14ac:dyDescent="0.25">
      <c r="A2415" s="2" t="str">
        <f>CONCATENATE(Códigos!S2414,Códigos!T2414,Códigos!U2414)</f>
        <v>svv2413v</v>
      </c>
      <c r="B2415" t="s">
        <v>499</v>
      </c>
      <c r="C2415" t="s">
        <v>349</v>
      </c>
      <c r="D2415" s="2" t="s">
        <v>350</v>
      </c>
      <c r="E2415" t="s">
        <v>502</v>
      </c>
      <c r="F2415" s="11">
        <v>44125</v>
      </c>
      <c r="G2415" s="2">
        <f>VLOOKUP(E2415,Produtos!$A:$E,5,FALSE)</f>
        <v>1</v>
      </c>
      <c r="H2415" s="2">
        <f>VLOOKUP(E2415,Produtos!$A:$E,4,FALSE)</f>
        <v>0.5</v>
      </c>
      <c r="I2415" s="2">
        <v>1</v>
      </c>
    </row>
    <row r="2416" spans="1:9" x14ac:dyDescent="0.25">
      <c r="A2416" s="2" t="str">
        <f>CONCATENATE(Códigos!S2415,Códigos!T2415,Códigos!U2415)</f>
        <v>svv2414v</v>
      </c>
      <c r="B2416" t="s">
        <v>499</v>
      </c>
      <c r="C2416" t="s">
        <v>349</v>
      </c>
      <c r="D2416" s="2" t="s">
        <v>350</v>
      </c>
      <c r="E2416" t="s">
        <v>502</v>
      </c>
      <c r="F2416" s="11">
        <v>44126</v>
      </c>
      <c r="G2416" s="2">
        <f>VLOOKUP(E2416,Produtos!$A:$E,5,FALSE)</f>
        <v>1</v>
      </c>
      <c r="H2416" s="2">
        <f>VLOOKUP(E2416,Produtos!$A:$E,4,FALSE)</f>
        <v>0.5</v>
      </c>
      <c r="I2416" s="2">
        <v>1</v>
      </c>
    </row>
    <row r="2417" spans="1:9" x14ac:dyDescent="0.25">
      <c r="A2417" s="2" t="str">
        <f>CONCATENATE(Códigos!S2416,Códigos!T2416,Códigos!U2416)</f>
        <v>svv2415v</v>
      </c>
      <c r="B2417" t="s">
        <v>499</v>
      </c>
      <c r="C2417" t="s">
        <v>349</v>
      </c>
      <c r="D2417" s="2" t="s">
        <v>350</v>
      </c>
      <c r="E2417" t="s">
        <v>502</v>
      </c>
      <c r="F2417" s="11">
        <v>44127</v>
      </c>
      <c r="G2417" s="2">
        <f>VLOOKUP(E2417,Produtos!$A:$E,5,FALSE)</f>
        <v>1</v>
      </c>
      <c r="H2417" s="2">
        <f>VLOOKUP(E2417,Produtos!$A:$E,4,FALSE)</f>
        <v>0.5</v>
      </c>
      <c r="I2417" s="2">
        <v>1</v>
      </c>
    </row>
    <row r="2418" spans="1:9" x14ac:dyDescent="0.25">
      <c r="A2418" s="2" t="str">
        <f>CONCATENATE(Códigos!S2417,Códigos!T2417,Códigos!U2417)</f>
        <v>svv2416v</v>
      </c>
      <c r="B2418" t="s">
        <v>499</v>
      </c>
      <c r="C2418" t="s">
        <v>349</v>
      </c>
      <c r="D2418" s="2" t="s">
        <v>350</v>
      </c>
      <c r="E2418" t="s">
        <v>502</v>
      </c>
      <c r="F2418" s="11">
        <v>44128</v>
      </c>
      <c r="G2418" s="2">
        <f>VLOOKUP(E2418,Produtos!$A:$E,5,FALSE)</f>
        <v>1</v>
      </c>
      <c r="H2418" s="2">
        <f>VLOOKUP(E2418,Produtos!$A:$E,4,FALSE)</f>
        <v>0.5</v>
      </c>
      <c r="I2418" s="2">
        <v>1</v>
      </c>
    </row>
    <row r="2419" spans="1:9" x14ac:dyDescent="0.25">
      <c r="A2419" s="2" t="str">
        <f>CONCATENATE(Códigos!S2418,Códigos!T2418,Códigos!U2418)</f>
        <v>svv2417v</v>
      </c>
      <c r="B2419" t="s">
        <v>499</v>
      </c>
      <c r="C2419" t="s">
        <v>349</v>
      </c>
      <c r="D2419" s="2" t="s">
        <v>350</v>
      </c>
      <c r="E2419" t="s">
        <v>502</v>
      </c>
      <c r="F2419" s="11">
        <v>44129</v>
      </c>
      <c r="G2419" s="2">
        <f>VLOOKUP(E2419,Produtos!$A:$E,5,FALSE)</f>
        <v>1</v>
      </c>
      <c r="H2419" s="2">
        <f>VLOOKUP(E2419,Produtos!$A:$E,4,FALSE)</f>
        <v>0.5</v>
      </c>
      <c r="I2419" s="2">
        <v>1</v>
      </c>
    </row>
    <row r="2420" spans="1:9" x14ac:dyDescent="0.25">
      <c r="A2420" s="2" t="str">
        <f>CONCATENATE(Códigos!S2419,Códigos!T2419,Códigos!U2419)</f>
        <v>svv2418v</v>
      </c>
      <c r="B2420" t="s">
        <v>499</v>
      </c>
      <c r="C2420" t="s">
        <v>349</v>
      </c>
      <c r="D2420" s="2" t="s">
        <v>350</v>
      </c>
      <c r="E2420" t="s">
        <v>502</v>
      </c>
      <c r="F2420" s="11">
        <v>44130</v>
      </c>
      <c r="G2420" s="2">
        <f>VLOOKUP(E2420,Produtos!$A:$E,5,FALSE)</f>
        <v>1</v>
      </c>
      <c r="H2420" s="2">
        <f>VLOOKUP(E2420,Produtos!$A:$E,4,FALSE)</f>
        <v>0.5</v>
      </c>
      <c r="I2420" s="2">
        <v>1</v>
      </c>
    </row>
    <row r="2421" spans="1:9" x14ac:dyDescent="0.25">
      <c r="A2421" s="2" t="str">
        <f>CONCATENATE(Códigos!S2420,Códigos!T2420,Códigos!U2420)</f>
        <v>svv2419v</v>
      </c>
      <c r="B2421" t="s">
        <v>499</v>
      </c>
      <c r="C2421" t="s">
        <v>349</v>
      </c>
      <c r="D2421" s="2" t="s">
        <v>350</v>
      </c>
      <c r="E2421" t="s">
        <v>502</v>
      </c>
      <c r="F2421" s="11">
        <v>44131</v>
      </c>
      <c r="G2421" s="2">
        <f>VLOOKUP(E2421,Produtos!$A:$E,5,FALSE)</f>
        <v>1</v>
      </c>
      <c r="H2421" s="2">
        <f>VLOOKUP(E2421,Produtos!$A:$E,4,FALSE)</f>
        <v>0.5</v>
      </c>
      <c r="I2421" s="2">
        <v>1</v>
      </c>
    </row>
    <row r="2422" spans="1:9" x14ac:dyDescent="0.25">
      <c r="A2422" s="2" t="str">
        <f>CONCATENATE(Códigos!S2421,Códigos!T2421,Códigos!U2421)</f>
        <v>svv2420v</v>
      </c>
      <c r="B2422" t="s">
        <v>499</v>
      </c>
      <c r="C2422" t="s">
        <v>349</v>
      </c>
      <c r="D2422" s="2" t="s">
        <v>350</v>
      </c>
      <c r="E2422" t="s">
        <v>502</v>
      </c>
      <c r="F2422" s="11">
        <v>44132</v>
      </c>
      <c r="G2422" s="2">
        <f>VLOOKUP(E2422,Produtos!$A:$E,5,FALSE)</f>
        <v>1</v>
      </c>
      <c r="H2422" s="2">
        <f>VLOOKUP(E2422,Produtos!$A:$E,4,FALSE)</f>
        <v>0.5</v>
      </c>
      <c r="I2422" s="2">
        <v>1</v>
      </c>
    </row>
    <row r="2423" spans="1:9" x14ac:dyDescent="0.25">
      <c r="A2423" s="2" t="str">
        <f>CONCATENATE(Códigos!S2422,Códigos!T2422,Códigos!U2422)</f>
        <v>svv2421v</v>
      </c>
      <c r="B2423" t="s">
        <v>499</v>
      </c>
      <c r="C2423" t="s">
        <v>349</v>
      </c>
      <c r="D2423" s="2" t="s">
        <v>350</v>
      </c>
      <c r="E2423" t="s">
        <v>502</v>
      </c>
      <c r="F2423" s="11">
        <v>44133</v>
      </c>
      <c r="G2423" s="2">
        <f>VLOOKUP(E2423,Produtos!$A:$E,5,FALSE)</f>
        <v>1</v>
      </c>
      <c r="H2423" s="2">
        <f>VLOOKUP(E2423,Produtos!$A:$E,4,FALSE)</f>
        <v>0.5</v>
      </c>
      <c r="I2423" s="2">
        <v>1</v>
      </c>
    </row>
    <row r="2424" spans="1:9" x14ac:dyDescent="0.25">
      <c r="A2424" s="2" t="str">
        <f>CONCATENATE(Códigos!S2423,Códigos!T2423,Códigos!U2423)</f>
        <v>svv2422v</v>
      </c>
      <c r="B2424" t="s">
        <v>499</v>
      </c>
      <c r="C2424" t="s">
        <v>349</v>
      </c>
      <c r="D2424" s="2" t="s">
        <v>350</v>
      </c>
      <c r="E2424" t="s">
        <v>502</v>
      </c>
      <c r="F2424" s="11">
        <v>44134</v>
      </c>
      <c r="G2424" s="2">
        <f>VLOOKUP(E2424,Produtos!$A:$E,5,FALSE)</f>
        <v>1</v>
      </c>
      <c r="H2424" s="2">
        <f>VLOOKUP(E2424,Produtos!$A:$E,4,FALSE)</f>
        <v>0.5</v>
      </c>
      <c r="I2424" s="2">
        <v>1</v>
      </c>
    </row>
    <row r="2425" spans="1:9" x14ac:dyDescent="0.25">
      <c r="A2425" s="2" t="str">
        <f>CONCATENATE(Códigos!S2424,Códigos!T2424,Códigos!U2424)</f>
        <v>svv2423v</v>
      </c>
      <c r="B2425" t="s">
        <v>499</v>
      </c>
      <c r="C2425" t="s">
        <v>349</v>
      </c>
      <c r="D2425" s="2" t="s">
        <v>350</v>
      </c>
      <c r="E2425" t="s">
        <v>502</v>
      </c>
      <c r="F2425" s="11">
        <v>44135</v>
      </c>
      <c r="G2425" s="2">
        <f>VLOOKUP(E2425,Produtos!$A:$E,5,FALSE)</f>
        <v>1</v>
      </c>
      <c r="H2425" s="2">
        <f>VLOOKUP(E2425,Produtos!$A:$E,4,FALSE)</f>
        <v>0.5</v>
      </c>
      <c r="I2425" s="2">
        <v>1</v>
      </c>
    </row>
    <row r="2426" spans="1:9" x14ac:dyDescent="0.25">
      <c r="A2426" s="2" t="str">
        <f>CONCATENATE(Códigos!S2425,Códigos!T2425,Códigos!U2425)</f>
        <v>svv2424v</v>
      </c>
      <c r="B2426" t="s">
        <v>499</v>
      </c>
      <c r="C2426" t="s">
        <v>349</v>
      </c>
      <c r="D2426" s="2" t="s">
        <v>350</v>
      </c>
      <c r="E2426" t="s">
        <v>502</v>
      </c>
      <c r="F2426" s="11">
        <v>44136</v>
      </c>
      <c r="G2426" s="2">
        <f>VLOOKUP(E2426,Produtos!$A:$E,5,FALSE)</f>
        <v>1</v>
      </c>
      <c r="H2426" s="2">
        <f>VLOOKUP(E2426,Produtos!$A:$E,4,FALSE)</f>
        <v>0.5</v>
      </c>
      <c r="I2426" s="2">
        <v>1</v>
      </c>
    </row>
    <row r="2427" spans="1:9" x14ac:dyDescent="0.25">
      <c r="A2427" s="2" t="str">
        <f>CONCATENATE(Códigos!S2426,Códigos!T2426,Códigos!U2426)</f>
        <v>svv2425v</v>
      </c>
      <c r="B2427" t="s">
        <v>499</v>
      </c>
      <c r="C2427" t="s">
        <v>349</v>
      </c>
      <c r="D2427" s="2" t="s">
        <v>350</v>
      </c>
      <c r="E2427" t="s">
        <v>502</v>
      </c>
      <c r="F2427" s="11">
        <v>44137</v>
      </c>
      <c r="G2427" s="2">
        <f>VLOOKUP(E2427,Produtos!$A:$E,5,FALSE)</f>
        <v>1</v>
      </c>
      <c r="H2427" s="2">
        <f>VLOOKUP(E2427,Produtos!$A:$E,4,FALSE)</f>
        <v>0.5</v>
      </c>
      <c r="I2427" s="2">
        <v>1</v>
      </c>
    </row>
    <row r="2428" spans="1:9" x14ac:dyDescent="0.25">
      <c r="A2428" s="2" t="str">
        <f>CONCATENATE(Códigos!S2427,Códigos!T2427,Códigos!U2427)</f>
        <v>svv2426v</v>
      </c>
      <c r="B2428" t="s">
        <v>499</v>
      </c>
      <c r="C2428" t="s">
        <v>349</v>
      </c>
      <c r="D2428" s="2" t="s">
        <v>350</v>
      </c>
      <c r="E2428" t="s">
        <v>502</v>
      </c>
      <c r="F2428" s="11">
        <v>44138</v>
      </c>
      <c r="G2428" s="2">
        <f>VLOOKUP(E2428,Produtos!$A:$E,5,FALSE)</f>
        <v>1</v>
      </c>
      <c r="H2428" s="2">
        <f>VLOOKUP(E2428,Produtos!$A:$E,4,FALSE)</f>
        <v>0.5</v>
      </c>
      <c r="I2428" s="2">
        <v>1</v>
      </c>
    </row>
    <row r="2429" spans="1:9" x14ac:dyDescent="0.25">
      <c r="A2429" s="2" t="str">
        <f>CONCATENATE(Códigos!S2428,Códigos!T2428,Códigos!U2428)</f>
        <v>svv2427v</v>
      </c>
      <c r="B2429" t="s">
        <v>499</v>
      </c>
      <c r="C2429" t="s">
        <v>349</v>
      </c>
      <c r="D2429" s="2" t="s">
        <v>350</v>
      </c>
      <c r="E2429" t="s">
        <v>502</v>
      </c>
      <c r="F2429" s="11">
        <v>44139</v>
      </c>
      <c r="G2429" s="2">
        <f>VLOOKUP(E2429,Produtos!$A:$E,5,FALSE)</f>
        <v>1</v>
      </c>
      <c r="H2429" s="2">
        <f>VLOOKUP(E2429,Produtos!$A:$E,4,FALSE)</f>
        <v>0.5</v>
      </c>
      <c r="I2429" s="2">
        <v>1</v>
      </c>
    </row>
    <row r="2430" spans="1:9" x14ac:dyDescent="0.25">
      <c r="A2430" s="2" t="str">
        <f>CONCATENATE(Códigos!S2429,Códigos!T2429,Códigos!U2429)</f>
        <v>svv2428v</v>
      </c>
      <c r="B2430" t="s">
        <v>499</v>
      </c>
      <c r="C2430" t="s">
        <v>349</v>
      </c>
      <c r="D2430" s="2" t="s">
        <v>350</v>
      </c>
      <c r="E2430" t="s">
        <v>502</v>
      </c>
      <c r="F2430" s="11">
        <v>44140</v>
      </c>
      <c r="G2430" s="2">
        <f>VLOOKUP(E2430,Produtos!$A:$E,5,FALSE)</f>
        <v>1</v>
      </c>
      <c r="H2430" s="2">
        <f>VLOOKUP(E2430,Produtos!$A:$E,4,FALSE)</f>
        <v>0.5</v>
      </c>
      <c r="I2430" s="2">
        <v>1</v>
      </c>
    </row>
    <row r="2431" spans="1:9" x14ac:dyDescent="0.25">
      <c r="A2431" s="2" t="str">
        <f>CONCATENATE(Códigos!S2430,Códigos!T2430,Códigos!U2430)</f>
        <v>svv2429v</v>
      </c>
      <c r="B2431" t="s">
        <v>499</v>
      </c>
      <c r="C2431" t="s">
        <v>349</v>
      </c>
      <c r="D2431" s="2" t="s">
        <v>350</v>
      </c>
      <c r="E2431" t="s">
        <v>502</v>
      </c>
      <c r="F2431" s="11">
        <v>44141</v>
      </c>
      <c r="G2431" s="2">
        <f>VLOOKUP(E2431,Produtos!$A:$E,5,FALSE)</f>
        <v>1</v>
      </c>
      <c r="H2431" s="2">
        <f>VLOOKUP(E2431,Produtos!$A:$E,4,FALSE)</f>
        <v>0.5</v>
      </c>
      <c r="I2431" s="2">
        <v>1</v>
      </c>
    </row>
    <row r="2432" spans="1:9" x14ac:dyDescent="0.25">
      <c r="A2432" s="2" t="str">
        <f>CONCATENATE(Códigos!S2431,Códigos!T2431,Códigos!U2431)</f>
        <v>svv2430v</v>
      </c>
      <c r="B2432" t="s">
        <v>499</v>
      </c>
      <c r="C2432" t="s">
        <v>349</v>
      </c>
      <c r="D2432" s="2" t="s">
        <v>350</v>
      </c>
      <c r="E2432" t="s">
        <v>502</v>
      </c>
      <c r="F2432" s="11">
        <v>44142</v>
      </c>
      <c r="G2432" s="2">
        <f>VLOOKUP(E2432,Produtos!$A:$E,5,FALSE)</f>
        <v>1</v>
      </c>
      <c r="H2432" s="2">
        <f>VLOOKUP(E2432,Produtos!$A:$E,4,FALSE)</f>
        <v>0.5</v>
      </c>
      <c r="I2432" s="2">
        <v>1</v>
      </c>
    </row>
    <row r="2433" spans="1:9" x14ac:dyDescent="0.25">
      <c r="A2433" s="2" t="str">
        <f>CONCATENATE(Códigos!S2432,Códigos!T2432,Códigos!U2432)</f>
        <v>svv2431v</v>
      </c>
      <c r="B2433" t="s">
        <v>499</v>
      </c>
      <c r="C2433" t="s">
        <v>349</v>
      </c>
      <c r="D2433" s="2" t="s">
        <v>350</v>
      </c>
      <c r="E2433" t="s">
        <v>502</v>
      </c>
      <c r="F2433" s="11">
        <v>44143</v>
      </c>
      <c r="G2433" s="2">
        <f>VLOOKUP(E2433,Produtos!$A:$E,5,FALSE)</f>
        <v>1</v>
      </c>
      <c r="H2433" s="2">
        <f>VLOOKUP(E2433,Produtos!$A:$E,4,FALSE)</f>
        <v>0.5</v>
      </c>
      <c r="I2433" s="2">
        <v>1</v>
      </c>
    </row>
    <row r="2434" spans="1:9" x14ac:dyDescent="0.25">
      <c r="A2434" s="2" t="str">
        <f>CONCATENATE(Códigos!S2433,Códigos!T2433,Códigos!U2433)</f>
        <v>svv2432v</v>
      </c>
      <c r="B2434" t="s">
        <v>499</v>
      </c>
      <c r="C2434" t="s">
        <v>349</v>
      </c>
      <c r="D2434" s="2" t="s">
        <v>350</v>
      </c>
      <c r="E2434" t="s">
        <v>502</v>
      </c>
      <c r="F2434" s="11">
        <v>44144</v>
      </c>
      <c r="G2434" s="2">
        <f>VLOOKUP(E2434,Produtos!$A:$E,5,FALSE)</f>
        <v>1</v>
      </c>
      <c r="H2434" s="2">
        <f>VLOOKUP(E2434,Produtos!$A:$E,4,FALSE)</f>
        <v>0.5</v>
      </c>
      <c r="I2434" s="2">
        <v>1</v>
      </c>
    </row>
    <row r="2435" spans="1:9" x14ac:dyDescent="0.25">
      <c r="A2435" s="2" t="str">
        <f>CONCATENATE(Códigos!S2434,Códigos!T2434,Códigos!U2434)</f>
        <v>svv2433v</v>
      </c>
      <c r="B2435" t="s">
        <v>499</v>
      </c>
      <c r="C2435" t="s">
        <v>349</v>
      </c>
      <c r="D2435" s="2" t="s">
        <v>350</v>
      </c>
      <c r="E2435" t="s">
        <v>502</v>
      </c>
      <c r="F2435" s="11">
        <v>44145</v>
      </c>
      <c r="G2435" s="2">
        <f>VLOOKUP(E2435,Produtos!$A:$E,5,FALSE)</f>
        <v>1</v>
      </c>
      <c r="H2435" s="2">
        <f>VLOOKUP(E2435,Produtos!$A:$E,4,FALSE)</f>
        <v>0.5</v>
      </c>
      <c r="I2435" s="2">
        <v>1</v>
      </c>
    </row>
    <row r="2436" spans="1:9" x14ac:dyDescent="0.25">
      <c r="A2436" s="2" t="str">
        <f>CONCATENATE(Códigos!S2435,Códigos!T2435,Códigos!U2435)</f>
        <v>svv2434v</v>
      </c>
      <c r="B2436" t="s">
        <v>499</v>
      </c>
      <c r="C2436" t="s">
        <v>349</v>
      </c>
      <c r="D2436" s="2" t="s">
        <v>350</v>
      </c>
      <c r="E2436" t="s">
        <v>502</v>
      </c>
      <c r="F2436" s="11">
        <v>44146</v>
      </c>
      <c r="G2436" s="2">
        <f>VLOOKUP(E2436,Produtos!$A:$E,5,FALSE)</f>
        <v>1</v>
      </c>
      <c r="H2436" s="2">
        <f>VLOOKUP(E2436,Produtos!$A:$E,4,FALSE)</f>
        <v>0.5</v>
      </c>
      <c r="I2436" s="2">
        <v>1</v>
      </c>
    </row>
    <row r="2437" spans="1:9" x14ac:dyDescent="0.25">
      <c r="A2437" s="2" t="str">
        <f>CONCATENATE(Códigos!S2436,Códigos!T2436,Códigos!U2436)</f>
        <v>svv2435v</v>
      </c>
      <c r="B2437" t="s">
        <v>499</v>
      </c>
      <c r="C2437" t="s">
        <v>349</v>
      </c>
      <c r="D2437" s="2" t="s">
        <v>350</v>
      </c>
      <c r="E2437" t="s">
        <v>502</v>
      </c>
      <c r="F2437" s="11">
        <v>44147</v>
      </c>
      <c r="G2437" s="2">
        <f>VLOOKUP(E2437,Produtos!$A:$E,5,FALSE)</f>
        <v>1</v>
      </c>
      <c r="H2437" s="2">
        <f>VLOOKUP(E2437,Produtos!$A:$E,4,FALSE)</f>
        <v>0.5</v>
      </c>
      <c r="I2437" s="2">
        <v>1</v>
      </c>
    </row>
    <row r="2438" spans="1:9" x14ac:dyDescent="0.25">
      <c r="A2438" s="2" t="str">
        <f>CONCATENATE(Códigos!S2437,Códigos!T2437,Códigos!U2437)</f>
        <v>svv2436v</v>
      </c>
      <c r="B2438" t="s">
        <v>499</v>
      </c>
      <c r="C2438" t="s">
        <v>349</v>
      </c>
      <c r="D2438" s="2" t="s">
        <v>350</v>
      </c>
      <c r="E2438" t="s">
        <v>502</v>
      </c>
      <c r="F2438" s="11">
        <v>44148</v>
      </c>
      <c r="G2438" s="2">
        <f>VLOOKUP(E2438,Produtos!$A:$E,5,FALSE)</f>
        <v>1</v>
      </c>
      <c r="H2438" s="2">
        <f>VLOOKUP(E2438,Produtos!$A:$E,4,FALSE)</f>
        <v>0.5</v>
      </c>
      <c r="I2438" s="2">
        <v>1</v>
      </c>
    </row>
    <row r="2439" spans="1:9" x14ac:dyDescent="0.25">
      <c r="A2439" s="2" t="str">
        <f>CONCATENATE(Códigos!S2438,Códigos!T2438,Códigos!U2438)</f>
        <v>svv2437v</v>
      </c>
      <c r="B2439" t="s">
        <v>499</v>
      </c>
      <c r="C2439" t="s">
        <v>349</v>
      </c>
      <c r="D2439" s="2" t="s">
        <v>350</v>
      </c>
      <c r="E2439" t="s">
        <v>502</v>
      </c>
      <c r="F2439" s="11">
        <v>44149</v>
      </c>
      <c r="G2439" s="2">
        <f>VLOOKUP(E2439,Produtos!$A:$E,5,FALSE)</f>
        <v>1</v>
      </c>
      <c r="H2439" s="2">
        <f>VLOOKUP(E2439,Produtos!$A:$E,4,FALSE)</f>
        <v>0.5</v>
      </c>
      <c r="I2439" s="2">
        <v>1</v>
      </c>
    </row>
    <row r="2440" spans="1:9" x14ac:dyDescent="0.25">
      <c r="A2440" s="2" t="str">
        <f>CONCATENATE(Códigos!S2439,Códigos!T2439,Códigos!U2439)</f>
        <v>svv2438v</v>
      </c>
      <c r="B2440" t="s">
        <v>499</v>
      </c>
      <c r="C2440" t="s">
        <v>349</v>
      </c>
      <c r="D2440" s="2" t="s">
        <v>350</v>
      </c>
      <c r="E2440" t="s">
        <v>502</v>
      </c>
      <c r="F2440" s="11">
        <v>44150</v>
      </c>
      <c r="G2440" s="2">
        <f>VLOOKUP(E2440,Produtos!$A:$E,5,FALSE)</f>
        <v>1</v>
      </c>
      <c r="H2440" s="2">
        <f>VLOOKUP(E2440,Produtos!$A:$E,4,FALSE)</f>
        <v>0.5</v>
      </c>
      <c r="I2440" s="2">
        <v>1</v>
      </c>
    </row>
    <row r="2441" spans="1:9" x14ac:dyDescent="0.25">
      <c r="A2441" s="2" t="str">
        <f>CONCATENATE(Códigos!S2440,Códigos!T2440,Códigos!U2440)</f>
        <v>svv2439v</v>
      </c>
      <c r="B2441" t="s">
        <v>499</v>
      </c>
      <c r="C2441" t="s">
        <v>349</v>
      </c>
      <c r="D2441" s="2" t="s">
        <v>350</v>
      </c>
      <c r="E2441" t="s">
        <v>502</v>
      </c>
      <c r="F2441" s="11">
        <v>44151</v>
      </c>
      <c r="G2441" s="2">
        <f>VLOOKUP(E2441,Produtos!$A:$E,5,FALSE)</f>
        <v>1</v>
      </c>
      <c r="H2441" s="2">
        <f>VLOOKUP(E2441,Produtos!$A:$E,4,FALSE)</f>
        <v>0.5</v>
      </c>
      <c r="I2441" s="2">
        <v>1</v>
      </c>
    </row>
    <row r="2442" spans="1:9" x14ac:dyDescent="0.25">
      <c r="A2442" s="2" t="str">
        <f>CONCATENATE(Códigos!S2441,Códigos!T2441,Códigos!U2441)</f>
        <v>svv2440v</v>
      </c>
      <c r="B2442" t="s">
        <v>499</v>
      </c>
      <c r="C2442" t="s">
        <v>349</v>
      </c>
      <c r="D2442" s="2" t="s">
        <v>350</v>
      </c>
      <c r="E2442" t="s">
        <v>502</v>
      </c>
      <c r="F2442" s="11">
        <v>44152</v>
      </c>
      <c r="G2442" s="2">
        <f>VLOOKUP(E2442,Produtos!$A:$E,5,FALSE)</f>
        <v>1</v>
      </c>
      <c r="H2442" s="2">
        <f>VLOOKUP(E2442,Produtos!$A:$E,4,FALSE)</f>
        <v>0.5</v>
      </c>
      <c r="I2442" s="2">
        <v>1</v>
      </c>
    </row>
    <row r="2443" spans="1:9" x14ac:dyDescent="0.25">
      <c r="A2443" s="2" t="str">
        <f>CONCATENATE(Códigos!S2442,Códigos!T2442,Códigos!U2442)</f>
        <v>svv2441v</v>
      </c>
      <c r="B2443" t="s">
        <v>499</v>
      </c>
      <c r="C2443" t="s">
        <v>349</v>
      </c>
      <c r="D2443" s="2" t="s">
        <v>350</v>
      </c>
      <c r="E2443" t="s">
        <v>502</v>
      </c>
      <c r="F2443" s="11">
        <v>44153</v>
      </c>
      <c r="G2443" s="2">
        <f>VLOOKUP(E2443,Produtos!$A:$E,5,FALSE)</f>
        <v>1</v>
      </c>
      <c r="H2443" s="2">
        <f>VLOOKUP(E2443,Produtos!$A:$E,4,FALSE)</f>
        <v>0.5</v>
      </c>
      <c r="I2443" s="2">
        <v>1</v>
      </c>
    </row>
    <row r="2444" spans="1:9" x14ac:dyDescent="0.25">
      <c r="A2444" s="2" t="str">
        <f>CONCATENATE(Códigos!S2443,Códigos!T2443,Códigos!U2443)</f>
        <v>svv2442v</v>
      </c>
      <c r="B2444" t="s">
        <v>499</v>
      </c>
      <c r="C2444" t="s">
        <v>349</v>
      </c>
      <c r="D2444" s="2" t="s">
        <v>350</v>
      </c>
      <c r="E2444" t="s">
        <v>502</v>
      </c>
      <c r="F2444" s="11">
        <v>44154</v>
      </c>
      <c r="G2444" s="2">
        <f>VLOOKUP(E2444,Produtos!$A:$E,5,FALSE)</f>
        <v>1</v>
      </c>
      <c r="H2444" s="2">
        <f>VLOOKUP(E2444,Produtos!$A:$E,4,FALSE)</f>
        <v>0.5</v>
      </c>
      <c r="I2444" s="2">
        <v>1</v>
      </c>
    </row>
    <row r="2445" spans="1:9" x14ac:dyDescent="0.25">
      <c r="A2445" s="2" t="str">
        <f>CONCATENATE(Códigos!S2444,Códigos!T2444,Códigos!U2444)</f>
        <v>svv2443v</v>
      </c>
      <c r="B2445" t="s">
        <v>499</v>
      </c>
      <c r="C2445" t="s">
        <v>349</v>
      </c>
      <c r="D2445" s="2" t="s">
        <v>350</v>
      </c>
      <c r="E2445" t="s">
        <v>502</v>
      </c>
      <c r="F2445" s="11">
        <v>44155</v>
      </c>
      <c r="G2445" s="2">
        <f>VLOOKUP(E2445,Produtos!$A:$E,5,FALSE)</f>
        <v>1</v>
      </c>
      <c r="H2445" s="2">
        <f>VLOOKUP(E2445,Produtos!$A:$E,4,FALSE)</f>
        <v>0.5</v>
      </c>
      <c r="I2445" s="2">
        <v>1</v>
      </c>
    </row>
    <row r="2446" spans="1:9" x14ac:dyDescent="0.25">
      <c r="A2446" s="2" t="str">
        <f>CONCATENATE(Códigos!S2445,Códigos!T2445,Códigos!U2445)</f>
        <v>svv2444v</v>
      </c>
      <c r="B2446" t="s">
        <v>499</v>
      </c>
      <c r="C2446" t="s">
        <v>349</v>
      </c>
      <c r="D2446" s="2" t="s">
        <v>350</v>
      </c>
      <c r="E2446" t="s">
        <v>502</v>
      </c>
      <c r="F2446" s="11">
        <v>44156</v>
      </c>
      <c r="G2446" s="2">
        <f>VLOOKUP(E2446,Produtos!$A:$E,5,FALSE)</f>
        <v>1</v>
      </c>
      <c r="H2446" s="2">
        <f>VLOOKUP(E2446,Produtos!$A:$E,4,FALSE)</f>
        <v>0.5</v>
      </c>
      <c r="I2446" s="2">
        <v>1</v>
      </c>
    </row>
    <row r="2447" spans="1:9" x14ac:dyDescent="0.25">
      <c r="A2447" s="2" t="str">
        <f>CONCATENATE(Códigos!S2446,Códigos!T2446,Códigos!U2446)</f>
        <v>svv2445v</v>
      </c>
      <c r="B2447" t="s">
        <v>499</v>
      </c>
      <c r="C2447" t="s">
        <v>349</v>
      </c>
      <c r="D2447" s="2" t="s">
        <v>350</v>
      </c>
      <c r="E2447" t="s">
        <v>502</v>
      </c>
      <c r="F2447" s="11">
        <v>44157</v>
      </c>
      <c r="G2447" s="2">
        <f>VLOOKUP(E2447,Produtos!$A:$E,5,FALSE)</f>
        <v>1</v>
      </c>
      <c r="H2447" s="2">
        <f>VLOOKUP(E2447,Produtos!$A:$E,4,FALSE)</f>
        <v>0.5</v>
      </c>
      <c r="I2447" s="2">
        <v>1</v>
      </c>
    </row>
    <row r="2448" spans="1:9" x14ac:dyDescent="0.25">
      <c r="A2448" s="2" t="str">
        <f>CONCATENATE(Códigos!S2447,Códigos!T2447,Códigos!U2447)</f>
        <v>svv2446v</v>
      </c>
      <c r="B2448" t="s">
        <v>499</v>
      </c>
      <c r="C2448" t="s">
        <v>349</v>
      </c>
      <c r="D2448" s="2" t="s">
        <v>350</v>
      </c>
      <c r="E2448" t="s">
        <v>502</v>
      </c>
      <c r="F2448" s="11">
        <v>44158</v>
      </c>
      <c r="G2448" s="2">
        <f>VLOOKUP(E2448,Produtos!$A:$E,5,FALSE)</f>
        <v>1</v>
      </c>
      <c r="H2448" s="2">
        <f>VLOOKUP(E2448,Produtos!$A:$E,4,FALSE)</f>
        <v>0.5</v>
      </c>
      <c r="I2448" s="2">
        <v>1</v>
      </c>
    </row>
    <row r="2449" spans="1:9" x14ac:dyDescent="0.25">
      <c r="A2449" s="2" t="str">
        <f>CONCATENATE(Códigos!S2448,Códigos!T2448,Códigos!U2448)</f>
        <v>svv2447v</v>
      </c>
      <c r="B2449" t="s">
        <v>499</v>
      </c>
      <c r="C2449" t="s">
        <v>349</v>
      </c>
      <c r="D2449" s="2" t="s">
        <v>350</v>
      </c>
      <c r="E2449" t="s">
        <v>502</v>
      </c>
      <c r="F2449" s="11">
        <v>44159</v>
      </c>
      <c r="G2449" s="2">
        <f>VLOOKUP(E2449,Produtos!$A:$E,5,FALSE)</f>
        <v>1</v>
      </c>
      <c r="H2449" s="2">
        <f>VLOOKUP(E2449,Produtos!$A:$E,4,FALSE)</f>
        <v>0.5</v>
      </c>
      <c r="I2449" s="2">
        <v>1</v>
      </c>
    </row>
    <row r="2450" spans="1:9" x14ac:dyDescent="0.25">
      <c r="A2450" s="2" t="str">
        <f>CONCATENATE(Códigos!S2449,Códigos!T2449,Códigos!U2449)</f>
        <v>svv2448v</v>
      </c>
      <c r="B2450" t="s">
        <v>499</v>
      </c>
      <c r="C2450" t="s">
        <v>349</v>
      </c>
      <c r="D2450" s="2" t="s">
        <v>350</v>
      </c>
      <c r="E2450" t="s">
        <v>502</v>
      </c>
      <c r="F2450" s="11">
        <v>44160</v>
      </c>
      <c r="G2450" s="2">
        <f>VLOOKUP(E2450,Produtos!$A:$E,5,FALSE)</f>
        <v>1</v>
      </c>
      <c r="H2450" s="2">
        <f>VLOOKUP(E2450,Produtos!$A:$E,4,FALSE)</f>
        <v>0.5</v>
      </c>
      <c r="I2450" s="2">
        <v>1</v>
      </c>
    </row>
    <row r="2451" spans="1:9" x14ac:dyDescent="0.25">
      <c r="A2451" s="2" t="str">
        <f>CONCATENATE(Códigos!S2450,Códigos!T2450,Códigos!U2450)</f>
        <v>svv2449v</v>
      </c>
      <c r="B2451" t="s">
        <v>499</v>
      </c>
      <c r="C2451" t="s">
        <v>349</v>
      </c>
      <c r="D2451" s="2" t="s">
        <v>350</v>
      </c>
      <c r="E2451" t="s">
        <v>502</v>
      </c>
      <c r="F2451" s="11">
        <v>44161</v>
      </c>
      <c r="G2451" s="2">
        <f>VLOOKUP(E2451,Produtos!$A:$E,5,FALSE)</f>
        <v>1</v>
      </c>
      <c r="H2451" s="2">
        <f>VLOOKUP(E2451,Produtos!$A:$E,4,FALSE)</f>
        <v>0.5</v>
      </c>
      <c r="I2451" s="2">
        <v>1</v>
      </c>
    </row>
    <row r="2452" spans="1:9" x14ac:dyDescent="0.25">
      <c r="A2452" s="2" t="str">
        <f>CONCATENATE(Códigos!S2451,Códigos!T2451,Códigos!U2451)</f>
        <v>svv2450v</v>
      </c>
      <c r="B2452" t="s">
        <v>499</v>
      </c>
      <c r="C2452" t="s">
        <v>349</v>
      </c>
      <c r="D2452" s="2" t="s">
        <v>350</v>
      </c>
      <c r="E2452" t="s">
        <v>502</v>
      </c>
      <c r="F2452" s="11">
        <v>44162</v>
      </c>
      <c r="G2452" s="2">
        <f>VLOOKUP(E2452,Produtos!$A:$E,5,FALSE)</f>
        <v>1</v>
      </c>
      <c r="H2452" s="2">
        <f>VLOOKUP(E2452,Produtos!$A:$E,4,FALSE)</f>
        <v>0.5</v>
      </c>
      <c r="I2452" s="2">
        <v>1</v>
      </c>
    </row>
    <row r="2453" spans="1:9" x14ac:dyDescent="0.25">
      <c r="A2453" s="2" t="str">
        <f>CONCATENATE(Códigos!S2452,Códigos!T2452,Códigos!U2452)</f>
        <v>svv2451v</v>
      </c>
      <c r="B2453" t="s">
        <v>499</v>
      </c>
      <c r="C2453" t="s">
        <v>349</v>
      </c>
      <c r="D2453" s="2" t="s">
        <v>350</v>
      </c>
      <c r="E2453" t="s">
        <v>502</v>
      </c>
      <c r="F2453" s="11">
        <v>44163</v>
      </c>
      <c r="G2453" s="2">
        <f>VLOOKUP(E2453,Produtos!$A:$E,5,FALSE)</f>
        <v>1</v>
      </c>
      <c r="H2453" s="2">
        <f>VLOOKUP(E2453,Produtos!$A:$E,4,FALSE)</f>
        <v>0.5</v>
      </c>
      <c r="I2453" s="2">
        <v>1</v>
      </c>
    </row>
    <row r="2454" spans="1:9" x14ac:dyDescent="0.25">
      <c r="A2454" s="2" t="str">
        <f>CONCATENATE(Códigos!S2453,Códigos!T2453,Códigos!U2453)</f>
        <v>svv2452v</v>
      </c>
      <c r="B2454" t="s">
        <v>499</v>
      </c>
      <c r="C2454" t="s">
        <v>349</v>
      </c>
      <c r="D2454" s="2" t="s">
        <v>350</v>
      </c>
      <c r="E2454" t="s">
        <v>502</v>
      </c>
      <c r="F2454" s="11">
        <v>44164</v>
      </c>
      <c r="G2454" s="2">
        <f>VLOOKUP(E2454,Produtos!$A:$E,5,FALSE)</f>
        <v>1</v>
      </c>
      <c r="H2454" s="2">
        <f>VLOOKUP(E2454,Produtos!$A:$E,4,FALSE)</f>
        <v>0.5</v>
      </c>
      <c r="I2454" s="2">
        <v>1</v>
      </c>
    </row>
    <row r="2455" spans="1:9" x14ac:dyDescent="0.25">
      <c r="A2455" s="2" t="str">
        <f>CONCATENATE(Códigos!S2454,Códigos!T2454,Códigos!U2454)</f>
        <v>svv2453v</v>
      </c>
      <c r="B2455" t="s">
        <v>499</v>
      </c>
      <c r="C2455" t="s">
        <v>349</v>
      </c>
      <c r="D2455" s="2" t="s">
        <v>350</v>
      </c>
      <c r="E2455" t="s">
        <v>502</v>
      </c>
      <c r="F2455" s="11">
        <v>44165</v>
      </c>
      <c r="G2455" s="2">
        <f>VLOOKUP(E2455,Produtos!$A:$E,5,FALSE)</f>
        <v>1</v>
      </c>
      <c r="H2455" s="2">
        <f>VLOOKUP(E2455,Produtos!$A:$E,4,FALSE)</f>
        <v>0.5</v>
      </c>
      <c r="I2455" s="2">
        <v>1</v>
      </c>
    </row>
    <row r="2456" spans="1:9" x14ac:dyDescent="0.25">
      <c r="A2456" s="2" t="str">
        <f>CONCATENATE(Códigos!S2455,Códigos!T2455,Códigos!U2455)</f>
        <v>svv2454v</v>
      </c>
      <c r="B2456" t="s">
        <v>499</v>
      </c>
      <c r="C2456" t="s">
        <v>349</v>
      </c>
      <c r="D2456" s="2" t="s">
        <v>350</v>
      </c>
      <c r="E2456" t="s">
        <v>502</v>
      </c>
      <c r="F2456" s="11">
        <v>44166</v>
      </c>
      <c r="G2456" s="2">
        <f>VLOOKUP(E2456,Produtos!$A:$E,5,FALSE)</f>
        <v>1</v>
      </c>
      <c r="H2456" s="2">
        <f>VLOOKUP(E2456,Produtos!$A:$E,4,FALSE)</f>
        <v>0.5</v>
      </c>
      <c r="I2456" s="2">
        <v>1</v>
      </c>
    </row>
    <row r="2457" spans="1:9" x14ac:dyDescent="0.25">
      <c r="A2457" s="2" t="str">
        <f>CONCATENATE(Códigos!S2456,Códigos!T2456,Códigos!U2456)</f>
        <v>svv2455v</v>
      </c>
      <c r="B2457" t="s">
        <v>499</v>
      </c>
      <c r="C2457" t="s">
        <v>349</v>
      </c>
      <c r="D2457" s="2" t="s">
        <v>350</v>
      </c>
      <c r="E2457" t="s">
        <v>502</v>
      </c>
      <c r="F2457" s="11">
        <v>44167</v>
      </c>
      <c r="G2457" s="2">
        <f>VLOOKUP(E2457,Produtos!$A:$E,5,FALSE)</f>
        <v>1</v>
      </c>
      <c r="H2457" s="2">
        <f>VLOOKUP(E2457,Produtos!$A:$E,4,FALSE)</f>
        <v>0.5</v>
      </c>
      <c r="I2457" s="2">
        <v>1</v>
      </c>
    </row>
    <row r="2458" spans="1:9" x14ac:dyDescent="0.25">
      <c r="A2458" s="2" t="str">
        <f>CONCATENATE(Códigos!S2457,Códigos!T2457,Códigos!U2457)</f>
        <v>svv2456v</v>
      </c>
      <c r="B2458" t="s">
        <v>499</v>
      </c>
      <c r="C2458" t="s">
        <v>349</v>
      </c>
      <c r="D2458" s="2" t="s">
        <v>350</v>
      </c>
      <c r="E2458" t="s">
        <v>502</v>
      </c>
      <c r="F2458" s="11">
        <v>44168</v>
      </c>
      <c r="G2458" s="2">
        <f>VLOOKUP(E2458,Produtos!$A:$E,5,FALSE)</f>
        <v>1</v>
      </c>
      <c r="H2458" s="2">
        <f>VLOOKUP(E2458,Produtos!$A:$E,4,FALSE)</f>
        <v>0.5</v>
      </c>
      <c r="I2458" s="2">
        <v>1</v>
      </c>
    </row>
    <row r="2459" spans="1:9" x14ac:dyDescent="0.25">
      <c r="A2459" s="2" t="str">
        <f>CONCATENATE(Códigos!S2458,Códigos!T2458,Códigos!U2458)</f>
        <v>svv2457v</v>
      </c>
      <c r="B2459" t="s">
        <v>499</v>
      </c>
      <c r="C2459" t="s">
        <v>349</v>
      </c>
      <c r="D2459" s="2" t="s">
        <v>350</v>
      </c>
      <c r="E2459" t="s">
        <v>502</v>
      </c>
      <c r="F2459" s="11">
        <v>44169</v>
      </c>
      <c r="G2459" s="2">
        <f>VLOOKUP(E2459,Produtos!$A:$E,5,FALSE)</f>
        <v>1</v>
      </c>
      <c r="H2459" s="2">
        <f>VLOOKUP(E2459,Produtos!$A:$E,4,FALSE)</f>
        <v>0.5</v>
      </c>
      <c r="I2459" s="2">
        <v>1</v>
      </c>
    </row>
    <row r="2460" spans="1:9" x14ac:dyDescent="0.25">
      <c r="A2460" s="2" t="str">
        <f>CONCATENATE(Códigos!S2459,Códigos!T2459,Códigos!U2459)</f>
        <v>svv2458v</v>
      </c>
      <c r="B2460" t="s">
        <v>499</v>
      </c>
      <c r="C2460" t="s">
        <v>349</v>
      </c>
      <c r="D2460" s="2" t="s">
        <v>350</v>
      </c>
      <c r="E2460" t="s">
        <v>502</v>
      </c>
      <c r="F2460" s="11">
        <v>44170</v>
      </c>
      <c r="G2460" s="2">
        <f>VLOOKUP(E2460,Produtos!$A:$E,5,FALSE)</f>
        <v>1</v>
      </c>
      <c r="H2460" s="2">
        <f>VLOOKUP(E2460,Produtos!$A:$E,4,FALSE)</f>
        <v>0.5</v>
      </c>
      <c r="I2460" s="2">
        <v>1</v>
      </c>
    </row>
    <row r="2461" spans="1:9" x14ac:dyDescent="0.25">
      <c r="A2461" s="2" t="str">
        <f>CONCATENATE(Códigos!S2460,Códigos!T2460,Códigos!U2460)</f>
        <v>svv2459v</v>
      </c>
      <c r="B2461" t="s">
        <v>499</v>
      </c>
      <c r="C2461" t="s">
        <v>349</v>
      </c>
      <c r="D2461" s="2" t="s">
        <v>350</v>
      </c>
      <c r="E2461" t="s">
        <v>502</v>
      </c>
      <c r="F2461" s="11">
        <v>44171</v>
      </c>
      <c r="G2461" s="2">
        <f>VLOOKUP(E2461,Produtos!$A:$E,5,FALSE)</f>
        <v>1</v>
      </c>
      <c r="H2461" s="2">
        <f>VLOOKUP(E2461,Produtos!$A:$E,4,FALSE)</f>
        <v>0.5</v>
      </c>
      <c r="I2461" s="2">
        <v>1</v>
      </c>
    </row>
    <row r="2462" spans="1:9" x14ac:dyDescent="0.25">
      <c r="A2462" s="2" t="str">
        <f>CONCATENATE(Códigos!S2461,Códigos!T2461,Códigos!U2461)</f>
        <v>svv2460v</v>
      </c>
      <c r="B2462" t="s">
        <v>499</v>
      </c>
      <c r="C2462" t="s">
        <v>349</v>
      </c>
      <c r="D2462" s="2" t="s">
        <v>350</v>
      </c>
      <c r="E2462" t="s">
        <v>412</v>
      </c>
      <c r="F2462" s="11">
        <v>44172</v>
      </c>
      <c r="G2462" s="2">
        <f>VLOOKUP(E2462,Produtos!$A:$E,5,FALSE)</f>
        <v>280</v>
      </c>
      <c r="H2462" s="2">
        <f>VLOOKUP(E2462,Produtos!$A:$E,4,FALSE)</f>
        <v>130</v>
      </c>
      <c r="I2462" s="2">
        <v>1</v>
      </c>
    </row>
    <row r="2463" spans="1:9" x14ac:dyDescent="0.25">
      <c r="A2463" s="2" t="str">
        <f>CONCATENATE(Códigos!S2462,Códigos!T2462,Códigos!U2462)</f>
        <v>svv2461v</v>
      </c>
      <c r="B2463" t="s">
        <v>499</v>
      </c>
      <c r="C2463" t="s">
        <v>349</v>
      </c>
      <c r="D2463" s="2" t="s">
        <v>350</v>
      </c>
      <c r="E2463" t="s">
        <v>412</v>
      </c>
      <c r="F2463" s="11">
        <v>44173</v>
      </c>
      <c r="G2463" s="2">
        <f>VLOOKUP(E2463,Produtos!$A:$E,5,FALSE)</f>
        <v>280</v>
      </c>
      <c r="H2463" s="2">
        <f>VLOOKUP(E2463,Produtos!$A:$E,4,FALSE)</f>
        <v>130</v>
      </c>
      <c r="I2463" s="2">
        <v>1</v>
      </c>
    </row>
    <row r="2464" spans="1:9" x14ac:dyDescent="0.25">
      <c r="A2464" s="2" t="str">
        <f>CONCATENATE(Códigos!S2463,Códigos!T2463,Códigos!U2463)</f>
        <v>svv2462v</v>
      </c>
      <c r="B2464" t="s">
        <v>499</v>
      </c>
      <c r="C2464" t="s">
        <v>349</v>
      </c>
      <c r="D2464" s="2" t="s">
        <v>350</v>
      </c>
      <c r="E2464" t="s">
        <v>412</v>
      </c>
      <c r="F2464" s="11">
        <v>44174</v>
      </c>
      <c r="G2464" s="2">
        <f>VLOOKUP(E2464,Produtos!$A:$E,5,FALSE)</f>
        <v>280</v>
      </c>
      <c r="H2464" s="2">
        <f>VLOOKUP(E2464,Produtos!$A:$E,4,FALSE)</f>
        <v>130</v>
      </c>
      <c r="I2464" s="2">
        <v>1</v>
      </c>
    </row>
    <row r="2465" spans="1:9" x14ac:dyDescent="0.25">
      <c r="A2465" s="2" t="str">
        <f>CONCATENATE(Códigos!S2464,Códigos!T2464,Códigos!U2464)</f>
        <v>svv2463v</v>
      </c>
      <c r="B2465" t="s">
        <v>499</v>
      </c>
      <c r="C2465" t="s">
        <v>349</v>
      </c>
      <c r="D2465" s="2" t="s">
        <v>350</v>
      </c>
      <c r="E2465" t="s">
        <v>412</v>
      </c>
      <c r="F2465" s="11">
        <v>44175</v>
      </c>
      <c r="G2465" s="2">
        <f>VLOOKUP(E2465,Produtos!$A:$E,5,FALSE)</f>
        <v>280</v>
      </c>
      <c r="H2465" s="2">
        <f>VLOOKUP(E2465,Produtos!$A:$E,4,FALSE)</f>
        <v>130</v>
      </c>
      <c r="I2465" s="2">
        <v>1</v>
      </c>
    </row>
    <row r="2466" spans="1:9" x14ac:dyDescent="0.25">
      <c r="A2466" s="2" t="str">
        <f>CONCATENATE(Códigos!S2465,Códigos!T2465,Códigos!U2465)</f>
        <v>svv2464v</v>
      </c>
      <c r="B2466" t="s">
        <v>499</v>
      </c>
      <c r="C2466" t="s">
        <v>349</v>
      </c>
      <c r="D2466" s="2" t="s">
        <v>350</v>
      </c>
      <c r="E2466" t="s">
        <v>412</v>
      </c>
      <c r="F2466" s="11">
        <v>44176</v>
      </c>
      <c r="G2466" s="2">
        <f>VLOOKUP(E2466,Produtos!$A:$E,5,FALSE)</f>
        <v>280</v>
      </c>
      <c r="H2466" s="2">
        <f>VLOOKUP(E2466,Produtos!$A:$E,4,FALSE)</f>
        <v>130</v>
      </c>
      <c r="I2466" s="2">
        <v>1</v>
      </c>
    </row>
    <row r="2467" spans="1:9" x14ac:dyDescent="0.25">
      <c r="A2467" s="2" t="str">
        <f>CONCATENATE(Códigos!S2466,Códigos!T2466,Códigos!U2466)</f>
        <v>svv2465v</v>
      </c>
      <c r="B2467" t="s">
        <v>499</v>
      </c>
      <c r="C2467" t="s">
        <v>349</v>
      </c>
      <c r="D2467" s="2" t="s">
        <v>350</v>
      </c>
      <c r="E2467" t="s">
        <v>412</v>
      </c>
      <c r="F2467" s="11">
        <v>44177</v>
      </c>
      <c r="G2467" s="2">
        <f>VLOOKUP(E2467,Produtos!$A:$E,5,FALSE)</f>
        <v>280</v>
      </c>
      <c r="H2467" s="2">
        <f>VLOOKUP(E2467,Produtos!$A:$E,4,FALSE)</f>
        <v>130</v>
      </c>
      <c r="I2467" s="2">
        <v>1</v>
      </c>
    </row>
    <row r="2468" spans="1:9" x14ac:dyDescent="0.25">
      <c r="A2468" s="2" t="str">
        <f>CONCATENATE(Códigos!S2467,Códigos!T2467,Códigos!U2467)</f>
        <v>svv2466v</v>
      </c>
      <c r="B2468" t="s">
        <v>499</v>
      </c>
      <c r="C2468" t="s">
        <v>349</v>
      </c>
      <c r="D2468" s="2" t="s">
        <v>350</v>
      </c>
      <c r="E2468" t="s">
        <v>412</v>
      </c>
      <c r="F2468" s="11">
        <v>44178</v>
      </c>
      <c r="G2468" s="2">
        <f>VLOOKUP(E2468,Produtos!$A:$E,5,FALSE)</f>
        <v>280</v>
      </c>
      <c r="H2468" s="2">
        <f>VLOOKUP(E2468,Produtos!$A:$E,4,FALSE)</f>
        <v>130</v>
      </c>
      <c r="I2468" s="2">
        <v>1</v>
      </c>
    </row>
    <row r="2469" spans="1:9" x14ac:dyDescent="0.25">
      <c r="A2469" s="2" t="str">
        <f>CONCATENATE(Códigos!S2468,Códigos!T2468,Códigos!U2468)</f>
        <v>svv2467v</v>
      </c>
      <c r="B2469" t="s">
        <v>499</v>
      </c>
      <c r="C2469" t="s">
        <v>349</v>
      </c>
      <c r="D2469" s="2" t="s">
        <v>350</v>
      </c>
      <c r="E2469" t="s">
        <v>412</v>
      </c>
      <c r="F2469" s="11">
        <v>44179</v>
      </c>
      <c r="G2469" s="2">
        <f>VLOOKUP(E2469,Produtos!$A:$E,5,FALSE)</f>
        <v>280</v>
      </c>
      <c r="H2469" s="2">
        <f>VLOOKUP(E2469,Produtos!$A:$E,4,FALSE)</f>
        <v>130</v>
      </c>
      <c r="I2469" s="2">
        <v>1</v>
      </c>
    </row>
    <row r="2470" spans="1:9" x14ac:dyDescent="0.25">
      <c r="A2470" s="2" t="str">
        <f>CONCATENATE(Códigos!S2469,Códigos!T2469,Códigos!U2469)</f>
        <v>svv2468v</v>
      </c>
      <c r="B2470" t="s">
        <v>499</v>
      </c>
      <c r="C2470" t="s">
        <v>349</v>
      </c>
      <c r="D2470" s="2" t="s">
        <v>350</v>
      </c>
      <c r="E2470" t="s">
        <v>412</v>
      </c>
      <c r="F2470" s="11">
        <v>44180</v>
      </c>
      <c r="G2470" s="2">
        <f>VLOOKUP(E2470,Produtos!$A:$E,5,FALSE)</f>
        <v>280</v>
      </c>
      <c r="H2470" s="2">
        <f>VLOOKUP(E2470,Produtos!$A:$E,4,FALSE)</f>
        <v>130</v>
      </c>
      <c r="I2470" s="2">
        <v>1</v>
      </c>
    </row>
    <row r="2471" spans="1:9" x14ac:dyDescent="0.25">
      <c r="A2471" s="2" t="str">
        <f>CONCATENATE(Códigos!S2470,Códigos!T2470,Códigos!U2470)</f>
        <v>svv2469v</v>
      </c>
      <c r="B2471" t="s">
        <v>499</v>
      </c>
      <c r="C2471" t="s">
        <v>349</v>
      </c>
      <c r="D2471" s="2" t="s">
        <v>350</v>
      </c>
      <c r="E2471" t="s">
        <v>412</v>
      </c>
      <c r="F2471" s="11">
        <v>44181</v>
      </c>
      <c r="G2471" s="2">
        <f>VLOOKUP(E2471,Produtos!$A:$E,5,FALSE)</f>
        <v>280</v>
      </c>
      <c r="H2471" s="2">
        <f>VLOOKUP(E2471,Produtos!$A:$E,4,FALSE)</f>
        <v>130</v>
      </c>
      <c r="I2471" s="2">
        <v>1</v>
      </c>
    </row>
    <row r="2472" spans="1:9" x14ac:dyDescent="0.25">
      <c r="A2472" s="2" t="str">
        <f>CONCATENATE(Códigos!S2471,Códigos!T2471,Códigos!U2471)</f>
        <v>svv2470v</v>
      </c>
      <c r="B2472" t="s">
        <v>499</v>
      </c>
      <c r="C2472" t="s">
        <v>349</v>
      </c>
      <c r="D2472" s="2" t="s">
        <v>350</v>
      </c>
      <c r="E2472" t="s">
        <v>412</v>
      </c>
      <c r="F2472" s="11">
        <v>44182</v>
      </c>
      <c r="G2472" s="2">
        <f>VLOOKUP(E2472,Produtos!$A:$E,5,FALSE)</f>
        <v>280</v>
      </c>
      <c r="H2472" s="2">
        <f>VLOOKUP(E2472,Produtos!$A:$E,4,FALSE)</f>
        <v>130</v>
      </c>
      <c r="I2472" s="2">
        <v>1</v>
      </c>
    </row>
    <row r="2473" spans="1:9" x14ac:dyDescent="0.25">
      <c r="A2473" s="2" t="str">
        <f>CONCATENATE(Códigos!S2472,Códigos!T2472,Códigos!U2472)</f>
        <v>svv2471v</v>
      </c>
      <c r="B2473" t="s">
        <v>499</v>
      </c>
      <c r="C2473" t="s">
        <v>349</v>
      </c>
      <c r="D2473" s="2" t="s">
        <v>350</v>
      </c>
      <c r="E2473" t="s">
        <v>412</v>
      </c>
      <c r="F2473" s="11">
        <v>44183</v>
      </c>
      <c r="G2473" s="2">
        <f>VLOOKUP(E2473,Produtos!$A:$E,5,FALSE)</f>
        <v>280</v>
      </c>
      <c r="H2473" s="2">
        <f>VLOOKUP(E2473,Produtos!$A:$E,4,FALSE)</f>
        <v>130</v>
      </c>
      <c r="I2473" s="2">
        <v>1</v>
      </c>
    </row>
    <row r="2474" spans="1:9" x14ac:dyDescent="0.25">
      <c r="A2474" s="2" t="str">
        <f>CONCATENATE(Códigos!S2473,Códigos!T2473,Códigos!U2473)</f>
        <v>svv2472v</v>
      </c>
      <c r="B2474" t="s">
        <v>499</v>
      </c>
      <c r="C2474" t="s">
        <v>349</v>
      </c>
      <c r="D2474" s="2" t="s">
        <v>350</v>
      </c>
      <c r="E2474" t="s">
        <v>412</v>
      </c>
      <c r="F2474" s="11">
        <v>44184</v>
      </c>
      <c r="G2474" s="2">
        <f>VLOOKUP(E2474,Produtos!$A:$E,5,FALSE)</f>
        <v>280</v>
      </c>
      <c r="H2474" s="2">
        <f>VLOOKUP(E2474,Produtos!$A:$E,4,FALSE)</f>
        <v>130</v>
      </c>
      <c r="I2474" s="2">
        <v>1</v>
      </c>
    </row>
    <row r="2475" spans="1:9" x14ac:dyDescent="0.25">
      <c r="A2475" s="2" t="str">
        <f>CONCATENATE(Códigos!S2474,Códigos!T2474,Códigos!U2474)</f>
        <v>svv2473v</v>
      </c>
      <c r="B2475" t="s">
        <v>499</v>
      </c>
      <c r="C2475" t="s">
        <v>349</v>
      </c>
      <c r="D2475" s="2" t="s">
        <v>350</v>
      </c>
      <c r="E2475" t="s">
        <v>412</v>
      </c>
      <c r="F2475" s="11">
        <v>44185</v>
      </c>
      <c r="G2475" s="2">
        <f>VLOOKUP(E2475,Produtos!$A:$E,5,FALSE)</f>
        <v>280</v>
      </c>
      <c r="H2475" s="2">
        <f>VLOOKUP(E2475,Produtos!$A:$E,4,FALSE)</f>
        <v>130</v>
      </c>
      <c r="I2475" s="2">
        <v>1</v>
      </c>
    </row>
    <row r="2476" spans="1:9" x14ac:dyDescent="0.25">
      <c r="A2476" s="2" t="str">
        <f>CONCATENATE(Códigos!S2475,Códigos!T2475,Códigos!U2475)</f>
        <v>svv2474v</v>
      </c>
      <c r="B2476" t="s">
        <v>499</v>
      </c>
      <c r="C2476" t="s">
        <v>349</v>
      </c>
      <c r="D2476" s="2" t="s">
        <v>350</v>
      </c>
      <c r="E2476" t="s">
        <v>412</v>
      </c>
      <c r="F2476" s="11">
        <v>44186</v>
      </c>
      <c r="G2476" s="2">
        <f>VLOOKUP(E2476,Produtos!$A:$E,5,FALSE)</f>
        <v>280</v>
      </c>
      <c r="H2476" s="2">
        <f>VLOOKUP(E2476,Produtos!$A:$E,4,FALSE)</f>
        <v>130</v>
      </c>
      <c r="I2476" s="2">
        <v>1</v>
      </c>
    </row>
    <row r="2477" spans="1:9" x14ac:dyDescent="0.25">
      <c r="A2477" s="2" t="str">
        <f>CONCATENATE(Códigos!S2476,Códigos!T2476,Códigos!U2476)</f>
        <v>svv2475v</v>
      </c>
      <c r="B2477" t="s">
        <v>499</v>
      </c>
      <c r="C2477" t="s">
        <v>349</v>
      </c>
      <c r="D2477" s="2" t="s">
        <v>350</v>
      </c>
      <c r="E2477" t="s">
        <v>412</v>
      </c>
      <c r="F2477" s="11">
        <v>44187</v>
      </c>
      <c r="G2477" s="2">
        <f>VLOOKUP(E2477,Produtos!$A:$E,5,FALSE)</f>
        <v>280</v>
      </c>
      <c r="H2477" s="2">
        <f>VLOOKUP(E2477,Produtos!$A:$E,4,FALSE)</f>
        <v>130</v>
      </c>
      <c r="I2477" s="2">
        <v>1</v>
      </c>
    </row>
    <row r="2478" spans="1:9" x14ac:dyDescent="0.25">
      <c r="A2478" s="2" t="str">
        <f>CONCATENATE(Códigos!S2477,Códigos!T2477,Códigos!U2477)</f>
        <v>svv2476v</v>
      </c>
      <c r="B2478" t="s">
        <v>499</v>
      </c>
      <c r="C2478" t="s">
        <v>349</v>
      </c>
      <c r="D2478" s="2" t="s">
        <v>350</v>
      </c>
      <c r="E2478" t="s">
        <v>412</v>
      </c>
      <c r="F2478" s="11">
        <v>44188</v>
      </c>
      <c r="G2478" s="2">
        <f>VLOOKUP(E2478,Produtos!$A:$E,5,FALSE)</f>
        <v>280</v>
      </c>
      <c r="H2478" s="2">
        <f>VLOOKUP(E2478,Produtos!$A:$E,4,FALSE)</f>
        <v>130</v>
      </c>
      <c r="I2478" s="2">
        <v>1</v>
      </c>
    </row>
    <row r="2479" spans="1:9" x14ac:dyDescent="0.25">
      <c r="A2479" s="2" t="str">
        <f>CONCATENATE(Códigos!S2478,Códigos!T2478,Códigos!U2478)</f>
        <v>svv2477v</v>
      </c>
      <c r="B2479" t="s">
        <v>499</v>
      </c>
      <c r="C2479" t="s">
        <v>349</v>
      </c>
      <c r="D2479" s="2" t="s">
        <v>350</v>
      </c>
      <c r="E2479" t="s">
        <v>412</v>
      </c>
      <c r="F2479" s="11">
        <v>44189</v>
      </c>
      <c r="G2479" s="2">
        <f>VLOOKUP(E2479,Produtos!$A:$E,5,FALSE)</f>
        <v>280</v>
      </c>
      <c r="H2479" s="2">
        <f>VLOOKUP(E2479,Produtos!$A:$E,4,FALSE)</f>
        <v>130</v>
      </c>
      <c r="I2479" s="2">
        <v>1</v>
      </c>
    </row>
    <row r="2480" spans="1:9" x14ac:dyDescent="0.25">
      <c r="A2480" s="2" t="str">
        <f>CONCATENATE(Códigos!S2479,Códigos!T2479,Códigos!U2479)</f>
        <v>svv2478v</v>
      </c>
      <c r="B2480" t="s">
        <v>499</v>
      </c>
      <c r="C2480" t="s">
        <v>349</v>
      </c>
      <c r="D2480" s="2" t="s">
        <v>350</v>
      </c>
      <c r="E2480" t="s">
        <v>412</v>
      </c>
      <c r="F2480" s="11">
        <v>44190</v>
      </c>
      <c r="G2480" s="2">
        <f>VLOOKUP(E2480,Produtos!$A:$E,5,FALSE)</f>
        <v>280</v>
      </c>
      <c r="H2480" s="2">
        <f>VLOOKUP(E2480,Produtos!$A:$E,4,FALSE)</f>
        <v>130</v>
      </c>
      <c r="I2480" s="2">
        <v>1</v>
      </c>
    </row>
    <row r="2481" spans="1:9" x14ac:dyDescent="0.25">
      <c r="A2481" s="2" t="str">
        <f>CONCATENATE(Códigos!S2480,Códigos!T2480,Códigos!U2480)</f>
        <v>svv2479v</v>
      </c>
      <c r="B2481" t="s">
        <v>499</v>
      </c>
      <c r="C2481" t="s">
        <v>349</v>
      </c>
      <c r="D2481" s="2" t="s">
        <v>350</v>
      </c>
      <c r="E2481" t="s">
        <v>412</v>
      </c>
      <c r="F2481" s="11">
        <v>44191</v>
      </c>
      <c r="G2481" s="2">
        <f>VLOOKUP(E2481,Produtos!$A:$E,5,FALSE)</f>
        <v>280</v>
      </c>
      <c r="H2481" s="2">
        <f>VLOOKUP(E2481,Produtos!$A:$E,4,FALSE)</f>
        <v>130</v>
      </c>
      <c r="I2481" s="2">
        <v>1</v>
      </c>
    </row>
    <row r="2482" spans="1:9" x14ac:dyDescent="0.25">
      <c r="A2482" s="2" t="str">
        <f>CONCATENATE(Códigos!S2481,Códigos!T2481,Códigos!U2481)</f>
        <v>svv2480v</v>
      </c>
      <c r="B2482" t="s">
        <v>499</v>
      </c>
      <c r="C2482" t="s">
        <v>349</v>
      </c>
      <c r="D2482" s="2" t="s">
        <v>350</v>
      </c>
      <c r="E2482" t="s">
        <v>412</v>
      </c>
      <c r="F2482" s="11">
        <v>44192</v>
      </c>
      <c r="G2482" s="2">
        <f>VLOOKUP(E2482,Produtos!$A:$E,5,FALSE)</f>
        <v>280</v>
      </c>
      <c r="H2482" s="2">
        <f>VLOOKUP(E2482,Produtos!$A:$E,4,FALSE)</f>
        <v>130</v>
      </c>
      <c r="I2482" s="2">
        <v>1</v>
      </c>
    </row>
    <row r="2483" spans="1:9" x14ac:dyDescent="0.25">
      <c r="A2483" s="2" t="str">
        <f>CONCATENATE(Códigos!S2482,Códigos!T2482,Códigos!U2482)</f>
        <v>svv2481v</v>
      </c>
      <c r="B2483" t="s">
        <v>499</v>
      </c>
      <c r="C2483" t="s">
        <v>349</v>
      </c>
      <c r="D2483" s="2" t="s">
        <v>350</v>
      </c>
      <c r="E2483" t="s">
        <v>412</v>
      </c>
      <c r="F2483" s="11">
        <v>44193</v>
      </c>
      <c r="G2483" s="2">
        <f>VLOOKUP(E2483,Produtos!$A:$E,5,FALSE)</f>
        <v>280</v>
      </c>
      <c r="H2483" s="2">
        <f>VLOOKUP(E2483,Produtos!$A:$E,4,FALSE)</f>
        <v>130</v>
      </c>
      <c r="I2483" s="2">
        <v>1</v>
      </c>
    </row>
    <row r="2484" spans="1:9" x14ac:dyDescent="0.25">
      <c r="A2484" s="2" t="str">
        <f>CONCATENATE(Códigos!S2483,Códigos!T2483,Códigos!U2483)</f>
        <v>svv2482v</v>
      </c>
      <c r="B2484" t="s">
        <v>499</v>
      </c>
      <c r="C2484" t="s">
        <v>349</v>
      </c>
      <c r="D2484" s="2" t="s">
        <v>350</v>
      </c>
      <c r="E2484" t="s">
        <v>412</v>
      </c>
      <c r="F2484" s="11">
        <v>44194</v>
      </c>
      <c r="G2484" s="2">
        <f>VLOOKUP(E2484,Produtos!$A:$E,5,FALSE)</f>
        <v>280</v>
      </c>
      <c r="H2484" s="2">
        <f>VLOOKUP(E2484,Produtos!$A:$E,4,FALSE)</f>
        <v>130</v>
      </c>
      <c r="I2484" s="2">
        <v>1</v>
      </c>
    </row>
    <row r="2485" spans="1:9" x14ac:dyDescent="0.25">
      <c r="A2485" s="2" t="str">
        <f>CONCATENATE(Códigos!S2484,Códigos!T2484,Códigos!U2484)</f>
        <v>svv2483v</v>
      </c>
      <c r="B2485" t="s">
        <v>499</v>
      </c>
      <c r="C2485" t="s">
        <v>349</v>
      </c>
      <c r="D2485" s="2" t="s">
        <v>350</v>
      </c>
      <c r="E2485" t="s">
        <v>412</v>
      </c>
      <c r="F2485" s="11">
        <v>44195</v>
      </c>
      <c r="G2485" s="2">
        <f>VLOOKUP(E2485,Produtos!$A:$E,5,FALSE)</f>
        <v>280</v>
      </c>
      <c r="H2485" s="2">
        <f>VLOOKUP(E2485,Produtos!$A:$E,4,FALSE)</f>
        <v>130</v>
      </c>
      <c r="I2485" s="2">
        <v>1</v>
      </c>
    </row>
    <row r="2486" spans="1:9" x14ac:dyDescent="0.25">
      <c r="A2486" s="2" t="str">
        <f>CONCATENATE(Códigos!S2485,Códigos!T2485,Códigos!U2485)</f>
        <v>svv2484v</v>
      </c>
      <c r="B2486" t="s">
        <v>499</v>
      </c>
      <c r="C2486" t="s">
        <v>349</v>
      </c>
      <c r="D2486" s="2" t="s">
        <v>350</v>
      </c>
      <c r="E2486" t="s">
        <v>412</v>
      </c>
      <c r="F2486" s="11">
        <v>44196</v>
      </c>
      <c r="G2486" s="2">
        <f>VLOOKUP(E2486,Produtos!$A:$E,5,FALSE)</f>
        <v>280</v>
      </c>
      <c r="H2486" s="2">
        <f>VLOOKUP(E2486,Produtos!$A:$E,4,FALSE)</f>
        <v>130</v>
      </c>
      <c r="I2486" s="2">
        <v>1</v>
      </c>
    </row>
    <row r="2487" spans="1:9" x14ac:dyDescent="0.25">
      <c r="A2487" s="2" t="str">
        <f>CONCATENATE(Códigos!S2486,Códigos!T2486,Códigos!U2486)</f>
        <v>svv2485v</v>
      </c>
      <c r="B2487" t="s">
        <v>499</v>
      </c>
      <c r="C2487" t="s">
        <v>349</v>
      </c>
      <c r="D2487" s="2" t="s">
        <v>350</v>
      </c>
      <c r="E2487" t="s">
        <v>412</v>
      </c>
      <c r="F2487" s="11">
        <v>44197</v>
      </c>
      <c r="G2487" s="2">
        <f>VLOOKUP(E2487,Produtos!$A:$E,5,FALSE)</f>
        <v>280</v>
      </c>
      <c r="H2487" s="2">
        <f>VLOOKUP(E2487,Produtos!$A:$E,4,FALSE)</f>
        <v>130</v>
      </c>
      <c r="I2487" s="2">
        <v>1</v>
      </c>
    </row>
    <row r="2488" spans="1:9" x14ac:dyDescent="0.25">
      <c r="A2488" s="2" t="str">
        <f>CONCATENATE(Códigos!S2487,Códigos!T2487,Códigos!U2487)</f>
        <v>svv2486v</v>
      </c>
      <c r="B2488" t="s">
        <v>499</v>
      </c>
      <c r="C2488" t="s">
        <v>349</v>
      </c>
      <c r="D2488" s="2" t="s">
        <v>350</v>
      </c>
      <c r="E2488" t="s">
        <v>412</v>
      </c>
      <c r="F2488" s="11">
        <v>44198</v>
      </c>
      <c r="G2488" s="2">
        <f>VLOOKUP(E2488,Produtos!$A:$E,5,FALSE)</f>
        <v>280</v>
      </c>
      <c r="H2488" s="2">
        <f>VLOOKUP(E2488,Produtos!$A:$E,4,FALSE)</f>
        <v>130</v>
      </c>
      <c r="I2488" s="2">
        <v>1</v>
      </c>
    </row>
    <row r="2489" spans="1:9" x14ac:dyDescent="0.25">
      <c r="A2489" s="2" t="str">
        <f>CONCATENATE(Códigos!S2488,Códigos!T2488,Códigos!U2488)</f>
        <v>svv2487v</v>
      </c>
      <c r="B2489" t="s">
        <v>497</v>
      </c>
      <c r="C2489" t="s">
        <v>349</v>
      </c>
      <c r="D2489" s="2" t="s">
        <v>350</v>
      </c>
      <c r="E2489" t="s">
        <v>412</v>
      </c>
      <c r="F2489" s="11">
        <v>44199</v>
      </c>
      <c r="G2489" s="2">
        <f>VLOOKUP(E2489,Produtos!$A:$E,5,FALSE)</f>
        <v>280</v>
      </c>
      <c r="H2489" s="2">
        <f>VLOOKUP(E2489,Produtos!$A:$E,4,FALSE)</f>
        <v>130</v>
      </c>
      <c r="I2489" s="2">
        <v>1</v>
      </c>
    </row>
    <row r="2490" spans="1:9" x14ac:dyDescent="0.25">
      <c r="A2490" s="2" t="str">
        <f>CONCATENATE(Códigos!S2489,Códigos!T2489,Códigos!U2489)</f>
        <v>svv2488v</v>
      </c>
      <c r="B2490" t="s">
        <v>497</v>
      </c>
      <c r="C2490" t="s">
        <v>349</v>
      </c>
      <c r="D2490" s="2" t="s">
        <v>350</v>
      </c>
      <c r="E2490" t="s">
        <v>412</v>
      </c>
      <c r="F2490" s="11">
        <v>44200</v>
      </c>
      <c r="G2490" s="2">
        <f>VLOOKUP(E2490,Produtos!$A:$E,5,FALSE)</f>
        <v>280</v>
      </c>
      <c r="H2490" s="2">
        <f>VLOOKUP(E2490,Produtos!$A:$E,4,FALSE)</f>
        <v>130</v>
      </c>
      <c r="I2490" s="2">
        <v>1</v>
      </c>
    </row>
    <row r="2491" spans="1:9" x14ac:dyDescent="0.25">
      <c r="A2491" s="2" t="str">
        <f>CONCATENATE(Códigos!S2490,Códigos!T2490,Códigos!U2490)</f>
        <v>svv2489v</v>
      </c>
      <c r="B2491" t="s">
        <v>497</v>
      </c>
      <c r="C2491" t="s">
        <v>349</v>
      </c>
      <c r="D2491" s="2" t="s">
        <v>350</v>
      </c>
      <c r="E2491" t="s">
        <v>412</v>
      </c>
      <c r="F2491" s="11">
        <v>44201</v>
      </c>
      <c r="G2491" s="2">
        <f>VLOOKUP(E2491,Produtos!$A:$E,5,FALSE)</f>
        <v>280</v>
      </c>
      <c r="H2491" s="2">
        <f>VLOOKUP(E2491,Produtos!$A:$E,4,FALSE)</f>
        <v>130</v>
      </c>
      <c r="I2491" s="2">
        <v>1</v>
      </c>
    </row>
    <row r="2492" spans="1:9" x14ac:dyDescent="0.25">
      <c r="A2492" s="2" t="str">
        <f>CONCATENATE(Códigos!S2491,Códigos!T2491,Códigos!U2491)</f>
        <v>svv2490v</v>
      </c>
      <c r="B2492" t="s">
        <v>497</v>
      </c>
      <c r="C2492" t="s">
        <v>349</v>
      </c>
      <c r="D2492" s="2" t="s">
        <v>350</v>
      </c>
      <c r="E2492" t="s">
        <v>412</v>
      </c>
      <c r="F2492" s="11">
        <v>44202</v>
      </c>
      <c r="G2492" s="2">
        <f>VLOOKUP(E2492,Produtos!$A:$E,5,FALSE)</f>
        <v>280</v>
      </c>
      <c r="H2492" s="2">
        <f>VLOOKUP(E2492,Produtos!$A:$E,4,FALSE)</f>
        <v>130</v>
      </c>
      <c r="I2492" s="2">
        <v>1</v>
      </c>
    </row>
    <row r="2493" spans="1:9" x14ac:dyDescent="0.25">
      <c r="A2493" s="2" t="str">
        <f>CONCATENATE(Códigos!S2492,Códigos!T2492,Códigos!U2492)</f>
        <v>svv2491v</v>
      </c>
      <c r="B2493" t="s">
        <v>497</v>
      </c>
      <c r="C2493" t="s">
        <v>349</v>
      </c>
      <c r="D2493" s="2" t="s">
        <v>350</v>
      </c>
      <c r="E2493" t="s">
        <v>412</v>
      </c>
      <c r="F2493" s="11">
        <v>44203</v>
      </c>
      <c r="G2493" s="2">
        <f>VLOOKUP(E2493,Produtos!$A:$E,5,FALSE)</f>
        <v>280</v>
      </c>
      <c r="H2493" s="2">
        <f>VLOOKUP(E2493,Produtos!$A:$E,4,FALSE)</f>
        <v>130</v>
      </c>
      <c r="I2493" s="2">
        <v>1</v>
      </c>
    </row>
    <row r="2494" spans="1:9" x14ac:dyDescent="0.25">
      <c r="A2494" s="2" t="str">
        <f>CONCATENATE(Códigos!S2493,Códigos!T2493,Códigos!U2493)</f>
        <v>svv2492v</v>
      </c>
      <c r="B2494" t="s">
        <v>497</v>
      </c>
      <c r="C2494" t="s">
        <v>349</v>
      </c>
      <c r="D2494" s="2" t="s">
        <v>350</v>
      </c>
      <c r="E2494" t="s">
        <v>412</v>
      </c>
      <c r="F2494" s="11">
        <v>44204</v>
      </c>
      <c r="G2494" s="2">
        <f>VLOOKUP(E2494,Produtos!$A:$E,5,FALSE)</f>
        <v>280</v>
      </c>
      <c r="H2494" s="2">
        <f>VLOOKUP(E2494,Produtos!$A:$E,4,FALSE)</f>
        <v>130</v>
      </c>
      <c r="I2494" s="2">
        <v>1</v>
      </c>
    </row>
    <row r="2495" spans="1:9" x14ac:dyDescent="0.25">
      <c r="A2495" s="2" t="str">
        <f>CONCATENATE(Códigos!S2494,Códigos!T2494,Códigos!U2494)</f>
        <v>svv2493v</v>
      </c>
      <c r="B2495" t="s">
        <v>497</v>
      </c>
      <c r="C2495" t="s">
        <v>349</v>
      </c>
      <c r="D2495" s="2" t="s">
        <v>350</v>
      </c>
      <c r="E2495" t="s">
        <v>412</v>
      </c>
      <c r="F2495" s="11">
        <v>44205</v>
      </c>
      <c r="G2495" s="2">
        <f>VLOOKUP(E2495,Produtos!$A:$E,5,FALSE)</f>
        <v>280</v>
      </c>
      <c r="H2495" s="2">
        <f>VLOOKUP(E2495,Produtos!$A:$E,4,FALSE)</f>
        <v>130</v>
      </c>
      <c r="I2495" s="2">
        <v>1</v>
      </c>
    </row>
    <row r="2496" spans="1:9" x14ac:dyDescent="0.25">
      <c r="A2496" s="2" t="str">
        <f>CONCATENATE(Códigos!S2495,Códigos!T2495,Códigos!U2495)</f>
        <v>svv2494v</v>
      </c>
      <c r="B2496" t="s">
        <v>497</v>
      </c>
      <c r="C2496" t="s">
        <v>349</v>
      </c>
      <c r="D2496" s="2" t="s">
        <v>350</v>
      </c>
      <c r="E2496" t="s">
        <v>412</v>
      </c>
      <c r="F2496" s="11">
        <v>44206</v>
      </c>
      <c r="G2496" s="2">
        <f>VLOOKUP(E2496,Produtos!$A:$E,5,FALSE)</f>
        <v>280</v>
      </c>
      <c r="H2496" s="2">
        <f>VLOOKUP(E2496,Produtos!$A:$E,4,FALSE)</f>
        <v>130</v>
      </c>
      <c r="I2496" s="2">
        <v>1</v>
      </c>
    </row>
    <row r="2497" spans="1:9" x14ac:dyDescent="0.25">
      <c r="A2497" s="2" t="str">
        <f>CONCATENATE(Códigos!S2496,Códigos!T2496,Códigos!U2496)</f>
        <v>svv2495v</v>
      </c>
      <c r="B2497" t="s">
        <v>497</v>
      </c>
      <c r="C2497" t="s">
        <v>349</v>
      </c>
      <c r="D2497" s="2" t="s">
        <v>350</v>
      </c>
      <c r="E2497" t="s">
        <v>412</v>
      </c>
      <c r="F2497" s="11">
        <v>44207</v>
      </c>
      <c r="G2497" s="2">
        <f>VLOOKUP(E2497,Produtos!$A:$E,5,FALSE)</f>
        <v>280</v>
      </c>
      <c r="H2497" s="2">
        <f>VLOOKUP(E2497,Produtos!$A:$E,4,FALSE)</f>
        <v>130</v>
      </c>
      <c r="I2497" s="2">
        <v>1</v>
      </c>
    </row>
    <row r="2498" spans="1:9" x14ac:dyDescent="0.25">
      <c r="A2498" s="2" t="str">
        <f>CONCATENATE(Códigos!S2497,Códigos!T2497,Códigos!U2497)</f>
        <v>svv2496v</v>
      </c>
      <c r="B2498" t="s">
        <v>497</v>
      </c>
      <c r="C2498" t="s">
        <v>349</v>
      </c>
      <c r="D2498" s="2" t="s">
        <v>350</v>
      </c>
      <c r="E2498" t="s">
        <v>412</v>
      </c>
      <c r="F2498" s="11">
        <v>44208</v>
      </c>
      <c r="G2498" s="2">
        <f>VLOOKUP(E2498,Produtos!$A:$E,5,FALSE)</f>
        <v>280</v>
      </c>
      <c r="H2498" s="2">
        <f>VLOOKUP(E2498,Produtos!$A:$E,4,FALSE)</f>
        <v>130</v>
      </c>
      <c r="I2498" s="2">
        <v>1</v>
      </c>
    </row>
    <row r="2499" spans="1:9" x14ac:dyDescent="0.25">
      <c r="A2499" s="2" t="str">
        <f>CONCATENATE(Códigos!S2498,Códigos!T2498,Códigos!U2498)</f>
        <v>svv2497v</v>
      </c>
      <c r="B2499" t="s">
        <v>497</v>
      </c>
      <c r="C2499" t="s">
        <v>349</v>
      </c>
      <c r="D2499" s="2" t="s">
        <v>350</v>
      </c>
      <c r="E2499" t="s">
        <v>412</v>
      </c>
      <c r="F2499" s="11">
        <v>44209</v>
      </c>
      <c r="G2499" s="2">
        <f>VLOOKUP(E2499,Produtos!$A:$E,5,FALSE)</f>
        <v>280</v>
      </c>
      <c r="H2499" s="2">
        <f>VLOOKUP(E2499,Produtos!$A:$E,4,FALSE)</f>
        <v>130</v>
      </c>
      <c r="I2499" s="2">
        <v>1</v>
      </c>
    </row>
    <row r="2500" spans="1:9" x14ac:dyDescent="0.25">
      <c r="A2500" s="2" t="str">
        <f>CONCATENATE(Códigos!S2499,Códigos!T2499,Códigos!U2499)</f>
        <v>svv2498v</v>
      </c>
      <c r="B2500" t="s">
        <v>497</v>
      </c>
      <c r="C2500" t="s">
        <v>349</v>
      </c>
      <c r="D2500" s="2" t="s">
        <v>350</v>
      </c>
      <c r="E2500" t="s">
        <v>412</v>
      </c>
      <c r="F2500" s="11">
        <v>44210</v>
      </c>
      <c r="G2500" s="2">
        <f>VLOOKUP(E2500,Produtos!$A:$E,5,FALSE)</f>
        <v>280</v>
      </c>
      <c r="H2500" s="2">
        <f>VLOOKUP(E2500,Produtos!$A:$E,4,FALSE)</f>
        <v>130</v>
      </c>
      <c r="I2500" s="2">
        <v>1</v>
      </c>
    </row>
    <row r="2501" spans="1:9" x14ac:dyDescent="0.25">
      <c r="A2501" s="2" t="str">
        <f>CONCATENATE(Códigos!S2500,Códigos!T2500,Códigos!U2500)</f>
        <v>svv2499v</v>
      </c>
      <c r="B2501" t="s">
        <v>497</v>
      </c>
      <c r="C2501" t="s">
        <v>349</v>
      </c>
      <c r="D2501" s="2" t="s">
        <v>350</v>
      </c>
      <c r="E2501" t="s">
        <v>412</v>
      </c>
      <c r="F2501" s="11">
        <v>44211</v>
      </c>
      <c r="G2501" s="2">
        <f>VLOOKUP(E2501,Produtos!$A:$E,5,FALSE)</f>
        <v>280</v>
      </c>
      <c r="H2501" s="2">
        <f>VLOOKUP(E2501,Produtos!$A:$E,4,FALSE)</f>
        <v>130</v>
      </c>
      <c r="I2501" s="2">
        <v>1</v>
      </c>
    </row>
    <row r="2502" spans="1:9" x14ac:dyDescent="0.25">
      <c r="A2502" s="2" t="str">
        <f>CONCATENATE(Códigos!S2501,Códigos!T2501,Códigos!U2501)</f>
        <v>svv2500v</v>
      </c>
      <c r="B2502" t="s">
        <v>497</v>
      </c>
      <c r="C2502" t="s">
        <v>349</v>
      </c>
      <c r="D2502" s="2" t="s">
        <v>350</v>
      </c>
      <c r="E2502" t="s">
        <v>412</v>
      </c>
      <c r="F2502" s="11">
        <v>44212</v>
      </c>
      <c r="G2502" s="2">
        <f>VLOOKUP(E2502,Produtos!$A:$E,5,FALSE)</f>
        <v>280</v>
      </c>
      <c r="H2502" s="2">
        <f>VLOOKUP(E2502,Produtos!$A:$E,4,FALSE)</f>
        <v>130</v>
      </c>
      <c r="I2502" s="2">
        <v>1</v>
      </c>
    </row>
    <row r="2503" spans="1:9" x14ac:dyDescent="0.25">
      <c r="A2503" s="2" t="str">
        <f>CONCATENATE(Códigos!S2502,Códigos!T2502,Códigos!U2502)</f>
        <v>svv2501v</v>
      </c>
      <c r="B2503" t="s">
        <v>497</v>
      </c>
      <c r="C2503" t="s">
        <v>349</v>
      </c>
      <c r="D2503" s="2" t="s">
        <v>350</v>
      </c>
      <c r="E2503" t="s">
        <v>412</v>
      </c>
      <c r="F2503" s="11">
        <v>44213</v>
      </c>
      <c r="G2503" s="2">
        <f>VLOOKUP(E2503,Produtos!$A:$E,5,FALSE)</f>
        <v>280</v>
      </c>
      <c r="H2503" s="2">
        <f>VLOOKUP(E2503,Produtos!$A:$E,4,FALSE)</f>
        <v>130</v>
      </c>
      <c r="I2503" s="2">
        <v>1</v>
      </c>
    </row>
    <row r="2504" spans="1:9" x14ac:dyDescent="0.25">
      <c r="A2504" s="2" t="str">
        <f>CONCATENATE(Códigos!S2503,Códigos!T2503,Códigos!U2503)</f>
        <v>svv2502v</v>
      </c>
      <c r="B2504" t="s">
        <v>497</v>
      </c>
      <c r="C2504" t="s">
        <v>349</v>
      </c>
      <c r="D2504" s="2" t="s">
        <v>350</v>
      </c>
      <c r="E2504" t="s">
        <v>412</v>
      </c>
      <c r="F2504" s="11">
        <v>44214</v>
      </c>
      <c r="G2504" s="2">
        <f>VLOOKUP(E2504,Produtos!$A:$E,5,FALSE)</f>
        <v>280</v>
      </c>
      <c r="H2504" s="2">
        <f>VLOOKUP(E2504,Produtos!$A:$E,4,FALSE)</f>
        <v>130</v>
      </c>
      <c r="I2504" s="2">
        <v>1</v>
      </c>
    </row>
    <row r="2505" spans="1:9" x14ac:dyDescent="0.25">
      <c r="A2505" s="2" t="str">
        <f>CONCATENATE(Códigos!S2504,Códigos!T2504,Códigos!U2504)</f>
        <v>svv2503v</v>
      </c>
      <c r="B2505" t="s">
        <v>497</v>
      </c>
      <c r="C2505" t="s">
        <v>349</v>
      </c>
      <c r="D2505" s="2" t="s">
        <v>350</v>
      </c>
      <c r="E2505" t="s">
        <v>412</v>
      </c>
      <c r="F2505" s="11">
        <v>44215</v>
      </c>
      <c r="G2505" s="2">
        <f>VLOOKUP(E2505,Produtos!$A:$E,5,FALSE)</f>
        <v>280</v>
      </c>
      <c r="H2505" s="2">
        <f>VLOOKUP(E2505,Produtos!$A:$E,4,FALSE)</f>
        <v>130</v>
      </c>
      <c r="I2505" s="2">
        <v>1</v>
      </c>
    </row>
    <row r="2506" spans="1:9" x14ac:dyDescent="0.25">
      <c r="A2506" s="2" t="str">
        <f>CONCATENATE(Códigos!S2505,Códigos!T2505,Códigos!U2505)</f>
        <v>svv2504v</v>
      </c>
      <c r="B2506" t="s">
        <v>497</v>
      </c>
      <c r="C2506" t="s">
        <v>349</v>
      </c>
      <c r="D2506" s="2" t="s">
        <v>350</v>
      </c>
      <c r="E2506" t="s">
        <v>412</v>
      </c>
      <c r="F2506" s="11">
        <v>44216</v>
      </c>
      <c r="G2506" s="2">
        <f>VLOOKUP(E2506,Produtos!$A:$E,5,FALSE)</f>
        <v>280</v>
      </c>
      <c r="H2506" s="2">
        <f>VLOOKUP(E2506,Produtos!$A:$E,4,FALSE)</f>
        <v>130</v>
      </c>
      <c r="I2506" s="2">
        <v>1</v>
      </c>
    </row>
    <row r="2507" spans="1:9" x14ac:dyDescent="0.25">
      <c r="A2507" s="2" t="str">
        <f>CONCATENATE(Códigos!S2506,Códigos!T2506,Códigos!U2506)</f>
        <v>svv2505v</v>
      </c>
      <c r="B2507" t="s">
        <v>497</v>
      </c>
      <c r="C2507" t="s">
        <v>349</v>
      </c>
      <c r="D2507" s="2" t="s">
        <v>350</v>
      </c>
      <c r="E2507" t="s">
        <v>412</v>
      </c>
      <c r="F2507" s="11">
        <v>44217</v>
      </c>
      <c r="G2507" s="2">
        <f>VLOOKUP(E2507,Produtos!$A:$E,5,FALSE)</f>
        <v>280</v>
      </c>
      <c r="H2507" s="2">
        <f>VLOOKUP(E2507,Produtos!$A:$E,4,FALSE)</f>
        <v>130</v>
      </c>
      <c r="I2507" s="2">
        <v>1</v>
      </c>
    </row>
    <row r="2508" spans="1:9" x14ac:dyDescent="0.25">
      <c r="A2508" s="2" t="str">
        <f>CONCATENATE(Códigos!S2507,Códigos!T2507,Códigos!U2507)</f>
        <v>svv2506v</v>
      </c>
      <c r="B2508" t="s">
        <v>497</v>
      </c>
      <c r="C2508" t="s">
        <v>349</v>
      </c>
      <c r="D2508" s="2" t="s">
        <v>350</v>
      </c>
      <c r="E2508" t="s">
        <v>412</v>
      </c>
      <c r="F2508" s="11">
        <v>44218</v>
      </c>
      <c r="G2508" s="2">
        <f>VLOOKUP(E2508,Produtos!$A:$E,5,FALSE)</f>
        <v>280</v>
      </c>
      <c r="H2508" s="2">
        <f>VLOOKUP(E2508,Produtos!$A:$E,4,FALSE)</f>
        <v>130</v>
      </c>
      <c r="I2508" s="2">
        <v>1</v>
      </c>
    </row>
    <row r="2509" spans="1:9" x14ac:dyDescent="0.25">
      <c r="A2509" s="2" t="str">
        <f>CONCATENATE(Códigos!S2508,Códigos!T2508,Códigos!U2508)</f>
        <v>svv2507v</v>
      </c>
      <c r="B2509" t="s">
        <v>497</v>
      </c>
      <c r="C2509" t="s">
        <v>349</v>
      </c>
      <c r="D2509" s="2" t="s">
        <v>350</v>
      </c>
      <c r="E2509" t="s">
        <v>412</v>
      </c>
      <c r="F2509" s="11">
        <v>44219</v>
      </c>
      <c r="G2509" s="2">
        <f>VLOOKUP(E2509,Produtos!$A:$E,5,FALSE)</f>
        <v>280</v>
      </c>
      <c r="H2509" s="2">
        <f>VLOOKUP(E2509,Produtos!$A:$E,4,FALSE)</f>
        <v>130</v>
      </c>
      <c r="I2509" s="2">
        <v>1</v>
      </c>
    </row>
    <row r="2510" spans="1:9" x14ac:dyDescent="0.25">
      <c r="A2510" s="2" t="str">
        <f>CONCATENATE(Códigos!S2509,Códigos!T2509,Códigos!U2509)</f>
        <v>svv2508v</v>
      </c>
      <c r="B2510" t="s">
        <v>497</v>
      </c>
      <c r="C2510" t="s">
        <v>349</v>
      </c>
      <c r="D2510" s="2" t="s">
        <v>350</v>
      </c>
      <c r="E2510" t="s">
        <v>412</v>
      </c>
      <c r="F2510" s="11">
        <v>44220</v>
      </c>
      <c r="G2510" s="2">
        <f>VLOOKUP(E2510,Produtos!$A:$E,5,FALSE)</f>
        <v>280</v>
      </c>
      <c r="H2510" s="2">
        <f>VLOOKUP(E2510,Produtos!$A:$E,4,FALSE)</f>
        <v>130</v>
      </c>
      <c r="I2510" s="2">
        <v>1</v>
      </c>
    </row>
    <row r="2511" spans="1:9" x14ac:dyDescent="0.25">
      <c r="A2511" s="2" t="str">
        <f>CONCATENATE(Códigos!S2510,Códigos!T2510,Códigos!U2510)</f>
        <v>svv2509v</v>
      </c>
      <c r="B2511" t="s">
        <v>497</v>
      </c>
      <c r="C2511" t="s">
        <v>349</v>
      </c>
      <c r="D2511" s="2" t="s">
        <v>350</v>
      </c>
      <c r="E2511" t="s">
        <v>412</v>
      </c>
      <c r="F2511" s="11">
        <v>44221</v>
      </c>
      <c r="G2511" s="2">
        <f>VLOOKUP(E2511,Produtos!$A:$E,5,FALSE)</f>
        <v>280</v>
      </c>
      <c r="H2511" s="2">
        <f>VLOOKUP(E2511,Produtos!$A:$E,4,FALSE)</f>
        <v>130</v>
      </c>
      <c r="I2511" s="2">
        <v>1</v>
      </c>
    </row>
    <row r="2512" spans="1:9" x14ac:dyDescent="0.25">
      <c r="A2512" s="2" t="str">
        <f>CONCATENATE(Códigos!S2511,Códigos!T2511,Códigos!U2511)</f>
        <v>svv2510v</v>
      </c>
      <c r="B2512" t="s">
        <v>497</v>
      </c>
      <c r="C2512" t="s">
        <v>349</v>
      </c>
      <c r="D2512" s="2" t="s">
        <v>350</v>
      </c>
      <c r="E2512" t="s">
        <v>505</v>
      </c>
      <c r="F2512" s="11">
        <v>44222</v>
      </c>
      <c r="G2512" s="2">
        <f>VLOOKUP(E2512,Produtos!$A:$E,5,FALSE)</f>
        <v>1600</v>
      </c>
      <c r="H2512" s="2">
        <f>VLOOKUP(E2512,Produtos!$A:$E,4,FALSE)</f>
        <v>900</v>
      </c>
      <c r="I2512" s="2">
        <v>1</v>
      </c>
    </row>
    <row r="2513" spans="1:9" x14ac:dyDescent="0.25">
      <c r="A2513" s="2" t="str">
        <f>CONCATENATE(Códigos!S2512,Códigos!T2512,Códigos!U2512)</f>
        <v>svv2511v</v>
      </c>
      <c r="B2513" t="s">
        <v>497</v>
      </c>
      <c r="C2513" t="s">
        <v>349</v>
      </c>
      <c r="D2513" s="2" t="s">
        <v>350</v>
      </c>
      <c r="E2513" t="s">
        <v>505</v>
      </c>
      <c r="F2513" s="11">
        <v>44223</v>
      </c>
      <c r="G2513" s="2">
        <f>VLOOKUP(E2513,Produtos!$A:$E,5,FALSE)</f>
        <v>1600</v>
      </c>
      <c r="H2513" s="2">
        <f>VLOOKUP(E2513,Produtos!$A:$E,4,FALSE)</f>
        <v>900</v>
      </c>
      <c r="I2513" s="2">
        <v>1</v>
      </c>
    </row>
    <row r="2514" spans="1:9" x14ac:dyDescent="0.25">
      <c r="A2514" s="2" t="str">
        <f>CONCATENATE(Códigos!S2513,Códigos!T2513,Códigos!U2513)</f>
        <v>svv2512v</v>
      </c>
      <c r="B2514" t="s">
        <v>497</v>
      </c>
      <c r="C2514" t="s">
        <v>349</v>
      </c>
      <c r="D2514" s="2" t="s">
        <v>350</v>
      </c>
      <c r="E2514" t="s">
        <v>505</v>
      </c>
      <c r="F2514" s="11">
        <v>44224</v>
      </c>
      <c r="G2514" s="2">
        <f>VLOOKUP(E2514,Produtos!$A:$E,5,FALSE)</f>
        <v>1600</v>
      </c>
      <c r="H2514" s="2">
        <f>VLOOKUP(E2514,Produtos!$A:$E,4,FALSE)</f>
        <v>900</v>
      </c>
      <c r="I2514" s="2">
        <v>1</v>
      </c>
    </row>
    <row r="2515" spans="1:9" x14ac:dyDescent="0.25">
      <c r="A2515" s="2" t="str">
        <f>CONCATENATE(Códigos!S2514,Códigos!T2514,Códigos!U2514)</f>
        <v>svv2513v</v>
      </c>
      <c r="B2515" t="s">
        <v>497</v>
      </c>
      <c r="C2515" t="s">
        <v>349</v>
      </c>
      <c r="D2515" s="2" t="s">
        <v>350</v>
      </c>
      <c r="E2515" t="s">
        <v>505</v>
      </c>
      <c r="F2515" s="11">
        <v>44225</v>
      </c>
      <c r="G2515" s="2">
        <f>VLOOKUP(E2515,Produtos!$A:$E,5,FALSE)</f>
        <v>1600</v>
      </c>
      <c r="H2515" s="2">
        <f>VLOOKUP(E2515,Produtos!$A:$E,4,FALSE)</f>
        <v>900</v>
      </c>
      <c r="I2515" s="2">
        <v>1</v>
      </c>
    </row>
    <row r="2516" spans="1:9" x14ac:dyDescent="0.25">
      <c r="A2516" s="2" t="str">
        <f>CONCATENATE(Códigos!S2515,Códigos!T2515,Códigos!U2515)</f>
        <v>svv2514v</v>
      </c>
      <c r="B2516" t="s">
        <v>497</v>
      </c>
      <c r="C2516" t="s">
        <v>349</v>
      </c>
      <c r="D2516" s="2" t="s">
        <v>350</v>
      </c>
      <c r="E2516" t="s">
        <v>505</v>
      </c>
      <c r="F2516" s="11">
        <v>44226</v>
      </c>
      <c r="G2516" s="2">
        <f>VLOOKUP(E2516,Produtos!$A:$E,5,FALSE)</f>
        <v>1600</v>
      </c>
      <c r="H2516" s="2">
        <f>VLOOKUP(E2516,Produtos!$A:$E,4,FALSE)</f>
        <v>900</v>
      </c>
      <c r="I2516" s="2">
        <v>1</v>
      </c>
    </row>
    <row r="2517" spans="1:9" x14ac:dyDescent="0.25">
      <c r="A2517" s="2" t="str">
        <f>CONCATENATE(Códigos!S2516,Códigos!T2516,Códigos!U2516)</f>
        <v>svv2515v</v>
      </c>
      <c r="B2517" t="s">
        <v>497</v>
      </c>
      <c r="C2517" t="s">
        <v>349</v>
      </c>
      <c r="D2517" s="2" t="s">
        <v>350</v>
      </c>
      <c r="E2517" t="s">
        <v>505</v>
      </c>
      <c r="F2517" s="11">
        <v>44227</v>
      </c>
      <c r="G2517" s="2">
        <f>VLOOKUP(E2517,Produtos!$A:$E,5,FALSE)</f>
        <v>1600</v>
      </c>
      <c r="H2517" s="2">
        <f>VLOOKUP(E2517,Produtos!$A:$E,4,FALSE)</f>
        <v>900</v>
      </c>
      <c r="I2517" s="2">
        <v>1</v>
      </c>
    </row>
    <row r="2518" spans="1:9" x14ac:dyDescent="0.25">
      <c r="A2518" s="2" t="str">
        <f>CONCATENATE(Códigos!S2517,Códigos!T2517,Códigos!U2517)</f>
        <v>svv2516v</v>
      </c>
      <c r="B2518" t="s">
        <v>497</v>
      </c>
      <c r="C2518" t="s">
        <v>349</v>
      </c>
      <c r="D2518" s="2" t="s">
        <v>350</v>
      </c>
      <c r="E2518" t="s">
        <v>505</v>
      </c>
      <c r="F2518" s="11">
        <v>44228</v>
      </c>
      <c r="G2518" s="2">
        <f>VLOOKUP(E2518,Produtos!$A:$E,5,FALSE)</f>
        <v>1600</v>
      </c>
      <c r="H2518" s="2">
        <f>VLOOKUP(E2518,Produtos!$A:$E,4,FALSE)</f>
        <v>900</v>
      </c>
      <c r="I2518" s="2">
        <v>1</v>
      </c>
    </row>
    <row r="2519" spans="1:9" x14ac:dyDescent="0.25">
      <c r="A2519" s="2" t="str">
        <f>CONCATENATE(Códigos!S2518,Códigos!T2518,Códigos!U2518)</f>
        <v>svv2517v</v>
      </c>
      <c r="B2519" t="s">
        <v>497</v>
      </c>
      <c r="C2519" t="s">
        <v>349</v>
      </c>
      <c r="D2519" s="2" t="s">
        <v>350</v>
      </c>
      <c r="E2519" t="s">
        <v>505</v>
      </c>
      <c r="F2519" s="11">
        <v>44229</v>
      </c>
      <c r="G2519" s="2">
        <f>VLOOKUP(E2519,Produtos!$A:$E,5,FALSE)</f>
        <v>1600</v>
      </c>
      <c r="H2519" s="2">
        <f>VLOOKUP(E2519,Produtos!$A:$E,4,FALSE)</f>
        <v>900</v>
      </c>
      <c r="I2519" s="2">
        <v>1</v>
      </c>
    </row>
    <row r="2520" spans="1:9" x14ac:dyDescent="0.25">
      <c r="A2520" s="2" t="str">
        <f>CONCATENATE(Códigos!S2519,Códigos!T2519,Códigos!U2519)</f>
        <v>svv2518v</v>
      </c>
      <c r="B2520" t="s">
        <v>497</v>
      </c>
      <c r="C2520" t="s">
        <v>349</v>
      </c>
      <c r="D2520" s="2" t="s">
        <v>350</v>
      </c>
      <c r="E2520" t="s">
        <v>505</v>
      </c>
      <c r="F2520" s="11">
        <v>44230</v>
      </c>
      <c r="G2520" s="2">
        <f>VLOOKUP(E2520,Produtos!$A:$E,5,FALSE)</f>
        <v>1600</v>
      </c>
      <c r="H2520" s="2">
        <f>VLOOKUP(E2520,Produtos!$A:$E,4,FALSE)</f>
        <v>900</v>
      </c>
      <c r="I2520" s="2">
        <v>1</v>
      </c>
    </row>
    <row r="2521" spans="1:9" x14ac:dyDescent="0.25">
      <c r="A2521" s="2" t="str">
        <f>CONCATENATE(Códigos!S2520,Códigos!T2520,Códigos!U2520)</f>
        <v>svv2519v</v>
      </c>
      <c r="B2521" t="s">
        <v>497</v>
      </c>
      <c r="C2521" t="s">
        <v>349</v>
      </c>
      <c r="D2521" s="2" t="s">
        <v>350</v>
      </c>
      <c r="E2521" t="s">
        <v>505</v>
      </c>
      <c r="F2521" s="11">
        <v>44231</v>
      </c>
      <c r="G2521" s="2">
        <f>VLOOKUP(E2521,Produtos!$A:$E,5,FALSE)</f>
        <v>1600</v>
      </c>
      <c r="H2521" s="2">
        <f>VLOOKUP(E2521,Produtos!$A:$E,4,FALSE)</f>
        <v>900</v>
      </c>
      <c r="I2521" s="2">
        <v>1</v>
      </c>
    </row>
    <row r="2522" spans="1:9" x14ac:dyDescent="0.25">
      <c r="A2522" s="2" t="str">
        <f>CONCATENATE(Códigos!S2521,Códigos!T2521,Códigos!U2521)</f>
        <v>svv2520v</v>
      </c>
      <c r="B2522" t="s">
        <v>497</v>
      </c>
      <c r="C2522" t="s">
        <v>349</v>
      </c>
      <c r="D2522" s="2" t="s">
        <v>350</v>
      </c>
      <c r="E2522" t="s">
        <v>505</v>
      </c>
      <c r="F2522" s="11">
        <v>44232</v>
      </c>
      <c r="G2522" s="2">
        <f>VLOOKUP(E2522,Produtos!$A:$E,5,FALSE)</f>
        <v>1600</v>
      </c>
      <c r="H2522" s="2">
        <f>VLOOKUP(E2522,Produtos!$A:$E,4,FALSE)</f>
        <v>900</v>
      </c>
      <c r="I2522" s="2">
        <v>1</v>
      </c>
    </row>
    <row r="2523" spans="1:9" x14ac:dyDescent="0.25">
      <c r="A2523" s="2" t="str">
        <f>CONCATENATE(Códigos!S2522,Códigos!T2522,Códigos!U2522)</f>
        <v>svv2521v</v>
      </c>
      <c r="B2523" t="s">
        <v>497</v>
      </c>
      <c r="C2523" t="s">
        <v>349</v>
      </c>
      <c r="D2523" s="2" t="s">
        <v>350</v>
      </c>
      <c r="E2523" t="s">
        <v>505</v>
      </c>
      <c r="F2523" s="11">
        <v>44233</v>
      </c>
      <c r="G2523" s="2">
        <f>VLOOKUP(E2523,Produtos!$A:$E,5,FALSE)</f>
        <v>1600</v>
      </c>
      <c r="H2523" s="2">
        <f>VLOOKUP(E2523,Produtos!$A:$E,4,FALSE)</f>
        <v>900</v>
      </c>
      <c r="I2523" s="2">
        <v>1</v>
      </c>
    </row>
    <row r="2524" spans="1:9" x14ac:dyDescent="0.25">
      <c r="A2524" s="2" t="str">
        <f>CONCATENATE(Códigos!S2523,Códigos!T2523,Códigos!U2523)</f>
        <v>svv2522v</v>
      </c>
      <c r="B2524" t="s">
        <v>497</v>
      </c>
      <c r="C2524" t="s">
        <v>349</v>
      </c>
      <c r="D2524" s="2" t="s">
        <v>350</v>
      </c>
      <c r="E2524" t="s">
        <v>505</v>
      </c>
      <c r="F2524" s="11">
        <v>44234</v>
      </c>
      <c r="G2524" s="2">
        <f>VLOOKUP(E2524,Produtos!$A:$E,5,FALSE)</f>
        <v>1600</v>
      </c>
      <c r="H2524" s="2">
        <f>VLOOKUP(E2524,Produtos!$A:$E,4,FALSE)</f>
        <v>900</v>
      </c>
      <c r="I2524" s="2">
        <v>1</v>
      </c>
    </row>
    <row r="2525" spans="1:9" x14ac:dyDescent="0.25">
      <c r="A2525" s="2" t="str">
        <f>CONCATENATE(Códigos!S2524,Códigos!T2524,Códigos!U2524)</f>
        <v>svv2523v</v>
      </c>
      <c r="B2525" t="s">
        <v>497</v>
      </c>
      <c r="C2525" t="s">
        <v>349</v>
      </c>
      <c r="D2525" s="2" t="s">
        <v>350</v>
      </c>
      <c r="E2525" t="s">
        <v>505</v>
      </c>
      <c r="F2525" s="11">
        <v>44235</v>
      </c>
      <c r="G2525" s="2">
        <f>VLOOKUP(E2525,Produtos!$A:$E,5,FALSE)</f>
        <v>1600</v>
      </c>
      <c r="H2525" s="2">
        <f>VLOOKUP(E2525,Produtos!$A:$E,4,FALSE)</f>
        <v>900</v>
      </c>
      <c r="I2525" s="2">
        <v>1</v>
      </c>
    </row>
    <row r="2526" spans="1:9" x14ac:dyDescent="0.25">
      <c r="A2526" s="2" t="str">
        <f>CONCATENATE(Códigos!S2525,Códigos!T2525,Códigos!U2525)</f>
        <v>svv2524v</v>
      </c>
      <c r="B2526" t="s">
        <v>497</v>
      </c>
      <c r="C2526" t="s">
        <v>349</v>
      </c>
      <c r="D2526" s="2" t="s">
        <v>350</v>
      </c>
      <c r="E2526" t="s">
        <v>505</v>
      </c>
      <c r="F2526" s="11">
        <v>44236</v>
      </c>
      <c r="G2526" s="2">
        <f>VLOOKUP(E2526,Produtos!$A:$E,5,FALSE)</f>
        <v>1600</v>
      </c>
      <c r="H2526" s="2">
        <f>VLOOKUP(E2526,Produtos!$A:$E,4,FALSE)</f>
        <v>900</v>
      </c>
      <c r="I2526" s="2">
        <v>1</v>
      </c>
    </row>
    <row r="2527" spans="1:9" x14ac:dyDescent="0.25">
      <c r="A2527" s="2" t="str">
        <f>CONCATENATE(Códigos!S2526,Códigos!T2526,Códigos!U2526)</f>
        <v>svv2525v</v>
      </c>
      <c r="B2527" t="s">
        <v>497</v>
      </c>
      <c r="C2527" t="s">
        <v>349</v>
      </c>
      <c r="D2527" s="2" t="s">
        <v>350</v>
      </c>
      <c r="E2527" t="s">
        <v>505</v>
      </c>
      <c r="F2527" s="11">
        <v>44237</v>
      </c>
      <c r="G2527" s="2">
        <f>VLOOKUP(E2527,Produtos!$A:$E,5,FALSE)</f>
        <v>1600</v>
      </c>
      <c r="H2527" s="2">
        <f>VLOOKUP(E2527,Produtos!$A:$E,4,FALSE)</f>
        <v>900</v>
      </c>
      <c r="I2527" s="2">
        <v>1</v>
      </c>
    </row>
    <row r="2528" spans="1:9" x14ac:dyDescent="0.25">
      <c r="A2528" s="2" t="str">
        <f>CONCATENATE(Códigos!S2527,Códigos!T2527,Códigos!U2527)</f>
        <v>svv2526v</v>
      </c>
      <c r="B2528" t="s">
        <v>497</v>
      </c>
      <c r="C2528" t="s">
        <v>349</v>
      </c>
      <c r="D2528" s="2" t="s">
        <v>350</v>
      </c>
      <c r="E2528" t="s">
        <v>505</v>
      </c>
      <c r="F2528" s="11">
        <v>44238</v>
      </c>
      <c r="G2528" s="2">
        <f>VLOOKUP(E2528,Produtos!$A:$E,5,FALSE)</f>
        <v>1600</v>
      </c>
      <c r="H2528" s="2">
        <f>VLOOKUP(E2528,Produtos!$A:$E,4,FALSE)</f>
        <v>900</v>
      </c>
      <c r="I2528" s="2">
        <v>1</v>
      </c>
    </row>
    <row r="2529" spans="1:9" x14ac:dyDescent="0.25">
      <c r="A2529" s="2" t="str">
        <f>CONCATENATE(Códigos!S2528,Códigos!T2528,Códigos!U2528)</f>
        <v>svv2527v</v>
      </c>
      <c r="B2529" t="s">
        <v>497</v>
      </c>
      <c r="C2529" t="s">
        <v>349</v>
      </c>
      <c r="D2529" s="2" t="s">
        <v>350</v>
      </c>
      <c r="E2529" t="s">
        <v>505</v>
      </c>
      <c r="F2529" s="11">
        <v>44239</v>
      </c>
      <c r="G2529" s="2">
        <f>VLOOKUP(E2529,Produtos!$A:$E,5,FALSE)</f>
        <v>1600</v>
      </c>
      <c r="H2529" s="2">
        <f>VLOOKUP(E2529,Produtos!$A:$E,4,FALSE)</f>
        <v>900</v>
      </c>
      <c r="I2529" s="2">
        <v>1</v>
      </c>
    </row>
    <row r="2530" spans="1:9" x14ac:dyDescent="0.25">
      <c r="A2530" s="2" t="str">
        <f>CONCATENATE(Códigos!S2529,Códigos!T2529,Códigos!U2529)</f>
        <v>svv2528v</v>
      </c>
      <c r="B2530" t="s">
        <v>497</v>
      </c>
      <c r="C2530" t="s">
        <v>349</v>
      </c>
      <c r="D2530" s="2" t="s">
        <v>350</v>
      </c>
      <c r="E2530" t="s">
        <v>505</v>
      </c>
      <c r="F2530" s="11">
        <v>44240</v>
      </c>
      <c r="G2530" s="2">
        <f>VLOOKUP(E2530,Produtos!$A:$E,5,FALSE)</f>
        <v>1600</v>
      </c>
      <c r="H2530" s="2">
        <f>VLOOKUP(E2530,Produtos!$A:$E,4,FALSE)</f>
        <v>900</v>
      </c>
      <c r="I2530" s="2">
        <v>1</v>
      </c>
    </row>
    <row r="2531" spans="1:9" x14ac:dyDescent="0.25">
      <c r="A2531" s="2" t="str">
        <f>CONCATENATE(Códigos!S2530,Códigos!T2530,Códigos!U2530)</f>
        <v>svv2529v</v>
      </c>
      <c r="B2531" t="s">
        <v>497</v>
      </c>
      <c r="C2531" t="s">
        <v>349</v>
      </c>
      <c r="D2531" s="2" t="s">
        <v>350</v>
      </c>
      <c r="E2531" t="s">
        <v>505</v>
      </c>
      <c r="F2531" s="11">
        <v>44241</v>
      </c>
      <c r="G2531" s="2">
        <f>VLOOKUP(E2531,Produtos!$A:$E,5,FALSE)</f>
        <v>1600</v>
      </c>
      <c r="H2531" s="2">
        <f>VLOOKUP(E2531,Produtos!$A:$E,4,FALSE)</f>
        <v>900</v>
      </c>
      <c r="I2531" s="2">
        <v>1</v>
      </c>
    </row>
    <row r="2532" spans="1:9" x14ac:dyDescent="0.25">
      <c r="A2532" s="2" t="str">
        <f>CONCATENATE(Códigos!S2531,Códigos!T2531,Códigos!U2531)</f>
        <v>svv2530v</v>
      </c>
      <c r="B2532" t="s">
        <v>497</v>
      </c>
      <c r="C2532" t="s">
        <v>349</v>
      </c>
      <c r="D2532" s="2" t="s">
        <v>350</v>
      </c>
      <c r="E2532" t="s">
        <v>505</v>
      </c>
      <c r="F2532" s="11">
        <v>44242</v>
      </c>
      <c r="G2532" s="2">
        <f>VLOOKUP(E2532,Produtos!$A:$E,5,FALSE)</f>
        <v>1600</v>
      </c>
      <c r="H2532" s="2">
        <f>VLOOKUP(E2532,Produtos!$A:$E,4,FALSE)</f>
        <v>900</v>
      </c>
      <c r="I2532" s="2">
        <v>1</v>
      </c>
    </row>
    <row r="2533" spans="1:9" x14ac:dyDescent="0.25">
      <c r="A2533" s="2" t="str">
        <f>CONCATENATE(Códigos!S2532,Códigos!T2532,Códigos!U2532)</f>
        <v>svv2531v</v>
      </c>
      <c r="B2533" t="s">
        <v>497</v>
      </c>
      <c r="C2533" t="s">
        <v>349</v>
      </c>
      <c r="D2533" s="2" t="s">
        <v>350</v>
      </c>
      <c r="E2533" t="s">
        <v>505</v>
      </c>
      <c r="F2533" s="11">
        <v>44243</v>
      </c>
      <c r="G2533" s="2">
        <f>VLOOKUP(E2533,Produtos!$A:$E,5,FALSE)</f>
        <v>1600</v>
      </c>
      <c r="H2533" s="2">
        <f>VLOOKUP(E2533,Produtos!$A:$E,4,FALSE)</f>
        <v>900</v>
      </c>
      <c r="I2533" s="2">
        <v>1</v>
      </c>
    </row>
    <row r="2534" spans="1:9" x14ac:dyDescent="0.25">
      <c r="A2534" s="2" t="str">
        <f>CONCATENATE(Códigos!S2533,Códigos!T2533,Códigos!U2533)</f>
        <v>svv2532v</v>
      </c>
      <c r="B2534" t="s">
        <v>497</v>
      </c>
      <c r="C2534" t="s">
        <v>349</v>
      </c>
      <c r="D2534" s="2" t="s">
        <v>350</v>
      </c>
      <c r="E2534" t="s">
        <v>505</v>
      </c>
      <c r="F2534" s="11">
        <v>44244</v>
      </c>
      <c r="G2534" s="2">
        <f>VLOOKUP(E2534,Produtos!$A:$E,5,FALSE)</f>
        <v>1600</v>
      </c>
      <c r="H2534" s="2">
        <f>VLOOKUP(E2534,Produtos!$A:$E,4,FALSE)</f>
        <v>900</v>
      </c>
      <c r="I2534" s="2">
        <v>1</v>
      </c>
    </row>
    <row r="2535" spans="1:9" x14ac:dyDescent="0.25">
      <c r="A2535" s="2" t="str">
        <f>CONCATENATE(Códigos!S2534,Códigos!T2534,Códigos!U2534)</f>
        <v>svv2533v</v>
      </c>
      <c r="B2535" t="s">
        <v>497</v>
      </c>
      <c r="C2535" t="s">
        <v>349</v>
      </c>
      <c r="D2535" s="2" t="s">
        <v>350</v>
      </c>
      <c r="E2535" t="s">
        <v>505</v>
      </c>
      <c r="F2535" s="11">
        <v>44245</v>
      </c>
      <c r="G2535" s="2">
        <f>VLOOKUP(E2535,Produtos!$A:$E,5,FALSE)</f>
        <v>1600</v>
      </c>
      <c r="H2535" s="2">
        <f>VLOOKUP(E2535,Produtos!$A:$E,4,FALSE)</f>
        <v>900</v>
      </c>
      <c r="I2535" s="2">
        <v>1</v>
      </c>
    </row>
    <row r="2536" spans="1:9" x14ac:dyDescent="0.25">
      <c r="A2536" s="2" t="str">
        <f>CONCATENATE(Códigos!S2535,Códigos!T2535,Códigos!U2535)</f>
        <v>svv2534v</v>
      </c>
      <c r="B2536" t="s">
        <v>497</v>
      </c>
      <c r="C2536" t="s">
        <v>349</v>
      </c>
      <c r="D2536" s="2" t="s">
        <v>350</v>
      </c>
      <c r="E2536" t="s">
        <v>505</v>
      </c>
      <c r="F2536" s="11">
        <v>44246</v>
      </c>
      <c r="G2536" s="2">
        <f>VLOOKUP(E2536,Produtos!$A:$E,5,FALSE)</f>
        <v>1600</v>
      </c>
      <c r="H2536" s="2">
        <f>VLOOKUP(E2536,Produtos!$A:$E,4,FALSE)</f>
        <v>900</v>
      </c>
      <c r="I2536" s="2">
        <v>1</v>
      </c>
    </row>
    <row r="2537" spans="1:9" x14ac:dyDescent="0.25">
      <c r="A2537" s="2" t="str">
        <f>CONCATENATE(Códigos!S2536,Códigos!T2536,Códigos!U2536)</f>
        <v>svv2535v</v>
      </c>
      <c r="B2537" t="s">
        <v>497</v>
      </c>
      <c r="C2537" t="s">
        <v>349</v>
      </c>
      <c r="D2537" s="2" t="s">
        <v>350</v>
      </c>
      <c r="E2537" t="s">
        <v>505</v>
      </c>
      <c r="F2537" s="11">
        <v>44247</v>
      </c>
      <c r="G2537" s="2">
        <f>VLOOKUP(E2537,Produtos!$A:$E,5,FALSE)</f>
        <v>1600</v>
      </c>
      <c r="H2537" s="2">
        <f>VLOOKUP(E2537,Produtos!$A:$E,4,FALSE)</f>
        <v>900</v>
      </c>
      <c r="I2537" s="2">
        <v>1</v>
      </c>
    </row>
    <row r="2538" spans="1:9" x14ac:dyDescent="0.25">
      <c r="A2538" s="2" t="str">
        <f>CONCATENATE(Códigos!S2537,Códigos!T2537,Códigos!U2537)</f>
        <v>svv2536v</v>
      </c>
      <c r="B2538" t="s">
        <v>497</v>
      </c>
      <c r="C2538" t="s">
        <v>349</v>
      </c>
      <c r="D2538" s="2" t="s">
        <v>350</v>
      </c>
      <c r="E2538" t="s">
        <v>505</v>
      </c>
      <c r="F2538" s="11">
        <v>44248</v>
      </c>
      <c r="G2538" s="2">
        <f>VLOOKUP(E2538,Produtos!$A:$E,5,FALSE)</f>
        <v>1600</v>
      </c>
      <c r="H2538" s="2">
        <f>VLOOKUP(E2538,Produtos!$A:$E,4,FALSE)</f>
        <v>900</v>
      </c>
      <c r="I2538" s="2">
        <v>1</v>
      </c>
    </row>
    <row r="2539" spans="1:9" x14ac:dyDescent="0.25">
      <c r="A2539" s="2" t="str">
        <f>CONCATENATE(Códigos!S2538,Códigos!T2538,Códigos!U2538)</f>
        <v>svv2537v</v>
      </c>
      <c r="B2539" t="s">
        <v>497</v>
      </c>
      <c r="C2539" t="s">
        <v>349</v>
      </c>
      <c r="D2539" s="2" t="s">
        <v>350</v>
      </c>
      <c r="E2539" t="s">
        <v>505</v>
      </c>
      <c r="F2539" s="11">
        <v>44249</v>
      </c>
      <c r="G2539" s="2">
        <f>VLOOKUP(E2539,Produtos!$A:$E,5,FALSE)</f>
        <v>1600</v>
      </c>
      <c r="H2539" s="2">
        <f>VLOOKUP(E2539,Produtos!$A:$E,4,FALSE)</f>
        <v>900</v>
      </c>
      <c r="I2539" s="2">
        <v>1</v>
      </c>
    </row>
    <row r="2540" spans="1:9" x14ac:dyDescent="0.25">
      <c r="A2540" s="2" t="str">
        <f>CONCATENATE(Códigos!S2539,Códigos!T2539,Códigos!U2539)</f>
        <v>svv2538v</v>
      </c>
      <c r="B2540" t="s">
        <v>497</v>
      </c>
      <c r="C2540" t="s">
        <v>349</v>
      </c>
      <c r="D2540" s="2" t="s">
        <v>350</v>
      </c>
      <c r="E2540" t="s">
        <v>505</v>
      </c>
      <c r="F2540" s="11">
        <v>44250</v>
      </c>
      <c r="G2540" s="2">
        <f>VLOOKUP(E2540,Produtos!$A:$E,5,FALSE)</f>
        <v>1600</v>
      </c>
      <c r="H2540" s="2">
        <f>VLOOKUP(E2540,Produtos!$A:$E,4,FALSE)</f>
        <v>900</v>
      </c>
      <c r="I2540" s="2">
        <v>1</v>
      </c>
    </row>
    <row r="2541" spans="1:9" x14ac:dyDescent="0.25">
      <c r="A2541" s="2" t="str">
        <f>CONCATENATE(Códigos!S2540,Códigos!T2540,Códigos!U2540)</f>
        <v>svv2539v</v>
      </c>
      <c r="B2541" t="s">
        <v>497</v>
      </c>
      <c r="C2541" t="s">
        <v>349</v>
      </c>
      <c r="D2541" s="2" t="s">
        <v>350</v>
      </c>
      <c r="E2541" t="s">
        <v>505</v>
      </c>
      <c r="F2541" s="11">
        <v>44251</v>
      </c>
      <c r="G2541" s="2">
        <f>VLOOKUP(E2541,Produtos!$A:$E,5,FALSE)</f>
        <v>1600</v>
      </c>
      <c r="H2541" s="2">
        <f>VLOOKUP(E2541,Produtos!$A:$E,4,FALSE)</f>
        <v>900</v>
      </c>
      <c r="I2541" s="2">
        <v>1</v>
      </c>
    </row>
    <row r="2542" spans="1:9" x14ac:dyDescent="0.25">
      <c r="A2542" s="2" t="str">
        <f>CONCATENATE(Códigos!S2541,Códigos!T2541,Códigos!U2541)</f>
        <v>svv2540v</v>
      </c>
      <c r="B2542" t="s">
        <v>497</v>
      </c>
      <c r="C2542" t="s">
        <v>349</v>
      </c>
      <c r="D2542" s="2" t="s">
        <v>350</v>
      </c>
      <c r="E2542" t="s">
        <v>505</v>
      </c>
      <c r="F2542" s="11">
        <v>44252</v>
      </c>
      <c r="G2542" s="2">
        <f>VLOOKUP(E2542,Produtos!$A:$E,5,FALSE)</f>
        <v>1600</v>
      </c>
      <c r="H2542" s="2">
        <f>VLOOKUP(E2542,Produtos!$A:$E,4,FALSE)</f>
        <v>900</v>
      </c>
      <c r="I2542" s="2">
        <v>1</v>
      </c>
    </row>
    <row r="2543" spans="1:9" x14ac:dyDescent="0.25">
      <c r="A2543" s="2" t="str">
        <f>CONCATENATE(Códigos!S2542,Códigos!T2542,Códigos!U2542)</f>
        <v>svv2541v</v>
      </c>
      <c r="B2543" t="s">
        <v>497</v>
      </c>
      <c r="C2543" t="s">
        <v>495</v>
      </c>
      <c r="D2543" s="2" t="s">
        <v>363</v>
      </c>
      <c r="E2543" t="s">
        <v>505</v>
      </c>
      <c r="F2543" s="11">
        <v>44253</v>
      </c>
      <c r="G2543" s="2">
        <f>VLOOKUP(E2543,Produtos!$A:$E,5,FALSE)</f>
        <v>1600</v>
      </c>
      <c r="H2543" s="2">
        <f>VLOOKUP(E2543,Produtos!$A:$E,4,FALSE)</f>
        <v>900</v>
      </c>
      <c r="I2543" s="2">
        <v>1</v>
      </c>
    </row>
    <row r="2544" spans="1:9" x14ac:dyDescent="0.25">
      <c r="A2544" s="2" t="str">
        <f>CONCATENATE(Códigos!S2543,Códigos!T2543,Códigos!U2543)</f>
        <v>svv2542v</v>
      </c>
      <c r="B2544" t="s">
        <v>497</v>
      </c>
      <c r="C2544" t="s">
        <v>495</v>
      </c>
      <c r="D2544" s="2" t="s">
        <v>363</v>
      </c>
      <c r="E2544" t="s">
        <v>505</v>
      </c>
      <c r="F2544" s="11">
        <v>44254</v>
      </c>
      <c r="G2544" s="2">
        <f>VLOOKUP(E2544,Produtos!$A:$E,5,FALSE)</f>
        <v>1600</v>
      </c>
      <c r="H2544" s="2">
        <f>VLOOKUP(E2544,Produtos!$A:$E,4,FALSE)</f>
        <v>900</v>
      </c>
      <c r="I2544" s="2">
        <v>1</v>
      </c>
    </row>
    <row r="2545" spans="1:9" x14ac:dyDescent="0.25">
      <c r="A2545" s="2" t="str">
        <f>CONCATENATE(Códigos!S2544,Códigos!T2544,Códigos!U2544)</f>
        <v>svv2543v</v>
      </c>
      <c r="B2545" t="s">
        <v>497</v>
      </c>
      <c r="C2545" t="s">
        <v>495</v>
      </c>
      <c r="D2545" s="2" t="s">
        <v>363</v>
      </c>
      <c r="E2545" t="s">
        <v>505</v>
      </c>
      <c r="F2545" s="11">
        <v>44255</v>
      </c>
      <c r="G2545" s="2">
        <f>VLOOKUP(E2545,Produtos!$A:$E,5,FALSE)</f>
        <v>1600</v>
      </c>
      <c r="H2545" s="2">
        <f>VLOOKUP(E2545,Produtos!$A:$E,4,FALSE)</f>
        <v>900</v>
      </c>
      <c r="I2545" s="2">
        <v>1</v>
      </c>
    </row>
    <row r="2546" spans="1:9" x14ac:dyDescent="0.25">
      <c r="A2546" s="2" t="str">
        <f>CONCATENATE(Códigos!S2545,Códigos!T2545,Códigos!U2545)</f>
        <v>svv2544v</v>
      </c>
      <c r="B2546" t="s">
        <v>497</v>
      </c>
      <c r="C2546" t="s">
        <v>495</v>
      </c>
      <c r="D2546" s="2" t="s">
        <v>363</v>
      </c>
      <c r="E2546" t="s">
        <v>505</v>
      </c>
      <c r="F2546" s="11">
        <v>44256</v>
      </c>
      <c r="G2546" s="2">
        <f>VLOOKUP(E2546,Produtos!$A:$E,5,FALSE)</f>
        <v>1600</v>
      </c>
      <c r="H2546" s="2">
        <f>VLOOKUP(E2546,Produtos!$A:$E,4,FALSE)</f>
        <v>900</v>
      </c>
      <c r="I2546" s="2">
        <v>1</v>
      </c>
    </row>
    <row r="2547" spans="1:9" x14ac:dyDescent="0.25">
      <c r="A2547" s="2" t="str">
        <f>CONCATENATE(Códigos!S2546,Códigos!T2546,Códigos!U2546)</f>
        <v>svv2545v</v>
      </c>
      <c r="B2547" t="s">
        <v>497</v>
      </c>
      <c r="C2547" t="s">
        <v>495</v>
      </c>
      <c r="D2547" s="2" t="s">
        <v>363</v>
      </c>
      <c r="E2547" t="s">
        <v>505</v>
      </c>
      <c r="F2547" s="11">
        <v>44257</v>
      </c>
      <c r="G2547" s="2">
        <f>VLOOKUP(E2547,Produtos!$A:$E,5,FALSE)</f>
        <v>1600</v>
      </c>
      <c r="H2547" s="2">
        <f>VLOOKUP(E2547,Produtos!$A:$E,4,FALSE)</f>
        <v>900</v>
      </c>
      <c r="I2547" s="2">
        <v>1</v>
      </c>
    </row>
    <row r="2548" spans="1:9" x14ac:dyDescent="0.25">
      <c r="A2548" s="2" t="str">
        <f>CONCATENATE(Códigos!S2547,Códigos!T2547,Códigos!U2547)</f>
        <v>svv2546v</v>
      </c>
      <c r="B2548" t="s">
        <v>497</v>
      </c>
      <c r="C2548" t="s">
        <v>495</v>
      </c>
      <c r="D2548" s="2" t="s">
        <v>363</v>
      </c>
      <c r="E2548" t="s">
        <v>505</v>
      </c>
      <c r="F2548" s="11">
        <v>44258</v>
      </c>
      <c r="G2548" s="2">
        <f>VLOOKUP(E2548,Produtos!$A:$E,5,FALSE)</f>
        <v>1600</v>
      </c>
      <c r="H2548" s="2">
        <f>VLOOKUP(E2548,Produtos!$A:$E,4,FALSE)</f>
        <v>900</v>
      </c>
      <c r="I2548" s="2">
        <v>1</v>
      </c>
    </row>
    <row r="2549" spans="1:9" x14ac:dyDescent="0.25">
      <c r="A2549" s="2" t="str">
        <f>CONCATENATE(Códigos!S2548,Códigos!T2548,Códigos!U2548)</f>
        <v>svv2547v</v>
      </c>
      <c r="B2549" t="s">
        <v>497</v>
      </c>
      <c r="C2549" t="s">
        <v>495</v>
      </c>
      <c r="D2549" s="2" t="s">
        <v>363</v>
      </c>
      <c r="E2549" t="s">
        <v>505</v>
      </c>
      <c r="F2549" s="11">
        <v>44259</v>
      </c>
      <c r="G2549" s="2">
        <f>VLOOKUP(E2549,Produtos!$A:$E,5,FALSE)</f>
        <v>1600</v>
      </c>
      <c r="H2549" s="2">
        <f>VLOOKUP(E2549,Produtos!$A:$E,4,FALSE)</f>
        <v>900</v>
      </c>
      <c r="I2549" s="2">
        <v>1</v>
      </c>
    </row>
    <row r="2550" spans="1:9" x14ac:dyDescent="0.25">
      <c r="A2550" s="2" t="str">
        <f>CONCATENATE(Códigos!S2549,Códigos!T2549,Códigos!U2549)</f>
        <v>svv2548v</v>
      </c>
      <c r="B2550" t="s">
        <v>497</v>
      </c>
      <c r="C2550" t="s">
        <v>495</v>
      </c>
      <c r="D2550" s="2" t="s">
        <v>363</v>
      </c>
      <c r="E2550" t="s">
        <v>505</v>
      </c>
      <c r="F2550" s="11">
        <v>44260</v>
      </c>
      <c r="G2550" s="2">
        <f>VLOOKUP(E2550,Produtos!$A:$E,5,FALSE)</f>
        <v>1600</v>
      </c>
      <c r="H2550" s="2">
        <f>VLOOKUP(E2550,Produtos!$A:$E,4,FALSE)</f>
        <v>900</v>
      </c>
      <c r="I2550" s="2">
        <v>1</v>
      </c>
    </row>
    <row r="2551" spans="1:9" x14ac:dyDescent="0.25">
      <c r="A2551" s="2" t="str">
        <f>CONCATENATE(Códigos!S2550,Códigos!T2550,Códigos!U2550)</f>
        <v>svv2549v</v>
      </c>
      <c r="B2551" t="s">
        <v>497</v>
      </c>
      <c r="C2551" t="s">
        <v>495</v>
      </c>
      <c r="D2551" s="2" t="s">
        <v>363</v>
      </c>
      <c r="E2551" t="s">
        <v>505</v>
      </c>
      <c r="F2551" s="11">
        <v>44261</v>
      </c>
      <c r="G2551" s="2">
        <f>VLOOKUP(E2551,Produtos!$A:$E,5,FALSE)</f>
        <v>1600</v>
      </c>
      <c r="H2551" s="2">
        <f>VLOOKUP(E2551,Produtos!$A:$E,4,FALSE)</f>
        <v>900</v>
      </c>
      <c r="I2551" s="2">
        <v>1</v>
      </c>
    </row>
    <row r="2552" spans="1:9" x14ac:dyDescent="0.25">
      <c r="A2552" s="2" t="str">
        <f>CONCATENATE(Códigos!S2551,Códigos!T2551,Códigos!U2551)</f>
        <v>svv2550v</v>
      </c>
      <c r="B2552" t="s">
        <v>497</v>
      </c>
      <c r="C2552" t="s">
        <v>495</v>
      </c>
      <c r="D2552" s="2" t="s">
        <v>363</v>
      </c>
      <c r="E2552" t="s">
        <v>505</v>
      </c>
      <c r="F2552" s="11">
        <v>44262</v>
      </c>
      <c r="G2552" s="2">
        <f>VLOOKUP(E2552,Produtos!$A:$E,5,FALSE)</f>
        <v>1600</v>
      </c>
      <c r="H2552" s="2">
        <f>VLOOKUP(E2552,Produtos!$A:$E,4,FALSE)</f>
        <v>900</v>
      </c>
      <c r="I2552" s="2">
        <v>1</v>
      </c>
    </row>
    <row r="2553" spans="1:9" x14ac:dyDescent="0.25">
      <c r="A2553" s="2" t="str">
        <f>CONCATENATE(Códigos!S2552,Códigos!T2552,Códigos!U2552)</f>
        <v>svv2551v</v>
      </c>
      <c r="B2553" t="s">
        <v>497</v>
      </c>
      <c r="C2553" t="s">
        <v>495</v>
      </c>
      <c r="D2553" s="2" t="s">
        <v>363</v>
      </c>
      <c r="E2553" t="s">
        <v>505</v>
      </c>
      <c r="F2553" s="11">
        <v>44263</v>
      </c>
      <c r="G2553" s="2">
        <f>VLOOKUP(E2553,Produtos!$A:$E,5,FALSE)</f>
        <v>1600</v>
      </c>
      <c r="H2553" s="2">
        <f>VLOOKUP(E2553,Produtos!$A:$E,4,FALSE)</f>
        <v>900</v>
      </c>
      <c r="I2553" s="2">
        <v>1</v>
      </c>
    </row>
    <row r="2554" spans="1:9" x14ac:dyDescent="0.25">
      <c r="A2554" s="2" t="str">
        <f>CONCATENATE(Códigos!S2553,Códigos!T2553,Códigos!U2553)</f>
        <v>svv2552v</v>
      </c>
      <c r="B2554" t="s">
        <v>497</v>
      </c>
      <c r="C2554" t="s">
        <v>495</v>
      </c>
      <c r="D2554" s="2" t="s">
        <v>363</v>
      </c>
      <c r="E2554" t="s">
        <v>505</v>
      </c>
      <c r="F2554" s="11">
        <v>44264</v>
      </c>
      <c r="G2554" s="2">
        <f>VLOOKUP(E2554,Produtos!$A:$E,5,FALSE)</f>
        <v>1600</v>
      </c>
      <c r="H2554" s="2">
        <f>VLOOKUP(E2554,Produtos!$A:$E,4,FALSE)</f>
        <v>900</v>
      </c>
      <c r="I2554" s="2">
        <v>1</v>
      </c>
    </row>
    <row r="2555" spans="1:9" x14ac:dyDescent="0.25">
      <c r="A2555" s="2" t="str">
        <f>CONCATENATE(Códigos!S2554,Códigos!T2554,Códigos!U2554)</f>
        <v>svv2553v</v>
      </c>
      <c r="B2555" t="s">
        <v>497</v>
      </c>
      <c r="C2555" t="s">
        <v>495</v>
      </c>
      <c r="D2555" s="2" t="s">
        <v>363</v>
      </c>
      <c r="E2555" t="s">
        <v>505</v>
      </c>
      <c r="F2555" s="11">
        <v>44265</v>
      </c>
      <c r="G2555" s="2">
        <f>VLOOKUP(E2555,Produtos!$A:$E,5,FALSE)</f>
        <v>1600</v>
      </c>
      <c r="H2555" s="2">
        <f>VLOOKUP(E2555,Produtos!$A:$E,4,FALSE)</f>
        <v>900</v>
      </c>
      <c r="I2555" s="2">
        <v>1</v>
      </c>
    </row>
    <row r="2556" spans="1:9" x14ac:dyDescent="0.25">
      <c r="A2556" s="2" t="str">
        <f>CONCATENATE(Códigos!S2555,Códigos!T2555,Códigos!U2555)</f>
        <v>svv2554v</v>
      </c>
      <c r="B2556" t="s">
        <v>497</v>
      </c>
      <c r="C2556" t="s">
        <v>495</v>
      </c>
      <c r="D2556" s="2" t="s">
        <v>363</v>
      </c>
      <c r="E2556" t="s">
        <v>505</v>
      </c>
      <c r="F2556" s="11">
        <v>44266</v>
      </c>
      <c r="G2556" s="2">
        <f>VLOOKUP(E2556,Produtos!$A:$E,5,FALSE)</f>
        <v>1600</v>
      </c>
      <c r="H2556" s="2">
        <f>VLOOKUP(E2556,Produtos!$A:$E,4,FALSE)</f>
        <v>900</v>
      </c>
      <c r="I2556" s="2">
        <v>1</v>
      </c>
    </row>
    <row r="2557" spans="1:9" x14ac:dyDescent="0.25">
      <c r="A2557" s="2" t="str">
        <f>CONCATENATE(Códigos!S2556,Códigos!T2556,Códigos!U2556)</f>
        <v>svv2555v</v>
      </c>
      <c r="B2557" t="s">
        <v>497</v>
      </c>
      <c r="C2557" t="s">
        <v>495</v>
      </c>
      <c r="D2557" s="2" t="s">
        <v>363</v>
      </c>
      <c r="E2557" t="s">
        <v>505</v>
      </c>
      <c r="F2557" s="11">
        <v>44267</v>
      </c>
      <c r="G2557" s="2">
        <f>VLOOKUP(E2557,Produtos!$A:$E,5,FALSE)</f>
        <v>1600</v>
      </c>
      <c r="H2557" s="2">
        <f>VLOOKUP(E2557,Produtos!$A:$E,4,FALSE)</f>
        <v>900</v>
      </c>
      <c r="I2557" s="2">
        <v>1</v>
      </c>
    </row>
    <row r="2558" spans="1:9" x14ac:dyDescent="0.25">
      <c r="A2558" s="2" t="str">
        <f>CONCATENATE(Códigos!S2557,Códigos!T2557,Códigos!U2557)</f>
        <v>svv2556v</v>
      </c>
      <c r="B2558" t="s">
        <v>497</v>
      </c>
      <c r="C2558" t="s">
        <v>495</v>
      </c>
      <c r="D2558" s="2" t="s">
        <v>363</v>
      </c>
      <c r="E2558" t="s">
        <v>505</v>
      </c>
      <c r="F2558" s="11">
        <v>44268</v>
      </c>
      <c r="G2558" s="2">
        <f>VLOOKUP(E2558,Produtos!$A:$E,5,FALSE)</f>
        <v>1600</v>
      </c>
      <c r="H2558" s="2">
        <f>VLOOKUP(E2558,Produtos!$A:$E,4,FALSE)</f>
        <v>900</v>
      </c>
      <c r="I2558" s="2">
        <v>1</v>
      </c>
    </row>
    <row r="2559" spans="1:9" x14ac:dyDescent="0.25">
      <c r="A2559" s="2" t="str">
        <f>CONCATENATE(Códigos!S2558,Códigos!T2558,Códigos!U2558)</f>
        <v>svv2557v</v>
      </c>
      <c r="B2559" t="s">
        <v>497</v>
      </c>
      <c r="C2559" t="s">
        <v>495</v>
      </c>
      <c r="D2559" s="2" t="s">
        <v>363</v>
      </c>
      <c r="E2559" t="s">
        <v>505</v>
      </c>
      <c r="F2559" s="11">
        <v>44269</v>
      </c>
      <c r="G2559" s="2">
        <f>VLOOKUP(E2559,Produtos!$A:$E,5,FALSE)</f>
        <v>1600</v>
      </c>
      <c r="H2559" s="2">
        <f>VLOOKUP(E2559,Produtos!$A:$E,4,FALSE)</f>
        <v>900</v>
      </c>
      <c r="I2559" s="2">
        <v>1</v>
      </c>
    </row>
    <row r="2560" spans="1:9" x14ac:dyDescent="0.25">
      <c r="A2560" s="2" t="str">
        <f>CONCATENATE(Códigos!S2559,Códigos!T2559,Códigos!U2559)</f>
        <v>svv2558v</v>
      </c>
      <c r="B2560" t="s">
        <v>497</v>
      </c>
      <c r="C2560" t="s">
        <v>495</v>
      </c>
      <c r="D2560" s="2" t="s">
        <v>363</v>
      </c>
      <c r="E2560" t="s">
        <v>505</v>
      </c>
      <c r="F2560" s="11">
        <v>44270</v>
      </c>
      <c r="G2560" s="2">
        <f>VLOOKUP(E2560,Produtos!$A:$E,5,FALSE)</f>
        <v>1600</v>
      </c>
      <c r="H2560" s="2">
        <f>VLOOKUP(E2560,Produtos!$A:$E,4,FALSE)</f>
        <v>900</v>
      </c>
      <c r="I2560" s="2">
        <v>1</v>
      </c>
    </row>
    <row r="2561" spans="1:9" x14ac:dyDescent="0.25">
      <c r="A2561" s="2" t="str">
        <f>CONCATENATE(Códigos!S2560,Códigos!T2560,Códigos!U2560)</f>
        <v>svv2559v</v>
      </c>
      <c r="B2561" t="s">
        <v>497</v>
      </c>
      <c r="C2561" t="s">
        <v>495</v>
      </c>
      <c r="D2561" s="2" t="s">
        <v>363</v>
      </c>
      <c r="E2561" t="s">
        <v>505</v>
      </c>
      <c r="F2561" s="11">
        <v>44271</v>
      </c>
      <c r="G2561" s="2">
        <f>VLOOKUP(E2561,Produtos!$A:$E,5,FALSE)</f>
        <v>1600</v>
      </c>
      <c r="H2561" s="2">
        <f>VLOOKUP(E2561,Produtos!$A:$E,4,FALSE)</f>
        <v>900</v>
      </c>
      <c r="I2561" s="2">
        <v>1</v>
      </c>
    </row>
    <row r="2562" spans="1:9" x14ac:dyDescent="0.25">
      <c r="A2562" s="2" t="str">
        <f>CONCATENATE(Códigos!S2561,Códigos!T2561,Códigos!U2561)</f>
        <v>svv2560v</v>
      </c>
      <c r="B2562" t="s">
        <v>497</v>
      </c>
      <c r="C2562" t="s">
        <v>495</v>
      </c>
      <c r="D2562" s="2" t="s">
        <v>363</v>
      </c>
      <c r="E2562" t="s">
        <v>505</v>
      </c>
      <c r="F2562" s="11">
        <v>44272</v>
      </c>
      <c r="G2562" s="2">
        <f>VLOOKUP(E2562,Produtos!$A:$E,5,FALSE)</f>
        <v>1600</v>
      </c>
      <c r="H2562" s="2">
        <f>VLOOKUP(E2562,Produtos!$A:$E,4,FALSE)</f>
        <v>900</v>
      </c>
      <c r="I2562" s="2">
        <v>1</v>
      </c>
    </row>
    <row r="2563" spans="1:9" x14ac:dyDescent="0.25">
      <c r="A2563" s="2" t="str">
        <f>CONCATENATE(Códigos!S2562,Códigos!T2562,Códigos!U2562)</f>
        <v>svv2561v</v>
      </c>
      <c r="B2563" t="s">
        <v>497</v>
      </c>
      <c r="C2563" t="s">
        <v>495</v>
      </c>
      <c r="D2563" s="2" t="s">
        <v>363</v>
      </c>
      <c r="E2563" t="s">
        <v>505</v>
      </c>
      <c r="F2563" s="11">
        <v>44273</v>
      </c>
      <c r="G2563" s="2">
        <f>VLOOKUP(E2563,Produtos!$A:$E,5,FALSE)</f>
        <v>1600</v>
      </c>
      <c r="H2563" s="2">
        <f>VLOOKUP(E2563,Produtos!$A:$E,4,FALSE)</f>
        <v>900</v>
      </c>
      <c r="I2563" s="2">
        <v>1</v>
      </c>
    </row>
    <row r="2564" spans="1:9" x14ac:dyDescent="0.25">
      <c r="A2564" s="2" t="str">
        <f>CONCATENATE(Códigos!S2563,Códigos!T2563,Códigos!U2563)</f>
        <v>svv2562v</v>
      </c>
      <c r="B2564" t="s">
        <v>497</v>
      </c>
      <c r="C2564" t="s">
        <v>495</v>
      </c>
      <c r="D2564" s="2" t="s">
        <v>363</v>
      </c>
      <c r="E2564" t="s">
        <v>505</v>
      </c>
      <c r="F2564" s="11">
        <v>44274</v>
      </c>
      <c r="G2564" s="2">
        <f>VLOOKUP(E2564,Produtos!$A:$E,5,FALSE)</f>
        <v>1600</v>
      </c>
      <c r="H2564" s="2">
        <f>VLOOKUP(E2564,Produtos!$A:$E,4,FALSE)</f>
        <v>900</v>
      </c>
      <c r="I2564" s="2">
        <v>1</v>
      </c>
    </row>
    <row r="2565" spans="1:9" x14ac:dyDescent="0.25">
      <c r="A2565" s="2" t="str">
        <f>CONCATENATE(Códigos!S2564,Códigos!T2564,Códigos!U2564)</f>
        <v>svv2563v</v>
      </c>
      <c r="B2565" t="s">
        <v>497</v>
      </c>
      <c r="C2565" t="s">
        <v>495</v>
      </c>
      <c r="D2565" s="2" t="s">
        <v>363</v>
      </c>
      <c r="E2565" t="s">
        <v>505</v>
      </c>
      <c r="F2565" s="11">
        <v>44275</v>
      </c>
      <c r="G2565" s="2">
        <f>VLOOKUP(E2565,Produtos!$A:$E,5,FALSE)</f>
        <v>1600</v>
      </c>
      <c r="H2565" s="2">
        <f>VLOOKUP(E2565,Produtos!$A:$E,4,FALSE)</f>
        <v>900</v>
      </c>
      <c r="I2565" s="2">
        <v>1</v>
      </c>
    </row>
    <row r="2566" spans="1:9" x14ac:dyDescent="0.25">
      <c r="A2566" s="2" t="str">
        <f>CONCATENATE(Códigos!S2565,Códigos!T2565,Códigos!U2565)</f>
        <v>svv2564v</v>
      </c>
      <c r="B2566" t="s">
        <v>497</v>
      </c>
      <c r="C2566" t="s">
        <v>495</v>
      </c>
      <c r="D2566" s="2" t="s">
        <v>363</v>
      </c>
      <c r="E2566" t="s">
        <v>505</v>
      </c>
      <c r="F2566" s="11">
        <v>44276</v>
      </c>
      <c r="G2566" s="2">
        <f>VLOOKUP(E2566,Produtos!$A:$E,5,FALSE)</f>
        <v>1600</v>
      </c>
      <c r="H2566" s="2">
        <f>VLOOKUP(E2566,Produtos!$A:$E,4,FALSE)</f>
        <v>900</v>
      </c>
      <c r="I2566" s="2">
        <v>1</v>
      </c>
    </row>
    <row r="2567" spans="1:9" x14ac:dyDescent="0.25">
      <c r="A2567" s="2" t="str">
        <f>CONCATENATE(Códigos!S2566,Códigos!T2566,Códigos!U2566)</f>
        <v>svv2565v</v>
      </c>
      <c r="B2567" t="s">
        <v>497</v>
      </c>
      <c r="C2567" t="s">
        <v>495</v>
      </c>
      <c r="D2567" s="2" t="s">
        <v>363</v>
      </c>
      <c r="E2567" t="s">
        <v>505</v>
      </c>
      <c r="F2567" s="11">
        <v>44277</v>
      </c>
      <c r="G2567" s="2">
        <f>VLOOKUP(E2567,Produtos!$A:$E,5,FALSE)</f>
        <v>1600</v>
      </c>
      <c r="H2567" s="2">
        <f>VLOOKUP(E2567,Produtos!$A:$E,4,FALSE)</f>
        <v>900</v>
      </c>
      <c r="I2567" s="2">
        <v>1</v>
      </c>
    </row>
    <row r="2568" spans="1:9" x14ac:dyDescent="0.25">
      <c r="A2568" s="2" t="str">
        <f>CONCATENATE(Códigos!S2567,Códigos!T2567,Códigos!U2567)</f>
        <v>svv2566v</v>
      </c>
      <c r="B2568" t="s">
        <v>497</v>
      </c>
      <c r="C2568" t="s">
        <v>495</v>
      </c>
      <c r="D2568" s="2" t="s">
        <v>363</v>
      </c>
      <c r="E2568" t="s">
        <v>505</v>
      </c>
      <c r="F2568" s="11">
        <v>44278</v>
      </c>
      <c r="G2568" s="2">
        <f>VLOOKUP(E2568,Produtos!$A:$E,5,FALSE)</f>
        <v>1600</v>
      </c>
      <c r="H2568" s="2">
        <f>VLOOKUP(E2568,Produtos!$A:$E,4,FALSE)</f>
        <v>900</v>
      </c>
      <c r="I2568" s="2">
        <v>1</v>
      </c>
    </row>
    <row r="2569" spans="1:9" x14ac:dyDescent="0.25">
      <c r="A2569" s="2" t="str">
        <f>CONCATENATE(Códigos!S2568,Códigos!T2568,Códigos!U2568)</f>
        <v>svv2567v</v>
      </c>
      <c r="B2569" t="s">
        <v>497</v>
      </c>
      <c r="C2569" t="s">
        <v>495</v>
      </c>
      <c r="D2569" s="2" t="s">
        <v>363</v>
      </c>
      <c r="E2569" t="s">
        <v>505</v>
      </c>
      <c r="F2569" s="11">
        <v>44279</v>
      </c>
      <c r="G2569" s="2">
        <f>VLOOKUP(E2569,Produtos!$A:$E,5,FALSE)</f>
        <v>1600</v>
      </c>
      <c r="H2569" s="2">
        <f>VLOOKUP(E2569,Produtos!$A:$E,4,FALSE)</f>
        <v>900</v>
      </c>
      <c r="I2569" s="2">
        <v>1</v>
      </c>
    </row>
    <row r="2570" spans="1:9" x14ac:dyDescent="0.25">
      <c r="A2570" s="2" t="str">
        <f>CONCATENATE(Códigos!S2569,Códigos!T2569,Códigos!U2569)</f>
        <v>svv2568v</v>
      </c>
      <c r="B2570" t="s">
        <v>497</v>
      </c>
      <c r="C2570" t="s">
        <v>495</v>
      </c>
      <c r="D2570" s="2" t="s">
        <v>363</v>
      </c>
      <c r="E2570" t="s">
        <v>505</v>
      </c>
      <c r="F2570" s="11">
        <v>44280</v>
      </c>
      <c r="G2570" s="2">
        <f>VLOOKUP(E2570,Produtos!$A:$E,5,FALSE)</f>
        <v>1600</v>
      </c>
      <c r="H2570" s="2">
        <f>VLOOKUP(E2570,Produtos!$A:$E,4,FALSE)</f>
        <v>900</v>
      </c>
      <c r="I2570" s="2">
        <v>1</v>
      </c>
    </row>
    <row r="2571" spans="1:9" x14ac:dyDescent="0.25">
      <c r="A2571" s="2" t="str">
        <f>CONCATENATE(Códigos!S2570,Códigos!T2570,Códigos!U2570)</f>
        <v>svv2569v</v>
      </c>
      <c r="B2571" t="s">
        <v>497</v>
      </c>
      <c r="C2571" t="s">
        <v>495</v>
      </c>
      <c r="D2571" s="2" t="s">
        <v>363</v>
      </c>
      <c r="E2571" t="s">
        <v>412</v>
      </c>
      <c r="F2571" s="11">
        <v>44281</v>
      </c>
      <c r="G2571" s="2">
        <f>VLOOKUP(E2571,Produtos!$A:$E,5,FALSE)</f>
        <v>280</v>
      </c>
      <c r="H2571" s="2">
        <f>VLOOKUP(E2571,Produtos!$A:$E,4,FALSE)</f>
        <v>130</v>
      </c>
      <c r="I2571" s="2">
        <v>1</v>
      </c>
    </row>
    <row r="2572" spans="1:9" x14ac:dyDescent="0.25">
      <c r="A2572" s="2" t="str">
        <f>CONCATENATE(Códigos!S2571,Códigos!T2571,Códigos!U2571)</f>
        <v>svv2570v</v>
      </c>
      <c r="B2572" t="s">
        <v>497</v>
      </c>
      <c r="C2572" t="s">
        <v>495</v>
      </c>
      <c r="D2572" s="2" t="s">
        <v>363</v>
      </c>
      <c r="E2572" t="s">
        <v>412</v>
      </c>
      <c r="F2572" s="11">
        <v>44282</v>
      </c>
      <c r="G2572" s="2">
        <f>VLOOKUP(E2572,Produtos!$A:$E,5,FALSE)</f>
        <v>280</v>
      </c>
      <c r="H2572" s="2">
        <f>VLOOKUP(E2572,Produtos!$A:$E,4,FALSE)</f>
        <v>130</v>
      </c>
      <c r="I2572" s="2">
        <v>1</v>
      </c>
    </row>
    <row r="2573" spans="1:9" x14ac:dyDescent="0.25">
      <c r="A2573" s="2" t="str">
        <f>CONCATENATE(Códigos!S2572,Códigos!T2572,Códigos!U2572)</f>
        <v>svv2571v</v>
      </c>
      <c r="B2573" t="s">
        <v>497</v>
      </c>
      <c r="C2573" t="s">
        <v>495</v>
      </c>
      <c r="D2573" s="2" t="s">
        <v>363</v>
      </c>
      <c r="E2573" t="s">
        <v>412</v>
      </c>
      <c r="F2573" s="11">
        <v>44283</v>
      </c>
      <c r="G2573" s="2">
        <f>VLOOKUP(E2573,Produtos!$A:$E,5,FALSE)</f>
        <v>280</v>
      </c>
      <c r="H2573" s="2">
        <f>VLOOKUP(E2573,Produtos!$A:$E,4,FALSE)</f>
        <v>130</v>
      </c>
      <c r="I2573" s="2">
        <v>1</v>
      </c>
    </row>
    <row r="2574" spans="1:9" x14ac:dyDescent="0.25">
      <c r="A2574" s="2" t="str">
        <f>CONCATENATE(Códigos!S2573,Códigos!T2573,Códigos!U2573)</f>
        <v>svv2572v</v>
      </c>
      <c r="B2574" t="s">
        <v>497</v>
      </c>
      <c r="C2574" t="s">
        <v>495</v>
      </c>
      <c r="D2574" s="2" t="s">
        <v>363</v>
      </c>
      <c r="E2574" t="s">
        <v>412</v>
      </c>
      <c r="F2574" s="11">
        <v>44284</v>
      </c>
      <c r="G2574" s="2">
        <f>VLOOKUP(E2574,Produtos!$A:$E,5,FALSE)</f>
        <v>280</v>
      </c>
      <c r="H2574" s="2">
        <f>VLOOKUP(E2574,Produtos!$A:$E,4,FALSE)</f>
        <v>130</v>
      </c>
      <c r="I2574" s="2">
        <v>1</v>
      </c>
    </row>
    <row r="2575" spans="1:9" x14ac:dyDescent="0.25">
      <c r="A2575" s="2" t="str">
        <f>CONCATENATE(Códigos!S2574,Códigos!T2574,Códigos!U2574)</f>
        <v>svv2573v</v>
      </c>
      <c r="B2575" t="s">
        <v>497</v>
      </c>
      <c r="C2575" t="s">
        <v>495</v>
      </c>
      <c r="D2575" s="2" t="s">
        <v>363</v>
      </c>
      <c r="E2575" t="s">
        <v>412</v>
      </c>
      <c r="F2575" s="11">
        <v>44285</v>
      </c>
      <c r="G2575" s="2">
        <f>VLOOKUP(E2575,Produtos!$A:$E,5,FALSE)</f>
        <v>280</v>
      </c>
      <c r="H2575" s="2">
        <f>VLOOKUP(E2575,Produtos!$A:$E,4,FALSE)</f>
        <v>130</v>
      </c>
      <c r="I2575" s="2">
        <v>1</v>
      </c>
    </row>
    <row r="2576" spans="1:9" x14ac:dyDescent="0.25">
      <c r="A2576" s="2" t="str">
        <f>CONCATENATE(Códigos!S2575,Códigos!T2575,Códigos!U2575)</f>
        <v>svv2574v</v>
      </c>
      <c r="B2576" t="s">
        <v>497</v>
      </c>
      <c r="C2576" t="s">
        <v>495</v>
      </c>
      <c r="D2576" s="2" t="s">
        <v>363</v>
      </c>
      <c r="E2576" t="s">
        <v>412</v>
      </c>
      <c r="F2576" s="11">
        <v>44286</v>
      </c>
      <c r="G2576" s="2">
        <f>VLOOKUP(E2576,Produtos!$A:$E,5,FALSE)</f>
        <v>280</v>
      </c>
      <c r="H2576" s="2">
        <f>VLOOKUP(E2576,Produtos!$A:$E,4,FALSE)</f>
        <v>130</v>
      </c>
      <c r="I2576" s="2">
        <v>1</v>
      </c>
    </row>
    <row r="2577" spans="1:9" x14ac:dyDescent="0.25">
      <c r="A2577" s="2" t="str">
        <f>CONCATENATE(Códigos!S2576,Códigos!T2576,Códigos!U2576)</f>
        <v>svv2575v</v>
      </c>
      <c r="B2577" t="s">
        <v>497</v>
      </c>
      <c r="C2577" t="s">
        <v>495</v>
      </c>
      <c r="D2577" s="2" t="s">
        <v>363</v>
      </c>
      <c r="E2577" t="s">
        <v>412</v>
      </c>
      <c r="F2577" s="11">
        <v>44287</v>
      </c>
      <c r="G2577" s="2">
        <f>VLOOKUP(E2577,Produtos!$A:$E,5,FALSE)</f>
        <v>280</v>
      </c>
      <c r="H2577" s="2">
        <f>VLOOKUP(E2577,Produtos!$A:$E,4,FALSE)</f>
        <v>130</v>
      </c>
      <c r="I2577" s="2">
        <v>1</v>
      </c>
    </row>
    <row r="2578" spans="1:9" x14ac:dyDescent="0.25">
      <c r="A2578" s="2" t="str">
        <f>CONCATENATE(Códigos!S2577,Códigos!T2577,Códigos!U2577)</f>
        <v>svv2576v</v>
      </c>
      <c r="B2578" t="s">
        <v>497</v>
      </c>
      <c r="C2578" t="s">
        <v>495</v>
      </c>
      <c r="D2578" s="2" t="s">
        <v>363</v>
      </c>
      <c r="E2578" t="s">
        <v>412</v>
      </c>
      <c r="F2578" s="11">
        <v>44288</v>
      </c>
      <c r="G2578" s="2">
        <f>VLOOKUP(E2578,Produtos!$A:$E,5,FALSE)</f>
        <v>280</v>
      </c>
      <c r="H2578" s="2">
        <f>VLOOKUP(E2578,Produtos!$A:$E,4,FALSE)</f>
        <v>130</v>
      </c>
      <c r="I2578" s="2">
        <v>1</v>
      </c>
    </row>
    <row r="2579" spans="1:9" x14ac:dyDescent="0.25">
      <c r="A2579" s="2" t="str">
        <f>CONCATENATE(Códigos!S2578,Códigos!T2578,Códigos!U2578)</f>
        <v>svv2577v</v>
      </c>
      <c r="B2579" t="s">
        <v>497</v>
      </c>
      <c r="C2579" t="s">
        <v>495</v>
      </c>
      <c r="D2579" s="2" t="s">
        <v>363</v>
      </c>
      <c r="E2579" t="s">
        <v>412</v>
      </c>
      <c r="F2579" s="11">
        <v>44289</v>
      </c>
      <c r="G2579" s="2">
        <f>VLOOKUP(E2579,Produtos!$A:$E,5,FALSE)</f>
        <v>280</v>
      </c>
      <c r="H2579" s="2">
        <f>VLOOKUP(E2579,Produtos!$A:$E,4,FALSE)</f>
        <v>130</v>
      </c>
      <c r="I2579" s="2">
        <v>1</v>
      </c>
    </row>
    <row r="2580" spans="1:9" x14ac:dyDescent="0.25">
      <c r="A2580" s="2" t="str">
        <f>CONCATENATE(Códigos!S2579,Códigos!T2579,Códigos!U2579)</f>
        <v>svv2578v</v>
      </c>
      <c r="B2580" t="s">
        <v>497</v>
      </c>
      <c r="C2580" t="s">
        <v>495</v>
      </c>
      <c r="D2580" s="2" t="s">
        <v>363</v>
      </c>
      <c r="E2580" t="s">
        <v>412</v>
      </c>
      <c r="F2580" s="11">
        <v>44290</v>
      </c>
      <c r="G2580" s="2">
        <f>VLOOKUP(E2580,Produtos!$A:$E,5,FALSE)</f>
        <v>280</v>
      </c>
      <c r="H2580" s="2">
        <f>VLOOKUP(E2580,Produtos!$A:$E,4,FALSE)</f>
        <v>130</v>
      </c>
      <c r="I2580" s="2">
        <v>1</v>
      </c>
    </row>
    <row r="2581" spans="1:9" x14ac:dyDescent="0.25">
      <c r="A2581" s="2" t="str">
        <f>CONCATENATE(Códigos!S2580,Códigos!T2580,Códigos!U2580)</f>
        <v>svv2579v</v>
      </c>
      <c r="B2581" t="s">
        <v>497</v>
      </c>
      <c r="C2581" t="s">
        <v>495</v>
      </c>
      <c r="D2581" s="2" t="s">
        <v>363</v>
      </c>
      <c r="E2581" t="s">
        <v>412</v>
      </c>
      <c r="F2581" s="11">
        <v>44291</v>
      </c>
      <c r="G2581" s="2">
        <f>VLOOKUP(E2581,Produtos!$A:$E,5,FALSE)</f>
        <v>280</v>
      </c>
      <c r="H2581" s="2">
        <f>VLOOKUP(E2581,Produtos!$A:$E,4,FALSE)</f>
        <v>130</v>
      </c>
      <c r="I2581" s="2">
        <v>3</v>
      </c>
    </row>
    <row r="2582" spans="1:9" x14ac:dyDescent="0.25">
      <c r="A2582" s="2" t="str">
        <f>CONCATENATE(Códigos!S2581,Códigos!T2581,Códigos!U2581)</f>
        <v>svv2580v</v>
      </c>
      <c r="B2582" t="s">
        <v>497</v>
      </c>
      <c r="C2582" t="s">
        <v>495</v>
      </c>
      <c r="D2582" s="2" t="s">
        <v>363</v>
      </c>
      <c r="E2582" t="s">
        <v>412</v>
      </c>
      <c r="F2582" s="11">
        <v>44292</v>
      </c>
      <c r="G2582" s="2">
        <f>VLOOKUP(E2582,Produtos!$A:$E,5,FALSE)</f>
        <v>280</v>
      </c>
      <c r="H2582" s="2">
        <f>VLOOKUP(E2582,Produtos!$A:$E,4,FALSE)</f>
        <v>130</v>
      </c>
      <c r="I2582" s="2">
        <v>3</v>
      </c>
    </row>
    <row r="2583" spans="1:9" x14ac:dyDescent="0.25">
      <c r="A2583" s="2" t="str">
        <f>CONCATENATE(Códigos!S2582,Códigos!T2582,Códigos!U2582)</f>
        <v>svv2581v</v>
      </c>
      <c r="B2583" t="s">
        <v>497</v>
      </c>
      <c r="C2583" t="s">
        <v>495</v>
      </c>
      <c r="D2583" s="2" t="s">
        <v>363</v>
      </c>
      <c r="E2583" t="s">
        <v>412</v>
      </c>
      <c r="F2583" s="11">
        <v>44293</v>
      </c>
      <c r="G2583" s="2">
        <f>VLOOKUP(E2583,Produtos!$A:$E,5,FALSE)</f>
        <v>280</v>
      </c>
      <c r="H2583" s="2">
        <f>VLOOKUP(E2583,Produtos!$A:$E,4,FALSE)</f>
        <v>130</v>
      </c>
      <c r="I2583" s="2">
        <v>3</v>
      </c>
    </row>
    <row r="2584" spans="1:9" x14ac:dyDescent="0.25">
      <c r="A2584" s="2" t="str">
        <f>CONCATENATE(Códigos!S2583,Códigos!T2583,Códigos!U2583)</f>
        <v>svv2582v</v>
      </c>
      <c r="B2584" t="s">
        <v>497</v>
      </c>
      <c r="C2584" t="s">
        <v>495</v>
      </c>
      <c r="D2584" s="2" t="s">
        <v>363</v>
      </c>
      <c r="E2584" t="s">
        <v>412</v>
      </c>
      <c r="F2584" s="11">
        <v>44294</v>
      </c>
      <c r="G2584" s="2">
        <f>VLOOKUP(E2584,Produtos!$A:$E,5,FALSE)</f>
        <v>280</v>
      </c>
      <c r="H2584" s="2">
        <f>VLOOKUP(E2584,Produtos!$A:$E,4,FALSE)</f>
        <v>130</v>
      </c>
      <c r="I2584" s="2">
        <v>3</v>
      </c>
    </row>
    <row r="2585" spans="1:9" x14ac:dyDescent="0.25">
      <c r="A2585" s="2" t="str">
        <f>CONCATENATE(Códigos!S2584,Códigos!T2584,Códigos!U2584)</f>
        <v>svv2583v</v>
      </c>
      <c r="B2585" t="s">
        <v>497</v>
      </c>
      <c r="C2585" t="s">
        <v>495</v>
      </c>
      <c r="D2585" s="2" t="s">
        <v>363</v>
      </c>
      <c r="E2585" t="s">
        <v>412</v>
      </c>
      <c r="F2585" s="11">
        <v>44295</v>
      </c>
      <c r="G2585" s="2">
        <f>VLOOKUP(E2585,Produtos!$A:$E,5,FALSE)</f>
        <v>280</v>
      </c>
      <c r="H2585" s="2">
        <f>VLOOKUP(E2585,Produtos!$A:$E,4,FALSE)</f>
        <v>130</v>
      </c>
      <c r="I2585" s="2">
        <v>3</v>
      </c>
    </row>
    <row r="2586" spans="1:9" x14ac:dyDescent="0.25">
      <c r="A2586" s="2" t="str">
        <f>CONCATENATE(Códigos!S2585,Códigos!T2585,Códigos!U2585)</f>
        <v>svv2584v</v>
      </c>
      <c r="B2586" t="s">
        <v>497</v>
      </c>
      <c r="C2586" t="s">
        <v>495</v>
      </c>
      <c r="D2586" s="2" t="s">
        <v>363</v>
      </c>
      <c r="E2586" t="s">
        <v>412</v>
      </c>
      <c r="F2586" s="11">
        <v>44296</v>
      </c>
      <c r="G2586" s="2">
        <f>VLOOKUP(E2586,Produtos!$A:$E,5,FALSE)</f>
        <v>280</v>
      </c>
      <c r="H2586" s="2">
        <f>VLOOKUP(E2586,Produtos!$A:$E,4,FALSE)</f>
        <v>130</v>
      </c>
      <c r="I2586" s="2">
        <v>3</v>
      </c>
    </row>
    <row r="2587" spans="1:9" x14ac:dyDescent="0.25">
      <c r="A2587" s="2" t="str">
        <f>CONCATENATE(Códigos!S2586,Códigos!T2586,Códigos!U2586)</f>
        <v>svv2585v</v>
      </c>
      <c r="B2587" t="s">
        <v>497</v>
      </c>
      <c r="C2587" t="s">
        <v>495</v>
      </c>
      <c r="D2587" s="2" t="s">
        <v>363</v>
      </c>
      <c r="E2587" t="s">
        <v>412</v>
      </c>
      <c r="F2587" s="11">
        <v>44297</v>
      </c>
      <c r="G2587" s="2">
        <f>VLOOKUP(E2587,Produtos!$A:$E,5,FALSE)</f>
        <v>280</v>
      </c>
      <c r="H2587" s="2">
        <f>VLOOKUP(E2587,Produtos!$A:$E,4,FALSE)</f>
        <v>130</v>
      </c>
      <c r="I2587" s="2">
        <v>3</v>
      </c>
    </row>
    <row r="2588" spans="1:9" x14ac:dyDescent="0.25">
      <c r="A2588" s="2" t="str">
        <f>CONCATENATE(Códigos!S2587,Códigos!T2587,Códigos!U2587)</f>
        <v>svv2586v</v>
      </c>
      <c r="B2588" t="s">
        <v>497</v>
      </c>
      <c r="C2588" t="s">
        <v>495</v>
      </c>
      <c r="D2588" s="2" t="s">
        <v>363</v>
      </c>
      <c r="E2588" t="s">
        <v>412</v>
      </c>
      <c r="F2588" s="11">
        <v>44298</v>
      </c>
      <c r="G2588" s="2">
        <f>VLOOKUP(E2588,Produtos!$A:$E,5,FALSE)</f>
        <v>280</v>
      </c>
      <c r="H2588" s="2">
        <f>VLOOKUP(E2588,Produtos!$A:$E,4,FALSE)</f>
        <v>130</v>
      </c>
      <c r="I2588" s="2">
        <v>3</v>
      </c>
    </row>
    <row r="2589" spans="1:9" x14ac:dyDescent="0.25">
      <c r="A2589" s="2" t="str">
        <f>CONCATENATE(Códigos!S2588,Códigos!T2588,Códigos!U2588)</f>
        <v>svv2587v</v>
      </c>
      <c r="B2589" t="s">
        <v>497</v>
      </c>
      <c r="C2589" t="s">
        <v>495</v>
      </c>
      <c r="D2589" s="2" t="s">
        <v>363</v>
      </c>
      <c r="E2589" t="s">
        <v>337</v>
      </c>
      <c r="F2589" s="11">
        <v>44299</v>
      </c>
      <c r="G2589" s="2">
        <f>VLOOKUP(E2589,Produtos!$A:$E,5,FALSE)</f>
        <v>110</v>
      </c>
      <c r="H2589" s="2">
        <f>VLOOKUP(E2589,Produtos!$A:$E,4,FALSE)</f>
        <v>50</v>
      </c>
      <c r="I2589" s="2">
        <v>3</v>
      </c>
    </row>
    <row r="2590" spans="1:9" x14ac:dyDescent="0.25">
      <c r="A2590" s="2" t="str">
        <f>CONCATENATE(Códigos!S2589,Códigos!T2589,Códigos!U2589)</f>
        <v>svv2588v</v>
      </c>
      <c r="B2590" t="s">
        <v>497</v>
      </c>
      <c r="C2590" t="s">
        <v>495</v>
      </c>
      <c r="D2590" s="2" t="s">
        <v>363</v>
      </c>
      <c r="E2590" t="s">
        <v>337</v>
      </c>
      <c r="F2590" s="11">
        <v>44300</v>
      </c>
      <c r="G2590" s="2">
        <f>VLOOKUP(E2590,Produtos!$A:$E,5,FALSE)</f>
        <v>110</v>
      </c>
      <c r="H2590" s="2">
        <f>VLOOKUP(E2590,Produtos!$A:$E,4,FALSE)</f>
        <v>50</v>
      </c>
      <c r="I2590" s="2">
        <v>3</v>
      </c>
    </row>
    <row r="2591" spans="1:9" x14ac:dyDescent="0.25">
      <c r="A2591" s="2" t="str">
        <f>CONCATENATE(Códigos!S2590,Códigos!T2590,Códigos!U2590)</f>
        <v>svv2589v</v>
      </c>
      <c r="B2591" t="s">
        <v>497</v>
      </c>
      <c r="C2591" t="s">
        <v>495</v>
      </c>
      <c r="D2591" s="2" t="s">
        <v>363</v>
      </c>
      <c r="E2591" t="s">
        <v>337</v>
      </c>
      <c r="F2591" s="11">
        <v>44301</v>
      </c>
      <c r="G2591" s="2">
        <f>VLOOKUP(E2591,Produtos!$A:$E,5,FALSE)</f>
        <v>110</v>
      </c>
      <c r="H2591" s="2">
        <f>VLOOKUP(E2591,Produtos!$A:$E,4,FALSE)</f>
        <v>50</v>
      </c>
      <c r="I2591" s="2">
        <v>3</v>
      </c>
    </row>
    <row r="2592" spans="1:9" x14ac:dyDescent="0.25">
      <c r="A2592" s="2" t="str">
        <f>CONCATENATE(Códigos!S2591,Códigos!T2591,Códigos!U2591)</f>
        <v>svv2590v</v>
      </c>
      <c r="B2592" t="s">
        <v>497</v>
      </c>
      <c r="C2592" t="s">
        <v>495</v>
      </c>
      <c r="D2592" s="2" t="s">
        <v>363</v>
      </c>
      <c r="E2592" t="s">
        <v>337</v>
      </c>
      <c r="F2592" s="11">
        <v>44302</v>
      </c>
      <c r="G2592" s="2">
        <f>VLOOKUP(E2592,Produtos!$A:$E,5,FALSE)</f>
        <v>110</v>
      </c>
      <c r="H2592" s="2">
        <f>VLOOKUP(E2592,Produtos!$A:$E,4,FALSE)</f>
        <v>50</v>
      </c>
      <c r="I2592" s="2">
        <v>3</v>
      </c>
    </row>
    <row r="2593" spans="1:9" x14ac:dyDescent="0.25">
      <c r="A2593" s="2" t="str">
        <f>CONCATENATE(Códigos!S2592,Códigos!T2592,Códigos!U2592)</f>
        <v>svv2591v</v>
      </c>
      <c r="B2593" t="s">
        <v>497</v>
      </c>
      <c r="C2593" t="s">
        <v>495</v>
      </c>
      <c r="D2593" s="2" t="s">
        <v>363</v>
      </c>
      <c r="E2593" t="s">
        <v>337</v>
      </c>
      <c r="F2593" s="11">
        <v>44303</v>
      </c>
      <c r="G2593" s="2">
        <f>VLOOKUP(E2593,Produtos!$A:$E,5,FALSE)</f>
        <v>110</v>
      </c>
      <c r="H2593" s="2">
        <f>VLOOKUP(E2593,Produtos!$A:$E,4,FALSE)</f>
        <v>50</v>
      </c>
      <c r="I2593" s="2">
        <v>3</v>
      </c>
    </row>
    <row r="2594" spans="1:9" x14ac:dyDescent="0.25">
      <c r="A2594" s="2" t="str">
        <f>CONCATENATE(Códigos!S2593,Códigos!T2593,Códigos!U2593)</f>
        <v>svv2592v</v>
      </c>
      <c r="B2594" t="s">
        <v>497</v>
      </c>
      <c r="C2594" t="s">
        <v>495</v>
      </c>
      <c r="D2594" s="2" t="s">
        <v>363</v>
      </c>
      <c r="E2594" t="s">
        <v>337</v>
      </c>
      <c r="F2594" s="11">
        <v>44304</v>
      </c>
      <c r="G2594" s="2">
        <f>VLOOKUP(E2594,Produtos!$A:$E,5,FALSE)</f>
        <v>110</v>
      </c>
      <c r="H2594" s="2">
        <f>VLOOKUP(E2594,Produtos!$A:$E,4,FALSE)</f>
        <v>50</v>
      </c>
      <c r="I2594" s="2">
        <v>3</v>
      </c>
    </row>
    <row r="2595" spans="1:9" x14ac:dyDescent="0.25">
      <c r="A2595" s="2" t="str">
        <f>CONCATENATE(Códigos!S2594,Códigos!T2594,Códigos!U2594)</f>
        <v>svv2593v</v>
      </c>
      <c r="B2595" t="s">
        <v>497</v>
      </c>
      <c r="C2595" t="s">
        <v>495</v>
      </c>
      <c r="D2595" s="2" t="s">
        <v>363</v>
      </c>
      <c r="E2595" t="s">
        <v>337</v>
      </c>
      <c r="F2595" s="11">
        <v>44305</v>
      </c>
      <c r="G2595" s="2">
        <f>VLOOKUP(E2595,Produtos!$A:$E,5,FALSE)</f>
        <v>110</v>
      </c>
      <c r="H2595" s="2">
        <f>VLOOKUP(E2595,Produtos!$A:$E,4,FALSE)</f>
        <v>50</v>
      </c>
      <c r="I2595" s="2">
        <v>3</v>
      </c>
    </row>
    <row r="2596" spans="1:9" x14ac:dyDescent="0.25">
      <c r="A2596" s="2" t="str">
        <f>CONCATENATE(Códigos!S2595,Códigos!T2595,Códigos!U2595)</f>
        <v>svv2594v</v>
      </c>
      <c r="B2596" t="s">
        <v>497</v>
      </c>
      <c r="C2596" t="s">
        <v>495</v>
      </c>
      <c r="D2596" s="2" t="s">
        <v>363</v>
      </c>
      <c r="E2596" t="s">
        <v>337</v>
      </c>
      <c r="F2596" s="11">
        <v>44306</v>
      </c>
      <c r="G2596" s="2">
        <f>VLOOKUP(E2596,Produtos!$A:$E,5,FALSE)</f>
        <v>110</v>
      </c>
      <c r="H2596" s="2">
        <f>VLOOKUP(E2596,Produtos!$A:$E,4,FALSE)</f>
        <v>50</v>
      </c>
      <c r="I2596" s="2">
        <v>3</v>
      </c>
    </row>
    <row r="2597" spans="1:9" x14ac:dyDescent="0.25">
      <c r="A2597" s="2" t="str">
        <f>CONCATENATE(Códigos!S2596,Códigos!T2596,Códigos!U2596)</f>
        <v>svv2595v</v>
      </c>
      <c r="B2597" t="s">
        <v>497</v>
      </c>
      <c r="C2597" t="s">
        <v>495</v>
      </c>
      <c r="D2597" s="2" t="s">
        <v>363</v>
      </c>
      <c r="E2597" t="s">
        <v>337</v>
      </c>
      <c r="F2597" s="11">
        <v>44307</v>
      </c>
      <c r="G2597" s="2">
        <f>VLOOKUP(E2597,Produtos!$A:$E,5,FALSE)</f>
        <v>110</v>
      </c>
      <c r="H2597" s="2">
        <f>VLOOKUP(E2597,Produtos!$A:$E,4,FALSE)</f>
        <v>50</v>
      </c>
      <c r="I2597" s="2">
        <v>3</v>
      </c>
    </row>
    <row r="2598" spans="1:9" x14ac:dyDescent="0.25">
      <c r="A2598" s="2" t="str">
        <f>CONCATENATE(Códigos!S2597,Códigos!T2597,Códigos!U2597)</f>
        <v>svv2596v</v>
      </c>
      <c r="B2598" t="s">
        <v>497</v>
      </c>
      <c r="C2598" t="s">
        <v>495</v>
      </c>
      <c r="D2598" s="2" t="s">
        <v>363</v>
      </c>
      <c r="E2598" t="s">
        <v>337</v>
      </c>
      <c r="F2598" s="11">
        <v>44308</v>
      </c>
      <c r="G2598" s="2">
        <f>VLOOKUP(E2598,Produtos!$A:$E,5,FALSE)</f>
        <v>110</v>
      </c>
      <c r="H2598" s="2">
        <f>VLOOKUP(E2598,Produtos!$A:$E,4,FALSE)</f>
        <v>50</v>
      </c>
      <c r="I2598" s="2">
        <v>3</v>
      </c>
    </row>
    <row r="2599" spans="1:9" x14ac:dyDescent="0.25">
      <c r="A2599" s="2" t="str">
        <f>CONCATENATE(Códigos!S2598,Códigos!T2598,Códigos!U2598)</f>
        <v>svv2597v</v>
      </c>
      <c r="B2599" t="s">
        <v>497</v>
      </c>
      <c r="C2599" t="s">
        <v>495</v>
      </c>
      <c r="D2599" s="2" t="s">
        <v>363</v>
      </c>
      <c r="E2599" t="s">
        <v>337</v>
      </c>
      <c r="F2599" s="11">
        <v>44309</v>
      </c>
      <c r="G2599" s="2">
        <f>VLOOKUP(E2599,Produtos!$A:$E,5,FALSE)</f>
        <v>110</v>
      </c>
      <c r="H2599" s="2">
        <f>VLOOKUP(E2599,Produtos!$A:$E,4,FALSE)</f>
        <v>50</v>
      </c>
      <c r="I2599" s="2">
        <v>3</v>
      </c>
    </row>
    <row r="2600" spans="1:9" x14ac:dyDescent="0.25">
      <c r="A2600" s="2" t="str">
        <f>CONCATENATE(Códigos!S2599,Códigos!T2599,Códigos!U2599)</f>
        <v>svv2598v</v>
      </c>
      <c r="B2600" t="s">
        <v>497</v>
      </c>
      <c r="C2600" t="s">
        <v>495</v>
      </c>
      <c r="D2600" s="2" t="s">
        <v>363</v>
      </c>
      <c r="E2600" t="s">
        <v>337</v>
      </c>
      <c r="F2600" s="11">
        <v>44310</v>
      </c>
      <c r="G2600" s="2">
        <f>VLOOKUP(E2600,Produtos!$A:$E,5,FALSE)</f>
        <v>110</v>
      </c>
      <c r="H2600" s="2">
        <f>VLOOKUP(E2600,Produtos!$A:$E,4,FALSE)</f>
        <v>50</v>
      </c>
      <c r="I2600" s="2">
        <v>3</v>
      </c>
    </row>
    <row r="2601" spans="1:9" x14ac:dyDescent="0.25">
      <c r="A2601" s="2" t="str">
        <f>CONCATENATE(Códigos!S2600,Códigos!T2600,Códigos!U2600)</f>
        <v>svv2599v</v>
      </c>
      <c r="B2601" t="s">
        <v>497</v>
      </c>
      <c r="C2601" t="s">
        <v>495</v>
      </c>
      <c r="D2601" s="2" t="s">
        <v>363</v>
      </c>
      <c r="E2601" t="s">
        <v>337</v>
      </c>
      <c r="F2601" s="11">
        <v>44311</v>
      </c>
      <c r="G2601" s="2">
        <f>VLOOKUP(E2601,Produtos!$A:$E,5,FALSE)</f>
        <v>110</v>
      </c>
      <c r="H2601" s="2">
        <f>VLOOKUP(E2601,Produtos!$A:$E,4,FALSE)</f>
        <v>50</v>
      </c>
      <c r="I2601" s="2">
        <v>3</v>
      </c>
    </row>
    <row r="2602" spans="1:9" x14ac:dyDescent="0.25">
      <c r="A2602" s="2" t="str">
        <f>CONCATENATE(Códigos!S2601,Códigos!T2601,Códigos!U2601)</f>
        <v>svv2600v</v>
      </c>
      <c r="B2602" t="s">
        <v>497</v>
      </c>
      <c r="C2602" t="s">
        <v>495</v>
      </c>
      <c r="D2602" s="2" t="s">
        <v>363</v>
      </c>
      <c r="E2602" t="s">
        <v>337</v>
      </c>
      <c r="F2602" s="11">
        <v>44312</v>
      </c>
      <c r="G2602" s="2">
        <f>VLOOKUP(E2602,Produtos!$A:$E,5,FALSE)</f>
        <v>110</v>
      </c>
      <c r="H2602" s="2">
        <f>VLOOKUP(E2602,Produtos!$A:$E,4,FALSE)</f>
        <v>50</v>
      </c>
      <c r="I2602" s="2">
        <v>3</v>
      </c>
    </row>
    <row r="2603" spans="1:9" x14ac:dyDescent="0.25">
      <c r="A2603" s="2" t="str">
        <f>CONCATENATE(Códigos!S2602,Códigos!T2602,Códigos!U2602)</f>
        <v>svv2601v</v>
      </c>
      <c r="B2603" t="s">
        <v>497</v>
      </c>
      <c r="C2603" t="s">
        <v>495</v>
      </c>
      <c r="D2603" s="2" t="s">
        <v>363</v>
      </c>
      <c r="E2603" t="s">
        <v>337</v>
      </c>
      <c r="F2603" s="11">
        <v>44313</v>
      </c>
      <c r="G2603" s="2">
        <f>VLOOKUP(E2603,Produtos!$A:$E,5,FALSE)</f>
        <v>110</v>
      </c>
      <c r="H2603" s="2">
        <f>VLOOKUP(E2603,Produtos!$A:$E,4,FALSE)</f>
        <v>50</v>
      </c>
      <c r="I2603" s="2">
        <v>3</v>
      </c>
    </row>
    <row r="2604" spans="1:9" x14ac:dyDescent="0.25">
      <c r="A2604" s="2" t="str">
        <f>CONCATENATE(Códigos!S2603,Códigos!T2603,Códigos!U2603)</f>
        <v>svv2602v</v>
      </c>
      <c r="B2604" t="s">
        <v>497</v>
      </c>
      <c r="C2604" t="s">
        <v>495</v>
      </c>
      <c r="D2604" s="2" t="s">
        <v>363</v>
      </c>
      <c r="E2604" t="s">
        <v>337</v>
      </c>
      <c r="F2604" s="11">
        <v>44314</v>
      </c>
      <c r="G2604" s="2">
        <f>VLOOKUP(E2604,Produtos!$A:$E,5,FALSE)</f>
        <v>110</v>
      </c>
      <c r="H2604" s="2">
        <f>VLOOKUP(E2604,Produtos!$A:$E,4,FALSE)</f>
        <v>50</v>
      </c>
      <c r="I2604" s="2">
        <v>3</v>
      </c>
    </row>
    <row r="2605" spans="1:9" x14ac:dyDescent="0.25">
      <c r="A2605" s="2" t="str">
        <f>CONCATENATE(Códigos!S2604,Códigos!T2604,Códigos!U2604)</f>
        <v>svv2603v</v>
      </c>
      <c r="B2605" t="s">
        <v>497</v>
      </c>
      <c r="C2605" t="s">
        <v>495</v>
      </c>
      <c r="D2605" s="2" t="s">
        <v>363</v>
      </c>
      <c r="E2605" t="s">
        <v>337</v>
      </c>
      <c r="F2605" s="11">
        <v>44315</v>
      </c>
      <c r="G2605" s="2">
        <f>VLOOKUP(E2605,Produtos!$A:$E,5,FALSE)</f>
        <v>110</v>
      </c>
      <c r="H2605" s="2">
        <f>VLOOKUP(E2605,Produtos!$A:$E,4,FALSE)</f>
        <v>50</v>
      </c>
      <c r="I2605" s="2">
        <v>3</v>
      </c>
    </row>
    <row r="2606" spans="1:9" x14ac:dyDescent="0.25">
      <c r="A2606" s="2" t="str">
        <f>CONCATENATE(Códigos!S2605,Códigos!T2605,Códigos!U2605)</f>
        <v>svv2604v</v>
      </c>
      <c r="B2606" t="s">
        <v>497</v>
      </c>
      <c r="C2606" t="s">
        <v>495</v>
      </c>
      <c r="D2606" s="2" t="s">
        <v>363</v>
      </c>
      <c r="E2606" t="s">
        <v>337</v>
      </c>
      <c r="F2606" s="11">
        <v>44316</v>
      </c>
      <c r="G2606" s="2">
        <f>VLOOKUP(E2606,Produtos!$A:$E,5,FALSE)</f>
        <v>110</v>
      </c>
      <c r="H2606" s="2">
        <f>VLOOKUP(E2606,Produtos!$A:$E,4,FALSE)</f>
        <v>50</v>
      </c>
      <c r="I2606" s="2">
        <v>3</v>
      </c>
    </row>
    <row r="2607" spans="1:9" x14ac:dyDescent="0.25">
      <c r="A2607" s="2" t="str">
        <f>CONCATENATE(Códigos!S2606,Códigos!T2606,Códigos!U2606)</f>
        <v>svv2605v</v>
      </c>
      <c r="B2607" t="s">
        <v>497</v>
      </c>
      <c r="C2607" t="s">
        <v>495</v>
      </c>
      <c r="D2607" s="2" t="s">
        <v>363</v>
      </c>
      <c r="E2607" t="s">
        <v>337</v>
      </c>
      <c r="F2607" s="11">
        <v>44317</v>
      </c>
      <c r="G2607" s="2">
        <f>VLOOKUP(E2607,Produtos!$A:$E,5,FALSE)</f>
        <v>110</v>
      </c>
      <c r="H2607" s="2">
        <f>VLOOKUP(E2607,Produtos!$A:$E,4,FALSE)</f>
        <v>50</v>
      </c>
      <c r="I2607" s="2">
        <v>3</v>
      </c>
    </row>
    <row r="2608" spans="1:9" x14ac:dyDescent="0.25">
      <c r="A2608" s="2" t="str">
        <f>CONCATENATE(Códigos!S2607,Códigos!T2607,Códigos!U2607)</f>
        <v>svv2606v</v>
      </c>
      <c r="B2608" t="s">
        <v>497</v>
      </c>
      <c r="C2608" t="s">
        <v>495</v>
      </c>
      <c r="D2608" s="2" t="s">
        <v>363</v>
      </c>
      <c r="E2608" t="s">
        <v>337</v>
      </c>
      <c r="F2608" s="11">
        <v>44318</v>
      </c>
      <c r="G2608" s="2">
        <f>VLOOKUP(E2608,Produtos!$A:$E,5,FALSE)</f>
        <v>110</v>
      </c>
      <c r="H2608" s="2">
        <f>VLOOKUP(E2608,Produtos!$A:$E,4,FALSE)</f>
        <v>50</v>
      </c>
      <c r="I2608" s="2">
        <v>3</v>
      </c>
    </row>
    <row r="2609" spans="1:9" x14ac:dyDescent="0.25">
      <c r="A2609" s="2" t="str">
        <f>CONCATENATE(Códigos!S2608,Códigos!T2608,Códigos!U2608)</f>
        <v>svv2607v</v>
      </c>
      <c r="B2609" t="s">
        <v>497</v>
      </c>
      <c r="C2609" t="s">
        <v>495</v>
      </c>
      <c r="D2609" s="2" t="s">
        <v>363</v>
      </c>
      <c r="E2609" t="s">
        <v>337</v>
      </c>
      <c r="F2609" s="11">
        <v>44319</v>
      </c>
      <c r="G2609" s="2">
        <f>VLOOKUP(E2609,Produtos!$A:$E,5,FALSE)</f>
        <v>110</v>
      </c>
      <c r="H2609" s="2">
        <f>VLOOKUP(E2609,Produtos!$A:$E,4,FALSE)</f>
        <v>50</v>
      </c>
      <c r="I2609" s="2">
        <v>3</v>
      </c>
    </row>
    <row r="2610" spans="1:9" x14ac:dyDescent="0.25">
      <c r="A2610" s="2" t="str">
        <f>CONCATENATE(Códigos!S2609,Códigos!T2609,Códigos!U2609)</f>
        <v>svv2608v</v>
      </c>
      <c r="B2610" t="s">
        <v>497</v>
      </c>
      <c r="C2610" t="s">
        <v>495</v>
      </c>
      <c r="D2610" s="2" t="s">
        <v>363</v>
      </c>
      <c r="E2610" t="s">
        <v>337</v>
      </c>
      <c r="F2610" s="11">
        <v>44320</v>
      </c>
      <c r="G2610" s="2">
        <f>VLOOKUP(E2610,Produtos!$A:$E,5,FALSE)</f>
        <v>110</v>
      </c>
      <c r="H2610" s="2">
        <f>VLOOKUP(E2610,Produtos!$A:$E,4,FALSE)</f>
        <v>50</v>
      </c>
      <c r="I2610" s="2">
        <v>3</v>
      </c>
    </row>
    <row r="2611" spans="1:9" x14ac:dyDescent="0.25">
      <c r="A2611" s="2" t="str">
        <f>CONCATENATE(Códigos!S2610,Códigos!T2610,Códigos!U2610)</f>
        <v>svv2609v</v>
      </c>
      <c r="B2611" t="s">
        <v>497</v>
      </c>
      <c r="C2611" t="s">
        <v>495</v>
      </c>
      <c r="D2611" s="2" t="s">
        <v>363</v>
      </c>
      <c r="E2611" t="s">
        <v>337</v>
      </c>
      <c r="F2611" s="11">
        <v>44321</v>
      </c>
      <c r="G2611" s="2">
        <f>VLOOKUP(E2611,Produtos!$A:$E,5,FALSE)</f>
        <v>110</v>
      </c>
      <c r="H2611" s="2">
        <f>VLOOKUP(E2611,Produtos!$A:$E,4,FALSE)</f>
        <v>50</v>
      </c>
      <c r="I2611" s="2">
        <v>3</v>
      </c>
    </row>
    <row r="2612" spans="1:9" x14ac:dyDescent="0.25">
      <c r="A2612" s="2" t="str">
        <f>CONCATENATE(Códigos!S2611,Códigos!T2611,Códigos!U2611)</f>
        <v>svv2610v</v>
      </c>
      <c r="B2612" t="s">
        <v>497</v>
      </c>
      <c r="C2612" t="s">
        <v>495</v>
      </c>
      <c r="D2612" s="2" t="s">
        <v>363</v>
      </c>
      <c r="E2612" t="s">
        <v>337</v>
      </c>
      <c r="F2612" s="11">
        <v>44322</v>
      </c>
      <c r="G2612" s="2">
        <f>VLOOKUP(E2612,Produtos!$A:$E,5,FALSE)</f>
        <v>110</v>
      </c>
      <c r="H2612" s="2">
        <f>VLOOKUP(E2612,Produtos!$A:$E,4,FALSE)</f>
        <v>50</v>
      </c>
      <c r="I2612" s="2">
        <v>3</v>
      </c>
    </row>
    <row r="2613" spans="1:9" x14ac:dyDescent="0.25">
      <c r="A2613" s="2" t="str">
        <f>CONCATENATE(Códigos!S2612,Códigos!T2612,Códigos!U2612)</f>
        <v>svv2611v</v>
      </c>
      <c r="B2613" t="s">
        <v>497</v>
      </c>
      <c r="C2613" t="s">
        <v>495</v>
      </c>
      <c r="D2613" s="2" t="s">
        <v>363</v>
      </c>
      <c r="E2613" t="s">
        <v>337</v>
      </c>
      <c r="F2613" s="11">
        <v>44323</v>
      </c>
      <c r="G2613" s="2">
        <f>VLOOKUP(E2613,Produtos!$A:$E,5,FALSE)</f>
        <v>110</v>
      </c>
      <c r="H2613" s="2">
        <f>VLOOKUP(E2613,Produtos!$A:$E,4,FALSE)</f>
        <v>50</v>
      </c>
      <c r="I2613" s="2">
        <v>3</v>
      </c>
    </row>
    <row r="2614" spans="1:9" x14ac:dyDescent="0.25">
      <c r="A2614" s="2" t="str">
        <f>CONCATENATE(Códigos!S2613,Códigos!T2613,Códigos!U2613)</f>
        <v>svv2612v</v>
      </c>
      <c r="B2614" t="s">
        <v>497</v>
      </c>
      <c r="C2614" t="s">
        <v>495</v>
      </c>
      <c r="D2614" s="2" t="s">
        <v>363</v>
      </c>
      <c r="E2614" t="s">
        <v>337</v>
      </c>
      <c r="F2614" s="11">
        <v>44324</v>
      </c>
      <c r="G2614" s="2">
        <f>VLOOKUP(E2614,Produtos!$A:$E,5,FALSE)</f>
        <v>110</v>
      </c>
      <c r="H2614" s="2">
        <f>VLOOKUP(E2614,Produtos!$A:$E,4,FALSE)</f>
        <v>50</v>
      </c>
      <c r="I2614" s="2">
        <v>3</v>
      </c>
    </row>
    <row r="2615" spans="1:9" x14ac:dyDescent="0.25">
      <c r="A2615" s="2" t="str">
        <f>CONCATENATE(Códigos!S2614,Códigos!T2614,Códigos!U2614)</f>
        <v>svv2613v</v>
      </c>
      <c r="B2615" t="s">
        <v>497</v>
      </c>
      <c r="C2615" t="s">
        <v>495</v>
      </c>
      <c r="D2615" s="2" t="s">
        <v>363</v>
      </c>
      <c r="E2615" t="s">
        <v>337</v>
      </c>
      <c r="F2615" s="11">
        <v>44325</v>
      </c>
      <c r="G2615" s="2">
        <f>VLOOKUP(E2615,Produtos!$A:$E,5,FALSE)</f>
        <v>110</v>
      </c>
      <c r="H2615" s="2">
        <f>VLOOKUP(E2615,Produtos!$A:$E,4,FALSE)</f>
        <v>50</v>
      </c>
      <c r="I2615" s="2">
        <v>3</v>
      </c>
    </row>
    <row r="2616" spans="1:9" x14ac:dyDescent="0.25">
      <c r="A2616" s="2" t="str">
        <f>CONCATENATE(Códigos!S2615,Códigos!T2615,Códigos!U2615)</f>
        <v>svv2614v</v>
      </c>
      <c r="B2616" t="s">
        <v>497</v>
      </c>
      <c r="C2616" t="s">
        <v>495</v>
      </c>
      <c r="D2616" s="2" t="s">
        <v>363</v>
      </c>
      <c r="E2616" t="s">
        <v>337</v>
      </c>
      <c r="F2616" s="11">
        <v>44326</v>
      </c>
      <c r="G2616" s="2">
        <f>VLOOKUP(E2616,Produtos!$A:$E,5,FALSE)</f>
        <v>110</v>
      </c>
      <c r="H2616" s="2">
        <f>VLOOKUP(E2616,Produtos!$A:$E,4,FALSE)</f>
        <v>50</v>
      </c>
      <c r="I2616" s="2">
        <v>3</v>
      </c>
    </row>
    <row r="2617" spans="1:9" x14ac:dyDescent="0.25">
      <c r="A2617" s="2" t="str">
        <f>CONCATENATE(Códigos!S2616,Códigos!T2616,Códigos!U2616)</f>
        <v>svv2615v</v>
      </c>
      <c r="B2617" t="s">
        <v>497</v>
      </c>
      <c r="C2617" t="s">
        <v>495</v>
      </c>
      <c r="D2617" s="2" t="s">
        <v>363</v>
      </c>
      <c r="E2617" t="s">
        <v>337</v>
      </c>
      <c r="F2617" s="11">
        <v>44327</v>
      </c>
      <c r="G2617" s="2">
        <f>VLOOKUP(E2617,Produtos!$A:$E,5,FALSE)</f>
        <v>110</v>
      </c>
      <c r="H2617" s="2">
        <f>VLOOKUP(E2617,Produtos!$A:$E,4,FALSE)</f>
        <v>50</v>
      </c>
      <c r="I2617" s="2">
        <v>3</v>
      </c>
    </row>
    <row r="2618" spans="1:9" x14ac:dyDescent="0.25">
      <c r="A2618" s="2" t="str">
        <f>CONCATENATE(Códigos!S2617,Códigos!T2617,Códigos!U2617)</f>
        <v>svv2616v</v>
      </c>
      <c r="B2618" t="s">
        <v>497</v>
      </c>
      <c r="C2618" t="s">
        <v>323</v>
      </c>
      <c r="D2618" s="2" t="s">
        <v>325</v>
      </c>
      <c r="E2618" t="s">
        <v>337</v>
      </c>
      <c r="F2618" s="11">
        <v>44328</v>
      </c>
      <c r="G2618" s="2">
        <f>VLOOKUP(E2618,Produtos!$A:$E,5,FALSE)</f>
        <v>110</v>
      </c>
      <c r="H2618" s="2">
        <f>VLOOKUP(E2618,Produtos!$A:$E,4,FALSE)</f>
        <v>50</v>
      </c>
      <c r="I2618" s="2">
        <v>3</v>
      </c>
    </row>
    <row r="2619" spans="1:9" x14ac:dyDescent="0.25">
      <c r="A2619" s="2" t="str">
        <f>CONCATENATE(Códigos!S2618,Códigos!T2618,Códigos!U2618)</f>
        <v>svv2617v</v>
      </c>
      <c r="B2619" t="s">
        <v>497</v>
      </c>
      <c r="C2619" t="s">
        <v>323</v>
      </c>
      <c r="D2619" s="2" t="s">
        <v>325</v>
      </c>
      <c r="E2619" t="s">
        <v>337</v>
      </c>
      <c r="F2619" s="11">
        <v>44329</v>
      </c>
      <c r="G2619" s="2">
        <f>VLOOKUP(E2619,Produtos!$A:$E,5,FALSE)</f>
        <v>110</v>
      </c>
      <c r="H2619" s="2">
        <f>VLOOKUP(E2619,Produtos!$A:$E,4,FALSE)</f>
        <v>50</v>
      </c>
      <c r="I2619" s="2">
        <v>3</v>
      </c>
    </row>
    <row r="2620" spans="1:9" x14ac:dyDescent="0.25">
      <c r="A2620" s="2" t="str">
        <f>CONCATENATE(Códigos!S2619,Códigos!T2619,Códigos!U2619)</f>
        <v>svv2618v</v>
      </c>
      <c r="B2620" t="s">
        <v>497</v>
      </c>
      <c r="C2620" t="s">
        <v>323</v>
      </c>
      <c r="D2620" s="2" t="s">
        <v>325</v>
      </c>
      <c r="E2620" t="s">
        <v>337</v>
      </c>
      <c r="F2620" s="11">
        <v>44330</v>
      </c>
      <c r="G2620" s="2">
        <f>VLOOKUP(E2620,Produtos!$A:$E,5,FALSE)</f>
        <v>110</v>
      </c>
      <c r="H2620" s="2">
        <f>VLOOKUP(E2620,Produtos!$A:$E,4,FALSE)</f>
        <v>50</v>
      </c>
      <c r="I2620" s="2">
        <v>3</v>
      </c>
    </row>
    <row r="2621" spans="1:9" x14ac:dyDescent="0.25">
      <c r="A2621" s="2" t="str">
        <f>CONCATENATE(Códigos!S2620,Códigos!T2620,Códigos!U2620)</f>
        <v>svv2619v</v>
      </c>
      <c r="B2621" t="s">
        <v>497</v>
      </c>
      <c r="C2621" t="s">
        <v>323</v>
      </c>
      <c r="D2621" s="2" t="s">
        <v>325</v>
      </c>
      <c r="E2621" t="s">
        <v>337</v>
      </c>
      <c r="F2621" s="11">
        <v>44331</v>
      </c>
      <c r="G2621" s="2">
        <f>VLOOKUP(E2621,Produtos!$A:$E,5,FALSE)</f>
        <v>110</v>
      </c>
      <c r="H2621" s="2">
        <f>VLOOKUP(E2621,Produtos!$A:$E,4,FALSE)</f>
        <v>50</v>
      </c>
      <c r="I2621" s="2">
        <v>3</v>
      </c>
    </row>
    <row r="2622" spans="1:9" x14ac:dyDescent="0.25">
      <c r="A2622" s="2" t="str">
        <f>CONCATENATE(Códigos!S2621,Códigos!T2621,Códigos!U2621)</f>
        <v>svv2620v</v>
      </c>
      <c r="B2622" t="s">
        <v>497</v>
      </c>
      <c r="C2622" t="s">
        <v>323</v>
      </c>
      <c r="D2622" s="2" t="s">
        <v>325</v>
      </c>
      <c r="E2622" t="s">
        <v>337</v>
      </c>
      <c r="F2622" s="11">
        <v>44332</v>
      </c>
      <c r="G2622" s="2">
        <f>VLOOKUP(E2622,Produtos!$A:$E,5,FALSE)</f>
        <v>110</v>
      </c>
      <c r="H2622" s="2">
        <f>VLOOKUP(E2622,Produtos!$A:$E,4,FALSE)</f>
        <v>50</v>
      </c>
      <c r="I2622" s="2">
        <v>3</v>
      </c>
    </row>
    <row r="2623" spans="1:9" x14ac:dyDescent="0.25">
      <c r="A2623" s="2" t="str">
        <f>CONCATENATE(Códigos!S2622,Códigos!T2622,Códigos!U2622)</f>
        <v>svv2621v</v>
      </c>
      <c r="B2623" t="s">
        <v>497</v>
      </c>
      <c r="C2623" t="s">
        <v>323</v>
      </c>
      <c r="D2623" s="2" t="s">
        <v>325</v>
      </c>
      <c r="E2623" t="s">
        <v>337</v>
      </c>
      <c r="F2623" s="11">
        <v>44333</v>
      </c>
      <c r="G2623" s="2">
        <f>VLOOKUP(E2623,Produtos!$A:$E,5,FALSE)</f>
        <v>110</v>
      </c>
      <c r="H2623" s="2">
        <f>VLOOKUP(E2623,Produtos!$A:$E,4,FALSE)</f>
        <v>50</v>
      </c>
      <c r="I2623" s="2">
        <v>3</v>
      </c>
    </row>
    <row r="2624" spans="1:9" x14ac:dyDescent="0.25">
      <c r="A2624" s="2" t="str">
        <f>CONCATENATE(Códigos!S2623,Códigos!T2623,Códigos!U2623)</f>
        <v>svv2622v</v>
      </c>
      <c r="B2624" t="s">
        <v>497</v>
      </c>
      <c r="C2624" t="s">
        <v>323</v>
      </c>
      <c r="D2624" s="2" t="s">
        <v>325</v>
      </c>
      <c r="E2624" t="s">
        <v>337</v>
      </c>
      <c r="F2624" s="11">
        <v>44334</v>
      </c>
      <c r="G2624" s="2">
        <f>VLOOKUP(E2624,Produtos!$A:$E,5,FALSE)</f>
        <v>110</v>
      </c>
      <c r="H2624" s="2">
        <f>VLOOKUP(E2624,Produtos!$A:$E,4,FALSE)</f>
        <v>50</v>
      </c>
      <c r="I2624" s="2">
        <v>3</v>
      </c>
    </row>
    <row r="2625" spans="1:9" x14ac:dyDescent="0.25">
      <c r="A2625" s="2" t="str">
        <f>CONCATENATE(Códigos!S2624,Códigos!T2624,Códigos!U2624)</f>
        <v>svv2623v</v>
      </c>
      <c r="B2625" t="s">
        <v>497</v>
      </c>
      <c r="C2625" t="s">
        <v>323</v>
      </c>
      <c r="D2625" s="2" t="s">
        <v>325</v>
      </c>
      <c r="E2625" t="s">
        <v>337</v>
      </c>
      <c r="F2625" s="11">
        <v>44335</v>
      </c>
      <c r="G2625" s="2">
        <f>VLOOKUP(E2625,Produtos!$A:$E,5,FALSE)</f>
        <v>110</v>
      </c>
      <c r="H2625" s="2">
        <f>VLOOKUP(E2625,Produtos!$A:$E,4,FALSE)</f>
        <v>50</v>
      </c>
      <c r="I2625" s="2">
        <v>3</v>
      </c>
    </row>
    <row r="2626" spans="1:9" x14ac:dyDescent="0.25">
      <c r="A2626" s="2" t="str">
        <f>CONCATENATE(Códigos!S2625,Códigos!T2625,Códigos!U2625)</f>
        <v>svv2624v</v>
      </c>
      <c r="B2626" t="s">
        <v>497</v>
      </c>
      <c r="C2626" t="s">
        <v>323</v>
      </c>
      <c r="D2626" s="2" t="s">
        <v>325</v>
      </c>
      <c r="E2626" t="s">
        <v>337</v>
      </c>
      <c r="F2626" s="11">
        <v>44336</v>
      </c>
      <c r="G2626" s="2">
        <f>VLOOKUP(E2626,Produtos!$A:$E,5,FALSE)</f>
        <v>110</v>
      </c>
      <c r="H2626" s="2">
        <f>VLOOKUP(E2626,Produtos!$A:$E,4,FALSE)</f>
        <v>50</v>
      </c>
      <c r="I2626" s="2">
        <v>3</v>
      </c>
    </row>
    <row r="2627" spans="1:9" x14ac:dyDescent="0.25">
      <c r="A2627" s="2" t="str">
        <f>CONCATENATE(Códigos!S2626,Códigos!T2626,Códigos!U2626)</f>
        <v>svv2625v</v>
      </c>
      <c r="B2627" t="s">
        <v>497</v>
      </c>
      <c r="C2627" t="s">
        <v>323</v>
      </c>
      <c r="D2627" s="2" t="s">
        <v>325</v>
      </c>
      <c r="E2627" t="s">
        <v>337</v>
      </c>
      <c r="F2627" s="11">
        <v>44337</v>
      </c>
      <c r="G2627" s="2">
        <f>VLOOKUP(E2627,Produtos!$A:$E,5,FALSE)</f>
        <v>110</v>
      </c>
      <c r="H2627" s="2">
        <f>VLOOKUP(E2627,Produtos!$A:$E,4,FALSE)</f>
        <v>50</v>
      </c>
      <c r="I2627" s="2">
        <v>3</v>
      </c>
    </row>
    <row r="2628" spans="1:9" x14ac:dyDescent="0.25">
      <c r="A2628" s="2" t="str">
        <f>CONCATENATE(Códigos!S2627,Códigos!T2627,Códigos!U2627)</f>
        <v>svv2626v</v>
      </c>
      <c r="B2628" t="s">
        <v>497</v>
      </c>
      <c r="C2628" t="s">
        <v>323</v>
      </c>
      <c r="D2628" s="2" t="s">
        <v>325</v>
      </c>
      <c r="E2628" t="s">
        <v>337</v>
      </c>
      <c r="F2628" s="11">
        <v>44338</v>
      </c>
      <c r="G2628" s="2">
        <f>VLOOKUP(E2628,Produtos!$A:$E,5,FALSE)</f>
        <v>110</v>
      </c>
      <c r="H2628" s="2">
        <f>VLOOKUP(E2628,Produtos!$A:$E,4,FALSE)</f>
        <v>50</v>
      </c>
      <c r="I2628" s="2">
        <v>3</v>
      </c>
    </row>
    <row r="2629" spans="1:9" x14ac:dyDescent="0.25">
      <c r="A2629" s="2" t="str">
        <f>CONCATENATE(Códigos!S2628,Códigos!T2628,Códigos!U2628)</f>
        <v>svv2627v</v>
      </c>
      <c r="B2629" t="s">
        <v>497</v>
      </c>
      <c r="C2629" t="s">
        <v>323</v>
      </c>
      <c r="D2629" s="2" t="s">
        <v>325</v>
      </c>
      <c r="E2629" t="s">
        <v>337</v>
      </c>
      <c r="F2629" s="11">
        <v>44339</v>
      </c>
      <c r="G2629" s="2">
        <f>VLOOKUP(E2629,Produtos!$A:$E,5,FALSE)</f>
        <v>110</v>
      </c>
      <c r="H2629" s="2">
        <f>VLOOKUP(E2629,Produtos!$A:$E,4,FALSE)</f>
        <v>50</v>
      </c>
      <c r="I2629" s="2">
        <v>3</v>
      </c>
    </row>
    <row r="2630" spans="1:9" x14ac:dyDescent="0.25">
      <c r="A2630" s="2" t="str">
        <f>CONCATENATE(Códigos!S2629,Códigos!T2629,Códigos!U2629)</f>
        <v>svv2628v</v>
      </c>
      <c r="B2630" t="s">
        <v>497</v>
      </c>
      <c r="C2630" t="s">
        <v>323</v>
      </c>
      <c r="D2630" s="2" t="s">
        <v>325</v>
      </c>
      <c r="E2630" t="s">
        <v>337</v>
      </c>
      <c r="F2630" s="11">
        <v>44340</v>
      </c>
      <c r="G2630" s="2">
        <f>VLOOKUP(E2630,Produtos!$A:$E,5,FALSE)</f>
        <v>110</v>
      </c>
      <c r="H2630" s="2">
        <f>VLOOKUP(E2630,Produtos!$A:$E,4,FALSE)</f>
        <v>50</v>
      </c>
      <c r="I2630" s="2">
        <v>3</v>
      </c>
    </row>
    <row r="2631" spans="1:9" x14ac:dyDescent="0.25">
      <c r="A2631" s="2" t="str">
        <f>CONCATENATE(Códigos!S2630,Códigos!T2630,Códigos!U2630)</f>
        <v>svv2629v</v>
      </c>
      <c r="B2631" t="s">
        <v>497</v>
      </c>
      <c r="C2631" t="s">
        <v>323</v>
      </c>
      <c r="D2631" s="2" t="s">
        <v>325</v>
      </c>
      <c r="E2631" t="s">
        <v>337</v>
      </c>
      <c r="F2631" s="11">
        <v>44341</v>
      </c>
      <c r="G2631" s="2">
        <f>VLOOKUP(E2631,Produtos!$A:$E,5,FALSE)</f>
        <v>110</v>
      </c>
      <c r="H2631" s="2">
        <f>VLOOKUP(E2631,Produtos!$A:$E,4,FALSE)</f>
        <v>50</v>
      </c>
      <c r="I2631" s="2">
        <v>3</v>
      </c>
    </row>
    <row r="2632" spans="1:9" x14ac:dyDescent="0.25">
      <c r="A2632" s="2" t="str">
        <f>CONCATENATE(Códigos!S2631,Códigos!T2631,Códigos!U2631)</f>
        <v>svv2630v</v>
      </c>
      <c r="B2632" t="s">
        <v>497</v>
      </c>
      <c r="C2632" t="s">
        <v>323</v>
      </c>
      <c r="D2632" s="2" t="s">
        <v>325</v>
      </c>
      <c r="E2632" t="s">
        <v>337</v>
      </c>
      <c r="F2632" s="11">
        <v>44342</v>
      </c>
      <c r="G2632" s="2">
        <f>VLOOKUP(E2632,Produtos!$A:$E,5,FALSE)</f>
        <v>110</v>
      </c>
      <c r="H2632" s="2">
        <f>VLOOKUP(E2632,Produtos!$A:$E,4,FALSE)</f>
        <v>50</v>
      </c>
      <c r="I2632" s="2">
        <v>3</v>
      </c>
    </row>
    <row r="2633" spans="1:9" x14ac:dyDescent="0.25">
      <c r="A2633" s="2" t="str">
        <f>CONCATENATE(Códigos!S2632,Códigos!T2632,Códigos!U2632)</f>
        <v>svv2631v</v>
      </c>
      <c r="B2633" t="s">
        <v>497</v>
      </c>
      <c r="C2633" t="s">
        <v>323</v>
      </c>
      <c r="D2633" s="2" t="s">
        <v>325</v>
      </c>
      <c r="E2633" t="s">
        <v>337</v>
      </c>
      <c r="F2633" s="11">
        <v>44343</v>
      </c>
      <c r="G2633" s="2">
        <f>VLOOKUP(E2633,Produtos!$A:$E,5,FALSE)</f>
        <v>110</v>
      </c>
      <c r="H2633" s="2">
        <f>VLOOKUP(E2633,Produtos!$A:$E,4,FALSE)</f>
        <v>50</v>
      </c>
      <c r="I2633" s="2">
        <v>3</v>
      </c>
    </row>
    <row r="2634" spans="1:9" x14ac:dyDescent="0.25">
      <c r="A2634" s="2" t="str">
        <f>CONCATENATE(Códigos!S2633,Códigos!T2633,Códigos!U2633)</f>
        <v>svv2632v</v>
      </c>
      <c r="B2634" t="s">
        <v>497</v>
      </c>
      <c r="C2634" t="s">
        <v>323</v>
      </c>
      <c r="D2634" s="2" t="s">
        <v>325</v>
      </c>
      <c r="E2634" t="s">
        <v>337</v>
      </c>
      <c r="F2634" s="11">
        <v>44344</v>
      </c>
      <c r="G2634" s="2">
        <f>VLOOKUP(E2634,Produtos!$A:$E,5,FALSE)</f>
        <v>110</v>
      </c>
      <c r="H2634" s="2">
        <f>VLOOKUP(E2634,Produtos!$A:$E,4,FALSE)</f>
        <v>50</v>
      </c>
      <c r="I2634" s="2">
        <v>3</v>
      </c>
    </row>
    <row r="2635" spans="1:9" x14ac:dyDescent="0.25">
      <c r="A2635" s="2" t="str">
        <f>CONCATENATE(Códigos!S2634,Códigos!T2634,Códigos!U2634)</f>
        <v>svv2633v</v>
      </c>
      <c r="B2635" t="s">
        <v>497</v>
      </c>
      <c r="C2635" t="s">
        <v>323</v>
      </c>
      <c r="D2635" s="2" t="s">
        <v>325</v>
      </c>
      <c r="E2635" t="s">
        <v>337</v>
      </c>
      <c r="F2635" s="11">
        <v>44345</v>
      </c>
      <c r="G2635" s="2">
        <f>VLOOKUP(E2635,Produtos!$A:$E,5,FALSE)</f>
        <v>110</v>
      </c>
      <c r="H2635" s="2">
        <f>VLOOKUP(E2635,Produtos!$A:$E,4,FALSE)</f>
        <v>50</v>
      </c>
      <c r="I2635" s="2">
        <v>3</v>
      </c>
    </row>
    <row r="2636" spans="1:9" x14ac:dyDescent="0.25">
      <c r="A2636" s="2" t="str">
        <f>CONCATENATE(Códigos!S2635,Códigos!T2635,Códigos!U2635)</f>
        <v>svv2634v</v>
      </c>
      <c r="B2636" t="s">
        <v>497</v>
      </c>
      <c r="C2636" t="s">
        <v>323</v>
      </c>
      <c r="D2636" s="2" t="s">
        <v>325</v>
      </c>
      <c r="E2636" t="s">
        <v>337</v>
      </c>
      <c r="F2636" s="11">
        <v>44346</v>
      </c>
      <c r="G2636" s="2">
        <f>VLOOKUP(E2636,Produtos!$A:$E,5,FALSE)</f>
        <v>110</v>
      </c>
      <c r="H2636" s="2">
        <f>VLOOKUP(E2636,Produtos!$A:$E,4,FALSE)</f>
        <v>50</v>
      </c>
      <c r="I2636" s="2">
        <v>3</v>
      </c>
    </row>
    <row r="2637" spans="1:9" x14ac:dyDescent="0.25">
      <c r="A2637" s="2" t="str">
        <f>CONCATENATE(Códigos!S2636,Códigos!T2636,Códigos!U2636)</f>
        <v>svv2635v</v>
      </c>
      <c r="B2637" t="s">
        <v>497</v>
      </c>
      <c r="C2637" t="s">
        <v>323</v>
      </c>
      <c r="D2637" s="2" t="s">
        <v>325</v>
      </c>
      <c r="E2637" t="s">
        <v>337</v>
      </c>
      <c r="F2637" s="11">
        <v>44347</v>
      </c>
      <c r="G2637" s="2">
        <f>VLOOKUP(E2637,Produtos!$A:$E,5,FALSE)</f>
        <v>110</v>
      </c>
      <c r="H2637" s="2">
        <f>VLOOKUP(E2637,Produtos!$A:$E,4,FALSE)</f>
        <v>50</v>
      </c>
      <c r="I2637" s="2">
        <v>3</v>
      </c>
    </row>
    <row r="2638" spans="1:9" x14ac:dyDescent="0.25">
      <c r="A2638" s="2" t="str">
        <f>CONCATENATE(Códigos!S2637,Códigos!T2637,Códigos!U2637)</f>
        <v>svv2636v</v>
      </c>
      <c r="B2638" t="s">
        <v>497</v>
      </c>
      <c r="C2638" t="s">
        <v>323</v>
      </c>
      <c r="D2638" s="2" t="s">
        <v>325</v>
      </c>
      <c r="E2638" t="s">
        <v>337</v>
      </c>
      <c r="F2638" s="11">
        <v>44348</v>
      </c>
      <c r="G2638" s="2">
        <f>VLOOKUP(E2638,Produtos!$A:$E,5,FALSE)</f>
        <v>110</v>
      </c>
      <c r="H2638" s="2">
        <f>VLOOKUP(E2638,Produtos!$A:$E,4,FALSE)</f>
        <v>50</v>
      </c>
      <c r="I2638" s="2">
        <v>3</v>
      </c>
    </row>
    <row r="2639" spans="1:9" x14ac:dyDescent="0.25">
      <c r="A2639" s="2" t="str">
        <f>CONCATENATE(Códigos!S2638,Códigos!T2638,Códigos!U2638)</f>
        <v>svv2637v</v>
      </c>
      <c r="B2639" t="s">
        <v>497</v>
      </c>
      <c r="C2639" t="s">
        <v>323</v>
      </c>
      <c r="D2639" s="2" t="s">
        <v>325</v>
      </c>
      <c r="E2639" t="s">
        <v>337</v>
      </c>
      <c r="F2639" s="11">
        <v>44349</v>
      </c>
      <c r="G2639" s="2">
        <f>VLOOKUP(E2639,Produtos!$A:$E,5,FALSE)</f>
        <v>110</v>
      </c>
      <c r="H2639" s="2">
        <f>VLOOKUP(E2639,Produtos!$A:$E,4,FALSE)</f>
        <v>50</v>
      </c>
      <c r="I2639" s="2">
        <v>3</v>
      </c>
    </row>
    <row r="2640" spans="1:9" x14ac:dyDescent="0.25">
      <c r="A2640" s="2" t="str">
        <f>CONCATENATE(Códigos!S2639,Códigos!T2639,Códigos!U2639)</f>
        <v>svv2638v</v>
      </c>
      <c r="B2640" t="s">
        <v>497</v>
      </c>
      <c r="C2640" t="s">
        <v>323</v>
      </c>
      <c r="D2640" s="2" t="s">
        <v>325</v>
      </c>
      <c r="E2640" t="s">
        <v>337</v>
      </c>
      <c r="F2640" s="11">
        <v>44350</v>
      </c>
      <c r="G2640" s="2">
        <f>VLOOKUP(E2640,Produtos!$A:$E,5,FALSE)</f>
        <v>110</v>
      </c>
      <c r="H2640" s="2">
        <f>VLOOKUP(E2640,Produtos!$A:$E,4,FALSE)</f>
        <v>50</v>
      </c>
      <c r="I2640" s="2">
        <v>3</v>
      </c>
    </row>
    <row r="2641" spans="1:9" x14ac:dyDescent="0.25">
      <c r="A2641" s="2" t="str">
        <f>CONCATENATE(Códigos!S2640,Códigos!T2640,Códigos!U2640)</f>
        <v>svv2639v</v>
      </c>
      <c r="B2641" t="s">
        <v>497</v>
      </c>
      <c r="C2641" t="s">
        <v>323</v>
      </c>
      <c r="D2641" s="2" t="s">
        <v>325</v>
      </c>
      <c r="E2641" t="s">
        <v>337</v>
      </c>
      <c r="F2641" s="11">
        <v>44351</v>
      </c>
      <c r="G2641" s="2">
        <f>VLOOKUP(E2641,Produtos!$A:$E,5,FALSE)</f>
        <v>110</v>
      </c>
      <c r="H2641" s="2">
        <f>VLOOKUP(E2641,Produtos!$A:$E,4,FALSE)</f>
        <v>50</v>
      </c>
      <c r="I2641" s="2">
        <v>3</v>
      </c>
    </row>
    <row r="2642" spans="1:9" x14ac:dyDescent="0.25">
      <c r="A2642" s="2" t="str">
        <f>CONCATENATE(Códigos!S2641,Códigos!T2641,Códigos!U2641)</f>
        <v>svv2640v</v>
      </c>
      <c r="B2642" t="s">
        <v>497</v>
      </c>
      <c r="C2642" t="s">
        <v>323</v>
      </c>
      <c r="D2642" s="2" t="s">
        <v>325</v>
      </c>
      <c r="E2642" t="s">
        <v>337</v>
      </c>
      <c r="F2642" s="11">
        <v>44352</v>
      </c>
      <c r="G2642" s="2">
        <f>VLOOKUP(E2642,Produtos!$A:$E,5,FALSE)</f>
        <v>110</v>
      </c>
      <c r="H2642" s="2">
        <f>VLOOKUP(E2642,Produtos!$A:$E,4,FALSE)</f>
        <v>50</v>
      </c>
      <c r="I2642" s="2">
        <v>3</v>
      </c>
    </row>
    <row r="2643" spans="1:9" x14ac:dyDescent="0.25">
      <c r="A2643" s="2" t="str">
        <f>CONCATENATE(Códigos!S2642,Códigos!T2642,Códigos!U2642)</f>
        <v>svv2641v</v>
      </c>
      <c r="B2643" t="s">
        <v>497</v>
      </c>
      <c r="C2643" t="s">
        <v>323</v>
      </c>
      <c r="D2643" s="2" t="s">
        <v>325</v>
      </c>
      <c r="E2643" t="s">
        <v>348</v>
      </c>
      <c r="F2643" s="11">
        <v>44353</v>
      </c>
      <c r="G2643" s="2">
        <f>VLOOKUP(E2643,Produtos!$A:$E,5,FALSE)</f>
        <v>2</v>
      </c>
      <c r="H2643" s="2">
        <f>VLOOKUP(E2643,Produtos!$A:$E,4,FALSE)</f>
        <v>1</v>
      </c>
      <c r="I2643" s="2">
        <v>3</v>
      </c>
    </row>
    <row r="2644" spans="1:9" x14ac:dyDescent="0.25">
      <c r="A2644" s="2" t="str">
        <f>CONCATENATE(Códigos!S2643,Códigos!T2643,Códigos!U2643)</f>
        <v>svv2642v</v>
      </c>
      <c r="B2644" t="s">
        <v>497</v>
      </c>
      <c r="C2644" t="s">
        <v>323</v>
      </c>
      <c r="D2644" s="2" t="s">
        <v>325</v>
      </c>
      <c r="E2644" t="s">
        <v>348</v>
      </c>
      <c r="F2644" s="11">
        <v>44354</v>
      </c>
      <c r="G2644" s="2">
        <f>VLOOKUP(E2644,Produtos!$A:$E,5,FALSE)</f>
        <v>2</v>
      </c>
      <c r="H2644" s="2">
        <f>VLOOKUP(E2644,Produtos!$A:$E,4,FALSE)</f>
        <v>1</v>
      </c>
      <c r="I2644" s="2">
        <v>3</v>
      </c>
    </row>
    <row r="2645" spans="1:9" x14ac:dyDescent="0.25">
      <c r="A2645" s="2" t="str">
        <f>CONCATENATE(Códigos!S2644,Códigos!T2644,Códigos!U2644)</f>
        <v>svv2643v</v>
      </c>
      <c r="B2645" t="s">
        <v>497</v>
      </c>
      <c r="C2645" t="s">
        <v>323</v>
      </c>
      <c r="D2645" s="2" t="s">
        <v>325</v>
      </c>
      <c r="E2645" t="s">
        <v>348</v>
      </c>
      <c r="F2645" s="11">
        <v>44355</v>
      </c>
      <c r="G2645" s="2">
        <f>VLOOKUP(E2645,Produtos!$A:$E,5,FALSE)</f>
        <v>2</v>
      </c>
      <c r="H2645" s="2">
        <f>VLOOKUP(E2645,Produtos!$A:$E,4,FALSE)</f>
        <v>1</v>
      </c>
      <c r="I2645" s="2">
        <v>3</v>
      </c>
    </row>
    <row r="2646" spans="1:9" x14ac:dyDescent="0.25">
      <c r="A2646" s="2" t="str">
        <f>CONCATENATE(Códigos!S2645,Códigos!T2645,Códigos!U2645)</f>
        <v>svv2644v</v>
      </c>
      <c r="B2646" t="s">
        <v>497</v>
      </c>
      <c r="C2646" t="s">
        <v>323</v>
      </c>
      <c r="D2646" s="2" t="s">
        <v>325</v>
      </c>
      <c r="E2646" t="s">
        <v>348</v>
      </c>
      <c r="F2646" s="11">
        <v>44356</v>
      </c>
      <c r="G2646" s="2">
        <f>VLOOKUP(E2646,Produtos!$A:$E,5,FALSE)</f>
        <v>2</v>
      </c>
      <c r="H2646" s="2">
        <f>VLOOKUP(E2646,Produtos!$A:$E,4,FALSE)</f>
        <v>1</v>
      </c>
      <c r="I2646" s="2">
        <v>3</v>
      </c>
    </row>
    <row r="2647" spans="1:9" x14ac:dyDescent="0.25">
      <c r="A2647" s="2" t="str">
        <f>CONCATENATE(Códigos!S2646,Códigos!T2646,Códigos!U2646)</f>
        <v>svv2645v</v>
      </c>
      <c r="B2647" t="s">
        <v>497</v>
      </c>
      <c r="C2647" t="s">
        <v>323</v>
      </c>
      <c r="D2647" s="2" t="s">
        <v>325</v>
      </c>
      <c r="E2647" t="s">
        <v>348</v>
      </c>
      <c r="F2647" s="11">
        <v>44357</v>
      </c>
      <c r="G2647" s="2">
        <f>VLOOKUP(E2647,Produtos!$A:$E,5,FALSE)</f>
        <v>2</v>
      </c>
      <c r="H2647" s="2">
        <f>VLOOKUP(E2647,Produtos!$A:$E,4,FALSE)</f>
        <v>1</v>
      </c>
      <c r="I2647" s="2">
        <v>3</v>
      </c>
    </row>
    <row r="2648" spans="1:9" x14ac:dyDescent="0.25">
      <c r="A2648" s="2" t="str">
        <f>CONCATENATE(Códigos!S2647,Códigos!T2647,Códigos!U2647)</f>
        <v>svv2646v</v>
      </c>
      <c r="B2648" t="s">
        <v>497</v>
      </c>
      <c r="C2648" t="s">
        <v>323</v>
      </c>
      <c r="D2648" s="2" t="s">
        <v>325</v>
      </c>
      <c r="E2648" t="s">
        <v>348</v>
      </c>
      <c r="F2648" s="11">
        <v>44358</v>
      </c>
      <c r="G2648" s="2">
        <f>VLOOKUP(E2648,Produtos!$A:$E,5,FALSE)</f>
        <v>2</v>
      </c>
      <c r="H2648" s="2">
        <f>VLOOKUP(E2648,Produtos!$A:$E,4,FALSE)</f>
        <v>1</v>
      </c>
      <c r="I2648" s="2">
        <v>3</v>
      </c>
    </row>
    <row r="2649" spans="1:9" x14ac:dyDescent="0.25">
      <c r="A2649" s="2" t="str">
        <f>CONCATENATE(Códigos!S2648,Códigos!T2648,Códigos!U2648)</f>
        <v>svv2647v</v>
      </c>
      <c r="B2649" t="s">
        <v>497</v>
      </c>
      <c r="C2649" t="s">
        <v>323</v>
      </c>
      <c r="D2649" s="2" t="s">
        <v>325</v>
      </c>
      <c r="E2649" t="s">
        <v>348</v>
      </c>
      <c r="F2649" s="11">
        <v>44359</v>
      </c>
      <c r="G2649" s="2">
        <f>VLOOKUP(E2649,Produtos!$A:$E,5,FALSE)</f>
        <v>2</v>
      </c>
      <c r="H2649" s="2">
        <f>VLOOKUP(E2649,Produtos!$A:$E,4,FALSE)</f>
        <v>1</v>
      </c>
      <c r="I2649" s="2">
        <v>3</v>
      </c>
    </row>
    <row r="2650" spans="1:9" x14ac:dyDescent="0.25">
      <c r="A2650" s="2" t="str">
        <f>CONCATENATE(Códigos!S2649,Códigos!T2649,Códigos!U2649)</f>
        <v>svv2648v</v>
      </c>
      <c r="B2650" t="s">
        <v>497</v>
      </c>
      <c r="C2650" t="s">
        <v>323</v>
      </c>
      <c r="D2650" s="2" t="s">
        <v>325</v>
      </c>
      <c r="E2650" t="s">
        <v>348</v>
      </c>
      <c r="F2650" s="11">
        <v>44360</v>
      </c>
      <c r="G2650" s="2">
        <f>VLOOKUP(E2650,Produtos!$A:$E,5,FALSE)</f>
        <v>2</v>
      </c>
      <c r="H2650" s="2">
        <f>VLOOKUP(E2650,Produtos!$A:$E,4,FALSE)</f>
        <v>1</v>
      </c>
      <c r="I2650" s="2">
        <v>3</v>
      </c>
    </row>
    <row r="2651" spans="1:9" x14ac:dyDescent="0.25">
      <c r="A2651" s="2" t="str">
        <f>CONCATENATE(Códigos!S2650,Códigos!T2650,Códigos!U2650)</f>
        <v>svv2649v</v>
      </c>
      <c r="B2651" t="s">
        <v>497</v>
      </c>
      <c r="C2651" t="s">
        <v>323</v>
      </c>
      <c r="D2651" s="2" t="s">
        <v>325</v>
      </c>
      <c r="E2651" t="s">
        <v>348</v>
      </c>
      <c r="F2651" s="11">
        <v>44361</v>
      </c>
      <c r="G2651" s="2">
        <f>VLOOKUP(E2651,Produtos!$A:$E,5,FALSE)</f>
        <v>2</v>
      </c>
      <c r="H2651" s="2">
        <f>VLOOKUP(E2651,Produtos!$A:$E,4,FALSE)</f>
        <v>1</v>
      </c>
      <c r="I2651" s="2">
        <v>3</v>
      </c>
    </row>
    <row r="2652" spans="1:9" x14ac:dyDescent="0.25">
      <c r="A2652" s="2" t="str">
        <f>CONCATENATE(Códigos!S2651,Códigos!T2651,Códigos!U2651)</f>
        <v>svv2650v</v>
      </c>
      <c r="B2652" t="s">
        <v>497</v>
      </c>
      <c r="C2652" t="s">
        <v>323</v>
      </c>
      <c r="D2652" s="2" t="s">
        <v>325</v>
      </c>
      <c r="E2652" t="s">
        <v>348</v>
      </c>
      <c r="F2652" s="11">
        <v>44362</v>
      </c>
      <c r="G2652" s="2">
        <f>VLOOKUP(E2652,Produtos!$A:$E,5,FALSE)</f>
        <v>2</v>
      </c>
      <c r="H2652" s="2">
        <f>VLOOKUP(E2652,Produtos!$A:$E,4,FALSE)</f>
        <v>1</v>
      </c>
      <c r="I2652" s="2">
        <v>3</v>
      </c>
    </row>
    <row r="2653" spans="1:9" x14ac:dyDescent="0.25">
      <c r="A2653" s="2" t="str">
        <f>CONCATENATE(Códigos!S2652,Códigos!T2652,Códigos!U2652)</f>
        <v>svv2651v</v>
      </c>
      <c r="B2653" t="s">
        <v>497</v>
      </c>
      <c r="C2653" t="s">
        <v>323</v>
      </c>
      <c r="D2653" s="2" t="s">
        <v>325</v>
      </c>
      <c r="E2653" t="s">
        <v>348</v>
      </c>
      <c r="F2653" s="11">
        <v>44363</v>
      </c>
      <c r="G2653" s="2">
        <f>VLOOKUP(E2653,Produtos!$A:$E,5,FALSE)</f>
        <v>2</v>
      </c>
      <c r="H2653" s="2">
        <f>VLOOKUP(E2653,Produtos!$A:$E,4,FALSE)</f>
        <v>1</v>
      </c>
      <c r="I2653" s="2">
        <v>3</v>
      </c>
    </row>
    <row r="2654" spans="1:9" x14ac:dyDescent="0.25">
      <c r="A2654" s="2" t="str">
        <f>CONCATENATE(Códigos!S2653,Códigos!T2653,Códigos!U2653)</f>
        <v>svv2652v</v>
      </c>
      <c r="B2654" t="s">
        <v>497</v>
      </c>
      <c r="C2654" t="s">
        <v>323</v>
      </c>
      <c r="D2654" s="2" t="s">
        <v>325</v>
      </c>
      <c r="E2654" t="s">
        <v>348</v>
      </c>
      <c r="F2654" s="11">
        <v>44364</v>
      </c>
      <c r="G2654" s="2">
        <f>VLOOKUP(E2654,Produtos!$A:$E,5,FALSE)</f>
        <v>2</v>
      </c>
      <c r="H2654" s="2">
        <f>VLOOKUP(E2654,Produtos!$A:$E,4,FALSE)</f>
        <v>1</v>
      </c>
      <c r="I2654" s="2">
        <v>3</v>
      </c>
    </row>
    <row r="2655" spans="1:9" x14ac:dyDescent="0.25">
      <c r="A2655" s="2" t="str">
        <f>CONCATENATE(Códigos!S2654,Códigos!T2654,Códigos!U2654)</f>
        <v>svv2653v</v>
      </c>
      <c r="B2655" t="s">
        <v>497</v>
      </c>
      <c r="C2655" t="s">
        <v>323</v>
      </c>
      <c r="D2655" s="2" t="s">
        <v>325</v>
      </c>
      <c r="E2655" t="s">
        <v>348</v>
      </c>
      <c r="F2655" s="11">
        <v>44365</v>
      </c>
      <c r="G2655" s="2">
        <f>VLOOKUP(E2655,Produtos!$A:$E,5,FALSE)</f>
        <v>2</v>
      </c>
      <c r="H2655" s="2">
        <f>VLOOKUP(E2655,Produtos!$A:$E,4,FALSE)</f>
        <v>1</v>
      </c>
      <c r="I2655" s="2">
        <v>3</v>
      </c>
    </row>
    <row r="2656" spans="1:9" x14ac:dyDescent="0.25">
      <c r="A2656" s="2" t="str">
        <f>CONCATENATE(Códigos!S2655,Códigos!T2655,Códigos!U2655)</f>
        <v>svv2654v</v>
      </c>
      <c r="B2656" t="s">
        <v>497</v>
      </c>
      <c r="C2656" t="s">
        <v>323</v>
      </c>
      <c r="D2656" s="2" t="s">
        <v>325</v>
      </c>
      <c r="E2656" t="s">
        <v>348</v>
      </c>
      <c r="F2656" s="11">
        <v>44366</v>
      </c>
      <c r="G2656" s="2">
        <f>VLOOKUP(E2656,Produtos!$A:$E,5,FALSE)</f>
        <v>2</v>
      </c>
      <c r="H2656" s="2">
        <f>VLOOKUP(E2656,Produtos!$A:$E,4,FALSE)</f>
        <v>1</v>
      </c>
      <c r="I2656" s="2">
        <v>3</v>
      </c>
    </row>
    <row r="2657" spans="1:9" x14ac:dyDescent="0.25">
      <c r="A2657" s="2" t="str">
        <f>CONCATENATE(Códigos!S2656,Códigos!T2656,Códigos!U2656)</f>
        <v>svv2655v</v>
      </c>
      <c r="B2657" t="s">
        <v>497</v>
      </c>
      <c r="C2657" t="s">
        <v>323</v>
      </c>
      <c r="D2657" s="2" t="s">
        <v>325</v>
      </c>
      <c r="E2657" t="s">
        <v>348</v>
      </c>
      <c r="F2657" s="11">
        <v>44367</v>
      </c>
      <c r="G2657" s="2">
        <f>VLOOKUP(E2657,Produtos!$A:$E,5,FALSE)</f>
        <v>2</v>
      </c>
      <c r="H2657" s="2">
        <f>VLOOKUP(E2657,Produtos!$A:$E,4,FALSE)</f>
        <v>1</v>
      </c>
      <c r="I2657" s="2">
        <v>3</v>
      </c>
    </row>
    <row r="2658" spans="1:9" x14ac:dyDescent="0.25">
      <c r="A2658" s="2" t="str">
        <f>CONCATENATE(Códigos!S2657,Códigos!T2657,Códigos!U2657)</f>
        <v>svv2656v</v>
      </c>
      <c r="B2658" t="s">
        <v>497</v>
      </c>
      <c r="C2658" t="s">
        <v>323</v>
      </c>
      <c r="D2658" s="2" t="s">
        <v>325</v>
      </c>
      <c r="E2658" t="s">
        <v>348</v>
      </c>
      <c r="F2658" s="11">
        <v>44368</v>
      </c>
      <c r="G2658" s="2">
        <f>VLOOKUP(E2658,Produtos!$A:$E,5,FALSE)</f>
        <v>2</v>
      </c>
      <c r="H2658" s="2">
        <f>VLOOKUP(E2658,Produtos!$A:$E,4,FALSE)</f>
        <v>1</v>
      </c>
      <c r="I2658" s="2">
        <v>3</v>
      </c>
    </row>
    <row r="2659" spans="1:9" x14ac:dyDescent="0.25">
      <c r="A2659" s="2" t="str">
        <f>CONCATENATE(Códigos!S2658,Códigos!T2658,Códigos!U2658)</f>
        <v>svv2657v</v>
      </c>
      <c r="B2659" t="s">
        <v>497</v>
      </c>
      <c r="C2659" t="s">
        <v>323</v>
      </c>
      <c r="D2659" s="2" t="s">
        <v>325</v>
      </c>
      <c r="E2659" t="s">
        <v>348</v>
      </c>
      <c r="F2659" s="11">
        <v>44369</v>
      </c>
      <c r="G2659" s="2">
        <f>VLOOKUP(E2659,Produtos!$A:$E,5,FALSE)</f>
        <v>2</v>
      </c>
      <c r="H2659" s="2">
        <f>VLOOKUP(E2659,Produtos!$A:$E,4,FALSE)</f>
        <v>1</v>
      </c>
      <c r="I2659" s="2">
        <v>3</v>
      </c>
    </row>
    <row r="2660" spans="1:9" x14ac:dyDescent="0.25">
      <c r="A2660" s="2" t="str">
        <f>CONCATENATE(Códigos!S2659,Códigos!T2659,Códigos!U2659)</f>
        <v>svv2658v</v>
      </c>
      <c r="B2660" t="s">
        <v>497</v>
      </c>
      <c r="C2660" t="s">
        <v>323</v>
      </c>
      <c r="D2660" s="2" t="s">
        <v>325</v>
      </c>
      <c r="E2660" t="s">
        <v>348</v>
      </c>
      <c r="F2660" s="11">
        <v>44370</v>
      </c>
      <c r="G2660" s="2">
        <f>VLOOKUP(E2660,Produtos!$A:$E,5,FALSE)</f>
        <v>2</v>
      </c>
      <c r="H2660" s="2">
        <f>VLOOKUP(E2660,Produtos!$A:$E,4,FALSE)</f>
        <v>1</v>
      </c>
      <c r="I2660" s="2">
        <v>3</v>
      </c>
    </row>
    <row r="2661" spans="1:9" x14ac:dyDescent="0.25">
      <c r="A2661" s="2" t="str">
        <f>CONCATENATE(Códigos!S2660,Códigos!T2660,Códigos!U2660)</f>
        <v>svv2659v</v>
      </c>
      <c r="B2661" t="s">
        <v>497</v>
      </c>
      <c r="C2661" t="s">
        <v>323</v>
      </c>
      <c r="D2661" s="2" t="s">
        <v>325</v>
      </c>
      <c r="E2661" t="s">
        <v>348</v>
      </c>
      <c r="F2661" s="11">
        <v>44371</v>
      </c>
      <c r="G2661" s="2">
        <f>VLOOKUP(E2661,Produtos!$A:$E,5,FALSE)</f>
        <v>2</v>
      </c>
      <c r="H2661" s="2">
        <f>VLOOKUP(E2661,Produtos!$A:$E,4,FALSE)</f>
        <v>1</v>
      </c>
      <c r="I2661" s="2">
        <v>3</v>
      </c>
    </row>
    <row r="2662" spans="1:9" x14ac:dyDescent="0.25">
      <c r="A2662" s="2" t="str">
        <f>CONCATENATE(Códigos!S2661,Códigos!T2661,Códigos!U2661)</f>
        <v>svv2660v</v>
      </c>
      <c r="B2662" t="s">
        <v>497</v>
      </c>
      <c r="C2662" t="s">
        <v>323</v>
      </c>
      <c r="D2662" s="2" t="s">
        <v>325</v>
      </c>
      <c r="E2662" t="s">
        <v>348</v>
      </c>
      <c r="F2662" s="11">
        <v>44372</v>
      </c>
      <c r="G2662" s="2">
        <f>VLOOKUP(E2662,Produtos!$A:$E,5,FALSE)</f>
        <v>2</v>
      </c>
      <c r="H2662" s="2">
        <f>VLOOKUP(E2662,Produtos!$A:$E,4,FALSE)</f>
        <v>1</v>
      </c>
      <c r="I2662" s="2">
        <v>3</v>
      </c>
    </row>
    <row r="2663" spans="1:9" x14ac:dyDescent="0.25">
      <c r="A2663" s="2" t="str">
        <f>CONCATENATE(Códigos!S2662,Códigos!T2662,Códigos!U2662)</f>
        <v>svv2661v</v>
      </c>
      <c r="B2663" t="s">
        <v>497</v>
      </c>
      <c r="C2663" t="s">
        <v>323</v>
      </c>
      <c r="D2663" s="2" t="s">
        <v>325</v>
      </c>
      <c r="E2663" t="s">
        <v>348</v>
      </c>
      <c r="F2663" s="11">
        <v>44373</v>
      </c>
      <c r="G2663" s="2">
        <f>VLOOKUP(E2663,Produtos!$A:$E,5,FALSE)</f>
        <v>2</v>
      </c>
      <c r="H2663" s="2">
        <f>VLOOKUP(E2663,Produtos!$A:$E,4,FALSE)</f>
        <v>1</v>
      </c>
      <c r="I2663" s="2">
        <v>3</v>
      </c>
    </row>
    <row r="2664" spans="1:9" x14ac:dyDescent="0.25">
      <c r="A2664" s="2" t="str">
        <f>CONCATENATE(Códigos!S2663,Códigos!T2663,Códigos!U2663)</f>
        <v>svv2662v</v>
      </c>
      <c r="B2664" t="s">
        <v>497</v>
      </c>
      <c r="C2664" t="s">
        <v>323</v>
      </c>
      <c r="D2664" s="2" t="s">
        <v>325</v>
      </c>
      <c r="E2664" t="s">
        <v>348</v>
      </c>
      <c r="F2664" s="11">
        <v>44374</v>
      </c>
      <c r="G2664" s="2">
        <f>VLOOKUP(E2664,Produtos!$A:$E,5,FALSE)</f>
        <v>2</v>
      </c>
      <c r="H2664" s="2">
        <f>VLOOKUP(E2664,Produtos!$A:$E,4,FALSE)</f>
        <v>1</v>
      </c>
      <c r="I2664" s="2">
        <v>3</v>
      </c>
    </row>
    <row r="2665" spans="1:9" x14ac:dyDescent="0.25">
      <c r="A2665" s="2" t="str">
        <f>CONCATENATE(Códigos!S2664,Códigos!T2664,Códigos!U2664)</f>
        <v>svv2663v</v>
      </c>
      <c r="B2665" t="s">
        <v>497</v>
      </c>
      <c r="C2665" t="s">
        <v>323</v>
      </c>
      <c r="D2665" s="2" t="s">
        <v>325</v>
      </c>
      <c r="E2665" t="s">
        <v>348</v>
      </c>
      <c r="F2665" s="11">
        <v>44375</v>
      </c>
      <c r="G2665" s="2">
        <f>VLOOKUP(E2665,Produtos!$A:$E,5,FALSE)</f>
        <v>2</v>
      </c>
      <c r="H2665" s="2">
        <f>VLOOKUP(E2665,Produtos!$A:$E,4,FALSE)</f>
        <v>1</v>
      </c>
      <c r="I2665" s="2">
        <v>3</v>
      </c>
    </row>
    <row r="2666" spans="1:9" x14ac:dyDescent="0.25">
      <c r="A2666" s="2" t="str">
        <f>CONCATENATE(Códigos!S2665,Códigos!T2665,Códigos!U2665)</f>
        <v>svv2664v</v>
      </c>
      <c r="B2666" t="s">
        <v>497</v>
      </c>
      <c r="C2666" t="s">
        <v>323</v>
      </c>
      <c r="D2666" s="2" t="s">
        <v>325</v>
      </c>
      <c r="E2666" t="s">
        <v>348</v>
      </c>
      <c r="F2666" s="11">
        <v>44376</v>
      </c>
      <c r="G2666" s="2">
        <f>VLOOKUP(E2666,Produtos!$A:$E,5,FALSE)</f>
        <v>2</v>
      </c>
      <c r="H2666" s="2">
        <f>VLOOKUP(E2666,Produtos!$A:$E,4,FALSE)</f>
        <v>1</v>
      </c>
      <c r="I2666" s="2">
        <v>3</v>
      </c>
    </row>
    <row r="2667" spans="1:9" x14ac:dyDescent="0.25">
      <c r="A2667" s="2" t="str">
        <f>CONCATENATE(Códigos!S2666,Códigos!T2666,Códigos!U2666)</f>
        <v>svv2665v</v>
      </c>
      <c r="B2667" t="s">
        <v>497</v>
      </c>
      <c r="C2667" t="s">
        <v>323</v>
      </c>
      <c r="D2667" s="2" t="s">
        <v>325</v>
      </c>
      <c r="E2667" t="s">
        <v>348</v>
      </c>
      <c r="F2667" s="11">
        <v>44377</v>
      </c>
      <c r="G2667" s="2">
        <f>VLOOKUP(E2667,Produtos!$A:$E,5,FALSE)</f>
        <v>2</v>
      </c>
      <c r="H2667" s="2">
        <f>VLOOKUP(E2667,Produtos!$A:$E,4,FALSE)</f>
        <v>1</v>
      </c>
      <c r="I2667" s="2">
        <v>3</v>
      </c>
    </row>
    <row r="2668" spans="1:9" x14ac:dyDescent="0.25">
      <c r="A2668" s="2" t="str">
        <f>CONCATENATE(Códigos!S2667,Códigos!T2667,Códigos!U2667)</f>
        <v>svv2666v</v>
      </c>
      <c r="B2668" t="s">
        <v>497</v>
      </c>
      <c r="C2668" t="s">
        <v>479</v>
      </c>
      <c r="D2668" s="2" t="s">
        <v>373</v>
      </c>
      <c r="E2668" t="s">
        <v>348</v>
      </c>
      <c r="F2668" s="11">
        <v>44378</v>
      </c>
      <c r="G2668" s="2">
        <f>VLOOKUP(E2668,Produtos!$A:$E,5,FALSE)</f>
        <v>2</v>
      </c>
      <c r="H2668" s="2">
        <f>VLOOKUP(E2668,Produtos!$A:$E,4,FALSE)</f>
        <v>1</v>
      </c>
      <c r="I2668" s="2">
        <v>3</v>
      </c>
    </row>
    <row r="2669" spans="1:9" x14ac:dyDescent="0.25">
      <c r="A2669" s="2" t="str">
        <f>CONCATENATE(Códigos!S2668,Códigos!T2668,Códigos!U2668)</f>
        <v>svv2667v</v>
      </c>
      <c r="B2669" t="s">
        <v>497</v>
      </c>
      <c r="C2669" t="s">
        <v>479</v>
      </c>
      <c r="D2669" s="2" t="s">
        <v>373</v>
      </c>
      <c r="E2669" t="s">
        <v>348</v>
      </c>
      <c r="F2669" s="11">
        <v>44379</v>
      </c>
      <c r="G2669" s="2">
        <f>VLOOKUP(E2669,Produtos!$A:$E,5,FALSE)</f>
        <v>2</v>
      </c>
      <c r="H2669" s="2">
        <f>VLOOKUP(E2669,Produtos!$A:$E,4,FALSE)</f>
        <v>1</v>
      </c>
      <c r="I2669" s="2">
        <v>3</v>
      </c>
    </row>
    <row r="2670" spans="1:9" x14ac:dyDescent="0.25">
      <c r="A2670" s="2" t="str">
        <f>CONCATENATE(Códigos!S2669,Códigos!T2669,Códigos!U2669)</f>
        <v>svv2668v</v>
      </c>
      <c r="B2670" t="s">
        <v>497</v>
      </c>
      <c r="C2670" t="s">
        <v>479</v>
      </c>
      <c r="D2670" s="2" t="s">
        <v>373</v>
      </c>
      <c r="E2670" t="s">
        <v>348</v>
      </c>
      <c r="F2670" s="11">
        <v>44380</v>
      </c>
      <c r="G2670" s="2">
        <f>VLOOKUP(E2670,Produtos!$A:$E,5,FALSE)</f>
        <v>2</v>
      </c>
      <c r="H2670" s="2">
        <f>VLOOKUP(E2670,Produtos!$A:$E,4,FALSE)</f>
        <v>1</v>
      </c>
      <c r="I2670" s="2">
        <v>3</v>
      </c>
    </row>
    <row r="2671" spans="1:9" x14ac:dyDescent="0.25">
      <c r="A2671" s="2" t="str">
        <f>CONCATENATE(Códigos!S2670,Códigos!T2670,Códigos!U2670)</f>
        <v>svv2669v</v>
      </c>
      <c r="B2671" t="s">
        <v>497</v>
      </c>
      <c r="C2671" t="s">
        <v>479</v>
      </c>
      <c r="D2671" s="2" t="s">
        <v>373</v>
      </c>
      <c r="E2671" t="s">
        <v>348</v>
      </c>
      <c r="F2671" s="11">
        <v>44381</v>
      </c>
      <c r="G2671" s="2">
        <f>VLOOKUP(E2671,Produtos!$A:$E,5,FALSE)</f>
        <v>2</v>
      </c>
      <c r="H2671" s="2">
        <f>VLOOKUP(E2671,Produtos!$A:$E,4,FALSE)</f>
        <v>1</v>
      </c>
      <c r="I2671" s="2">
        <v>3</v>
      </c>
    </row>
    <row r="2672" spans="1:9" x14ac:dyDescent="0.25">
      <c r="A2672" s="2" t="str">
        <f>CONCATENATE(Códigos!S2671,Códigos!T2671,Códigos!U2671)</f>
        <v>svv2670v</v>
      </c>
      <c r="B2672" t="s">
        <v>497</v>
      </c>
      <c r="C2672" t="s">
        <v>479</v>
      </c>
      <c r="D2672" s="2" t="s">
        <v>373</v>
      </c>
      <c r="E2672" t="s">
        <v>348</v>
      </c>
      <c r="F2672" s="11">
        <v>44382</v>
      </c>
      <c r="G2672" s="2">
        <f>VLOOKUP(E2672,Produtos!$A:$E,5,FALSE)</f>
        <v>2</v>
      </c>
      <c r="H2672" s="2">
        <f>VLOOKUP(E2672,Produtos!$A:$E,4,FALSE)</f>
        <v>1</v>
      </c>
      <c r="I2672" s="2">
        <v>3</v>
      </c>
    </row>
    <row r="2673" spans="1:9" x14ac:dyDescent="0.25">
      <c r="A2673" s="2" t="str">
        <f>CONCATENATE(Códigos!S2672,Códigos!T2672,Códigos!U2672)</f>
        <v>svv2671v</v>
      </c>
      <c r="B2673" t="s">
        <v>497</v>
      </c>
      <c r="C2673" t="s">
        <v>479</v>
      </c>
      <c r="D2673" s="2" t="s">
        <v>373</v>
      </c>
      <c r="E2673" t="s">
        <v>348</v>
      </c>
      <c r="F2673" s="11">
        <v>44383</v>
      </c>
      <c r="G2673" s="2">
        <f>VLOOKUP(E2673,Produtos!$A:$E,5,FALSE)</f>
        <v>2</v>
      </c>
      <c r="H2673" s="2">
        <f>VLOOKUP(E2673,Produtos!$A:$E,4,FALSE)</f>
        <v>1</v>
      </c>
      <c r="I2673" s="2">
        <v>3</v>
      </c>
    </row>
    <row r="2674" spans="1:9" x14ac:dyDescent="0.25">
      <c r="A2674" s="2" t="str">
        <f>CONCATENATE(Códigos!S2673,Códigos!T2673,Códigos!U2673)</f>
        <v>svv2672v</v>
      </c>
      <c r="B2674" t="s">
        <v>497</v>
      </c>
      <c r="C2674" t="s">
        <v>479</v>
      </c>
      <c r="D2674" s="2" t="s">
        <v>373</v>
      </c>
      <c r="E2674" t="s">
        <v>348</v>
      </c>
      <c r="F2674" s="11">
        <v>44384</v>
      </c>
      <c r="G2674" s="2">
        <f>VLOOKUP(E2674,Produtos!$A:$E,5,FALSE)</f>
        <v>2</v>
      </c>
      <c r="H2674" s="2">
        <f>VLOOKUP(E2674,Produtos!$A:$E,4,FALSE)</f>
        <v>1</v>
      </c>
      <c r="I2674" s="2">
        <v>3</v>
      </c>
    </row>
    <row r="2675" spans="1:9" x14ac:dyDescent="0.25">
      <c r="A2675" s="2" t="str">
        <f>CONCATENATE(Códigos!S2674,Códigos!T2674,Códigos!U2674)</f>
        <v>svv2673v</v>
      </c>
      <c r="B2675" t="s">
        <v>497</v>
      </c>
      <c r="C2675" t="s">
        <v>479</v>
      </c>
      <c r="D2675" s="2" t="s">
        <v>373</v>
      </c>
      <c r="E2675" t="s">
        <v>348</v>
      </c>
      <c r="F2675" s="11">
        <v>44385</v>
      </c>
      <c r="G2675" s="2">
        <f>VLOOKUP(E2675,Produtos!$A:$E,5,FALSE)</f>
        <v>2</v>
      </c>
      <c r="H2675" s="2">
        <f>VLOOKUP(E2675,Produtos!$A:$E,4,FALSE)</f>
        <v>1</v>
      </c>
      <c r="I2675" s="2">
        <v>3</v>
      </c>
    </row>
    <row r="2676" spans="1:9" x14ac:dyDescent="0.25">
      <c r="A2676" s="2" t="str">
        <f>CONCATENATE(Códigos!S2675,Códigos!T2675,Códigos!U2675)</f>
        <v>svv2674v</v>
      </c>
      <c r="B2676" t="s">
        <v>497</v>
      </c>
      <c r="C2676" t="s">
        <v>479</v>
      </c>
      <c r="D2676" s="2" t="s">
        <v>373</v>
      </c>
      <c r="E2676" t="s">
        <v>348</v>
      </c>
      <c r="F2676" s="11">
        <v>44386</v>
      </c>
      <c r="G2676" s="2">
        <f>VLOOKUP(E2676,Produtos!$A:$E,5,FALSE)</f>
        <v>2</v>
      </c>
      <c r="H2676" s="2">
        <f>VLOOKUP(E2676,Produtos!$A:$E,4,FALSE)</f>
        <v>1</v>
      </c>
      <c r="I2676" s="2">
        <v>3</v>
      </c>
    </row>
    <row r="2677" spans="1:9" x14ac:dyDescent="0.25">
      <c r="A2677" s="2" t="str">
        <f>CONCATENATE(Códigos!S2676,Códigos!T2676,Códigos!U2676)</f>
        <v>svv2675v</v>
      </c>
      <c r="B2677" t="s">
        <v>497</v>
      </c>
      <c r="C2677" t="s">
        <v>479</v>
      </c>
      <c r="D2677" s="2" t="s">
        <v>373</v>
      </c>
      <c r="E2677" t="s">
        <v>348</v>
      </c>
      <c r="F2677" s="11">
        <v>44387</v>
      </c>
      <c r="G2677" s="2">
        <f>VLOOKUP(E2677,Produtos!$A:$E,5,FALSE)</f>
        <v>2</v>
      </c>
      <c r="H2677" s="2">
        <f>VLOOKUP(E2677,Produtos!$A:$E,4,FALSE)</f>
        <v>1</v>
      </c>
      <c r="I2677" s="2">
        <v>3</v>
      </c>
    </row>
    <row r="2678" spans="1:9" x14ac:dyDescent="0.25">
      <c r="A2678" s="2" t="str">
        <f>CONCATENATE(Códigos!S2677,Códigos!T2677,Códigos!U2677)</f>
        <v>svv2676v</v>
      </c>
      <c r="B2678" t="s">
        <v>497</v>
      </c>
      <c r="C2678" t="s">
        <v>479</v>
      </c>
      <c r="D2678" s="2" t="s">
        <v>373</v>
      </c>
      <c r="E2678" t="s">
        <v>348</v>
      </c>
      <c r="F2678" s="11">
        <v>44388</v>
      </c>
      <c r="G2678" s="2">
        <f>VLOOKUP(E2678,Produtos!$A:$E,5,FALSE)</f>
        <v>2</v>
      </c>
      <c r="H2678" s="2">
        <f>VLOOKUP(E2678,Produtos!$A:$E,4,FALSE)</f>
        <v>1</v>
      </c>
      <c r="I2678" s="2">
        <v>3</v>
      </c>
    </row>
    <row r="2679" spans="1:9" x14ac:dyDescent="0.25">
      <c r="A2679" s="2" t="str">
        <f>CONCATENATE(Códigos!S2678,Códigos!T2678,Códigos!U2678)</f>
        <v>svv2677v</v>
      </c>
      <c r="B2679" t="s">
        <v>497</v>
      </c>
      <c r="C2679" t="s">
        <v>479</v>
      </c>
      <c r="D2679" s="2" t="s">
        <v>373</v>
      </c>
      <c r="E2679" t="s">
        <v>348</v>
      </c>
      <c r="F2679" s="11">
        <v>44389</v>
      </c>
      <c r="G2679" s="2">
        <f>VLOOKUP(E2679,Produtos!$A:$E,5,FALSE)</f>
        <v>2</v>
      </c>
      <c r="H2679" s="2">
        <f>VLOOKUP(E2679,Produtos!$A:$E,4,FALSE)</f>
        <v>1</v>
      </c>
      <c r="I2679" s="2">
        <v>3</v>
      </c>
    </row>
    <row r="2680" spans="1:9" x14ac:dyDescent="0.25">
      <c r="A2680" s="2" t="str">
        <f>CONCATENATE(Códigos!S2679,Códigos!T2679,Códigos!U2679)</f>
        <v>svv2678v</v>
      </c>
      <c r="B2680" t="s">
        <v>497</v>
      </c>
      <c r="C2680" t="s">
        <v>479</v>
      </c>
      <c r="D2680" s="2" t="s">
        <v>373</v>
      </c>
      <c r="E2680" t="s">
        <v>348</v>
      </c>
      <c r="F2680" s="11">
        <v>44390</v>
      </c>
      <c r="G2680" s="2">
        <f>VLOOKUP(E2680,Produtos!$A:$E,5,FALSE)</f>
        <v>2</v>
      </c>
      <c r="H2680" s="2">
        <f>VLOOKUP(E2680,Produtos!$A:$E,4,FALSE)</f>
        <v>1</v>
      </c>
      <c r="I2680" s="2">
        <v>3</v>
      </c>
    </row>
    <row r="2681" spans="1:9" x14ac:dyDescent="0.25">
      <c r="A2681" s="2" t="str">
        <f>CONCATENATE(Códigos!S2680,Códigos!T2680,Códigos!U2680)</f>
        <v>svv2679v</v>
      </c>
      <c r="B2681" t="s">
        <v>497</v>
      </c>
      <c r="C2681" t="s">
        <v>479</v>
      </c>
      <c r="D2681" s="2" t="s">
        <v>373</v>
      </c>
      <c r="E2681" t="s">
        <v>348</v>
      </c>
      <c r="F2681" s="11">
        <v>44391</v>
      </c>
      <c r="G2681" s="2">
        <f>VLOOKUP(E2681,Produtos!$A:$E,5,FALSE)</f>
        <v>2</v>
      </c>
      <c r="H2681" s="2">
        <f>VLOOKUP(E2681,Produtos!$A:$E,4,FALSE)</f>
        <v>1</v>
      </c>
      <c r="I2681" s="2">
        <v>3</v>
      </c>
    </row>
    <row r="2682" spans="1:9" x14ac:dyDescent="0.25">
      <c r="A2682" s="2" t="str">
        <f>CONCATENATE(Códigos!S2681,Códigos!T2681,Códigos!U2681)</f>
        <v>svv2680v</v>
      </c>
      <c r="B2682" t="s">
        <v>497</v>
      </c>
      <c r="C2682" t="s">
        <v>479</v>
      </c>
      <c r="D2682" s="2" t="s">
        <v>373</v>
      </c>
      <c r="E2682" t="s">
        <v>348</v>
      </c>
      <c r="F2682" s="11">
        <v>44392</v>
      </c>
      <c r="G2682" s="2">
        <f>VLOOKUP(E2682,Produtos!$A:$E,5,FALSE)</f>
        <v>2</v>
      </c>
      <c r="H2682" s="2">
        <f>VLOOKUP(E2682,Produtos!$A:$E,4,FALSE)</f>
        <v>1</v>
      </c>
      <c r="I2682" s="2">
        <v>3</v>
      </c>
    </row>
    <row r="2683" spans="1:9" x14ac:dyDescent="0.25">
      <c r="A2683" s="2" t="str">
        <f>CONCATENATE(Códigos!S2682,Códigos!T2682,Códigos!U2682)</f>
        <v>svv2681v</v>
      </c>
      <c r="B2683" t="s">
        <v>497</v>
      </c>
      <c r="C2683" t="s">
        <v>479</v>
      </c>
      <c r="D2683" s="2" t="s">
        <v>373</v>
      </c>
      <c r="E2683" t="s">
        <v>348</v>
      </c>
      <c r="F2683" s="11">
        <v>44393</v>
      </c>
      <c r="G2683" s="2">
        <f>VLOOKUP(E2683,Produtos!$A:$E,5,FALSE)</f>
        <v>2</v>
      </c>
      <c r="H2683" s="2">
        <f>VLOOKUP(E2683,Produtos!$A:$E,4,FALSE)</f>
        <v>1</v>
      </c>
      <c r="I2683" s="2">
        <v>3</v>
      </c>
    </row>
    <row r="2684" spans="1:9" x14ac:dyDescent="0.25">
      <c r="A2684" s="2" t="str">
        <f>CONCATENATE(Códigos!S2683,Códigos!T2683,Códigos!U2683)</f>
        <v>svv2682v</v>
      </c>
      <c r="B2684" t="s">
        <v>497</v>
      </c>
      <c r="C2684" t="s">
        <v>479</v>
      </c>
      <c r="D2684" s="2" t="s">
        <v>373</v>
      </c>
      <c r="E2684" t="s">
        <v>348</v>
      </c>
      <c r="F2684" s="11">
        <v>44394</v>
      </c>
      <c r="G2684" s="2">
        <f>VLOOKUP(E2684,Produtos!$A:$E,5,FALSE)</f>
        <v>2</v>
      </c>
      <c r="H2684" s="2">
        <f>VLOOKUP(E2684,Produtos!$A:$E,4,FALSE)</f>
        <v>1</v>
      </c>
      <c r="I2684" s="2">
        <v>3</v>
      </c>
    </row>
    <row r="2685" spans="1:9" x14ac:dyDescent="0.25">
      <c r="A2685" s="2" t="str">
        <f>CONCATENATE(Códigos!S2684,Códigos!T2684,Códigos!U2684)</f>
        <v>svv2683v</v>
      </c>
      <c r="B2685" t="s">
        <v>497</v>
      </c>
      <c r="C2685" t="s">
        <v>479</v>
      </c>
      <c r="D2685" s="2" t="s">
        <v>373</v>
      </c>
      <c r="E2685" t="s">
        <v>348</v>
      </c>
      <c r="F2685" s="11">
        <v>44395</v>
      </c>
      <c r="G2685" s="2">
        <f>VLOOKUP(E2685,Produtos!$A:$E,5,FALSE)</f>
        <v>2</v>
      </c>
      <c r="H2685" s="2">
        <f>VLOOKUP(E2685,Produtos!$A:$E,4,FALSE)</f>
        <v>1</v>
      </c>
      <c r="I2685" s="2">
        <v>3</v>
      </c>
    </row>
    <row r="2686" spans="1:9" x14ac:dyDescent="0.25">
      <c r="A2686" s="2" t="str">
        <f>CONCATENATE(Códigos!S2685,Códigos!T2685,Códigos!U2685)</f>
        <v>svv2684v</v>
      </c>
      <c r="B2686" t="s">
        <v>497</v>
      </c>
      <c r="C2686" t="s">
        <v>479</v>
      </c>
      <c r="D2686" s="2" t="s">
        <v>373</v>
      </c>
      <c r="E2686" t="s">
        <v>348</v>
      </c>
      <c r="F2686" s="11">
        <v>44396</v>
      </c>
      <c r="G2686" s="2">
        <f>VLOOKUP(E2686,Produtos!$A:$E,5,FALSE)</f>
        <v>2</v>
      </c>
      <c r="H2686" s="2">
        <f>VLOOKUP(E2686,Produtos!$A:$E,4,FALSE)</f>
        <v>1</v>
      </c>
      <c r="I2686" s="2">
        <v>3</v>
      </c>
    </row>
    <row r="2687" spans="1:9" x14ac:dyDescent="0.25">
      <c r="A2687" s="2" t="str">
        <f>CONCATENATE(Códigos!S2686,Códigos!T2686,Códigos!U2686)</f>
        <v>svv2685v</v>
      </c>
      <c r="B2687" t="s">
        <v>497</v>
      </c>
      <c r="C2687" t="s">
        <v>479</v>
      </c>
      <c r="D2687" s="2" t="s">
        <v>373</v>
      </c>
      <c r="E2687" t="s">
        <v>348</v>
      </c>
      <c r="F2687" s="11">
        <v>44397</v>
      </c>
      <c r="G2687" s="2">
        <f>VLOOKUP(E2687,Produtos!$A:$E,5,FALSE)</f>
        <v>2</v>
      </c>
      <c r="H2687" s="2">
        <f>VLOOKUP(E2687,Produtos!$A:$E,4,FALSE)</f>
        <v>1</v>
      </c>
      <c r="I2687" s="2">
        <v>3</v>
      </c>
    </row>
    <row r="2688" spans="1:9" x14ac:dyDescent="0.25">
      <c r="A2688" s="2" t="str">
        <f>CONCATENATE(Códigos!S2687,Códigos!T2687,Códigos!U2687)</f>
        <v>svv2686v</v>
      </c>
      <c r="B2688" t="s">
        <v>497</v>
      </c>
      <c r="C2688" t="s">
        <v>479</v>
      </c>
      <c r="D2688" s="2" t="s">
        <v>373</v>
      </c>
      <c r="E2688" t="s">
        <v>348</v>
      </c>
      <c r="F2688" s="11">
        <v>44398</v>
      </c>
      <c r="G2688" s="2">
        <f>VLOOKUP(E2688,Produtos!$A:$E,5,FALSE)</f>
        <v>2</v>
      </c>
      <c r="H2688" s="2">
        <f>VLOOKUP(E2688,Produtos!$A:$E,4,FALSE)</f>
        <v>1</v>
      </c>
      <c r="I2688" s="2">
        <v>3</v>
      </c>
    </row>
    <row r="2689" spans="1:9" x14ac:dyDescent="0.25">
      <c r="A2689" s="2" t="str">
        <f>CONCATENATE(Códigos!S2688,Códigos!T2688,Códigos!U2688)</f>
        <v>svv2687v</v>
      </c>
      <c r="B2689" t="s">
        <v>497</v>
      </c>
      <c r="C2689" t="s">
        <v>479</v>
      </c>
      <c r="D2689" s="2" t="s">
        <v>373</v>
      </c>
      <c r="E2689" t="s">
        <v>348</v>
      </c>
      <c r="F2689" s="11">
        <v>44399</v>
      </c>
      <c r="G2689" s="2">
        <f>VLOOKUP(E2689,Produtos!$A:$E,5,FALSE)</f>
        <v>2</v>
      </c>
      <c r="H2689" s="2">
        <f>VLOOKUP(E2689,Produtos!$A:$E,4,FALSE)</f>
        <v>1</v>
      </c>
      <c r="I2689" s="2">
        <v>3</v>
      </c>
    </row>
    <row r="2690" spans="1:9" x14ac:dyDescent="0.25">
      <c r="A2690" s="2" t="str">
        <f>CONCATENATE(Códigos!S2689,Códigos!T2689,Códigos!U2689)</f>
        <v>svv2688v</v>
      </c>
      <c r="B2690" t="s">
        <v>497</v>
      </c>
      <c r="C2690" t="s">
        <v>479</v>
      </c>
      <c r="D2690" s="2" t="s">
        <v>373</v>
      </c>
      <c r="E2690" t="s">
        <v>348</v>
      </c>
      <c r="F2690" s="11">
        <v>44400</v>
      </c>
      <c r="G2690" s="2">
        <f>VLOOKUP(E2690,Produtos!$A:$E,5,FALSE)</f>
        <v>2</v>
      </c>
      <c r="H2690" s="2">
        <f>VLOOKUP(E2690,Produtos!$A:$E,4,FALSE)</f>
        <v>1</v>
      </c>
      <c r="I2690" s="2">
        <v>3</v>
      </c>
    </row>
    <row r="2691" spans="1:9" x14ac:dyDescent="0.25">
      <c r="A2691" s="2" t="str">
        <f>CONCATENATE(Códigos!S2690,Códigos!T2690,Códigos!U2690)</f>
        <v>svv2689v</v>
      </c>
      <c r="B2691" t="s">
        <v>497</v>
      </c>
      <c r="C2691" t="s">
        <v>479</v>
      </c>
      <c r="D2691" s="2" t="s">
        <v>373</v>
      </c>
      <c r="E2691" t="s">
        <v>348</v>
      </c>
      <c r="F2691" s="11">
        <v>44401</v>
      </c>
      <c r="G2691" s="2">
        <f>VLOOKUP(E2691,Produtos!$A:$E,5,FALSE)</f>
        <v>2</v>
      </c>
      <c r="H2691" s="2">
        <f>VLOOKUP(E2691,Produtos!$A:$E,4,FALSE)</f>
        <v>1</v>
      </c>
      <c r="I2691" s="2">
        <v>3</v>
      </c>
    </row>
    <row r="2692" spans="1:9" x14ac:dyDescent="0.25">
      <c r="A2692" s="2" t="str">
        <f>CONCATENATE(Códigos!S2691,Códigos!T2691,Códigos!U2691)</f>
        <v>svv2690v</v>
      </c>
      <c r="B2692" t="s">
        <v>497</v>
      </c>
      <c r="C2692" t="s">
        <v>479</v>
      </c>
      <c r="D2692" s="2" t="s">
        <v>373</v>
      </c>
      <c r="E2692" t="s">
        <v>348</v>
      </c>
      <c r="F2692" s="11">
        <v>44402</v>
      </c>
      <c r="G2692" s="2">
        <f>VLOOKUP(E2692,Produtos!$A:$E,5,FALSE)</f>
        <v>2</v>
      </c>
      <c r="H2692" s="2">
        <f>VLOOKUP(E2692,Produtos!$A:$E,4,FALSE)</f>
        <v>1</v>
      </c>
      <c r="I2692" s="2">
        <v>3</v>
      </c>
    </row>
    <row r="2693" spans="1:9" x14ac:dyDescent="0.25">
      <c r="A2693" s="2" t="str">
        <f>CONCATENATE(Códigos!S2692,Códigos!T2692,Códigos!U2692)</f>
        <v>svv2691v</v>
      </c>
      <c r="B2693" t="s">
        <v>497</v>
      </c>
      <c r="C2693" t="s">
        <v>479</v>
      </c>
      <c r="D2693" s="2" t="s">
        <v>373</v>
      </c>
      <c r="E2693" t="s">
        <v>502</v>
      </c>
      <c r="F2693" s="11">
        <v>44403</v>
      </c>
      <c r="G2693" s="2">
        <f>VLOOKUP(E2693,Produtos!$A:$E,5,FALSE)</f>
        <v>1</v>
      </c>
      <c r="H2693" s="2">
        <f>VLOOKUP(E2693,Produtos!$A:$E,4,FALSE)</f>
        <v>0.5</v>
      </c>
      <c r="I2693" s="2">
        <v>3</v>
      </c>
    </row>
    <row r="2694" spans="1:9" x14ac:dyDescent="0.25">
      <c r="A2694" s="2" t="str">
        <f>CONCATENATE(Códigos!S2693,Códigos!T2693,Códigos!U2693)</f>
        <v>svv2692v</v>
      </c>
      <c r="B2694" t="s">
        <v>497</v>
      </c>
      <c r="C2694" t="s">
        <v>479</v>
      </c>
      <c r="D2694" s="2" t="s">
        <v>373</v>
      </c>
      <c r="E2694" t="s">
        <v>502</v>
      </c>
      <c r="F2694" s="11">
        <v>44404</v>
      </c>
      <c r="G2694" s="2">
        <f>VLOOKUP(E2694,Produtos!$A:$E,5,FALSE)</f>
        <v>1</v>
      </c>
      <c r="H2694" s="2">
        <f>VLOOKUP(E2694,Produtos!$A:$E,4,FALSE)</f>
        <v>0.5</v>
      </c>
      <c r="I2694" s="2">
        <v>3</v>
      </c>
    </row>
    <row r="2695" spans="1:9" x14ac:dyDescent="0.25">
      <c r="A2695" s="2" t="str">
        <f>CONCATENATE(Códigos!S2694,Códigos!T2694,Códigos!U2694)</f>
        <v>svv2693v</v>
      </c>
      <c r="B2695" t="s">
        <v>497</v>
      </c>
      <c r="C2695" t="s">
        <v>479</v>
      </c>
      <c r="D2695" s="2" t="s">
        <v>373</v>
      </c>
      <c r="E2695" t="s">
        <v>502</v>
      </c>
      <c r="F2695" s="11">
        <v>44405</v>
      </c>
      <c r="G2695" s="2">
        <f>VLOOKUP(E2695,Produtos!$A:$E,5,FALSE)</f>
        <v>1</v>
      </c>
      <c r="H2695" s="2">
        <f>VLOOKUP(E2695,Produtos!$A:$E,4,FALSE)</f>
        <v>0.5</v>
      </c>
      <c r="I2695" s="2">
        <v>3</v>
      </c>
    </row>
    <row r="2696" spans="1:9" x14ac:dyDescent="0.25">
      <c r="A2696" s="2" t="str">
        <f>CONCATENATE(Códigos!S2695,Códigos!T2695,Códigos!U2695)</f>
        <v>svv2694v</v>
      </c>
      <c r="B2696" t="s">
        <v>497</v>
      </c>
      <c r="C2696" t="s">
        <v>479</v>
      </c>
      <c r="D2696" s="2" t="s">
        <v>373</v>
      </c>
      <c r="E2696" t="s">
        <v>502</v>
      </c>
      <c r="F2696" s="11">
        <v>44406</v>
      </c>
      <c r="G2696" s="2">
        <f>VLOOKUP(E2696,Produtos!$A:$E,5,FALSE)</f>
        <v>1</v>
      </c>
      <c r="H2696" s="2">
        <f>VLOOKUP(E2696,Produtos!$A:$E,4,FALSE)</f>
        <v>0.5</v>
      </c>
      <c r="I2696" s="2">
        <v>3</v>
      </c>
    </row>
    <row r="2697" spans="1:9" x14ac:dyDescent="0.25">
      <c r="A2697" s="2" t="str">
        <f>CONCATENATE(Códigos!S2696,Códigos!T2696,Códigos!U2696)</f>
        <v>svv2695v</v>
      </c>
      <c r="B2697" t="s">
        <v>497</v>
      </c>
      <c r="C2697" t="s">
        <v>479</v>
      </c>
      <c r="D2697" s="2" t="s">
        <v>373</v>
      </c>
      <c r="E2697" t="s">
        <v>502</v>
      </c>
      <c r="F2697" s="11">
        <v>44407</v>
      </c>
      <c r="G2697" s="2">
        <f>VLOOKUP(E2697,Produtos!$A:$E,5,FALSE)</f>
        <v>1</v>
      </c>
      <c r="H2697" s="2">
        <f>VLOOKUP(E2697,Produtos!$A:$E,4,FALSE)</f>
        <v>0.5</v>
      </c>
      <c r="I2697" s="2">
        <v>3</v>
      </c>
    </row>
    <row r="2698" spans="1:9" x14ac:dyDescent="0.25">
      <c r="A2698" s="2" t="str">
        <f>CONCATENATE(Códigos!S2697,Códigos!T2697,Códigos!U2697)</f>
        <v>svv2696v</v>
      </c>
      <c r="B2698" t="s">
        <v>497</v>
      </c>
      <c r="C2698" t="s">
        <v>479</v>
      </c>
      <c r="D2698" s="2" t="s">
        <v>373</v>
      </c>
      <c r="E2698" t="s">
        <v>502</v>
      </c>
      <c r="F2698" s="11">
        <v>44408</v>
      </c>
      <c r="G2698" s="2">
        <f>VLOOKUP(E2698,Produtos!$A:$E,5,FALSE)</f>
        <v>1</v>
      </c>
      <c r="H2698" s="2">
        <f>VLOOKUP(E2698,Produtos!$A:$E,4,FALSE)</f>
        <v>0.5</v>
      </c>
      <c r="I2698" s="2">
        <v>3</v>
      </c>
    </row>
    <row r="2699" spans="1:9" x14ac:dyDescent="0.25">
      <c r="A2699" s="2" t="str">
        <f>CONCATENATE(Códigos!S2698,Códigos!T2698,Códigos!U2698)</f>
        <v>svv2697v</v>
      </c>
      <c r="B2699" t="s">
        <v>497</v>
      </c>
      <c r="C2699" t="s">
        <v>479</v>
      </c>
      <c r="D2699" s="2" t="s">
        <v>373</v>
      </c>
      <c r="E2699" t="s">
        <v>502</v>
      </c>
      <c r="F2699" s="11">
        <v>44409</v>
      </c>
      <c r="G2699" s="2">
        <f>VLOOKUP(E2699,Produtos!$A:$E,5,FALSE)</f>
        <v>1</v>
      </c>
      <c r="H2699" s="2">
        <f>VLOOKUP(E2699,Produtos!$A:$E,4,FALSE)</f>
        <v>0.5</v>
      </c>
      <c r="I2699" s="2">
        <v>3</v>
      </c>
    </row>
    <row r="2700" spans="1:9" x14ac:dyDescent="0.25">
      <c r="A2700" s="2" t="str">
        <f>CONCATENATE(Códigos!S2699,Códigos!T2699,Códigos!U2699)</f>
        <v>svv2698v</v>
      </c>
      <c r="B2700" t="s">
        <v>497</v>
      </c>
      <c r="C2700" t="s">
        <v>479</v>
      </c>
      <c r="D2700" s="2" t="s">
        <v>373</v>
      </c>
      <c r="E2700" t="s">
        <v>502</v>
      </c>
      <c r="F2700" s="11">
        <v>44410</v>
      </c>
      <c r="G2700" s="2">
        <f>VLOOKUP(E2700,Produtos!$A:$E,5,FALSE)</f>
        <v>1</v>
      </c>
      <c r="H2700" s="2">
        <f>VLOOKUP(E2700,Produtos!$A:$E,4,FALSE)</f>
        <v>0.5</v>
      </c>
      <c r="I2700" s="2">
        <v>3</v>
      </c>
    </row>
    <row r="2701" spans="1:9" x14ac:dyDescent="0.25">
      <c r="A2701" s="2" t="str">
        <f>CONCATENATE(Códigos!S2700,Códigos!T2700,Códigos!U2700)</f>
        <v>svv2699v</v>
      </c>
      <c r="B2701" t="s">
        <v>497</v>
      </c>
      <c r="C2701" t="s">
        <v>479</v>
      </c>
      <c r="D2701" s="2" t="s">
        <v>373</v>
      </c>
      <c r="E2701" t="s">
        <v>502</v>
      </c>
      <c r="F2701" s="11">
        <v>44411</v>
      </c>
      <c r="G2701" s="2">
        <f>VLOOKUP(E2701,Produtos!$A:$E,5,FALSE)</f>
        <v>1</v>
      </c>
      <c r="H2701" s="2">
        <f>VLOOKUP(E2701,Produtos!$A:$E,4,FALSE)</f>
        <v>0.5</v>
      </c>
      <c r="I2701" s="2">
        <v>3</v>
      </c>
    </row>
    <row r="2702" spans="1:9" x14ac:dyDescent="0.25">
      <c r="A2702" s="2" t="str">
        <f>CONCATENATE(Códigos!S2701,Códigos!T2701,Códigos!U2701)</f>
        <v>svv2700v</v>
      </c>
      <c r="B2702" t="s">
        <v>497</v>
      </c>
      <c r="C2702" t="s">
        <v>479</v>
      </c>
      <c r="D2702" s="2" t="s">
        <v>373</v>
      </c>
      <c r="E2702" t="s">
        <v>502</v>
      </c>
      <c r="F2702" s="11">
        <v>44412</v>
      </c>
      <c r="G2702" s="2">
        <f>VLOOKUP(E2702,Produtos!$A:$E,5,FALSE)</f>
        <v>1</v>
      </c>
      <c r="H2702" s="2">
        <f>VLOOKUP(E2702,Produtos!$A:$E,4,FALSE)</f>
        <v>0.5</v>
      </c>
      <c r="I2702" s="2">
        <v>3</v>
      </c>
    </row>
    <row r="2703" spans="1:9" x14ac:dyDescent="0.25">
      <c r="A2703" s="2" t="str">
        <f>CONCATENATE(Códigos!S2702,Códigos!T2702,Códigos!U2702)</f>
        <v>svv2701v</v>
      </c>
      <c r="B2703" t="s">
        <v>497</v>
      </c>
      <c r="C2703" t="s">
        <v>479</v>
      </c>
      <c r="D2703" s="2" t="s">
        <v>373</v>
      </c>
      <c r="E2703" t="s">
        <v>502</v>
      </c>
      <c r="F2703" s="11">
        <v>44413</v>
      </c>
      <c r="G2703" s="2">
        <f>VLOOKUP(E2703,Produtos!$A:$E,5,FALSE)</f>
        <v>1</v>
      </c>
      <c r="H2703" s="2">
        <f>VLOOKUP(E2703,Produtos!$A:$E,4,FALSE)</f>
        <v>0.5</v>
      </c>
      <c r="I2703" s="2">
        <v>3</v>
      </c>
    </row>
    <row r="2704" spans="1:9" x14ac:dyDescent="0.25">
      <c r="A2704" s="2" t="str">
        <f>CONCATENATE(Códigos!S2703,Códigos!T2703,Códigos!U2703)</f>
        <v>svv2702v</v>
      </c>
      <c r="B2704" t="s">
        <v>497</v>
      </c>
      <c r="C2704" t="s">
        <v>479</v>
      </c>
      <c r="D2704" s="2" t="s">
        <v>373</v>
      </c>
      <c r="E2704" t="s">
        <v>502</v>
      </c>
      <c r="F2704" s="11">
        <v>44414</v>
      </c>
      <c r="G2704" s="2">
        <f>VLOOKUP(E2704,Produtos!$A:$E,5,FALSE)</f>
        <v>1</v>
      </c>
      <c r="H2704" s="2">
        <f>VLOOKUP(E2704,Produtos!$A:$E,4,FALSE)</f>
        <v>0.5</v>
      </c>
      <c r="I2704" s="2">
        <v>3</v>
      </c>
    </row>
    <row r="2705" spans="1:9" x14ac:dyDescent="0.25">
      <c r="A2705" s="2" t="str">
        <f>CONCATENATE(Códigos!S2704,Códigos!T2704,Códigos!U2704)</f>
        <v>svv2703v</v>
      </c>
      <c r="B2705" t="s">
        <v>497</v>
      </c>
      <c r="C2705" t="s">
        <v>479</v>
      </c>
      <c r="D2705" s="2" t="s">
        <v>373</v>
      </c>
      <c r="E2705" t="s">
        <v>502</v>
      </c>
      <c r="F2705" s="11">
        <v>44415</v>
      </c>
      <c r="G2705" s="2">
        <f>VLOOKUP(E2705,Produtos!$A:$E,5,FALSE)</f>
        <v>1</v>
      </c>
      <c r="H2705" s="2">
        <f>VLOOKUP(E2705,Produtos!$A:$E,4,FALSE)</f>
        <v>0.5</v>
      </c>
      <c r="I2705" s="2">
        <v>3</v>
      </c>
    </row>
    <row r="2706" spans="1:9" x14ac:dyDescent="0.25">
      <c r="A2706" s="2" t="str">
        <f>CONCATENATE(Códigos!S2705,Códigos!T2705,Códigos!U2705)</f>
        <v>svv2704v</v>
      </c>
      <c r="B2706" t="s">
        <v>497</v>
      </c>
      <c r="C2706" t="s">
        <v>479</v>
      </c>
      <c r="D2706" s="2" t="s">
        <v>373</v>
      </c>
      <c r="E2706" t="s">
        <v>502</v>
      </c>
      <c r="F2706" s="11">
        <v>44416</v>
      </c>
      <c r="G2706" s="2">
        <f>VLOOKUP(E2706,Produtos!$A:$E,5,FALSE)</f>
        <v>1</v>
      </c>
      <c r="H2706" s="2">
        <f>VLOOKUP(E2706,Produtos!$A:$E,4,FALSE)</f>
        <v>0.5</v>
      </c>
      <c r="I2706" s="2">
        <v>3</v>
      </c>
    </row>
    <row r="2707" spans="1:9" x14ac:dyDescent="0.25">
      <c r="A2707" s="2" t="str">
        <f>CONCATENATE(Códigos!S2706,Códigos!T2706,Códigos!U2706)</f>
        <v>svv2705v</v>
      </c>
      <c r="B2707" t="s">
        <v>497</v>
      </c>
      <c r="C2707" t="s">
        <v>479</v>
      </c>
      <c r="D2707" s="2" t="s">
        <v>373</v>
      </c>
      <c r="E2707" t="s">
        <v>502</v>
      </c>
      <c r="F2707" s="11">
        <v>44417</v>
      </c>
      <c r="G2707" s="2">
        <f>VLOOKUP(E2707,Produtos!$A:$E,5,FALSE)</f>
        <v>1</v>
      </c>
      <c r="H2707" s="2">
        <f>VLOOKUP(E2707,Produtos!$A:$E,4,FALSE)</f>
        <v>0.5</v>
      </c>
      <c r="I2707" s="2">
        <v>3</v>
      </c>
    </row>
    <row r="2708" spans="1:9" x14ac:dyDescent="0.25">
      <c r="A2708" s="2" t="str">
        <f>CONCATENATE(Códigos!S2707,Códigos!T2707,Códigos!U2707)</f>
        <v>svv2706v</v>
      </c>
      <c r="B2708" t="s">
        <v>497</v>
      </c>
      <c r="C2708" t="s">
        <v>479</v>
      </c>
      <c r="D2708" s="2" t="s">
        <v>373</v>
      </c>
      <c r="E2708" t="s">
        <v>502</v>
      </c>
      <c r="F2708" s="11">
        <v>44418</v>
      </c>
      <c r="G2708" s="2">
        <f>VLOOKUP(E2708,Produtos!$A:$E,5,FALSE)</f>
        <v>1</v>
      </c>
      <c r="H2708" s="2">
        <f>VLOOKUP(E2708,Produtos!$A:$E,4,FALSE)</f>
        <v>0.5</v>
      </c>
      <c r="I2708" s="2">
        <v>3</v>
      </c>
    </row>
    <row r="2709" spans="1:9" x14ac:dyDescent="0.25">
      <c r="A2709" s="2" t="str">
        <f>CONCATENATE(Códigos!S2708,Códigos!T2708,Códigos!U2708)</f>
        <v>svv2707v</v>
      </c>
      <c r="B2709" t="s">
        <v>497</v>
      </c>
      <c r="C2709" t="s">
        <v>479</v>
      </c>
      <c r="D2709" s="2" t="s">
        <v>373</v>
      </c>
      <c r="E2709" t="s">
        <v>502</v>
      </c>
      <c r="F2709" s="11">
        <v>44419</v>
      </c>
      <c r="G2709" s="2">
        <f>VLOOKUP(E2709,Produtos!$A:$E,5,FALSE)</f>
        <v>1</v>
      </c>
      <c r="H2709" s="2">
        <f>VLOOKUP(E2709,Produtos!$A:$E,4,FALSE)</f>
        <v>0.5</v>
      </c>
      <c r="I2709" s="2">
        <v>3</v>
      </c>
    </row>
    <row r="2710" spans="1:9" x14ac:dyDescent="0.25">
      <c r="A2710" s="2" t="str">
        <f>CONCATENATE(Códigos!S2709,Códigos!T2709,Códigos!U2709)</f>
        <v>svv2708v</v>
      </c>
      <c r="B2710" t="s">
        <v>497</v>
      </c>
      <c r="C2710" t="s">
        <v>479</v>
      </c>
      <c r="D2710" s="2" t="s">
        <v>373</v>
      </c>
      <c r="E2710" t="s">
        <v>502</v>
      </c>
      <c r="F2710" s="11">
        <v>44420</v>
      </c>
      <c r="G2710" s="2">
        <f>VLOOKUP(E2710,Produtos!$A:$E,5,FALSE)</f>
        <v>1</v>
      </c>
      <c r="H2710" s="2">
        <f>VLOOKUP(E2710,Produtos!$A:$E,4,FALSE)</f>
        <v>0.5</v>
      </c>
      <c r="I2710" s="2">
        <v>3</v>
      </c>
    </row>
    <row r="2711" spans="1:9" x14ac:dyDescent="0.25">
      <c r="A2711" s="2" t="str">
        <f>CONCATENATE(Códigos!S2710,Códigos!T2710,Códigos!U2710)</f>
        <v>svv2709v</v>
      </c>
      <c r="B2711" t="s">
        <v>497</v>
      </c>
      <c r="C2711" t="s">
        <v>479</v>
      </c>
      <c r="D2711" s="2" t="s">
        <v>373</v>
      </c>
      <c r="E2711" t="s">
        <v>502</v>
      </c>
      <c r="F2711" s="11">
        <v>44421</v>
      </c>
      <c r="G2711" s="2">
        <f>VLOOKUP(E2711,Produtos!$A:$E,5,FALSE)</f>
        <v>1</v>
      </c>
      <c r="H2711" s="2">
        <f>VLOOKUP(E2711,Produtos!$A:$E,4,FALSE)</f>
        <v>0.5</v>
      </c>
      <c r="I2711" s="2">
        <v>3</v>
      </c>
    </row>
    <row r="2712" spans="1:9" x14ac:dyDescent="0.25">
      <c r="A2712" s="2" t="str">
        <f>CONCATENATE(Códigos!S2711,Códigos!T2711,Códigos!U2711)</f>
        <v>svv2710v</v>
      </c>
      <c r="B2712" t="s">
        <v>497</v>
      </c>
      <c r="C2712" t="s">
        <v>479</v>
      </c>
      <c r="D2712" s="2" t="s">
        <v>373</v>
      </c>
      <c r="E2712" t="s">
        <v>502</v>
      </c>
      <c r="F2712" s="11">
        <v>44422</v>
      </c>
      <c r="G2712" s="2">
        <f>VLOOKUP(E2712,Produtos!$A:$E,5,FALSE)</f>
        <v>1</v>
      </c>
      <c r="H2712" s="2">
        <f>VLOOKUP(E2712,Produtos!$A:$E,4,FALSE)</f>
        <v>0.5</v>
      </c>
      <c r="I2712" s="2">
        <v>3</v>
      </c>
    </row>
    <row r="2713" spans="1:9" x14ac:dyDescent="0.25">
      <c r="A2713" s="2" t="str">
        <f>CONCATENATE(Códigos!S2712,Códigos!T2712,Códigos!U2712)</f>
        <v>svv2711v</v>
      </c>
      <c r="B2713" t="s">
        <v>497</v>
      </c>
      <c r="C2713" t="s">
        <v>479</v>
      </c>
      <c r="D2713" s="2" t="s">
        <v>373</v>
      </c>
      <c r="E2713" t="s">
        <v>502</v>
      </c>
      <c r="F2713" s="11">
        <v>44423</v>
      </c>
      <c r="G2713" s="2">
        <f>VLOOKUP(E2713,Produtos!$A:$E,5,FALSE)</f>
        <v>1</v>
      </c>
      <c r="H2713" s="2">
        <f>VLOOKUP(E2713,Produtos!$A:$E,4,FALSE)</f>
        <v>0.5</v>
      </c>
      <c r="I2713" s="2">
        <v>3</v>
      </c>
    </row>
    <row r="2714" spans="1:9" x14ac:dyDescent="0.25">
      <c r="A2714" s="2" t="str">
        <f>CONCATENATE(Códigos!S2713,Códigos!T2713,Códigos!U2713)</f>
        <v>svv2712v</v>
      </c>
      <c r="B2714" t="s">
        <v>497</v>
      </c>
      <c r="C2714" t="s">
        <v>479</v>
      </c>
      <c r="D2714" s="2" t="s">
        <v>373</v>
      </c>
      <c r="E2714" t="s">
        <v>502</v>
      </c>
      <c r="F2714" s="11">
        <v>44424</v>
      </c>
      <c r="G2714" s="2">
        <f>VLOOKUP(E2714,Produtos!$A:$E,5,FALSE)</f>
        <v>1</v>
      </c>
      <c r="H2714" s="2">
        <f>VLOOKUP(E2714,Produtos!$A:$E,4,FALSE)</f>
        <v>0.5</v>
      </c>
      <c r="I2714" s="2">
        <v>3</v>
      </c>
    </row>
    <row r="2715" spans="1:9" x14ac:dyDescent="0.25">
      <c r="A2715" s="2" t="str">
        <f>CONCATENATE(Códigos!S2714,Códigos!T2714,Códigos!U2714)</f>
        <v>svv2713v</v>
      </c>
      <c r="B2715" t="s">
        <v>497</v>
      </c>
      <c r="C2715" t="s">
        <v>479</v>
      </c>
      <c r="D2715" s="2" t="s">
        <v>373</v>
      </c>
      <c r="E2715" t="s">
        <v>502</v>
      </c>
      <c r="F2715" s="11">
        <v>44425</v>
      </c>
      <c r="G2715" s="2">
        <f>VLOOKUP(E2715,Produtos!$A:$E,5,FALSE)</f>
        <v>1</v>
      </c>
      <c r="H2715" s="2">
        <f>VLOOKUP(E2715,Produtos!$A:$E,4,FALSE)</f>
        <v>0.5</v>
      </c>
      <c r="I2715" s="2">
        <v>3</v>
      </c>
    </row>
    <row r="2716" spans="1:9" x14ac:dyDescent="0.25">
      <c r="A2716" s="2" t="str">
        <f>CONCATENATE(Códigos!S2715,Códigos!T2715,Códigos!U2715)</f>
        <v>svv2714v</v>
      </c>
      <c r="B2716" t="s">
        <v>497</v>
      </c>
      <c r="C2716" t="s">
        <v>479</v>
      </c>
      <c r="D2716" s="2" t="s">
        <v>373</v>
      </c>
      <c r="E2716" t="s">
        <v>502</v>
      </c>
      <c r="F2716" s="11">
        <v>44426</v>
      </c>
      <c r="G2716" s="2">
        <f>VLOOKUP(E2716,Produtos!$A:$E,5,FALSE)</f>
        <v>1</v>
      </c>
      <c r="H2716" s="2">
        <f>VLOOKUP(E2716,Produtos!$A:$E,4,FALSE)</f>
        <v>0.5</v>
      </c>
      <c r="I2716" s="2">
        <v>3</v>
      </c>
    </row>
    <row r="2717" spans="1:9" x14ac:dyDescent="0.25">
      <c r="A2717" s="2" t="str">
        <f>CONCATENATE(Códigos!S2716,Códigos!T2716,Códigos!U2716)</f>
        <v>svv2715v</v>
      </c>
      <c r="B2717" t="s">
        <v>497</v>
      </c>
      <c r="C2717" t="s">
        <v>479</v>
      </c>
      <c r="D2717" s="2" t="s">
        <v>373</v>
      </c>
      <c r="E2717" t="s">
        <v>502</v>
      </c>
      <c r="F2717" s="11">
        <v>44427</v>
      </c>
      <c r="G2717" s="2">
        <f>VLOOKUP(E2717,Produtos!$A:$E,5,FALSE)</f>
        <v>1</v>
      </c>
      <c r="H2717" s="2">
        <f>VLOOKUP(E2717,Produtos!$A:$E,4,FALSE)</f>
        <v>0.5</v>
      </c>
      <c r="I2717" s="2">
        <v>3</v>
      </c>
    </row>
    <row r="2718" spans="1:9" x14ac:dyDescent="0.25">
      <c r="A2718" s="2" t="str">
        <f>CONCATENATE(Códigos!S2717,Códigos!T2717,Códigos!U2717)</f>
        <v>svv2716v</v>
      </c>
      <c r="B2718" t="s">
        <v>497</v>
      </c>
      <c r="C2718" t="s">
        <v>479</v>
      </c>
      <c r="D2718" s="2" t="s">
        <v>373</v>
      </c>
      <c r="E2718" t="s">
        <v>502</v>
      </c>
      <c r="F2718" s="11">
        <v>44428</v>
      </c>
      <c r="G2718" s="2">
        <f>VLOOKUP(E2718,Produtos!$A:$E,5,FALSE)</f>
        <v>1</v>
      </c>
      <c r="H2718" s="2">
        <f>VLOOKUP(E2718,Produtos!$A:$E,4,FALSE)</f>
        <v>0.5</v>
      </c>
      <c r="I2718" s="2">
        <v>3</v>
      </c>
    </row>
    <row r="2719" spans="1:9" x14ac:dyDescent="0.25">
      <c r="A2719" s="2" t="str">
        <f>CONCATENATE(Códigos!S2718,Códigos!T2718,Códigos!U2718)</f>
        <v>svv2717v</v>
      </c>
      <c r="B2719" t="s">
        <v>497</v>
      </c>
      <c r="C2719" t="s">
        <v>479</v>
      </c>
      <c r="D2719" s="2" t="s">
        <v>373</v>
      </c>
      <c r="E2719" t="s">
        <v>502</v>
      </c>
      <c r="F2719" s="11">
        <v>44429</v>
      </c>
      <c r="G2719" s="2">
        <f>VLOOKUP(E2719,Produtos!$A:$E,5,FALSE)</f>
        <v>1</v>
      </c>
      <c r="H2719" s="2">
        <f>VLOOKUP(E2719,Produtos!$A:$E,4,FALSE)</f>
        <v>0.5</v>
      </c>
      <c r="I2719" s="2">
        <v>3</v>
      </c>
    </row>
    <row r="2720" spans="1:9" x14ac:dyDescent="0.25">
      <c r="A2720" s="2" t="str">
        <f>CONCATENATE(Códigos!S2719,Códigos!T2719,Códigos!U2719)</f>
        <v>svv2718v</v>
      </c>
      <c r="B2720" t="s">
        <v>497</v>
      </c>
      <c r="C2720" t="s">
        <v>479</v>
      </c>
      <c r="D2720" s="2" t="s">
        <v>373</v>
      </c>
      <c r="E2720" t="s">
        <v>502</v>
      </c>
      <c r="F2720" s="11">
        <v>44430</v>
      </c>
      <c r="G2720" s="2">
        <f>VLOOKUP(E2720,Produtos!$A:$E,5,FALSE)</f>
        <v>1</v>
      </c>
      <c r="H2720" s="2">
        <f>VLOOKUP(E2720,Produtos!$A:$E,4,FALSE)</f>
        <v>0.5</v>
      </c>
      <c r="I2720" s="2">
        <v>3</v>
      </c>
    </row>
    <row r="2721" spans="1:9" x14ac:dyDescent="0.25">
      <c r="A2721" s="2" t="str">
        <f>CONCATENATE(Códigos!S2720,Códigos!T2720,Códigos!U2720)</f>
        <v>svv2719v</v>
      </c>
      <c r="B2721" t="s">
        <v>497</v>
      </c>
      <c r="C2721" t="s">
        <v>479</v>
      </c>
      <c r="D2721" s="2" t="s">
        <v>373</v>
      </c>
      <c r="E2721" t="s">
        <v>502</v>
      </c>
      <c r="F2721" s="11">
        <v>44431</v>
      </c>
      <c r="G2721" s="2">
        <f>VLOOKUP(E2721,Produtos!$A:$E,5,FALSE)</f>
        <v>1</v>
      </c>
      <c r="H2721" s="2">
        <f>VLOOKUP(E2721,Produtos!$A:$E,4,FALSE)</f>
        <v>0.5</v>
      </c>
      <c r="I2721" s="2">
        <v>3</v>
      </c>
    </row>
    <row r="2722" spans="1:9" x14ac:dyDescent="0.25">
      <c r="A2722" s="2" t="str">
        <f>CONCATENATE(Códigos!S2721,Códigos!T2721,Códigos!U2721)</f>
        <v>svv2720v</v>
      </c>
      <c r="B2722" t="s">
        <v>497</v>
      </c>
      <c r="C2722" t="s">
        <v>479</v>
      </c>
      <c r="D2722" s="2" t="s">
        <v>373</v>
      </c>
      <c r="E2722" t="s">
        <v>502</v>
      </c>
      <c r="F2722" s="11">
        <v>44432</v>
      </c>
      <c r="G2722" s="2">
        <f>VLOOKUP(E2722,Produtos!$A:$E,5,FALSE)</f>
        <v>1</v>
      </c>
      <c r="H2722" s="2">
        <f>VLOOKUP(E2722,Produtos!$A:$E,4,FALSE)</f>
        <v>0.5</v>
      </c>
      <c r="I2722" s="2">
        <v>3</v>
      </c>
    </row>
    <row r="2723" spans="1:9" x14ac:dyDescent="0.25">
      <c r="A2723" s="2" t="str">
        <f>CONCATENATE(Códigos!S2722,Códigos!T2722,Códigos!U2722)</f>
        <v>svv2721v</v>
      </c>
      <c r="B2723" t="s">
        <v>497</v>
      </c>
      <c r="C2723" t="s">
        <v>479</v>
      </c>
      <c r="D2723" s="2" t="s">
        <v>373</v>
      </c>
      <c r="E2723" t="s">
        <v>502</v>
      </c>
      <c r="F2723" s="11">
        <v>44433</v>
      </c>
      <c r="G2723" s="2">
        <f>VLOOKUP(E2723,Produtos!$A:$E,5,FALSE)</f>
        <v>1</v>
      </c>
      <c r="H2723" s="2">
        <f>VLOOKUP(E2723,Produtos!$A:$E,4,FALSE)</f>
        <v>0.5</v>
      </c>
      <c r="I2723" s="2">
        <v>3</v>
      </c>
    </row>
    <row r="2724" spans="1:9" x14ac:dyDescent="0.25">
      <c r="A2724" s="2" t="str">
        <f>CONCATENATE(Códigos!S2723,Códigos!T2723,Códigos!U2723)</f>
        <v>svv2722v</v>
      </c>
      <c r="B2724" t="s">
        <v>497</v>
      </c>
      <c r="C2724" t="s">
        <v>479</v>
      </c>
      <c r="D2724" s="2" t="s">
        <v>373</v>
      </c>
      <c r="E2724" t="s">
        <v>502</v>
      </c>
      <c r="F2724" s="11">
        <v>44434</v>
      </c>
      <c r="G2724" s="2">
        <f>VLOOKUP(E2724,Produtos!$A:$E,5,FALSE)</f>
        <v>1</v>
      </c>
      <c r="H2724" s="2">
        <f>VLOOKUP(E2724,Produtos!$A:$E,4,FALSE)</f>
        <v>0.5</v>
      </c>
      <c r="I2724" s="2">
        <v>3</v>
      </c>
    </row>
    <row r="2725" spans="1:9" x14ac:dyDescent="0.25">
      <c r="A2725" s="2" t="str">
        <f>CONCATENATE(Códigos!S2724,Códigos!T2724,Códigos!U2724)</f>
        <v>svv2723v</v>
      </c>
      <c r="B2725" t="s">
        <v>497</v>
      </c>
      <c r="C2725" t="s">
        <v>479</v>
      </c>
      <c r="D2725" s="2" t="s">
        <v>373</v>
      </c>
      <c r="E2725" t="s">
        <v>502</v>
      </c>
      <c r="F2725" s="11">
        <v>44435</v>
      </c>
      <c r="G2725" s="2">
        <f>VLOOKUP(E2725,Produtos!$A:$E,5,FALSE)</f>
        <v>1</v>
      </c>
      <c r="H2725" s="2">
        <f>VLOOKUP(E2725,Produtos!$A:$E,4,FALSE)</f>
        <v>0.5</v>
      </c>
      <c r="I2725" s="2">
        <v>3</v>
      </c>
    </row>
    <row r="2726" spans="1:9" x14ac:dyDescent="0.25">
      <c r="A2726" s="2" t="str">
        <f>CONCATENATE(Códigos!S2725,Códigos!T2725,Códigos!U2725)</f>
        <v>svv2724v</v>
      </c>
      <c r="B2726" t="s">
        <v>497</v>
      </c>
      <c r="C2726" t="s">
        <v>479</v>
      </c>
      <c r="D2726" s="2" t="s">
        <v>373</v>
      </c>
      <c r="E2726" t="s">
        <v>502</v>
      </c>
      <c r="F2726" s="11">
        <v>44436</v>
      </c>
      <c r="G2726" s="2">
        <f>VLOOKUP(E2726,Produtos!$A:$E,5,FALSE)</f>
        <v>1</v>
      </c>
      <c r="H2726" s="2">
        <f>VLOOKUP(E2726,Produtos!$A:$E,4,FALSE)</f>
        <v>0.5</v>
      </c>
      <c r="I2726" s="2">
        <v>3</v>
      </c>
    </row>
    <row r="2727" spans="1:9" x14ac:dyDescent="0.25">
      <c r="A2727" s="2" t="str">
        <f>CONCATENATE(Códigos!S2726,Códigos!T2726,Códigos!U2726)</f>
        <v>svv2725v</v>
      </c>
      <c r="B2727" t="s">
        <v>497</v>
      </c>
      <c r="C2727" t="s">
        <v>479</v>
      </c>
      <c r="D2727" s="2" t="s">
        <v>373</v>
      </c>
      <c r="E2727" t="s">
        <v>502</v>
      </c>
      <c r="F2727" s="11">
        <v>44437</v>
      </c>
      <c r="G2727" s="2">
        <f>VLOOKUP(E2727,Produtos!$A:$E,5,FALSE)</f>
        <v>1</v>
      </c>
      <c r="H2727" s="2">
        <f>VLOOKUP(E2727,Produtos!$A:$E,4,FALSE)</f>
        <v>0.5</v>
      </c>
      <c r="I2727" s="2">
        <v>3</v>
      </c>
    </row>
    <row r="2728" spans="1:9" x14ac:dyDescent="0.25">
      <c r="A2728" s="2" t="str">
        <f>CONCATENATE(Códigos!S2727,Códigos!T2727,Códigos!U2727)</f>
        <v>svv2726v</v>
      </c>
      <c r="B2728" t="s">
        <v>497</v>
      </c>
      <c r="C2728" t="s">
        <v>479</v>
      </c>
      <c r="D2728" s="2" t="s">
        <v>373</v>
      </c>
      <c r="E2728" t="s">
        <v>502</v>
      </c>
      <c r="F2728" s="11">
        <v>44438</v>
      </c>
      <c r="G2728" s="2">
        <f>VLOOKUP(E2728,Produtos!$A:$E,5,FALSE)</f>
        <v>1</v>
      </c>
      <c r="H2728" s="2">
        <f>VLOOKUP(E2728,Produtos!$A:$E,4,FALSE)</f>
        <v>0.5</v>
      </c>
      <c r="I2728" s="2">
        <v>3</v>
      </c>
    </row>
    <row r="2729" spans="1:9" x14ac:dyDescent="0.25">
      <c r="A2729" s="2" t="str">
        <f>CONCATENATE(Códigos!S2728,Códigos!T2728,Códigos!U2728)</f>
        <v>svv2727v</v>
      </c>
      <c r="B2729" t="s">
        <v>497</v>
      </c>
      <c r="C2729" t="s">
        <v>479</v>
      </c>
      <c r="D2729" s="2" t="s">
        <v>373</v>
      </c>
      <c r="E2729" t="s">
        <v>502</v>
      </c>
      <c r="F2729" s="11">
        <v>44439</v>
      </c>
      <c r="G2729" s="2">
        <f>VLOOKUP(E2729,Produtos!$A:$E,5,FALSE)</f>
        <v>1</v>
      </c>
      <c r="H2729" s="2">
        <f>VLOOKUP(E2729,Produtos!$A:$E,4,FALSE)</f>
        <v>0.5</v>
      </c>
      <c r="I2729" s="2">
        <v>3</v>
      </c>
    </row>
    <row r="2730" spans="1:9" x14ac:dyDescent="0.25">
      <c r="A2730" s="2" t="str">
        <f>CONCATENATE(Códigos!S2729,Códigos!T2729,Códigos!U2729)</f>
        <v>svv2728v</v>
      </c>
      <c r="B2730" t="s">
        <v>498</v>
      </c>
      <c r="C2730" t="s">
        <v>414</v>
      </c>
      <c r="D2730" s="2" t="s">
        <v>415</v>
      </c>
      <c r="E2730" t="s">
        <v>502</v>
      </c>
      <c r="F2730" s="11">
        <v>44440</v>
      </c>
      <c r="G2730" s="2">
        <f>VLOOKUP(E2730,Produtos!$A:$E,5,FALSE)</f>
        <v>1</v>
      </c>
      <c r="H2730" s="2">
        <f>VLOOKUP(E2730,Produtos!$A:$E,4,FALSE)</f>
        <v>0.5</v>
      </c>
      <c r="I2730" s="2">
        <v>3</v>
      </c>
    </row>
    <row r="2731" spans="1:9" x14ac:dyDescent="0.25">
      <c r="A2731" s="2" t="str">
        <f>CONCATENATE(Códigos!S2730,Códigos!T2730,Códigos!U2730)</f>
        <v>svv2729v</v>
      </c>
      <c r="B2731" t="s">
        <v>498</v>
      </c>
      <c r="C2731" t="s">
        <v>414</v>
      </c>
      <c r="D2731" s="2" t="s">
        <v>415</v>
      </c>
      <c r="E2731" t="s">
        <v>502</v>
      </c>
      <c r="F2731" s="11">
        <v>44441</v>
      </c>
      <c r="G2731" s="2">
        <f>VLOOKUP(E2731,Produtos!$A:$E,5,FALSE)</f>
        <v>1</v>
      </c>
      <c r="H2731" s="2">
        <f>VLOOKUP(E2731,Produtos!$A:$E,4,FALSE)</f>
        <v>0.5</v>
      </c>
      <c r="I2731" s="2">
        <v>3</v>
      </c>
    </row>
    <row r="2732" spans="1:9" x14ac:dyDescent="0.25">
      <c r="A2732" s="2" t="str">
        <f>CONCATENATE(Códigos!S2731,Códigos!T2731,Códigos!U2731)</f>
        <v>svv2730v</v>
      </c>
      <c r="B2732" t="s">
        <v>498</v>
      </c>
      <c r="C2732" t="s">
        <v>414</v>
      </c>
      <c r="D2732" s="2" t="s">
        <v>415</v>
      </c>
      <c r="E2732" t="s">
        <v>502</v>
      </c>
      <c r="F2732" s="11">
        <v>44442</v>
      </c>
      <c r="G2732" s="2">
        <f>VLOOKUP(E2732,Produtos!$A:$E,5,FALSE)</f>
        <v>1</v>
      </c>
      <c r="H2732" s="2">
        <f>VLOOKUP(E2732,Produtos!$A:$E,4,FALSE)</f>
        <v>0.5</v>
      </c>
      <c r="I2732" s="2">
        <v>3</v>
      </c>
    </row>
    <row r="2733" spans="1:9" x14ac:dyDescent="0.25">
      <c r="A2733" s="2" t="str">
        <f>CONCATENATE(Códigos!S2732,Códigos!T2732,Códigos!U2732)</f>
        <v>svv2731v</v>
      </c>
      <c r="B2733" t="s">
        <v>498</v>
      </c>
      <c r="C2733" t="s">
        <v>414</v>
      </c>
      <c r="D2733" s="2" t="s">
        <v>415</v>
      </c>
      <c r="E2733" t="s">
        <v>502</v>
      </c>
      <c r="F2733" s="11">
        <v>44443</v>
      </c>
      <c r="G2733" s="2">
        <f>VLOOKUP(E2733,Produtos!$A:$E,5,FALSE)</f>
        <v>1</v>
      </c>
      <c r="H2733" s="2">
        <f>VLOOKUP(E2733,Produtos!$A:$E,4,FALSE)</f>
        <v>0.5</v>
      </c>
      <c r="I2733" s="2">
        <v>3</v>
      </c>
    </row>
    <row r="2734" spans="1:9" x14ac:dyDescent="0.25">
      <c r="A2734" s="2" t="str">
        <f>CONCATENATE(Códigos!S2733,Códigos!T2733,Códigos!U2733)</f>
        <v>svv2732v</v>
      </c>
      <c r="B2734" t="s">
        <v>498</v>
      </c>
      <c r="C2734" t="s">
        <v>414</v>
      </c>
      <c r="D2734" s="2" t="s">
        <v>415</v>
      </c>
      <c r="E2734" t="s">
        <v>502</v>
      </c>
      <c r="F2734" s="11">
        <v>44444</v>
      </c>
      <c r="G2734" s="2">
        <f>VLOOKUP(E2734,Produtos!$A:$E,5,FALSE)</f>
        <v>1</v>
      </c>
      <c r="H2734" s="2">
        <f>VLOOKUP(E2734,Produtos!$A:$E,4,FALSE)</f>
        <v>0.5</v>
      </c>
      <c r="I2734" s="2">
        <v>3</v>
      </c>
    </row>
    <row r="2735" spans="1:9" x14ac:dyDescent="0.25">
      <c r="A2735" s="2" t="str">
        <f>CONCATENATE(Códigos!S2734,Códigos!T2734,Códigos!U2734)</f>
        <v>svv2733v</v>
      </c>
      <c r="B2735" t="s">
        <v>498</v>
      </c>
      <c r="C2735" t="s">
        <v>414</v>
      </c>
      <c r="D2735" s="2" t="s">
        <v>415</v>
      </c>
      <c r="E2735" t="s">
        <v>502</v>
      </c>
      <c r="F2735" s="11">
        <v>44445</v>
      </c>
      <c r="G2735" s="2">
        <f>VLOOKUP(E2735,Produtos!$A:$E,5,FALSE)</f>
        <v>1</v>
      </c>
      <c r="H2735" s="2">
        <f>VLOOKUP(E2735,Produtos!$A:$E,4,FALSE)</f>
        <v>0.5</v>
      </c>
      <c r="I2735" s="2">
        <v>3</v>
      </c>
    </row>
    <row r="2736" spans="1:9" x14ac:dyDescent="0.25">
      <c r="A2736" s="2" t="str">
        <f>CONCATENATE(Códigos!S2735,Códigos!T2735,Códigos!U2735)</f>
        <v>svv2734v</v>
      </c>
      <c r="B2736" t="s">
        <v>498</v>
      </c>
      <c r="C2736" t="s">
        <v>414</v>
      </c>
      <c r="D2736" s="2" t="s">
        <v>415</v>
      </c>
      <c r="E2736" t="s">
        <v>502</v>
      </c>
      <c r="F2736" s="11">
        <v>44446</v>
      </c>
      <c r="G2736" s="2">
        <f>VLOOKUP(E2736,Produtos!$A:$E,5,FALSE)</f>
        <v>1</v>
      </c>
      <c r="H2736" s="2">
        <f>VLOOKUP(E2736,Produtos!$A:$E,4,FALSE)</f>
        <v>0.5</v>
      </c>
      <c r="I2736" s="2">
        <v>3</v>
      </c>
    </row>
    <row r="2737" spans="1:9" x14ac:dyDescent="0.25">
      <c r="A2737" s="2" t="str">
        <f>CONCATENATE(Códigos!S2736,Códigos!T2736,Códigos!U2736)</f>
        <v>svv2735v</v>
      </c>
      <c r="B2737" t="s">
        <v>498</v>
      </c>
      <c r="C2737" t="s">
        <v>414</v>
      </c>
      <c r="D2737" s="2" t="s">
        <v>415</v>
      </c>
      <c r="E2737" t="s">
        <v>502</v>
      </c>
      <c r="F2737" s="11">
        <v>44447</v>
      </c>
      <c r="G2737" s="2">
        <f>VLOOKUP(E2737,Produtos!$A:$E,5,FALSE)</f>
        <v>1</v>
      </c>
      <c r="H2737" s="2">
        <f>VLOOKUP(E2737,Produtos!$A:$E,4,FALSE)</f>
        <v>0.5</v>
      </c>
      <c r="I2737" s="2">
        <v>3</v>
      </c>
    </row>
    <row r="2738" spans="1:9" x14ac:dyDescent="0.25">
      <c r="A2738" s="2" t="str">
        <f>CONCATENATE(Códigos!S2737,Códigos!T2737,Códigos!U2737)</f>
        <v>svv2736v</v>
      </c>
      <c r="B2738" t="s">
        <v>498</v>
      </c>
      <c r="C2738" t="s">
        <v>414</v>
      </c>
      <c r="D2738" s="2" t="s">
        <v>415</v>
      </c>
      <c r="E2738" t="s">
        <v>502</v>
      </c>
      <c r="F2738" s="11">
        <v>44448</v>
      </c>
      <c r="G2738" s="2">
        <f>VLOOKUP(E2738,Produtos!$A:$E,5,FALSE)</f>
        <v>1</v>
      </c>
      <c r="H2738" s="2">
        <f>VLOOKUP(E2738,Produtos!$A:$E,4,FALSE)</f>
        <v>0.5</v>
      </c>
      <c r="I2738" s="2">
        <v>3</v>
      </c>
    </row>
    <row r="2739" spans="1:9" x14ac:dyDescent="0.25">
      <c r="A2739" s="2" t="str">
        <f>CONCATENATE(Códigos!S2738,Códigos!T2738,Códigos!U2738)</f>
        <v>svv2737v</v>
      </c>
      <c r="B2739" t="s">
        <v>498</v>
      </c>
      <c r="C2739" t="s">
        <v>446</v>
      </c>
      <c r="D2739" s="2" t="s">
        <v>370</v>
      </c>
      <c r="E2739" t="s">
        <v>502</v>
      </c>
      <c r="F2739" s="11">
        <v>44449</v>
      </c>
      <c r="G2739" s="2">
        <f>VLOOKUP(E2739,Produtos!$A:$E,5,FALSE)</f>
        <v>1</v>
      </c>
      <c r="H2739" s="2">
        <f>VLOOKUP(E2739,Produtos!$A:$E,4,FALSE)</f>
        <v>0.5</v>
      </c>
      <c r="I2739" s="2">
        <v>3</v>
      </c>
    </row>
    <row r="2740" spans="1:9" x14ac:dyDescent="0.25">
      <c r="A2740" s="2" t="str">
        <f>CONCATENATE(Códigos!S2739,Códigos!T2739,Códigos!U2739)</f>
        <v>svv2738v</v>
      </c>
      <c r="B2740" t="s">
        <v>498</v>
      </c>
      <c r="C2740" t="s">
        <v>446</v>
      </c>
      <c r="D2740" s="2" t="s">
        <v>370</v>
      </c>
      <c r="E2740" t="s">
        <v>502</v>
      </c>
      <c r="F2740" s="11">
        <v>44450</v>
      </c>
      <c r="G2740" s="2">
        <f>VLOOKUP(E2740,Produtos!$A:$E,5,FALSE)</f>
        <v>1</v>
      </c>
      <c r="H2740" s="2">
        <f>VLOOKUP(E2740,Produtos!$A:$E,4,FALSE)</f>
        <v>0.5</v>
      </c>
      <c r="I2740" s="2">
        <v>3</v>
      </c>
    </row>
    <row r="2741" spans="1:9" x14ac:dyDescent="0.25">
      <c r="A2741" s="2" t="str">
        <f>CONCATENATE(Códigos!S2740,Códigos!T2740,Códigos!U2740)</f>
        <v>svv2739v</v>
      </c>
      <c r="B2741" t="s">
        <v>498</v>
      </c>
      <c r="C2741" t="s">
        <v>446</v>
      </c>
      <c r="D2741" s="2" t="s">
        <v>370</v>
      </c>
      <c r="E2741" t="s">
        <v>502</v>
      </c>
      <c r="F2741" s="11">
        <v>44451</v>
      </c>
      <c r="G2741" s="2">
        <f>VLOOKUP(E2741,Produtos!$A:$E,5,FALSE)</f>
        <v>1</v>
      </c>
      <c r="H2741" s="2">
        <f>VLOOKUP(E2741,Produtos!$A:$E,4,FALSE)</f>
        <v>0.5</v>
      </c>
      <c r="I2741" s="2">
        <v>3</v>
      </c>
    </row>
    <row r="2742" spans="1:9" x14ac:dyDescent="0.25">
      <c r="A2742" s="2" t="str">
        <f>CONCATENATE(Códigos!S2741,Códigos!T2741,Códigos!U2741)</f>
        <v>svv2740v</v>
      </c>
      <c r="B2742" t="s">
        <v>498</v>
      </c>
      <c r="C2742" t="s">
        <v>446</v>
      </c>
      <c r="D2742" s="2" t="s">
        <v>370</v>
      </c>
      <c r="E2742" t="s">
        <v>502</v>
      </c>
      <c r="F2742" s="11">
        <v>44452</v>
      </c>
      <c r="G2742" s="2">
        <f>VLOOKUP(E2742,Produtos!$A:$E,5,FALSE)</f>
        <v>1</v>
      </c>
      <c r="H2742" s="2">
        <f>VLOOKUP(E2742,Produtos!$A:$E,4,FALSE)</f>
        <v>0.5</v>
      </c>
      <c r="I2742" s="2">
        <v>3</v>
      </c>
    </row>
    <row r="2743" spans="1:9" x14ac:dyDescent="0.25">
      <c r="A2743" s="2" t="str">
        <f>CONCATENATE(Códigos!S2742,Códigos!T2742,Códigos!U2742)</f>
        <v>svv2741v</v>
      </c>
      <c r="B2743" t="s">
        <v>498</v>
      </c>
      <c r="C2743" t="s">
        <v>446</v>
      </c>
      <c r="D2743" s="2" t="s">
        <v>370</v>
      </c>
      <c r="E2743" t="s">
        <v>502</v>
      </c>
      <c r="F2743" s="11">
        <v>44453</v>
      </c>
      <c r="G2743" s="2">
        <f>VLOOKUP(E2743,Produtos!$A:$E,5,FALSE)</f>
        <v>1</v>
      </c>
      <c r="H2743" s="2">
        <f>VLOOKUP(E2743,Produtos!$A:$E,4,FALSE)</f>
        <v>0.5</v>
      </c>
      <c r="I2743" s="2">
        <v>3</v>
      </c>
    </row>
    <row r="2744" spans="1:9" x14ac:dyDescent="0.25">
      <c r="A2744" s="2" t="str">
        <f>CONCATENATE(Códigos!S2743,Códigos!T2743,Códigos!U2743)</f>
        <v>svv2742v</v>
      </c>
      <c r="B2744" t="s">
        <v>498</v>
      </c>
      <c r="C2744" t="s">
        <v>446</v>
      </c>
      <c r="D2744" s="2" t="s">
        <v>370</v>
      </c>
      <c r="E2744" t="s">
        <v>348</v>
      </c>
      <c r="F2744" s="11">
        <v>44454</v>
      </c>
      <c r="G2744" s="2">
        <f>VLOOKUP(E2744,Produtos!$A:$E,5,FALSE)</f>
        <v>2</v>
      </c>
      <c r="H2744" s="2">
        <f>VLOOKUP(E2744,Produtos!$A:$E,4,FALSE)</f>
        <v>1</v>
      </c>
      <c r="I2744" s="2">
        <v>3</v>
      </c>
    </row>
    <row r="2745" spans="1:9" x14ac:dyDescent="0.25">
      <c r="A2745" s="2" t="str">
        <f>CONCATENATE(Códigos!S2744,Códigos!T2744,Códigos!U2744)</f>
        <v>svv2743v</v>
      </c>
      <c r="B2745" t="s">
        <v>498</v>
      </c>
      <c r="C2745" t="s">
        <v>446</v>
      </c>
      <c r="D2745" s="2" t="s">
        <v>370</v>
      </c>
      <c r="E2745" t="s">
        <v>348</v>
      </c>
      <c r="F2745" s="11">
        <v>44455</v>
      </c>
      <c r="G2745" s="2">
        <f>VLOOKUP(E2745,Produtos!$A:$E,5,FALSE)</f>
        <v>2</v>
      </c>
      <c r="H2745" s="2">
        <f>VLOOKUP(E2745,Produtos!$A:$E,4,FALSE)</f>
        <v>1</v>
      </c>
      <c r="I2745" s="2">
        <v>3</v>
      </c>
    </row>
    <row r="2746" spans="1:9" x14ac:dyDescent="0.25">
      <c r="A2746" s="2" t="str">
        <f>CONCATENATE(Códigos!S2745,Códigos!T2745,Códigos!U2745)</f>
        <v>svv2744v</v>
      </c>
      <c r="B2746" t="s">
        <v>498</v>
      </c>
      <c r="C2746" t="s">
        <v>446</v>
      </c>
      <c r="D2746" s="2" t="s">
        <v>370</v>
      </c>
      <c r="E2746" t="s">
        <v>348</v>
      </c>
      <c r="F2746" s="11">
        <v>44456</v>
      </c>
      <c r="G2746" s="2">
        <f>VLOOKUP(E2746,Produtos!$A:$E,5,FALSE)</f>
        <v>2</v>
      </c>
      <c r="H2746" s="2">
        <f>VLOOKUP(E2746,Produtos!$A:$E,4,FALSE)</f>
        <v>1</v>
      </c>
      <c r="I2746" s="2">
        <v>3</v>
      </c>
    </row>
    <row r="2747" spans="1:9" x14ac:dyDescent="0.25">
      <c r="A2747" s="2" t="str">
        <f>CONCATENATE(Códigos!S2746,Códigos!T2746,Códigos!U2746)</f>
        <v>svv2745v</v>
      </c>
      <c r="B2747" t="s">
        <v>498</v>
      </c>
      <c r="C2747" t="s">
        <v>446</v>
      </c>
      <c r="D2747" s="2" t="s">
        <v>370</v>
      </c>
      <c r="E2747" t="s">
        <v>348</v>
      </c>
      <c r="F2747" s="11">
        <v>44457</v>
      </c>
      <c r="G2747" s="2">
        <f>VLOOKUP(E2747,Produtos!$A:$E,5,FALSE)</f>
        <v>2</v>
      </c>
      <c r="H2747" s="2">
        <f>VLOOKUP(E2747,Produtos!$A:$E,4,FALSE)</f>
        <v>1</v>
      </c>
      <c r="I2747" s="2">
        <v>3</v>
      </c>
    </row>
    <row r="2748" spans="1:9" x14ac:dyDescent="0.25">
      <c r="A2748" s="2" t="str">
        <f>CONCATENATE(Códigos!S2747,Códigos!T2747,Códigos!U2747)</f>
        <v>svv2746v</v>
      </c>
      <c r="B2748" t="s">
        <v>498</v>
      </c>
      <c r="C2748" t="s">
        <v>446</v>
      </c>
      <c r="D2748" s="2" t="s">
        <v>370</v>
      </c>
      <c r="E2748" t="s">
        <v>348</v>
      </c>
      <c r="F2748" s="11">
        <v>44458</v>
      </c>
      <c r="G2748" s="2">
        <f>VLOOKUP(E2748,Produtos!$A:$E,5,FALSE)</f>
        <v>2</v>
      </c>
      <c r="H2748" s="2">
        <f>VLOOKUP(E2748,Produtos!$A:$E,4,FALSE)</f>
        <v>1</v>
      </c>
      <c r="I2748" s="2">
        <v>3</v>
      </c>
    </row>
    <row r="2749" spans="1:9" x14ac:dyDescent="0.25">
      <c r="A2749" s="2" t="str">
        <f>CONCATENATE(Códigos!S2748,Códigos!T2748,Códigos!U2748)</f>
        <v>svv2747v</v>
      </c>
      <c r="B2749" t="s">
        <v>498</v>
      </c>
      <c r="C2749" t="s">
        <v>380</v>
      </c>
      <c r="D2749" s="2" t="s">
        <v>381</v>
      </c>
      <c r="E2749" t="s">
        <v>348</v>
      </c>
      <c r="F2749" s="11">
        <v>44459</v>
      </c>
      <c r="G2749" s="2">
        <f>VLOOKUP(E2749,Produtos!$A:$E,5,FALSE)</f>
        <v>2</v>
      </c>
      <c r="H2749" s="2">
        <f>VLOOKUP(E2749,Produtos!$A:$E,4,FALSE)</f>
        <v>1</v>
      </c>
      <c r="I2749" s="2">
        <v>3</v>
      </c>
    </row>
    <row r="2750" spans="1:9" x14ac:dyDescent="0.25">
      <c r="A2750" s="2" t="str">
        <f>CONCATENATE(Códigos!S2749,Códigos!T2749,Códigos!U2749)</f>
        <v>svv2748v</v>
      </c>
      <c r="B2750" t="s">
        <v>498</v>
      </c>
      <c r="C2750" t="s">
        <v>380</v>
      </c>
      <c r="D2750" s="2" t="s">
        <v>381</v>
      </c>
      <c r="E2750" t="s">
        <v>348</v>
      </c>
      <c r="F2750" s="11">
        <v>44460</v>
      </c>
      <c r="G2750" s="2">
        <f>VLOOKUP(E2750,Produtos!$A:$E,5,FALSE)</f>
        <v>2</v>
      </c>
      <c r="H2750" s="2">
        <f>VLOOKUP(E2750,Produtos!$A:$E,4,FALSE)</f>
        <v>1</v>
      </c>
      <c r="I2750" s="2">
        <v>3</v>
      </c>
    </row>
    <row r="2751" spans="1:9" x14ac:dyDescent="0.25">
      <c r="A2751" s="2" t="str">
        <f>CONCATENATE(Códigos!S2750,Códigos!T2750,Códigos!U2750)</f>
        <v>svv2749v</v>
      </c>
      <c r="B2751" t="s">
        <v>498</v>
      </c>
      <c r="C2751" t="s">
        <v>380</v>
      </c>
      <c r="D2751" s="2" t="s">
        <v>381</v>
      </c>
      <c r="E2751" t="s">
        <v>348</v>
      </c>
      <c r="F2751" s="11">
        <v>44461</v>
      </c>
      <c r="G2751" s="2">
        <f>VLOOKUP(E2751,Produtos!$A:$E,5,FALSE)</f>
        <v>2</v>
      </c>
      <c r="H2751" s="2">
        <f>VLOOKUP(E2751,Produtos!$A:$E,4,FALSE)</f>
        <v>1</v>
      </c>
      <c r="I2751" s="2">
        <v>3</v>
      </c>
    </row>
    <row r="2752" spans="1:9" x14ac:dyDescent="0.25">
      <c r="A2752" s="2" t="str">
        <f>CONCATENATE(Códigos!S2751,Códigos!T2751,Códigos!U2751)</f>
        <v>svv2750v</v>
      </c>
      <c r="B2752" t="s">
        <v>498</v>
      </c>
      <c r="C2752" t="s">
        <v>380</v>
      </c>
      <c r="D2752" s="2" t="s">
        <v>381</v>
      </c>
      <c r="E2752" t="s">
        <v>348</v>
      </c>
      <c r="F2752" s="11">
        <v>44462</v>
      </c>
      <c r="G2752" s="2">
        <f>VLOOKUP(E2752,Produtos!$A:$E,5,FALSE)</f>
        <v>2</v>
      </c>
      <c r="H2752" s="2">
        <f>VLOOKUP(E2752,Produtos!$A:$E,4,FALSE)</f>
        <v>1</v>
      </c>
      <c r="I2752" s="2">
        <v>3</v>
      </c>
    </row>
    <row r="2753" spans="1:9" x14ac:dyDescent="0.25">
      <c r="A2753" s="2" t="str">
        <f>CONCATENATE(Códigos!S2752,Códigos!T2752,Códigos!U2752)</f>
        <v>svv2751v</v>
      </c>
      <c r="B2753" t="s">
        <v>498</v>
      </c>
      <c r="C2753" t="s">
        <v>380</v>
      </c>
      <c r="D2753" s="2" t="s">
        <v>381</v>
      </c>
      <c r="E2753" t="s">
        <v>348</v>
      </c>
      <c r="F2753" s="11">
        <v>44463</v>
      </c>
      <c r="G2753" s="2">
        <f>VLOOKUP(E2753,Produtos!$A:$E,5,FALSE)</f>
        <v>2</v>
      </c>
      <c r="H2753" s="2">
        <f>VLOOKUP(E2753,Produtos!$A:$E,4,FALSE)</f>
        <v>1</v>
      </c>
      <c r="I2753" s="2">
        <v>3</v>
      </c>
    </row>
    <row r="2754" spans="1:9" x14ac:dyDescent="0.25">
      <c r="A2754" s="2" t="str">
        <f>CONCATENATE(Códigos!S2753,Códigos!T2753,Códigos!U2753)</f>
        <v>svv2752v</v>
      </c>
      <c r="B2754" t="s">
        <v>498</v>
      </c>
      <c r="C2754" t="s">
        <v>380</v>
      </c>
      <c r="D2754" s="2" t="s">
        <v>381</v>
      </c>
      <c r="E2754" t="s">
        <v>348</v>
      </c>
      <c r="F2754" s="11">
        <v>44464</v>
      </c>
      <c r="G2754" s="2">
        <f>VLOOKUP(E2754,Produtos!$A:$E,5,FALSE)</f>
        <v>2</v>
      </c>
      <c r="H2754" s="2">
        <f>VLOOKUP(E2754,Produtos!$A:$E,4,FALSE)</f>
        <v>1</v>
      </c>
      <c r="I2754" s="2">
        <v>3</v>
      </c>
    </row>
    <row r="2755" spans="1:9" x14ac:dyDescent="0.25">
      <c r="A2755" s="2" t="str">
        <f>CONCATENATE(Códigos!S2754,Códigos!T2754,Códigos!U2754)</f>
        <v>svv2753v</v>
      </c>
      <c r="B2755" t="s">
        <v>498</v>
      </c>
      <c r="C2755" t="s">
        <v>380</v>
      </c>
      <c r="D2755" s="2" t="s">
        <v>381</v>
      </c>
      <c r="E2755" t="s">
        <v>348</v>
      </c>
      <c r="F2755" s="11">
        <v>44465</v>
      </c>
      <c r="G2755" s="2">
        <f>VLOOKUP(E2755,Produtos!$A:$E,5,FALSE)</f>
        <v>2</v>
      </c>
      <c r="H2755" s="2">
        <f>VLOOKUP(E2755,Produtos!$A:$E,4,FALSE)</f>
        <v>1</v>
      </c>
      <c r="I2755" s="2">
        <v>3</v>
      </c>
    </row>
    <row r="2756" spans="1:9" x14ac:dyDescent="0.25">
      <c r="A2756" s="2" t="str">
        <f>CONCATENATE(Códigos!S2755,Códigos!T2755,Códigos!U2755)</f>
        <v>svv2754v</v>
      </c>
      <c r="B2756" t="s">
        <v>498</v>
      </c>
      <c r="C2756" t="s">
        <v>380</v>
      </c>
      <c r="D2756" s="2" t="s">
        <v>381</v>
      </c>
      <c r="E2756" t="s">
        <v>348</v>
      </c>
      <c r="F2756" s="11">
        <v>44466</v>
      </c>
      <c r="G2756" s="2">
        <f>VLOOKUP(E2756,Produtos!$A:$E,5,FALSE)</f>
        <v>2</v>
      </c>
      <c r="H2756" s="2">
        <f>VLOOKUP(E2756,Produtos!$A:$E,4,FALSE)</f>
        <v>1</v>
      </c>
      <c r="I2756" s="2">
        <v>3</v>
      </c>
    </row>
    <row r="2757" spans="1:9" x14ac:dyDescent="0.25">
      <c r="A2757" s="2" t="str">
        <f>CONCATENATE(Códigos!S2756,Códigos!T2756,Códigos!U2756)</f>
        <v>svv2755v</v>
      </c>
      <c r="B2757" t="s">
        <v>498</v>
      </c>
      <c r="C2757" t="s">
        <v>380</v>
      </c>
      <c r="D2757" s="2" t="s">
        <v>381</v>
      </c>
      <c r="E2757" t="s">
        <v>348</v>
      </c>
      <c r="F2757" s="11">
        <v>44467</v>
      </c>
      <c r="G2757" s="2">
        <f>VLOOKUP(E2757,Produtos!$A:$E,5,FALSE)</f>
        <v>2</v>
      </c>
      <c r="H2757" s="2">
        <f>VLOOKUP(E2757,Produtos!$A:$E,4,FALSE)</f>
        <v>1</v>
      </c>
      <c r="I2757" s="2">
        <v>3</v>
      </c>
    </row>
    <row r="2758" spans="1:9" x14ac:dyDescent="0.25">
      <c r="A2758" s="2" t="str">
        <f>CONCATENATE(Códigos!S2757,Códigos!T2757,Códigos!U2757)</f>
        <v>svv2756v</v>
      </c>
      <c r="B2758" t="s">
        <v>498</v>
      </c>
      <c r="C2758" t="s">
        <v>380</v>
      </c>
      <c r="D2758" s="2" t="s">
        <v>381</v>
      </c>
      <c r="E2758" t="s">
        <v>348</v>
      </c>
      <c r="F2758" s="11">
        <v>44468</v>
      </c>
      <c r="G2758" s="2">
        <f>VLOOKUP(E2758,Produtos!$A:$E,5,FALSE)</f>
        <v>2</v>
      </c>
      <c r="H2758" s="2">
        <f>VLOOKUP(E2758,Produtos!$A:$E,4,FALSE)</f>
        <v>1</v>
      </c>
      <c r="I2758" s="2">
        <v>3</v>
      </c>
    </row>
    <row r="2759" spans="1:9" x14ac:dyDescent="0.25">
      <c r="A2759" s="2" t="str">
        <f>CONCATENATE(Códigos!S2758,Códigos!T2758,Códigos!U2758)</f>
        <v>svv2757v</v>
      </c>
      <c r="B2759" t="s">
        <v>498</v>
      </c>
      <c r="C2759" t="s">
        <v>380</v>
      </c>
      <c r="D2759" s="2" t="s">
        <v>381</v>
      </c>
      <c r="E2759" t="s">
        <v>348</v>
      </c>
      <c r="F2759" s="11">
        <v>44469</v>
      </c>
      <c r="G2759" s="2">
        <f>VLOOKUP(E2759,Produtos!$A:$E,5,FALSE)</f>
        <v>2</v>
      </c>
      <c r="H2759" s="2">
        <f>VLOOKUP(E2759,Produtos!$A:$E,4,FALSE)</f>
        <v>1</v>
      </c>
      <c r="I2759" s="2">
        <v>3</v>
      </c>
    </row>
    <row r="2760" spans="1:9" x14ac:dyDescent="0.25">
      <c r="A2760" s="2" t="str">
        <f>CONCATENATE(Códigos!S2759,Códigos!T2759,Códigos!U2759)</f>
        <v>svv2758v</v>
      </c>
      <c r="B2760" t="s">
        <v>498</v>
      </c>
      <c r="C2760" t="s">
        <v>380</v>
      </c>
      <c r="D2760" s="2" t="s">
        <v>381</v>
      </c>
      <c r="E2760" t="s">
        <v>348</v>
      </c>
      <c r="F2760" s="11">
        <v>44470</v>
      </c>
      <c r="G2760" s="2">
        <f>VLOOKUP(E2760,Produtos!$A:$E,5,FALSE)</f>
        <v>2</v>
      </c>
      <c r="H2760" s="2">
        <f>VLOOKUP(E2760,Produtos!$A:$E,4,FALSE)</f>
        <v>1</v>
      </c>
      <c r="I2760" s="2">
        <v>3</v>
      </c>
    </row>
    <row r="2761" spans="1:9" x14ac:dyDescent="0.25">
      <c r="A2761" s="2" t="str">
        <f>CONCATENATE(Códigos!S2760,Códigos!T2760,Códigos!U2760)</f>
        <v>svv2759v</v>
      </c>
      <c r="B2761" t="s">
        <v>498</v>
      </c>
      <c r="C2761" t="s">
        <v>380</v>
      </c>
      <c r="D2761" s="2" t="s">
        <v>381</v>
      </c>
      <c r="E2761" t="s">
        <v>348</v>
      </c>
      <c r="F2761" s="11">
        <v>44471</v>
      </c>
      <c r="G2761" s="2">
        <f>VLOOKUP(E2761,Produtos!$A:$E,5,FALSE)</f>
        <v>2</v>
      </c>
      <c r="H2761" s="2">
        <f>VLOOKUP(E2761,Produtos!$A:$E,4,FALSE)</f>
        <v>1</v>
      </c>
      <c r="I2761" s="2">
        <v>3</v>
      </c>
    </row>
    <row r="2762" spans="1:9" x14ac:dyDescent="0.25">
      <c r="A2762" s="2" t="str">
        <f>CONCATENATE(Códigos!S2761,Códigos!T2761,Códigos!U2761)</f>
        <v>svv2760v</v>
      </c>
      <c r="B2762" t="s">
        <v>498</v>
      </c>
      <c r="C2762" t="s">
        <v>380</v>
      </c>
      <c r="D2762" s="2" t="s">
        <v>381</v>
      </c>
      <c r="E2762" t="s">
        <v>502</v>
      </c>
      <c r="F2762" s="11">
        <v>44472</v>
      </c>
      <c r="G2762" s="2">
        <f>VLOOKUP(E2762,Produtos!$A:$E,5,FALSE)</f>
        <v>1</v>
      </c>
      <c r="H2762" s="2">
        <f>VLOOKUP(E2762,Produtos!$A:$E,4,FALSE)</f>
        <v>0.5</v>
      </c>
      <c r="I2762" s="2">
        <v>3</v>
      </c>
    </row>
    <row r="2763" spans="1:9" x14ac:dyDescent="0.25">
      <c r="A2763" s="2" t="str">
        <f>CONCATENATE(Códigos!S2762,Códigos!T2762,Códigos!U2762)</f>
        <v>svv2761v</v>
      </c>
      <c r="B2763" t="s">
        <v>498</v>
      </c>
      <c r="C2763" t="s">
        <v>380</v>
      </c>
      <c r="D2763" s="2" t="s">
        <v>381</v>
      </c>
      <c r="E2763" t="s">
        <v>502</v>
      </c>
      <c r="F2763" s="11">
        <v>44473</v>
      </c>
      <c r="G2763" s="2">
        <f>VLOOKUP(E2763,Produtos!$A:$E,5,FALSE)</f>
        <v>1</v>
      </c>
      <c r="H2763" s="2">
        <f>VLOOKUP(E2763,Produtos!$A:$E,4,FALSE)</f>
        <v>0.5</v>
      </c>
      <c r="I2763" s="2">
        <v>3</v>
      </c>
    </row>
    <row r="2764" spans="1:9" x14ac:dyDescent="0.25">
      <c r="A2764" s="2" t="str">
        <f>CONCATENATE(Códigos!S2763,Códigos!T2763,Códigos!U2763)</f>
        <v>svv2762v</v>
      </c>
      <c r="B2764" t="s">
        <v>498</v>
      </c>
      <c r="C2764" t="s">
        <v>380</v>
      </c>
      <c r="D2764" s="2" t="s">
        <v>381</v>
      </c>
      <c r="E2764" t="s">
        <v>502</v>
      </c>
      <c r="F2764" s="11">
        <v>44474</v>
      </c>
      <c r="G2764" s="2">
        <f>VLOOKUP(E2764,Produtos!$A:$E,5,FALSE)</f>
        <v>1</v>
      </c>
      <c r="H2764" s="2">
        <f>VLOOKUP(E2764,Produtos!$A:$E,4,FALSE)</f>
        <v>0.5</v>
      </c>
      <c r="I2764" s="2">
        <v>3</v>
      </c>
    </row>
    <row r="2765" spans="1:9" x14ac:dyDescent="0.25">
      <c r="A2765" s="2" t="str">
        <f>CONCATENATE(Códigos!S2764,Códigos!T2764,Códigos!U2764)</f>
        <v>svv2763v</v>
      </c>
      <c r="B2765" t="s">
        <v>498</v>
      </c>
      <c r="C2765" t="s">
        <v>380</v>
      </c>
      <c r="D2765" s="2" t="s">
        <v>381</v>
      </c>
      <c r="E2765" t="s">
        <v>502</v>
      </c>
      <c r="F2765" s="11">
        <v>44475</v>
      </c>
      <c r="G2765" s="2">
        <f>VLOOKUP(E2765,Produtos!$A:$E,5,FALSE)</f>
        <v>1</v>
      </c>
      <c r="H2765" s="2">
        <f>VLOOKUP(E2765,Produtos!$A:$E,4,FALSE)</f>
        <v>0.5</v>
      </c>
      <c r="I2765" s="2">
        <v>3</v>
      </c>
    </row>
    <row r="2766" spans="1:9" x14ac:dyDescent="0.25">
      <c r="A2766" s="2" t="str">
        <f>CONCATENATE(Códigos!S2765,Códigos!T2765,Códigos!U2765)</f>
        <v>svv2764v</v>
      </c>
      <c r="B2766" t="s">
        <v>498</v>
      </c>
      <c r="C2766" t="s">
        <v>380</v>
      </c>
      <c r="D2766" s="2" t="s">
        <v>381</v>
      </c>
      <c r="E2766" t="s">
        <v>502</v>
      </c>
      <c r="F2766" s="11">
        <v>44476</v>
      </c>
      <c r="G2766" s="2">
        <f>VLOOKUP(E2766,Produtos!$A:$E,5,FALSE)</f>
        <v>1</v>
      </c>
      <c r="H2766" s="2">
        <f>VLOOKUP(E2766,Produtos!$A:$E,4,FALSE)</f>
        <v>0.5</v>
      </c>
      <c r="I2766" s="2">
        <v>3</v>
      </c>
    </row>
    <row r="2767" spans="1:9" x14ac:dyDescent="0.25">
      <c r="A2767" s="2" t="str">
        <f>CONCATENATE(Códigos!S2766,Códigos!T2766,Códigos!U2766)</f>
        <v>svv2765v</v>
      </c>
      <c r="B2767" t="s">
        <v>498</v>
      </c>
      <c r="C2767" t="s">
        <v>380</v>
      </c>
      <c r="D2767" s="2" t="s">
        <v>381</v>
      </c>
      <c r="E2767" t="s">
        <v>502</v>
      </c>
      <c r="F2767" s="11">
        <v>44477</v>
      </c>
      <c r="G2767" s="2">
        <f>VLOOKUP(E2767,Produtos!$A:$E,5,FALSE)</f>
        <v>1</v>
      </c>
      <c r="H2767" s="2">
        <f>VLOOKUP(E2767,Produtos!$A:$E,4,FALSE)</f>
        <v>0.5</v>
      </c>
      <c r="I2767" s="2">
        <v>3</v>
      </c>
    </row>
    <row r="2768" spans="1:9" x14ac:dyDescent="0.25">
      <c r="A2768" s="2" t="str">
        <f>CONCATENATE(Códigos!S2767,Códigos!T2767,Códigos!U2767)</f>
        <v>svv2766v</v>
      </c>
      <c r="B2768" t="s">
        <v>498</v>
      </c>
      <c r="C2768" t="s">
        <v>380</v>
      </c>
      <c r="D2768" s="2" t="s">
        <v>381</v>
      </c>
      <c r="E2768" t="s">
        <v>502</v>
      </c>
      <c r="F2768" s="11">
        <v>44478</v>
      </c>
      <c r="G2768" s="2">
        <f>VLOOKUP(E2768,Produtos!$A:$E,5,FALSE)</f>
        <v>1</v>
      </c>
      <c r="H2768" s="2">
        <f>VLOOKUP(E2768,Produtos!$A:$E,4,FALSE)</f>
        <v>0.5</v>
      </c>
      <c r="I2768" s="2">
        <v>3</v>
      </c>
    </row>
    <row r="2769" spans="1:9" x14ac:dyDescent="0.25">
      <c r="A2769" s="2" t="str">
        <f>CONCATENATE(Códigos!S2768,Códigos!T2768,Códigos!U2768)</f>
        <v>svv2767v</v>
      </c>
      <c r="B2769" t="s">
        <v>498</v>
      </c>
      <c r="C2769" t="s">
        <v>380</v>
      </c>
      <c r="D2769" s="2" t="s">
        <v>381</v>
      </c>
      <c r="E2769" t="s">
        <v>502</v>
      </c>
      <c r="F2769" s="11">
        <v>44479</v>
      </c>
      <c r="G2769" s="2">
        <f>VLOOKUP(E2769,Produtos!$A:$E,5,FALSE)</f>
        <v>1</v>
      </c>
      <c r="H2769" s="2">
        <f>VLOOKUP(E2769,Produtos!$A:$E,4,FALSE)</f>
        <v>0.5</v>
      </c>
      <c r="I2769" s="2">
        <v>4</v>
      </c>
    </row>
    <row r="2770" spans="1:9" x14ac:dyDescent="0.25">
      <c r="A2770" s="2" t="str">
        <f>CONCATENATE(Códigos!S2769,Códigos!T2769,Códigos!U2769)</f>
        <v>svv2768v</v>
      </c>
      <c r="B2770" t="s">
        <v>498</v>
      </c>
      <c r="C2770" t="s">
        <v>380</v>
      </c>
      <c r="D2770" s="2" t="s">
        <v>381</v>
      </c>
      <c r="E2770" t="s">
        <v>502</v>
      </c>
      <c r="F2770" s="11">
        <v>44480</v>
      </c>
      <c r="G2770" s="2">
        <f>VLOOKUP(E2770,Produtos!$A:$E,5,FALSE)</f>
        <v>1</v>
      </c>
      <c r="H2770" s="2">
        <f>VLOOKUP(E2770,Produtos!$A:$E,4,FALSE)</f>
        <v>0.5</v>
      </c>
      <c r="I2770" s="2">
        <v>4</v>
      </c>
    </row>
    <row r="2771" spans="1:9" x14ac:dyDescent="0.25">
      <c r="A2771" s="2" t="str">
        <f>CONCATENATE(Códigos!S2770,Códigos!T2770,Códigos!U2770)</f>
        <v>svv2769v</v>
      </c>
      <c r="B2771" t="s">
        <v>498</v>
      </c>
      <c r="C2771" t="s">
        <v>380</v>
      </c>
      <c r="D2771" s="2" t="s">
        <v>381</v>
      </c>
      <c r="E2771" t="s">
        <v>502</v>
      </c>
      <c r="F2771" s="11">
        <v>44481</v>
      </c>
      <c r="G2771" s="2">
        <f>VLOOKUP(E2771,Produtos!$A:$E,5,FALSE)</f>
        <v>1</v>
      </c>
      <c r="H2771" s="2">
        <f>VLOOKUP(E2771,Produtos!$A:$E,4,FALSE)</f>
        <v>0.5</v>
      </c>
      <c r="I2771" s="2">
        <v>4</v>
      </c>
    </row>
    <row r="2772" spans="1:9" x14ac:dyDescent="0.25">
      <c r="A2772" s="2" t="str">
        <f>CONCATENATE(Códigos!S2771,Códigos!T2771,Códigos!U2771)</f>
        <v>svv2770v</v>
      </c>
      <c r="B2772" t="s">
        <v>498</v>
      </c>
      <c r="C2772" t="s">
        <v>383</v>
      </c>
      <c r="D2772" s="2" t="s">
        <v>384</v>
      </c>
      <c r="E2772" t="s">
        <v>502</v>
      </c>
      <c r="F2772" s="11">
        <v>44482</v>
      </c>
      <c r="G2772" s="2">
        <f>VLOOKUP(E2772,Produtos!$A:$E,5,FALSE)</f>
        <v>1</v>
      </c>
      <c r="H2772" s="2">
        <f>VLOOKUP(E2772,Produtos!$A:$E,4,FALSE)</f>
        <v>0.5</v>
      </c>
      <c r="I2772" s="2">
        <v>4</v>
      </c>
    </row>
    <row r="2773" spans="1:9" x14ac:dyDescent="0.25">
      <c r="A2773" s="2" t="str">
        <f>CONCATENATE(Códigos!S2772,Códigos!T2772,Códigos!U2772)</f>
        <v>svv2771v</v>
      </c>
      <c r="B2773" t="s">
        <v>498</v>
      </c>
      <c r="C2773" t="s">
        <v>383</v>
      </c>
      <c r="D2773" s="2" t="s">
        <v>384</v>
      </c>
      <c r="E2773" t="s">
        <v>502</v>
      </c>
      <c r="F2773" s="11">
        <v>44483</v>
      </c>
      <c r="G2773" s="2">
        <f>VLOOKUP(E2773,Produtos!$A:$E,5,FALSE)</f>
        <v>1</v>
      </c>
      <c r="H2773" s="2">
        <f>VLOOKUP(E2773,Produtos!$A:$E,4,FALSE)</f>
        <v>0.5</v>
      </c>
      <c r="I2773" s="2">
        <v>4</v>
      </c>
    </row>
    <row r="2774" spans="1:9" x14ac:dyDescent="0.25">
      <c r="A2774" s="2" t="str">
        <f>CONCATENATE(Códigos!S2773,Códigos!T2773,Códigos!U2773)</f>
        <v>svv2772v</v>
      </c>
      <c r="B2774" t="s">
        <v>498</v>
      </c>
      <c r="C2774" t="s">
        <v>383</v>
      </c>
      <c r="D2774" s="2" t="s">
        <v>384</v>
      </c>
      <c r="E2774" t="s">
        <v>502</v>
      </c>
      <c r="F2774" s="11">
        <v>44484</v>
      </c>
      <c r="G2774" s="2">
        <f>VLOOKUP(E2774,Produtos!$A:$E,5,FALSE)</f>
        <v>1</v>
      </c>
      <c r="H2774" s="2">
        <f>VLOOKUP(E2774,Produtos!$A:$E,4,FALSE)</f>
        <v>0.5</v>
      </c>
      <c r="I2774" s="2">
        <v>4</v>
      </c>
    </row>
    <row r="2775" spans="1:9" x14ac:dyDescent="0.25">
      <c r="A2775" s="2" t="str">
        <f>CONCATENATE(Códigos!S2774,Códigos!T2774,Códigos!U2774)</f>
        <v>svv2773v</v>
      </c>
      <c r="B2775" t="s">
        <v>498</v>
      </c>
      <c r="C2775" t="s">
        <v>383</v>
      </c>
      <c r="D2775" s="2" t="s">
        <v>384</v>
      </c>
      <c r="E2775" t="s">
        <v>502</v>
      </c>
      <c r="F2775" s="11">
        <v>44485</v>
      </c>
      <c r="G2775" s="2">
        <f>VLOOKUP(E2775,Produtos!$A:$E,5,FALSE)</f>
        <v>1</v>
      </c>
      <c r="H2775" s="2">
        <f>VLOOKUP(E2775,Produtos!$A:$E,4,FALSE)</f>
        <v>0.5</v>
      </c>
      <c r="I2775" s="2">
        <v>4</v>
      </c>
    </row>
    <row r="2776" spans="1:9" x14ac:dyDescent="0.25">
      <c r="A2776" s="2" t="str">
        <f>CONCATENATE(Códigos!S2775,Códigos!T2775,Códigos!U2775)</f>
        <v>svv2774v</v>
      </c>
      <c r="B2776" t="s">
        <v>498</v>
      </c>
      <c r="C2776" t="s">
        <v>383</v>
      </c>
      <c r="D2776" s="2" t="s">
        <v>384</v>
      </c>
      <c r="E2776" t="s">
        <v>502</v>
      </c>
      <c r="F2776" s="11">
        <v>44486</v>
      </c>
      <c r="G2776" s="2">
        <f>VLOOKUP(E2776,Produtos!$A:$E,5,FALSE)</f>
        <v>1</v>
      </c>
      <c r="H2776" s="2">
        <f>VLOOKUP(E2776,Produtos!$A:$E,4,FALSE)</f>
        <v>0.5</v>
      </c>
      <c r="I2776" s="2">
        <v>4</v>
      </c>
    </row>
    <row r="2777" spans="1:9" x14ac:dyDescent="0.25">
      <c r="A2777" s="2" t="str">
        <f>CONCATENATE(Códigos!S2776,Códigos!T2776,Códigos!U2776)</f>
        <v>svv2775v</v>
      </c>
      <c r="B2777" t="s">
        <v>498</v>
      </c>
      <c r="C2777" t="s">
        <v>383</v>
      </c>
      <c r="D2777" s="2" t="s">
        <v>384</v>
      </c>
      <c r="E2777" t="s">
        <v>502</v>
      </c>
      <c r="F2777" s="11">
        <v>44487</v>
      </c>
      <c r="G2777" s="2">
        <f>VLOOKUP(E2777,Produtos!$A:$E,5,FALSE)</f>
        <v>1</v>
      </c>
      <c r="H2777" s="2">
        <f>VLOOKUP(E2777,Produtos!$A:$E,4,FALSE)</f>
        <v>0.5</v>
      </c>
      <c r="I2777" s="2">
        <v>4</v>
      </c>
    </row>
    <row r="2778" spans="1:9" x14ac:dyDescent="0.25">
      <c r="A2778" s="2" t="str">
        <f>CONCATENATE(Códigos!S2777,Códigos!T2777,Códigos!U2777)</f>
        <v>svv2776v</v>
      </c>
      <c r="B2778" t="s">
        <v>498</v>
      </c>
      <c r="C2778" t="s">
        <v>383</v>
      </c>
      <c r="D2778" s="2" t="s">
        <v>384</v>
      </c>
      <c r="E2778" t="s">
        <v>502</v>
      </c>
      <c r="F2778" s="11">
        <v>44488</v>
      </c>
      <c r="G2778" s="2">
        <f>VLOOKUP(E2778,Produtos!$A:$E,5,FALSE)</f>
        <v>1</v>
      </c>
      <c r="H2778" s="2">
        <f>VLOOKUP(E2778,Produtos!$A:$E,4,FALSE)</f>
        <v>0.5</v>
      </c>
      <c r="I2778" s="2">
        <v>4</v>
      </c>
    </row>
    <row r="2779" spans="1:9" x14ac:dyDescent="0.25">
      <c r="A2779" s="2" t="str">
        <f>CONCATENATE(Códigos!S2778,Códigos!T2778,Códigos!U2778)</f>
        <v>svv2777v</v>
      </c>
      <c r="B2779" t="s">
        <v>498</v>
      </c>
      <c r="C2779" t="s">
        <v>383</v>
      </c>
      <c r="D2779" s="2" t="s">
        <v>384</v>
      </c>
      <c r="E2779" t="s">
        <v>502</v>
      </c>
      <c r="F2779" s="11">
        <v>44489</v>
      </c>
      <c r="G2779" s="2">
        <f>VLOOKUP(E2779,Produtos!$A:$E,5,FALSE)</f>
        <v>1</v>
      </c>
      <c r="H2779" s="2">
        <f>VLOOKUP(E2779,Produtos!$A:$E,4,FALSE)</f>
        <v>0.5</v>
      </c>
      <c r="I2779" s="2">
        <v>4</v>
      </c>
    </row>
    <row r="2780" spans="1:9" x14ac:dyDescent="0.25">
      <c r="A2780" s="2" t="str">
        <f>CONCATENATE(Códigos!S2779,Códigos!T2779,Códigos!U2779)</f>
        <v>svv2778v</v>
      </c>
      <c r="B2780" t="s">
        <v>498</v>
      </c>
      <c r="C2780" t="s">
        <v>383</v>
      </c>
      <c r="D2780" s="2" t="s">
        <v>384</v>
      </c>
      <c r="E2780" t="s">
        <v>502</v>
      </c>
      <c r="F2780" s="11">
        <v>44490</v>
      </c>
      <c r="G2780" s="2">
        <f>VLOOKUP(E2780,Produtos!$A:$E,5,FALSE)</f>
        <v>1</v>
      </c>
      <c r="H2780" s="2">
        <f>VLOOKUP(E2780,Produtos!$A:$E,4,FALSE)</f>
        <v>0.5</v>
      </c>
      <c r="I2780" s="2">
        <v>4</v>
      </c>
    </row>
    <row r="2781" spans="1:9" x14ac:dyDescent="0.25">
      <c r="A2781" s="2" t="str">
        <f>CONCATENATE(Códigos!S2780,Códigos!T2780,Códigos!U2780)</f>
        <v>svv2779v</v>
      </c>
      <c r="B2781" t="s">
        <v>498</v>
      </c>
      <c r="C2781" t="s">
        <v>383</v>
      </c>
      <c r="D2781" s="2" t="s">
        <v>384</v>
      </c>
      <c r="E2781" t="s">
        <v>502</v>
      </c>
      <c r="F2781" s="11">
        <v>44491</v>
      </c>
      <c r="G2781" s="2">
        <f>VLOOKUP(E2781,Produtos!$A:$E,5,FALSE)</f>
        <v>1</v>
      </c>
      <c r="H2781" s="2">
        <f>VLOOKUP(E2781,Produtos!$A:$E,4,FALSE)</f>
        <v>0.5</v>
      </c>
      <c r="I2781" s="2">
        <v>4</v>
      </c>
    </row>
    <row r="2782" spans="1:9" x14ac:dyDescent="0.25">
      <c r="A2782" s="2" t="str">
        <f>CONCATENATE(Códigos!S2781,Códigos!T2781,Códigos!U2781)</f>
        <v>svv2780v</v>
      </c>
      <c r="B2782" t="s">
        <v>498</v>
      </c>
      <c r="C2782" t="s">
        <v>383</v>
      </c>
      <c r="D2782" s="2" t="s">
        <v>384</v>
      </c>
      <c r="E2782" t="s">
        <v>502</v>
      </c>
      <c r="F2782" s="11">
        <v>44492</v>
      </c>
      <c r="G2782" s="2">
        <f>VLOOKUP(E2782,Produtos!$A:$E,5,FALSE)</f>
        <v>1</v>
      </c>
      <c r="H2782" s="2">
        <f>VLOOKUP(E2782,Produtos!$A:$E,4,FALSE)</f>
        <v>0.5</v>
      </c>
      <c r="I2782" s="2">
        <v>4</v>
      </c>
    </row>
    <row r="2783" spans="1:9" x14ac:dyDescent="0.25">
      <c r="A2783" s="2" t="str">
        <f>CONCATENATE(Códigos!S2782,Códigos!T2782,Códigos!U2782)</f>
        <v>svv2781v</v>
      </c>
      <c r="B2783" t="s">
        <v>498</v>
      </c>
      <c r="C2783" t="s">
        <v>383</v>
      </c>
      <c r="D2783" s="2" t="s">
        <v>384</v>
      </c>
      <c r="E2783" t="s">
        <v>502</v>
      </c>
      <c r="F2783" s="11">
        <v>44493</v>
      </c>
      <c r="G2783" s="2">
        <f>VLOOKUP(E2783,Produtos!$A:$E,5,FALSE)</f>
        <v>1</v>
      </c>
      <c r="H2783" s="2">
        <f>VLOOKUP(E2783,Produtos!$A:$E,4,FALSE)</f>
        <v>0.5</v>
      </c>
      <c r="I2783" s="2">
        <v>4</v>
      </c>
    </row>
    <row r="2784" spans="1:9" x14ac:dyDescent="0.25">
      <c r="A2784" s="2" t="str">
        <f>CONCATENATE(Códigos!S2783,Códigos!T2783,Códigos!U2783)</f>
        <v>svv2782v</v>
      </c>
      <c r="B2784" t="s">
        <v>498</v>
      </c>
      <c r="C2784" t="s">
        <v>383</v>
      </c>
      <c r="D2784" s="2" t="s">
        <v>384</v>
      </c>
      <c r="E2784" t="s">
        <v>502</v>
      </c>
      <c r="F2784" s="11">
        <v>44494</v>
      </c>
      <c r="G2784" s="2">
        <f>VLOOKUP(E2784,Produtos!$A:$E,5,FALSE)</f>
        <v>1</v>
      </c>
      <c r="H2784" s="2">
        <f>VLOOKUP(E2784,Produtos!$A:$E,4,FALSE)</f>
        <v>0.5</v>
      </c>
      <c r="I2784" s="2">
        <v>4</v>
      </c>
    </row>
    <row r="2785" spans="1:9" x14ac:dyDescent="0.25">
      <c r="A2785" s="2" t="str">
        <f>CONCATENATE(Códigos!S2784,Códigos!T2784,Códigos!U2784)</f>
        <v>svv2783v</v>
      </c>
      <c r="B2785" t="s">
        <v>498</v>
      </c>
      <c r="C2785" t="s">
        <v>383</v>
      </c>
      <c r="D2785" s="2" t="s">
        <v>384</v>
      </c>
      <c r="E2785" t="s">
        <v>502</v>
      </c>
      <c r="F2785" s="11">
        <v>44495</v>
      </c>
      <c r="G2785" s="2">
        <f>VLOOKUP(E2785,Produtos!$A:$E,5,FALSE)</f>
        <v>1</v>
      </c>
      <c r="H2785" s="2">
        <f>VLOOKUP(E2785,Produtos!$A:$E,4,FALSE)</f>
        <v>0.5</v>
      </c>
      <c r="I2785" s="2">
        <v>4</v>
      </c>
    </row>
    <row r="2786" spans="1:9" x14ac:dyDescent="0.25">
      <c r="A2786" s="2" t="str">
        <f>CONCATENATE(Códigos!S2785,Códigos!T2785,Códigos!U2785)</f>
        <v>svv2784v</v>
      </c>
      <c r="B2786" t="s">
        <v>498</v>
      </c>
      <c r="C2786" t="s">
        <v>383</v>
      </c>
      <c r="D2786" s="2" t="s">
        <v>384</v>
      </c>
      <c r="E2786" t="s">
        <v>502</v>
      </c>
      <c r="F2786" s="11">
        <v>44496</v>
      </c>
      <c r="G2786" s="2">
        <f>VLOOKUP(E2786,Produtos!$A:$E,5,FALSE)</f>
        <v>1</v>
      </c>
      <c r="H2786" s="2">
        <f>VLOOKUP(E2786,Produtos!$A:$E,4,FALSE)</f>
        <v>0.5</v>
      </c>
      <c r="I2786" s="2">
        <v>4</v>
      </c>
    </row>
    <row r="2787" spans="1:9" x14ac:dyDescent="0.25">
      <c r="A2787" s="2" t="str">
        <f>CONCATENATE(Códigos!S2786,Códigos!T2786,Códigos!U2786)</f>
        <v>svv2785v</v>
      </c>
      <c r="B2787" t="s">
        <v>498</v>
      </c>
      <c r="C2787" t="s">
        <v>383</v>
      </c>
      <c r="D2787" s="2" t="s">
        <v>384</v>
      </c>
      <c r="E2787" t="s">
        <v>502</v>
      </c>
      <c r="F2787" s="11">
        <v>44497</v>
      </c>
      <c r="G2787" s="2">
        <f>VLOOKUP(E2787,Produtos!$A:$E,5,FALSE)</f>
        <v>1</v>
      </c>
      <c r="H2787" s="2">
        <f>VLOOKUP(E2787,Produtos!$A:$E,4,FALSE)</f>
        <v>0.5</v>
      </c>
      <c r="I2787" s="2">
        <v>4</v>
      </c>
    </row>
    <row r="2788" spans="1:9" x14ac:dyDescent="0.25">
      <c r="A2788" s="2" t="str">
        <f>CONCATENATE(Códigos!S2787,Códigos!T2787,Códigos!U2787)</f>
        <v>svv2786v</v>
      </c>
      <c r="B2788" t="s">
        <v>498</v>
      </c>
      <c r="C2788" t="s">
        <v>383</v>
      </c>
      <c r="D2788" s="2" t="s">
        <v>384</v>
      </c>
      <c r="E2788" t="s">
        <v>502</v>
      </c>
      <c r="F2788" s="11">
        <v>44498</v>
      </c>
      <c r="G2788" s="2">
        <f>VLOOKUP(E2788,Produtos!$A:$E,5,FALSE)</f>
        <v>1</v>
      </c>
      <c r="H2788" s="2">
        <f>VLOOKUP(E2788,Produtos!$A:$E,4,FALSE)</f>
        <v>0.5</v>
      </c>
      <c r="I2788" s="2">
        <v>4</v>
      </c>
    </row>
    <row r="2789" spans="1:9" x14ac:dyDescent="0.25">
      <c r="A2789" s="2" t="str">
        <f>CONCATENATE(Códigos!S2788,Códigos!T2788,Códigos!U2788)</f>
        <v>svv2787v</v>
      </c>
      <c r="B2789" t="s">
        <v>498</v>
      </c>
      <c r="C2789" t="s">
        <v>383</v>
      </c>
      <c r="D2789" s="2" t="s">
        <v>384</v>
      </c>
      <c r="E2789" t="s">
        <v>502</v>
      </c>
      <c r="F2789" s="11">
        <v>44499</v>
      </c>
      <c r="G2789" s="2">
        <f>VLOOKUP(E2789,Produtos!$A:$E,5,FALSE)</f>
        <v>1</v>
      </c>
      <c r="H2789" s="2">
        <f>VLOOKUP(E2789,Produtos!$A:$E,4,FALSE)</f>
        <v>0.5</v>
      </c>
      <c r="I2789" s="2">
        <v>4</v>
      </c>
    </row>
    <row r="2790" spans="1:9" x14ac:dyDescent="0.25">
      <c r="A2790" s="2" t="str">
        <f>CONCATENATE(Códigos!S2789,Códigos!T2789,Códigos!U2789)</f>
        <v>svv2788v</v>
      </c>
      <c r="B2790" t="s">
        <v>498</v>
      </c>
      <c r="C2790" t="s">
        <v>480</v>
      </c>
      <c r="D2790" s="2" t="s">
        <v>482</v>
      </c>
      <c r="E2790" t="s">
        <v>504</v>
      </c>
      <c r="F2790" s="11">
        <v>44500</v>
      </c>
      <c r="G2790" s="2">
        <f>VLOOKUP(E2790,Produtos!$A:$E,5,FALSE)</f>
        <v>230</v>
      </c>
      <c r="H2790" s="2">
        <f>VLOOKUP(E2790,Produtos!$A:$E,4,FALSE)</f>
        <v>120</v>
      </c>
      <c r="I2790" s="2">
        <v>4</v>
      </c>
    </row>
    <row r="2791" spans="1:9" x14ac:dyDescent="0.25">
      <c r="A2791" s="2" t="str">
        <f>CONCATENATE(Códigos!S2790,Códigos!T2790,Códigos!U2790)</f>
        <v>svv2789v</v>
      </c>
      <c r="B2791" t="s">
        <v>498</v>
      </c>
      <c r="C2791" t="s">
        <v>480</v>
      </c>
      <c r="D2791" s="2" t="s">
        <v>482</v>
      </c>
      <c r="E2791" t="s">
        <v>504</v>
      </c>
      <c r="F2791" s="11">
        <v>44501</v>
      </c>
      <c r="G2791" s="2">
        <f>VLOOKUP(E2791,Produtos!$A:$E,5,FALSE)</f>
        <v>230</v>
      </c>
      <c r="H2791" s="2">
        <f>VLOOKUP(E2791,Produtos!$A:$E,4,FALSE)</f>
        <v>120</v>
      </c>
      <c r="I2791" s="2">
        <v>4</v>
      </c>
    </row>
    <row r="2792" spans="1:9" x14ac:dyDescent="0.25">
      <c r="A2792" s="2" t="str">
        <f>CONCATENATE(Códigos!S2791,Códigos!T2791,Códigos!U2791)</f>
        <v>svv2790v</v>
      </c>
      <c r="B2792" t="s">
        <v>498</v>
      </c>
      <c r="C2792" t="s">
        <v>480</v>
      </c>
      <c r="D2792" s="2" t="s">
        <v>482</v>
      </c>
      <c r="E2792" t="s">
        <v>504</v>
      </c>
      <c r="F2792" s="11">
        <v>44502</v>
      </c>
      <c r="G2792" s="2">
        <f>VLOOKUP(E2792,Produtos!$A:$E,5,FALSE)</f>
        <v>230</v>
      </c>
      <c r="H2792" s="2">
        <f>VLOOKUP(E2792,Produtos!$A:$E,4,FALSE)</f>
        <v>120</v>
      </c>
      <c r="I2792" s="2">
        <v>4</v>
      </c>
    </row>
    <row r="2793" spans="1:9" x14ac:dyDescent="0.25">
      <c r="A2793" s="2" t="str">
        <f>CONCATENATE(Códigos!S2792,Códigos!T2792,Códigos!U2792)</f>
        <v>svv2791v</v>
      </c>
      <c r="B2793" t="s">
        <v>498</v>
      </c>
      <c r="C2793" t="s">
        <v>480</v>
      </c>
      <c r="D2793" s="2" t="s">
        <v>482</v>
      </c>
      <c r="E2793" t="s">
        <v>504</v>
      </c>
      <c r="F2793" s="11">
        <v>44503</v>
      </c>
      <c r="G2793" s="2">
        <f>VLOOKUP(E2793,Produtos!$A:$E,5,FALSE)</f>
        <v>230</v>
      </c>
      <c r="H2793" s="2">
        <f>VLOOKUP(E2793,Produtos!$A:$E,4,FALSE)</f>
        <v>120</v>
      </c>
      <c r="I2793" s="2">
        <v>4</v>
      </c>
    </row>
    <row r="2794" spans="1:9" x14ac:dyDescent="0.25">
      <c r="A2794" s="2" t="str">
        <f>CONCATENATE(Códigos!S2793,Códigos!T2793,Códigos!U2793)</f>
        <v>svv2792v</v>
      </c>
      <c r="B2794" t="s">
        <v>498</v>
      </c>
      <c r="C2794" t="s">
        <v>480</v>
      </c>
      <c r="D2794" s="2" t="s">
        <v>482</v>
      </c>
      <c r="E2794" t="s">
        <v>504</v>
      </c>
      <c r="F2794" s="11">
        <v>44504</v>
      </c>
      <c r="G2794" s="2">
        <f>VLOOKUP(E2794,Produtos!$A:$E,5,FALSE)</f>
        <v>230</v>
      </c>
      <c r="H2794" s="2">
        <f>VLOOKUP(E2794,Produtos!$A:$E,4,FALSE)</f>
        <v>120</v>
      </c>
      <c r="I2794" s="2">
        <v>4</v>
      </c>
    </row>
    <row r="2795" spans="1:9" x14ac:dyDescent="0.25">
      <c r="A2795" s="2" t="str">
        <f>CONCATENATE(Códigos!S2794,Códigos!T2794,Códigos!U2794)</f>
        <v>svv2793v</v>
      </c>
      <c r="B2795" t="s">
        <v>498</v>
      </c>
      <c r="C2795" t="s">
        <v>480</v>
      </c>
      <c r="D2795" s="2" t="s">
        <v>482</v>
      </c>
      <c r="E2795" t="s">
        <v>504</v>
      </c>
      <c r="F2795" s="11">
        <v>44505</v>
      </c>
      <c r="G2795" s="2">
        <f>VLOOKUP(E2795,Produtos!$A:$E,5,FALSE)</f>
        <v>230</v>
      </c>
      <c r="H2795" s="2">
        <f>VLOOKUP(E2795,Produtos!$A:$E,4,FALSE)</f>
        <v>120</v>
      </c>
      <c r="I2795" s="2">
        <v>4</v>
      </c>
    </row>
    <row r="2796" spans="1:9" x14ac:dyDescent="0.25">
      <c r="A2796" s="2" t="str">
        <f>CONCATENATE(Códigos!S2795,Códigos!T2795,Códigos!U2795)</f>
        <v>svv2794v</v>
      </c>
      <c r="B2796" t="s">
        <v>498</v>
      </c>
      <c r="C2796" t="s">
        <v>480</v>
      </c>
      <c r="D2796" s="2" t="s">
        <v>482</v>
      </c>
      <c r="E2796" t="s">
        <v>504</v>
      </c>
      <c r="F2796" s="11">
        <v>44506</v>
      </c>
      <c r="G2796" s="2">
        <f>VLOOKUP(E2796,Produtos!$A:$E,5,FALSE)</f>
        <v>230</v>
      </c>
      <c r="H2796" s="2">
        <f>VLOOKUP(E2796,Produtos!$A:$E,4,FALSE)</f>
        <v>120</v>
      </c>
      <c r="I2796" s="2">
        <v>4</v>
      </c>
    </row>
    <row r="2797" spans="1:9" x14ac:dyDescent="0.25">
      <c r="A2797" s="2" t="str">
        <f>CONCATENATE(Códigos!S2796,Códigos!T2796,Códigos!U2796)</f>
        <v>svv2795v</v>
      </c>
      <c r="B2797" t="s">
        <v>498</v>
      </c>
      <c r="C2797" t="s">
        <v>480</v>
      </c>
      <c r="D2797" s="2" t="s">
        <v>482</v>
      </c>
      <c r="E2797" t="s">
        <v>504</v>
      </c>
      <c r="F2797" s="11">
        <v>44507</v>
      </c>
      <c r="G2797" s="2">
        <f>VLOOKUP(E2797,Produtos!$A:$E,5,FALSE)</f>
        <v>230</v>
      </c>
      <c r="H2797" s="2">
        <f>VLOOKUP(E2797,Produtos!$A:$E,4,FALSE)</f>
        <v>120</v>
      </c>
      <c r="I2797" s="2">
        <v>4</v>
      </c>
    </row>
    <row r="2798" spans="1:9" x14ac:dyDescent="0.25">
      <c r="A2798" s="2" t="str">
        <f>CONCATENATE(Códigos!S2797,Códigos!T2797,Códigos!U2797)</f>
        <v>svv2796v</v>
      </c>
      <c r="B2798" t="s">
        <v>498</v>
      </c>
      <c r="C2798" t="s">
        <v>480</v>
      </c>
      <c r="D2798" s="2" t="s">
        <v>482</v>
      </c>
      <c r="E2798" t="s">
        <v>504</v>
      </c>
      <c r="F2798" s="11">
        <v>44508</v>
      </c>
      <c r="G2798" s="2">
        <f>VLOOKUP(E2798,Produtos!$A:$E,5,FALSE)</f>
        <v>230</v>
      </c>
      <c r="H2798" s="2">
        <f>VLOOKUP(E2798,Produtos!$A:$E,4,FALSE)</f>
        <v>120</v>
      </c>
      <c r="I2798" s="2">
        <v>4</v>
      </c>
    </row>
    <row r="2799" spans="1:9" x14ac:dyDescent="0.25">
      <c r="A2799" s="2" t="str">
        <f>CONCATENATE(Códigos!S2798,Códigos!T2798,Códigos!U2798)</f>
        <v>svv2797v</v>
      </c>
      <c r="B2799" t="s">
        <v>498</v>
      </c>
      <c r="C2799" t="s">
        <v>480</v>
      </c>
      <c r="D2799" s="2" t="s">
        <v>482</v>
      </c>
      <c r="E2799" t="s">
        <v>504</v>
      </c>
      <c r="F2799" s="11">
        <v>44509</v>
      </c>
      <c r="G2799" s="2">
        <f>VLOOKUP(E2799,Produtos!$A:$E,5,FALSE)</f>
        <v>230</v>
      </c>
      <c r="H2799" s="2">
        <f>VLOOKUP(E2799,Produtos!$A:$E,4,FALSE)</f>
        <v>120</v>
      </c>
      <c r="I2799" s="2">
        <v>4</v>
      </c>
    </row>
    <row r="2800" spans="1:9" x14ac:dyDescent="0.25">
      <c r="A2800" s="2" t="str">
        <f>CONCATENATE(Códigos!S2799,Códigos!T2799,Códigos!U2799)</f>
        <v>svv2798v</v>
      </c>
      <c r="B2800" t="s">
        <v>498</v>
      </c>
      <c r="C2800" t="s">
        <v>480</v>
      </c>
      <c r="D2800" s="2" t="s">
        <v>482</v>
      </c>
      <c r="E2800" t="s">
        <v>504</v>
      </c>
      <c r="F2800" s="11">
        <v>44510</v>
      </c>
      <c r="G2800" s="2">
        <f>VLOOKUP(E2800,Produtos!$A:$E,5,FALSE)</f>
        <v>230</v>
      </c>
      <c r="H2800" s="2">
        <f>VLOOKUP(E2800,Produtos!$A:$E,4,FALSE)</f>
        <v>120</v>
      </c>
      <c r="I2800" s="2">
        <v>4</v>
      </c>
    </row>
    <row r="2801" spans="1:9" x14ac:dyDescent="0.25">
      <c r="A2801" s="2" t="str">
        <f>CONCATENATE(Códigos!S2800,Códigos!T2800,Códigos!U2800)</f>
        <v>svv2799v</v>
      </c>
      <c r="B2801" t="s">
        <v>498</v>
      </c>
      <c r="C2801" t="s">
        <v>480</v>
      </c>
      <c r="D2801" s="2" t="s">
        <v>482</v>
      </c>
      <c r="E2801" t="s">
        <v>504</v>
      </c>
      <c r="F2801" s="11">
        <v>44511</v>
      </c>
      <c r="G2801" s="2">
        <f>VLOOKUP(E2801,Produtos!$A:$E,5,FALSE)</f>
        <v>230</v>
      </c>
      <c r="H2801" s="2">
        <f>VLOOKUP(E2801,Produtos!$A:$E,4,FALSE)</f>
        <v>120</v>
      </c>
      <c r="I2801" s="2">
        <v>4</v>
      </c>
    </row>
    <row r="2802" spans="1:9" x14ac:dyDescent="0.25">
      <c r="A2802" s="2" t="str">
        <f>CONCATENATE(Códigos!S2801,Códigos!T2801,Códigos!U2801)</f>
        <v>svv2800v</v>
      </c>
      <c r="B2802" t="s">
        <v>498</v>
      </c>
      <c r="C2802" t="s">
        <v>480</v>
      </c>
      <c r="D2802" s="2" t="s">
        <v>482</v>
      </c>
      <c r="E2802" t="s">
        <v>504</v>
      </c>
      <c r="F2802" s="11">
        <v>44512</v>
      </c>
      <c r="G2802" s="2">
        <f>VLOOKUP(E2802,Produtos!$A:$E,5,FALSE)</f>
        <v>230</v>
      </c>
      <c r="H2802" s="2">
        <f>VLOOKUP(E2802,Produtos!$A:$E,4,FALSE)</f>
        <v>120</v>
      </c>
      <c r="I2802" s="2">
        <v>4</v>
      </c>
    </row>
    <row r="2803" spans="1:9" x14ac:dyDescent="0.25">
      <c r="A2803" s="2" t="str">
        <f>CONCATENATE(Códigos!S2802,Códigos!T2802,Códigos!U2802)</f>
        <v>svv2801v</v>
      </c>
      <c r="B2803" t="s">
        <v>498</v>
      </c>
      <c r="C2803" t="s">
        <v>480</v>
      </c>
      <c r="D2803" s="2" t="s">
        <v>482</v>
      </c>
      <c r="E2803" t="s">
        <v>504</v>
      </c>
      <c r="F2803" s="11">
        <v>44513</v>
      </c>
      <c r="G2803" s="2">
        <f>VLOOKUP(E2803,Produtos!$A:$E,5,FALSE)</f>
        <v>230</v>
      </c>
      <c r="H2803" s="2">
        <f>VLOOKUP(E2803,Produtos!$A:$E,4,FALSE)</f>
        <v>120</v>
      </c>
      <c r="I2803" s="2">
        <v>4</v>
      </c>
    </row>
    <row r="2804" spans="1:9" x14ac:dyDescent="0.25">
      <c r="A2804" s="2" t="str">
        <f>CONCATENATE(Códigos!S2803,Códigos!T2803,Códigos!U2803)</f>
        <v>svv2802v</v>
      </c>
      <c r="B2804" t="s">
        <v>498</v>
      </c>
      <c r="C2804" t="s">
        <v>480</v>
      </c>
      <c r="D2804" s="2" t="s">
        <v>482</v>
      </c>
      <c r="E2804" t="s">
        <v>504</v>
      </c>
      <c r="F2804" s="11">
        <v>44514</v>
      </c>
      <c r="G2804" s="2">
        <f>VLOOKUP(E2804,Produtos!$A:$E,5,FALSE)</f>
        <v>230</v>
      </c>
      <c r="H2804" s="2">
        <f>VLOOKUP(E2804,Produtos!$A:$E,4,FALSE)</f>
        <v>120</v>
      </c>
      <c r="I2804" s="2">
        <v>4</v>
      </c>
    </row>
    <row r="2805" spans="1:9" x14ac:dyDescent="0.25">
      <c r="A2805" s="2" t="str">
        <f>CONCATENATE(Códigos!S2804,Códigos!T2804,Códigos!U2804)</f>
        <v>svv2803v</v>
      </c>
      <c r="B2805" t="s">
        <v>498</v>
      </c>
      <c r="C2805" t="s">
        <v>480</v>
      </c>
      <c r="D2805" s="2" t="s">
        <v>482</v>
      </c>
      <c r="E2805" t="s">
        <v>504</v>
      </c>
      <c r="F2805" s="11">
        <v>44515</v>
      </c>
      <c r="G2805" s="2">
        <f>VLOOKUP(E2805,Produtos!$A:$E,5,FALSE)</f>
        <v>230</v>
      </c>
      <c r="H2805" s="2">
        <f>VLOOKUP(E2805,Produtos!$A:$E,4,FALSE)</f>
        <v>120</v>
      </c>
      <c r="I2805" s="2">
        <v>4</v>
      </c>
    </row>
    <row r="2806" spans="1:9" x14ac:dyDescent="0.25">
      <c r="A2806" s="2" t="str">
        <f>CONCATENATE(Códigos!S2805,Códigos!T2805,Códigos!U2805)</f>
        <v>svv2804v</v>
      </c>
      <c r="B2806" t="s">
        <v>498</v>
      </c>
      <c r="C2806" t="s">
        <v>480</v>
      </c>
      <c r="D2806" s="2" t="s">
        <v>482</v>
      </c>
      <c r="E2806" t="s">
        <v>504</v>
      </c>
      <c r="F2806" s="11">
        <v>44516</v>
      </c>
      <c r="G2806" s="2">
        <f>VLOOKUP(E2806,Produtos!$A:$E,5,FALSE)</f>
        <v>230</v>
      </c>
      <c r="H2806" s="2">
        <f>VLOOKUP(E2806,Produtos!$A:$E,4,FALSE)</f>
        <v>120</v>
      </c>
      <c r="I2806" s="2">
        <v>4</v>
      </c>
    </row>
    <row r="2807" spans="1:9" x14ac:dyDescent="0.25">
      <c r="A2807" s="2" t="str">
        <f>CONCATENATE(Códigos!S2806,Códigos!T2806,Códigos!U2806)</f>
        <v>svv2805v</v>
      </c>
      <c r="B2807" t="s">
        <v>498</v>
      </c>
      <c r="C2807" t="s">
        <v>480</v>
      </c>
      <c r="D2807" s="2" t="s">
        <v>482</v>
      </c>
      <c r="E2807" t="s">
        <v>504</v>
      </c>
      <c r="F2807" s="11">
        <v>44517</v>
      </c>
      <c r="G2807" s="2">
        <f>VLOOKUP(E2807,Produtos!$A:$E,5,FALSE)</f>
        <v>230</v>
      </c>
      <c r="H2807" s="2">
        <f>VLOOKUP(E2807,Produtos!$A:$E,4,FALSE)</f>
        <v>120</v>
      </c>
      <c r="I2807" s="2">
        <v>4</v>
      </c>
    </row>
    <row r="2808" spans="1:9" x14ac:dyDescent="0.25">
      <c r="A2808" s="2" t="str">
        <f>CONCATENATE(Códigos!S2807,Códigos!T2807,Códigos!U2807)</f>
        <v>svv2806v</v>
      </c>
      <c r="B2808" t="s">
        <v>498</v>
      </c>
      <c r="C2808" t="s">
        <v>480</v>
      </c>
      <c r="D2808" s="2" t="s">
        <v>482</v>
      </c>
      <c r="E2808" t="s">
        <v>504</v>
      </c>
      <c r="F2808" s="11">
        <v>44518</v>
      </c>
      <c r="G2808" s="2">
        <f>VLOOKUP(E2808,Produtos!$A:$E,5,FALSE)</f>
        <v>230</v>
      </c>
      <c r="H2808" s="2">
        <f>VLOOKUP(E2808,Produtos!$A:$E,4,FALSE)</f>
        <v>120</v>
      </c>
      <c r="I2808" s="2">
        <v>4</v>
      </c>
    </row>
    <row r="2809" spans="1:9" x14ac:dyDescent="0.25">
      <c r="A2809" s="2" t="str">
        <f>CONCATENATE(Códigos!S2808,Códigos!T2808,Códigos!U2808)</f>
        <v>svv2807v</v>
      </c>
      <c r="B2809" t="s">
        <v>498</v>
      </c>
      <c r="C2809" t="s">
        <v>480</v>
      </c>
      <c r="D2809" s="2" t="s">
        <v>482</v>
      </c>
      <c r="E2809" t="s">
        <v>504</v>
      </c>
      <c r="F2809" s="11">
        <v>44519</v>
      </c>
      <c r="G2809" s="2">
        <f>VLOOKUP(E2809,Produtos!$A:$E,5,FALSE)</f>
        <v>230</v>
      </c>
      <c r="H2809" s="2">
        <f>VLOOKUP(E2809,Produtos!$A:$E,4,FALSE)</f>
        <v>120</v>
      </c>
      <c r="I2809" s="2">
        <v>4</v>
      </c>
    </row>
    <row r="2810" spans="1:9" x14ac:dyDescent="0.25">
      <c r="A2810" s="2" t="str">
        <f>CONCATENATE(Códigos!S2809,Códigos!T2809,Códigos!U2809)</f>
        <v>svv2808v</v>
      </c>
      <c r="B2810" t="s">
        <v>498</v>
      </c>
      <c r="C2810" t="s">
        <v>480</v>
      </c>
      <c r="D2810" s="2" t="s">
        <v>482</v>
      </c>
      <c r="E2810" t="s">
        <v>504</v>
      </c>
      <c r="F2810" s="11">
        <v>44520</v>
      </c>
      <c r="G2810" s="2">
        <f>VLOOKUP(E2810,Produtos!$A:$E,5,FALSE)</f>
        <v>230</v>
      </c>
      <c r="H2810" s="2">
        <f>VLOOKUP(E2810,Produtos!$A:$E,4,FALSE)</f>
        <v>120</v>
      </c>
      <c r="I2810" s="2">
        <v>4</v>
      </c>
    </row>
    <row r="2811" spans="1:9" x14ac:dyDescent="0.25">
      <c r="A2811" s="2" t="str">
        <f>CONCATENATE(Códigos!S2810,Códigos!T2810,Códigos!U2810)</f>
        <v>svv2809v</v>
      </c>
      <c r="B2811" t="s">
        <v>498</v>
      </c>
      <c r="C2811" t="s">
        <v>480</v>
      </c>
      <c r="D2811" s="2" t="s">
        <v>482</v>
      </c>
      <c r="E2811" t="s">
        <v>504</v>
      </c>
      <c r="F2811" s="11">
        <v>44521</v>
      </c>
      <c r="G2811" s="2">
        <f>VLOOKUP(E2811,Produtos!$A:$E,5,FALSE)</f>
        <v>230</v>
      </c>
      <c r="H2811" s="2">
        <f>VLOOKUP(E2811,Produtos!$A:$E,4,FALSE)</f>
        <v>120</v>
      </c>
      <c r="I2811" s="2">
        <v>4</v>
      </c>
    </row>
    <row r="2812" spans="1:9" x14ac:dyDescent="0.25">
      <c r="A2812" s="2" t="str">
        <f>CONCATENATE(Códigos!S2811,Códigos!T2811,Códigos!U2811)</f>
        <v>svv2810v</v>
      </c>
      <c r="B2812" t="s">
        <v>498</v>
      </c>
      <c r="C2812" t="s">
        <v>480</v>
      </c>
      <c r="D2812" s="2" t="s">
        <v>482</v>
      </c>
      <c r="E2812" t="s">
        <v>504</v>
      </c>
      <c r="F2812" s="11">
        <v>44522</v>
      </c>
      <c r="G2812" s="2">
        <f>VLOOKUP(E2812,Produtos!$A:$E,5,FALSE)</f>
        <v>230</v>
      </c>
      <c r="H2812" s="2">
        <f>VLOOKUP(E2812,Produtos!$A:$E,4,FALSE)</f>
        <v>120</v>
      </c>
      <c r="I2812" s="2">
        <v>4</v>
      </c>
    </row>
    <row r="2813" spans="1:9" x14ac:dyDescent="0.25">
      <c r="A2813" s="2" t="str">
        <f>CONCATENATE(Códigos!S2812,Códigos!T2812,Códigos!U2812)</f>
        <v>svv2811v</v>
      </c>
      <c r="B2813" t="s">
        <v>498</v>
      </c>
      <c r="C2813" t="s">
        <v>438</v>
      </c>
      <c r="D2813" s="2" t="s">
        <v>359</v>
      </c>
      <c r="E2813" t="s">
        <v>504</v>
      </c>
      <c r="F2813" s="11">
        <v>44523</v>
      </c>
      <c r="G2813" s="2">
        <f>VLOOKUP(E2813,Produtos!$A:$E,5,FALSE)</f>
        <v>230</v>
      </c>
      <c r="H2813" s="2">
        <f>VLOOKUP(E2813,Produtos!$A:$E,4,FALSE)</f>
        <v>120</v>
      </c>
      <c r="I2813" s="2">
        <v>4</v>
      </c>
    </row>
    <row r="2814" spans="1:9" x14ac:dyDescent="0.25">
      <c r="A2814" s="2" t="str">
        <f>CONCATENATE(Códigos!S2813,Códigos!T2813,Códigos!U2813)</f>
        <v>svv2812v</v>
      </c>
      <c r="B2814" t="s">
        <v>498</v>
      </c>
      <c r="C2814" t="s">
        <v>438</v>
      </c>
      <c r="D2814" s="2" t="s">
        <v>359</v>
      </c>
      <c r="E2814" t="s">
        <v>504</v>
      </c>
      <c r="F2814" s="11">
        <v>44524</v>
      </c>
      <c r="G2814" s="2">
        <f>VLOOKUP(E2814,Produtos!$A:$E,5,FALSE)</f>
        <v>230</v>
      </c>
      <c r="H2814" s="2">
        <f>VLOOKUP(E2814,Produtos!$A:$E,4,FALSE)</f>
        <v>120</v>
      </c>
      <c r="I2814" s="2">
        <v>4</v>
      </c>
    </row>
    <row r="2815" spans="1:9" x14ac:dyDescent="0.25">
      <c r="A2815" s="2" t="str">
        <f>CONCATENATE(Códigos!S2814,Códigos!T2814,Códigos!U2814)</f>
        <v>svv2813v</v>
      </c>
      <c r="B2815" t="s">
        <v>498</v>
      </c>
      <c r="C2815" t="s">
        <v>438</v>
      </c>
      <c r="D2815" s="2" t="s">
        <v>359</v>
      </c>
      <c r="E2815" t="s">
        <v>504</v>
      </c>
      <c r="F2815" s="11">
        <v>44525</v>
      </c>
      <c r="G2815" s="2">
        <f>VLOOKUP(E2815,Produtos!$A:$E,5,FALSE)</f>
        <v>230</v>
      </c>
      <c r="H2815" s="2">
        <f>VLOOKUP(E2815,Produtos!$A:$E,4,FALSE)</f>
        <v>120</v>
      </c>
      <c r="I2815" s="2">
        <v>4</v>
      </c>
    </row>
    <row r="2816" spans="1:9" x14ac:dyDescent="0.25">
      <c r="A2816" s="2" t="str">
        <f>CONCATENATE(Códigos!S2815,Códigos!T2815,Códigos!U2815)</f>
        <v>svv2814v</v>
      </c>
      <c r="B2816" t="s">
        <v>498</v>
      </c>
      <c r="C2816" t="s">
        <v>438</v>
      </c>
      <c r="D2816" s="2" t="s">
        <v>359</v>
      </c>
      <c r="E2816" t="s">
        <v>504</v>
      </c>
      <c r="F2816" s="11">
        <v>44526</v>
      </c>
      <c r="G2816" s="2">
        <f>VLOOKUP(E2816,Produtos!$A:$E,5,FALSE)</f>
        <v>230</v>
      </c>
      <c r="H2816" s="2">
        <f>VLOOKUP(E2816,Produtos!$A:$E,4,FALSE)</f>
        <v>120</v>
      </c>
      <c r="I2816" s="2">
        <v>4</v>
      </c>
    </row>
    <row r="2817" spans="1:9" x14ac:dyDescent="0.25">
      <c r="A2817" s="2" t="str">
        <f>CONCATENATE(Códigos!S2816,Códigos!T2816,Códigos!U2816)</f>
        <v>svv2815v</v>
      </c>
      <c r="B2817" t="s">
        <v>498</v>
      </c>
      <c r="C2817" t="s">
        <v>438</v>
      </c>
      <c r="D2817" s="2" t="s">
        <v>359</v>
      </c>
      <c r="E2817" t="s">
        <v>504</v>
      </c>
      <c r="F2817" s="11">
        <v>44527</v>
      </c>
      <c r="G2817" s="2">
        <f>VLOOKUP(E2817,Produtos!$A:$E,5,FALSE)</f>
        <v>230</v>
      </c>
      <c r="H2817" s="2">
        <f>VLOOKUP(E2817,Produtos!$A:$E,4,FALSE)</f>
        <v>120</v>
      </c>
      <c r="I2817" s="2">
        <v>4</v>
      </c>
    </row>
    <row r="2818" spans="1:9" x14ac:dyDescent="0.25">
      <c r="A2818" s="2" t="str">
        <f>CONCATENATE(Códigos!S2817,Códigos!T2817,Códigos!U2817)</f>
        <v>svv2816v</v>
      </c>
      <c r="B2818" t="s">
        <v>498</v>
      </c>
      <c r="C2818" t="s">
        <v>438</v>
      </c>
      <c r="D2818" s="2" t="s">
        <v>359</v>
      </c>
      <c r="E2818" t="s">
        <v>504</v>
      </c>
      <c r="F2818" s="11">
        <v>44528</v>
      </c>
      <c r="G2818" s="2">
        <f>VLOOKUP(E2818,Produtos!$A:$E,5,FALSE)</f>
        <v>230</v>
      </c>
      <c r="H2818" s="2">
        <f>VLOOKUP(E2818,Produtos!$A:$E,4,FALSE)</f>
        <v>120</v>
      </c>
      <c r="I2818" s="2">
        <v>4</v>
      </c>
    </row>
    <row r="2819" spans="1:9" x14ac:dyDescent="0.25">
      <c r="A2819" s="2" t="str">
        <f>CONCATENATE(Códigos!S2818,Códigos!T2818,Códigos!U2818)</f>
        <v>svv2817v</v>
      </c>
      <c r="B2819" t="s">
        <v>498</v>
      </c>
      <c r="C2819" t="s">
        <v>438</v>
      </c>
      <c r="D2819" s="2" t="s">
        <v>359</v>
      </c>
      <c r="E2819" t="s">
        <v>504</v>
      </c>
      <c r="F2819" s="11">
        <v>44529</v>
      </c>
      <c r="G2819" s="2">
        <f>VLOOKUP(E2819,Produtos!$A:$E,5,FALSE)</f>
        <v>230</v>
      </c>
      <c r="H2819" s="2">
        <f>VLOOKUP(E2819,Produtos!$A:$E,4,FALSE)</f>
        <v>120</v>
      </c>
      <c r="I2819" s="2">
        <v>4</v>
      </c>
    </row>
    <row r="2820" spans="1:9" x14ac:dyDescent="0.25">
      <c r="A2820" s="2" t="str">
        <f>CONCATENATE(Códigos!S2819,Códigos!T2819,Códigos!U2819)</f>
        <v>svv2818v</v>
      </c>
      <c r="B2820" t="s">
        <v>498</v>
      </c>
      <c r="C2820" t="s">
        <v>438</v>
      </c>
      <c r="D2820" s="2" t="s">
        <v>359</v>
      </c>
      <c r="E2820" t="s">
        <v>504</v>
      </c>
      <c r="F2820" s="11">
        <v>44530</v>
      </c>
      <c r="G2820" s="2">
        <f>VLOOKUP(E2820,Produtos!$A:$E,5,FALSE)</f>
        <v>230</v>
      </c>
      <c r="H2820" s="2">
        <f>VLOOKUP(E2820,Produtos!$A:$E,4,FALSE)</f>
        <v>120</v>
      </c>
      <c r="I2820" s="2">
        <v>4</v>
      </c>
    </row>
    <row r="2821" spans="1:9" x14ac:dyDescent="0.25">
      <c r="A2821" s="2" t="str">
        <f>CONCATENATE(Códigos!S2820,Códigos!T2820,Códigos!U2820)</f>
        <v>svv2819v</v>
      </c>
      <c r="B2821" t="s">
        <v>498</v>
      </c>
      <c r="C2821" t="s">
        <v>438</v>
      </c>
      <c r="D2821" s="2" t="s">
        <v>359</v>
      </c>
      <c r="E2821" t="s">
        <v>504</v>
      </c>
      <c r="F2821" s="11">
        <v>44531</v>
      </c>
      <c r="G2821" s="2">
        <f>VLOOKUP(E2821,Produtos!$A:$E,5,FALSE)</f>
        <v>230</v>
      </c>
      <c r="H2821" s="2">
        <f>VLOOKUP(E2821,Produtos!$A:$E,4,FALSE)</f>
        <v>120</v>
      </c>
      <c r="I2821" s="2">
        <v>4</v>
      </c>
    </row>
    <row r="2822" spans="1:9" x14ac:dyDescent="0.25">
      <c r="A2822" s="2" t="str">
        <f>CONCATENATE(Códigos!S2821,Códigos!T2821,Códigos!U2821)</f>
        <v>svv2820v</v>
      </c>
      <c r="B2822" t="s">
        <v>498</v>
      </c>
      <c r="C2822" t="s">
        <v>438</v>
      </c>
      <c r="D2822" s="2" t="s">
        <v>359</v>
      </c>
      <c r="E2822" t="s">
        <v>504</v>
      </c>
      <c r="F2822" s="11">
        <v>44532</v>
      </c>
      <c r="G2822" s="2">
        <f>VLOOKUP(E2822,Produtos!$A:$E,5,FALSE)</f>
        <v>230</v>
      </c>
      <c r="H2822" s="2">
        <f>VLOOKUP(E2822,Produtos!$A:$E,4,FALSE)</f>
        <v>120</v>
      </c>
      <c r="I2822" s="2">
        <v>4</v>
      </c>
    </row>
    <row r="2823" spans="1:9" x14ac:dyDescent="0.25">
      <c r="A2823" s="2" t="str">
        <f>CONCATENATE(Códigos!S2822,Códigos!T2822,Códigos!U2822)</f>
        <v>svv2821v</v>
      </c>
      <c r="B2823" t="s">
        <v>498</v>
      </c>
      <c r="C2823" t="s">
        <v>438</v>
      </c>
      <c r="D2823" s="2" t="s">
        <v>359</v>
      </c>
      <c r="E2823" t="s">
        <v>504</v>
      </c>
      <c r="F2823" s="11">
        <v>44533</v>
      </c>
      <c r="G2823" s="2">
        <f>VLOOKUP(E2823,Produtos!$A:$E,5,FALSE)</f>
        <v>230</v>
      </c>
      <c r="H2823" s="2">
        <f>VLOOKUP(E2823,Produtos!$A:$E,4,FALSE)</f>
        <v>120</v>
      </c>
      <c r="I2823" s="2">
        <v>4</v>
      </c>
    </row>
    <row r="2824" spans="1:9" x14ac:dyDescent="0.25">
      <c r="A2824" s="2" t="str">
        <f>CONCATENATE(Códigos!S2823,Códigos!T2823,Códigos!U2823)</f>
        <v>svv2822v</v>
      </c>
      <c r="B2824" t="s">
        <v>498</v>
      </c>
      <c r="C2824" t="s">
        <v>438</v>
      </c>
      <c r="D2824" s="2" t="s">
        <v>359</v>
      </c>
      <c r="E2824" t="s">
        <v>504</v>
      </c>
      <c r="F2824" s="11">
        <v>44534</v>
      </c>
      <c r="G2824" s="2">
        <f>VLOOKUP(E2824,Produtos!$A:$E,5,FALSE)</f>
        <v>230</v>
      </c>
      <c r="H2824" s="2">
        <f>VLOOKUP(E2824,Produtos!$A:$E,4,FALSE)</f>
        <v>120</v>
      </c>
      <c r="I2824" s="2">
        <v>4</v>
      </c>
    </row>
    <row r="2825" spans="1:9" x14ac:dyDescent="0.25">
      <c r="A2825" s="2" t="str">
        <f>CONCATENATE(Códigos!S2824,Códigos!T2824,Códigos!U2824)</f>
        <v>svv2823v</v>
      </c>
      <c r="B2825" t="s">
        <v>498</v>
      </c>
      <c r="C2825" t="s">
        <v>438</v>
      </c>
      <c r="D2825" s="2" t="s">
        <v>359</v>
      </c>
      <c r="E2825" t="s">
        <v>504</v>
      </c>
      <c r="F2825" s="11">
        <v>44535</v>
      </c>
      <c r="G2825" s="2">
        <f>VLOOKUP(E2825,Produtos!$A:$E,5,FALSE)</f>
        <v>230</v>
      </c>
      <c r="H2825" s="2">
        <f>VLOOKUP(E2825,Produtos!$A:$E,4,FALSE)</f>
        <v>120</v>
      </c>
      <c r="I2825" s="2">
        <v>4</v>
      </c>
    </row>
    <row r="2826" spans="1:9" x14ac:dyDescent="0.25">
      <c r="A2826" s="2" t="str">
        <f>CONCATENATE(Códigos!S2825,Códigos!T2825,Códigos!U2825)</f>
        <v>svv2824v</v>
      </c>
      <c r="B2826" t="s">
        <v>498</v>
      </c>
      <c r="C2826" t="s">
        <v>438</v>
      </c>
      <c r="D2826" s="2" t="s">
        <v>359</v>
      </c>
      <c r="E2826" t="s">
        <v>504</v>
      </c>
      <c r="F2826" s="11">
        <v>44536</v>
      </c>
      <c r="G2826" s="2">
        <f>VLOOKUP(E2826,Produtos!$A:$E,5,FALSE)</f>
        <v>230</v>
      </c>
      <c r="H2826" s="2">
        <f>VLOOKUP(E2826,Produtos!$A:$E,4,FALSE)</f>
        <v>120</v>
      </c>
      <c r="I2826" s="2">
        <v>4</v>
      </c>
    </row>
    <row r="2827" spans="1:9" x14ac:dyDescent="0.25">
      <c r="A2827" s="2" t="str">
        <f>CONCATENATE(Códigos!S2826,Códigos!T2826,Códigos!U2826)</f>
        <v>svv2825v</v>
      </c>
      <c r="B2827" t="s">
        <v>498</v>
      </c>
      <c r="C2827" t="s">
        <v>438</v>
      </c>
      <c r="D2827" s="2" t="s">
        <v>359</v>
      </c>
      <c r="E2827" t="s">
        <v>504</v>
      </c>
      <c r="F2827" s="11">
        <v>44537</v>
      </c>
      <c r="G2827" s="2">
        <f>VLOOKUP(E2827,Produtos!$A:$E,5,FALSE)</f>
        <v>230</v>
      </c>
      <c r="H2827" s="2">
        <f>VLOOKUP(E2827,Produtos!$A:$E,4,FALSE)</f>
        <v>120</v>
      </c>
      <c r="I2827" s="2">
        <v>4</v>
      </c>
    </row>
    <row r="2828" spans="1:9" x14ac:dyDescent="0.25">
      <c r="A2828" s="2" t="str">
        <f>CONCATENATE(Códigos!S2827,Códigos!T2827,Códigos!U2827)</f>
        <v>svv2826v</v>
      </c>
      <c r="B2828" t="s">
        <v>498</v>
      </c>
      <c r="C2828" t="s">
        <v>438</v>
      </c>
      <c r="D2828" s="2" t="s">
        <v>359</v>
      </c>
      <c r="E2828" t="s">
        <v>504</v>
      </c>
      <c r="F2828" s="11">
        <v>44538</v>
      </c>
      <c r="G2828" s="2">
        <f>VLOOKUP(E2828,Produtos!$A:$E,5,FALSE)</f>
        <v>230</v>
      </c>
      <c r="H2828" s="2">
        <f>VLOOKUP(E2828,Produtos!$A:$E,4,FALSE)</f>
        <v>120</v>
      </c>
      <c r="I2828" s="2">
        <v>4</v>
      </c>
    </row>
    <row r="2829" spans="1:9" x14ac:dyDescent="0.25">
      <c r="A2829" s="2" t="str">
        <f>CONCATENATE(Códigos!S2828,Códigos!T2828,Códigos!U2828)</f>
        <v>svv2827v</v>
      </c>
      <c r="B2829" t="s">
        <v>498</v>
      </c>
      <c r="C2829" t="s">
        <v>438</v>
      </c>
      <c r="D2829" s="2" t="s">
        <v>359</v>
      </c>
      <c r="E2829" t="s">
        <v>504</v>
      </c>
      <c r="F2829" s="11">
        <v>44539</v>
      </c>
      <c r="G2829" s="2">
        <f>VLOOKUP(E2829,Produtos!$A:$E,5,FALSE)</f>
        <v>230</v>
      </c>
      <c r="H2829" s="2">
        <f>VLOOKUP(E2829,Produtos!$A:$E,4,FALSE)</f>
        <v>120</v>
      </c>
      <c r="I2829" s="2">
        <v>4</v>
      </c>
    </row>
    <row r="2830" spans="1:9" x14ac:dyDescent="0.25">
      <c r="A2830" s="2" t="str">
        <f>CONCATENATE(Códigos!S2829,Códigos!T2829,Códigos!U2829)</f>
        <v>svv2828v</v>
      </c>
      <c r="B2830" t="s">
        <v>498</v>
      </c>
      <c r="C2830" t="s">
        <v>438</v>
      </c>
      <c r="D2830" s="2" t="s">
        <v>359</v>
      </c>
      <c r="E2830" t="s">
        <v>504</v>
      </c>
      <c r="F2830" s="11">
        <v>44540</v>
      </c>
      <c r="G2830" s="2">
        <f>VLOOKUP(E2830,Produtos!$A:$E,5,FALSE)</f>
        <v>230</v>
      </c>
      <c r="H2830" s="2">
        <f>VLOOKUP(E2830,Produtos!$A:$E,4,FALSE)</f>
        <v>120</v>
      </c>
      <c r="I2830" s="2">
        <v>4</v>
      </c>
    </row>
    <row r="2831" spans="1:9" x14ac:dyDescent="0.25">
      <c r="A2831" s="2" t="str">
        <f>CONCATENATE(Códigos!S2830,Códigos!T2830,Códigos!U2830)</f>
        <v>svv2829v</v>
      </c>
      <c r="B2831" t="s">
        <v>498</v>
      </c>
      <c r="C2831" t="s">
        <v>438</v>
      </c>
      <c r="D2831" s="2" t="s">
        <v>359</v>
      </c>
      <c r="E2831" t="s">
        <v>504</v>
      </c>
      <c r="F2831" s="11">
        <v>44541</v>
      </c>
      <c r="G2831" s="2">
        <f>VLOOKUP(E2831,Produtos!$A:$E,5,FALSE)</f>
        <v>230</v>
      </c>
      <c r="H2831" s="2">
        <f>VLOOKUP(E2831,Produtos!$A:$E,4,FALSE)</f>
        <v>120</v>
      </c>
      <c r="I2831" s="2">
        <v>4</v>
      </c>
    </row>
    <row r="2832" spans="1:9" x14ac:dyDescent="0.25">
      <c r="A2832" s="2" t="str">
        <f>CONCATENATE(Códigos!S2831,Códigos!T2831,Códigos!U2831)</f>
        <v>svv2830v</v>
      </c>
      <c r="B2832" t="s">
        <v>498</v>
      </c>
      <c r="C2832" t="s">
        <v>438</v>
      </c>
      <c r="D2832" s="2" t="s">
        <v>359</v>
      </c>
      <c r="E2832" t="s">
        <v>504</v>
      </c>
      <c r="F2832" s="11">
        <v>44542</v>
      </c>
      <c r="G2832" s="2">
        <f>VLOOKUP(E2832,Produtos!$A:$E,5,FALSE)</f>
        <v>230</v>
      </c>
      <c r="H2832" s="2">
        <f>VLOOKUP(E2832,Produtos!$A:$E,4,FALSE)</f>
        <v>120</v>
      </c>
      <c r="I2832" s="2">
        <v>4</v>
      </c>
    </row>
    <row r="2833" spans="1:9" x14ac:dyDescent="0.25">
      <c r="A2833" s="2" t="str">
        <f>CONCATENATE(Códigos!S2832,Códigos!T2832,Códigos!U2832)</f>
        <v>svv2831v</v>
      </c>
      <c r="B2833" t="s">
        <v>498</v>
      </c>
      <c r="C2833" t="s">
        <v>438</v>
      </c>
      <c r="D2833" s="2" t="s">
        <v>359</v>
      </c>
      <c r="E2833" t="s">
        <v>504</v>
      </c>
      <c r="F2833" s="11">
        <v>44543</v>
      </c>
      <c r="G2833" s="2">
        <f>VLOOKUP(E2833,Produtos!$A:$E,5,FALSE)</f>
        <v>230</v>
      </c>
      <c r="H2833" s="2">
        <f>VLOOKUP(E2833,Produtos!$A:$E,4,FALSE)</f>
        <v>120</v>
      </c>
      <c r="I2833" s="2">
        <v>4</v>
      </c>
    </row>
    <row r="2834" spans="1:9" x14ac:dyDescent="0.25">
      <c r="A2834" s="2" t="str">
        <f>CONCATENATE(Códigos!S2833,Códigos!T2833,Códigos!U2833)</f>
        <v>svv2832v</v>
      </c>
      <c r="B2834" t="s">
        <v>498</v>
      </c>
      <c r="C2834" t="s">
        <v>438</v>
      </c>
      <c r="D2834" s="2" t="s">
        <v>359</v>
      </c>
      <c r="E2834" t="s">
        <v>504</v>
      </c>
      <c r="F2834" s="11">
        <v>44544</v>
      </c>
      <c r="G2834" s="2">
        <f>VLOOKUP(E2834,Produtos!$A:$E,5,FALSE)</f>
        <v>230</v>
      </c>
      <c r="H2834" s="2">
        <f>VLOOKUP(E2834,Produtos!$A:$E,4,FALSE)</f>
        <v>120</v>
      </c>
      <c r="I2834" s="2">
        <v>4</v>
      </c>
    </row>
    <row r="2835" spans="1:9" x14ac:dyDescent="0.25">
      <c r="A2835" s="2" t="str">
        <f>CONCATENATE(Códigos!S2834,Códigos!T2834,Códigos!U2834)</f>
        <v>svv2833v</v>
      </c>
      <c r="B2835" t="s">
        <v>498</v>
      </c>
      <c r="C2835" t="s">
        <v>438</v>
      </c>
      <c r="D2835" s="2" t="s">
        <v>359</v>
      </c>
      <c r="E2835" t="s">
        <v>504</v>
      </c>
      <c r="F2835" s="11">
        <v>44545</v>
      </c>
      <c r="G2835" s="2">
        <f>VLOOKUP(E2835,Produtos!$A:$E,5,FALSE)</f>
        <v>230</v>
      </c>
      <c r="H2835" s="2">
        <f>VLOOKUP(E2835,Produtos!$A:$E,4,FALSE)</f>
        <v>120</v>
      </c>
      <c r="I2835" s="2">
        <v>4</v>
      </c>
    </row>
    <row r="2836" spans="1:9" x14ac:dyDescent="0.25">
      <c r="A2836" s="2" t="str">
        <f>CONCATENATE(Códigos!S2835,Códigos!T2835,Códigos!U2835)</f>
        <v>svv2834v</v>
      </c>
      <c r="B2836" t="s">
        <v>498</v>
      </c>
      <c r="C2836" t="s">
        <v>438</v>
      </c>
      <c r="D2836" s="2" t="s">
        <v>359</v>
      </c>
      <c r="E2836" t="s">
        <v>504</v>
      </c>
      <c r="F2836" s="11">
        <v>44546</v>
      </c>
      <c r="G2836" s="2">
        <f>VLOOKUP(E2836,Produtos!$A:$E,5,FALSE)</f>
        <v>230</v>
      </c>
      <c r="H2836" s="2">
        <f>VLOOKUP(E2836,Produtos!$A:$E,4,FALSE)</f>
        <v>120</v>
      </c>
      <c r="I2836" s="2">
        <v>4</v>
      </c>
    </row>
    <row r="2837" spans="1:9" x14ac:dyDescent="0.25">
      <c r="A2837" s="2" t="str">
        <f>CONCATENATE(Códigos!S2836,Códigos!T2836,Códigos!U2836)</f>
        <v>svv2835v</v>
      </c>
      <c r="B2837" t="s">
        <v>498</v>
      </c>
      <c r="C2837" t="s">
        <v>438</v>
      </c>
      <c r="D2837" s="2" t="s">
        <v>359</v>
      </c>
      <c r="E2837" t="s">
        <v>504</v>
      </c>
      <c r="F2837" s="11">
        <v>44547</v>
      </c>
      <c r="G2837" s="2">
        <f>VLOOKUP(E2837,Produtos!$A:$E,5,FALSE)</f>
        <v>230</v>
      </c>
      <c r="H2837" s="2">
        <f>VLOOKUP(E2837,Produtos!$A:$E,4,FALSE)</f>
        <v>120</v>
      </c>
      <c r="I2837" s="2">
        <v>4</v>
      </c>
    </row>
    <row r="2838" spans="1:9" x14ac:dyDescent="0.25">
      <c r="A2838" s="2" t="str">
        <f>CONCATENATE(Códigos!S2837,Códigos!T2837,Códigos!U2837)</f>
        <v>svv2836v</v>
      </c>
      <c r="B2838" t="s">
        <v>498</v>
      </c>
      <c r="C2838" t="s">
        <v>438</v>
      </c>
      <c r="D2838" s="2" t="s">
        <v>359</v>
      </c>
      <c r="E2838" t="s">
        <v>504</v>
      </c>
      <c r="F2838" s="11">
        <v>44548</v>
      </c>
      <c r="G2838" s="2">
        <f>VLOOKUP(E2838,Produtos!$A:$E,5,FALSE)</f>
        <v>230</v>
      </c>
      <c r="H2838" s="2">
        <f>VLOOKUP(E2838,Produtos!$A:$E,4,FALSE)</f>
        <v>120</v>
      </c>
      <c r="I2838" s="2">
        <v>4</v>
      </c>
    </row>
    <row r="2839" spans="1:9" x14ac:dyDescent="0.25">
      <c r="A2839" s="2" t="str">
        <f>CONCATENATE(Códigos!S2838,Códigos!T2838,Códigos!U2838)</f>
        <v>svv2837v</v>
      </c>
      <c r="B2839" t="s">
        <v>498</v>
      </c>
      <c r="C2839" t="s">
        <v>438</v>
      </c>
      <c r="D2839" s="2" t="s">
        <v>359</v>
      </c>
      <c r="E2839" t="s">
        <v>504</v>
      </c>
      <c r="F2839" s="11">
        <v>44549</v>
      </c>
      <c r="G2839" s="2">
        <f>VLOOKUP(E2839,Produtos!$A:$E,5,FALSE)</f>
        <v>230</v>
      </c>
      <c r="H2839" s="2">
        <f>VLOOKUP(E2839,Produtos!$A:$E,4,FALSE)</f>
        <v>120</v>
      </c>
      <c r="I2839" s="2">
        <v>4</v>
      </c>
    </row>
    <row r="2840" spans="1:9" x14ac:dyDescent="0.25">
      <c r="A2840" s="2" t="str">
        <f>CONCATENATE(Códigos!S2839,Códigos!T2839,Códigos!U2839)</f>
        <v>svv2838v</v>
      </c>
      <c r="B2840" t="s">
        <v>498</v>
      </c>
      <c r="C2840" t="s">
        <v>438</v>
      </c>
      <c r="D2840" s="2" t="s">
        <v>359</v>
      </c>
      <c r="E2840" t="s">
        <v>504</v>
      </c>
      <c r="F2840" s="11">
        <v>44550</v>
      </c>
      <c r="G2840" s="2">
        <f>VLOOKUP(E2840,Produtos!$A:$E,5,FALSE)</f>
        <v>230</v>
      </c>
      <c r="H2840" s="2">
        <f>VLOOKUP(E2840,Produtos!$A:$E,4,FALSE)</f>
        <v>120</v>
      </c>
      <c r="I2840" s="2">
        <v>4</v>
      </c>
    </row>
    <row r="2841" spans="1:9" x14ac:dyDescent="0.25">
      <c r="A2841" s="2" t="str">
        <f>CONCATENATE(Códigos!S2840,Códigos!T2840,Códigos!U2840)</f>
        <v>svv2839v</v>
      </c>
      <c r="B2841" t="s">
        <v>498</v>
      </c>
      <c r="C2841" t="s">
        <v>438</v>
      </c>
      <c r="D2841" s="2" t="s">
        <v>359</v>
      </c>
      <c r="E2841" t="s">
        <v>504</v>
      </c>
      <c r="F2841" s="11">
        <v>44551</v>
      </c>
      <c r="G2841" s="2">
        <f>VLOOKUP(E2841,Produtos!$A:$E,5,FALSE)</f>
        <v>230</v>
      </c>
      <c r="H2841" s="2">
        <f>VLOOKUP(E2841,Produtos!$A:$E,4,FALSE)</f>
        <v>120</v>
      </c>
      <c r="I2841" s="2">
        <v>4</v>
      </c>
    </row>
    <row r="2842" spans="1:9" x14ac:dyDescent="0.25">
      <c r="A2842" s="2" t="str">
        <f>CONCATENATE(Códigos!S2841,Códigos!T2841,Códigos!U2841)</f>
        <v>svv2840v</v>
      </c>
      <c r="B2842" t="s">
        <v>498</v>
      </c>
      <c r="C2842" t="s">
        <v>438</v>
      </c>
      <c r="D2842" s="2" t="s">
        <v>359</v>
      </c>
      <c r="E2842" t="s">
        <v>504</v>
      </c>
      <c r="F2842" s="11">
        <v>44552</v>
      </c>
      <c r="G2842" s="2">
        <f>VLOOKUP(E2842,Produtos!$A:$E,5,FALSE)</f>
        <v>230</v>
      </c>
      <c r="H2842" s="2">
        <f>VLOOKUP(E2842,Produtos!$A:$E,4,FALSE)</f>
        <v>120</v>
      </c>
      <c r="I2842" s="2">
        <v>4</v>
      </c>
    </row>
    <row r="2843" spans="1:9" x14ac:dyDescent="0.25">
      <c r="A2843" s="2" t="str">
        <f>CONCATENATE(Códigos!S2842,Códigos!T2842,Códigos!U2842)</f>
        <v>svv2841v</v>
      </c>
      <c r="B2843" t="s">
        <v>498</v>
      </c>
      <c r="C2843" t="s">
        <v>438</v>
      </c>
      <c r="D2843" s="2" t="s">
        <v>359</v>
      </c>
      <c r="E2843" t="s">
        <v>504</v>
      </c>
      <c r="F2843" s="11">
        <v>44553</v>
      </c>
      <c r="G2843" s="2">
        <f>VLOOKUP(E2843,Produtos!$A:$E,5,FALSE)</f>
        <v>230</v>
      </c>
      <c r="H2843" s="2">
        <f>VLOOKUP(E2843,Produtos!$A:$E,4,FALSE)</f>
        <v>120</v>
      </c>
      <c r="I2843" s="2">
        <v>4</v>
      </c>
    </row>
    <row r="2844" spans="1:9" x14ac:dyDescent="0.25">
      <c r="A2844" s="2" t="str">
        <f>CONCATENATE(Códigos!S2843,Códigos!T2843,Códigos!U2843)</f>
        <v>svv2842v</v>
      </c>
      <c r="B2844" t="s">
        <v>498</v>
      </c>
      <c r="C2844" t="s">
        <v>438</v>
      </c>
      <c r="D2844" s="2" t="s">
        <v>359</v>
      </c>
      <c r="E2844" t="s">
        <v>504</v>
      </c>
      <c r="F2844" s="11">
        <v>44554</v>
      </c>
      <c r="G2844" s="2">
        <f>VLOOKUP(E2844,Produtos!$A:$E,5,FALSE)</f>
        <v>230</v>
      </c>
      <c r="H2844" s="2">
        <f>VLOOKUP(E2844,Produtos!$A:$E,4,FALSE)</f>
        <v>120</v>
      </c>
      <c r="I2844" s="2">
        <v>4</v>
      </c>
    </row>
    <row r="2845" spans="1:9" x14ac:dyDescent="0.25">
      <c r="A2845" s="2" t="str">
        <f>CONCATENATE(Códigos!S2844,Códigos!T2844,Códigos!U2844)</f>
        <v>svv2843v</v>
      </c>
      <c r="B2845" t="s">
        <v>498</v>
      </c>
      <c r="C2845" t="s">
        <v>438</v>
      </c>
      <c r="D2845" s="2" t="s">
        <v>359</v>
      </c>
      <c r="E2845" t="s">
        <v>504</v>
      </c>
      <c r="F2845" s="11">
        <v>44555</v>
      </c>
      <c r="G2845" s="2">
        <f>VLOOKUP(E2845,Produtos!$A:$E,5,FALSE)</f>
        <v>230</v>
      </c>
      <c r="H2845" s="2">
        <f>VLOOKUP(E2845,Produtos!$A:$E,4,FALSE)</f>
        <v>120</v>
      </c>
      <c r="I2845" s="2">
        <v>4</v>
      </c>
    </row>
    <row r="2846" spans="1:9" x14ac:dyDescent="0.25">
      <c r="A2846" s="2" t="str">
        <f>CONCATENATE(Códigos!S2845,Códigos!T2845,Códigos!U2845)</f>
        <v>svv2844v</v>
      </c>
      <c r="B2846" t="s">
        <v>498</v>
      </c>
      <c r="C2846" t="s">
        <v>438</v>
      </c>
      <c r="D2846" s="2" t="s">
        <v>359</v>
      </c>
      <c r="E2846" t="s">
        <v>327</v>
      </c>
      <c r="F2846" s="11">
        <v>44556</v>
      </c>
      <c r="G2846" s="2">
        <f>VLOOKUP(E2846,Produtos!$A:$E,5,FALSE)</f>
        <v>890</v>
      </c>
      <c r="H2846" s="2">
        <f>VLOOKUP(E2846,Produtos!$A:$E,4,FALSE)</f>
        <v>600</v>
      </c>
      <c r="I2846" s="2">
        <v>4</v>
      </c>
    </row>
    <row r="2847" spans="1:9" x14ac:dyDescent="0.25">
      <c r="A2847" s="2" t="str">
        <f>CONCATENATE(Códigos!S2846,Códigos!T2846,Códigos!U2846)</f>
        <v>svv2845v</v>
      </c>
      <c r="B2847" t="s">
        <v>498</v>
      </c>
      <c r="C2847" t="s">
        <v>438</v>
      </c>
      <c r="D2847" s="2" t="s">
        <v>359</v>
      </c>
      <c r="E2847" t="s">
        <v>327</v>
      </c>
      <c r="F2847" s="11">
        <v>44557</v>
      </c>
      <c r="G2847" s="2">
        <f>VLOOKUP(E2847,Produtos!$A:$E,5,FALSE)</f>
        <v>890</v>
      </c>
      <c r="H2847" s="2">
        <f>VLOOKUP(E2847,Produtos!$A:$E,4,FALSE)</f>
        <v>600</v>
      </c>
      <c r="I2847" s="2">
        <v>4</v>
      </c>
    </row>
    <row r="2848" spans="1:9" x14ac:dyDescent="0.25">
      <c r="A2848" s="2" t="str">
        <f>CONCATENATE(Códigos!S2847,Códigos!T2847,Códigos!U2847)</f>
        <v>svv2846v</v>
      </c>
      <c r="B2848" t="s">
        <v>498</v>
      </c>
      <c r="C2848" t="s">
        <v>438</v>
      </c>
      <c r="D2848" s="2" t="s">
        <v>359</v>
      </c>
      <c r="E2848" t="s">
        <v>327</v>
      </c>
      <c r="F2848" s="11">
        <v>44558</v>
      </c>
      <c r="G2848" s="2">
        <f>VLOOKUP(E2848,Produtos!$A:$E,5,FALSE)</f>
        <v>890</v>
      </c>
      <c r="H2848" s="2">
        <f>VLOOKUP(E2848,Produtos!$A:$E,4,FALSE)</f>
        <v>600</v>
      </c>
      <c r="I2848" s="2">
        <v>4</v>
      </c>
    </row>
    <row r="2849" spans="1:9" x14ac:dyDescent="0.25">
      <c r="A2849" s="2" t="str">
        <f>CONCATENATE(Códigos!S2848,Códigos!T2848,Códigos!U2848)</f>
        <v>svv2847v</v>
      </c>
      <c r="B2849" t="s">
        <v>498</v>
      </c>
      <c r="C2849" t="s">
        <v>438</v>
      </c>
      <c r="D2849" s="2" t="s">
        <v>359</v>
      </c>
      <c r="E2849" t="s">
        <v>327</v>
      </c>
      <c r="F2849" s="11">
        <v>44559</v>
      </c>
      <c r="G2849" s="2">
        <f>VLOOKUP(E2849,Produtos!$A:$E,5,FALSE)</f>
        <v>890</v>
      </c>
      <c r="H2849" s="2">
        <f>VLOOKUP(E2849,Produtos!$A:$E,4,FALSE)</f>
        <v>600</v>
      </c>
      <c r="I2849" s="2">
        <v>4</v>
      </c>
    </row>
    <row r="2850" spans="1:9" x14ac:dyDescent="0.25">
      <c r="A2850" s="2" t="str">
        <f>CONCATENATE(Códigos!S2849,Códigos!T2849,Códigos!U2849)</f>
        <v>svv2848v</v>
      </c>
      <c r="B2850" t="s">
        <v>498</v>
      </c>
      <c r="C2850" t="s">
        <v>438</v>
      </c>
      <c r="D2850" s="2" t="s">
        <v>359</v>
      </c>
      <c r="E2850" t="s">
        <v>327</v>
      </c>
      <c r="F2850" s="11">
        <v>44560</v>
      </c>
      <c r="G2850" s="2">
        <f>VLOOKUP(E2850,Produtos!$A:$E,5,FALSE)</f>
        <v>890</v>
      </c>
      <c r="H2850" s="2">
        <f>VLOOKUP(E2850,Produtos!$A:$E,4,FALSE)</f>
        <v>600</v>
      </c>
      <c r="I2850" s="2">
        <v>4</v>
      </c>
    </row>
    <row r="2851" spans="1:9" x14ac:dyDescent="0.25">
      <c r="A2851" s="2" t="str">
        <f>CONCATENATE(Códigos!S2850,Códigos!T2850,Códigos!U2850)</f>
        <v>svv2849v</v>
      </c>
      <c r="B2851" t="s">
        <v>498</v>
      </c>
      <c r="C2851" t="s">
        <v>438</v>
      </c>
      <c r="D2851" s="2" t="s">
        <v>359</v>
      </c>
      <c r="E2851" t="s">
        <v>327</v>
      </c>
      <c r="F2851" s="11">
        <v>44561</v>
      </c>
      <c r="G2851" s="2">
        <f>VLOOKUP(E2851,Produtos!$A:$E,5,FALSE)</f>
        <v>890</v>
      </c>
      <c r="H2851" s="2">
        <f>VLOOKUP(E2851,Produtos!$A:$E,4,FALSE)</f>
        <v>600</v>
      </c>
      <c r="I2851" s="2">
        <v>4</v>
      </c>
    </row>
    <row r="2852" spans="1:9" x14ac:dyDescent="0.25">
      <c r="A2852" s="2" t="str">
        <f>CONCATENATE(Códigos!S2851,Códigos!T2851,Códigos!U2851)</f>
        <v>svv2850v</v>
      </c>
      <c r="B2852" t="s">
        <v>498</v>
      </c>
      <c r="C2852" t="s">
        <v>438</v>
      </c>
      <c r="D2852" s="2" t="s">
        <v>359</v>
      </c>
      <c r="E2852" t="s">
        <v>327</v>
      </c>
      <c r="F2852" s="11">
        <v>44562</v>
      </c>
      <c r="G2852" s="2">
        <f>VLOOKUP(E2852,Produtos!$A:$E,5,FALSE)</f>
        <v>890</v>
      </c>
      <c r="H2852" s="2">
        <f>VLOOKUP(E2852,Produtos!$A:$E,4,FALSE)</f>
        <v>600</v>
      </c>
      <c r="I2852" s="2">
        <v>4</v>
      </c>
    </row>
    <row r="2853" spans="1:9" x14ac:dyDescent="0.25">
      <c r="A2853" s="2" t="str">
        <f>CONCATENATE(Códigos!S2852,Códigos!T2852,Códigos!U2852)</f>
        <v>svv2851v</v>
      </c>
      <c r="B2853" t="s">
        <v>498</v>
      </c>
      <c r="C2853" t="s">
        <v>438</v>
      </c>
      <c r="D2853" s="2" t="s">
        <v>359</v>
      </c>
      <c r="E2853" t="s">
        <v>327</v>
      </c>
      <c r="F2853" s="11">
        <v>44563</v>
      </c>
      <c r="G2853" s="2">
        <f>VLOOKUP(E2853,Produtos!$A:$E,5,FALSE)</f>
        <v>890</v>
      </c>
      <c r="H2853" s="2">
        <f>VLOOKUP(E2853,Produtos!$A:$E,4,FALSE)</f>
        <v>600</v>
      </c>
      <c r="I2853" s="2">
        <v>4</v>
      </c>
    </row>
    <row r="2854" spans="1:9" x14ac:dyDescent="0.25">
      <c r="A2854" s="2" t="str">
        <f>CONCATENATE(Códigos!S2853,Códigos!T2853,Códigos!U2853)</f>
        <v>svv2852v</v>
      </c>
      <c r="B2854" t="s">
        <v>498</v>
      </c>
      <c r="C2854" t="s">
        <v>438</v>
      </c>
      <c r="D2854" s="2" t="s">
        <v>359</v>
      </c>
      <c r="E2854" t="s">
        <v>327</v>
      </c>
      <c r="F2854" s="11">
        <v>44564</v>
      </c>
      <c r="G2854" s="2">
        <f>VLOOKUP(E2854,Produtos!$A:$E,5,FALSE)</f>
        <v>890</v>
      </c>
      <c r="H2854" s="2">
        <f>VLOOKUP(E2854,Produtos!$A:$E,4,FALSE)</f>
        <v>600</v>
      </c>
      <c r="I2854" s="2">
        <v>4</v>
      </c>
    </row>
    <row r="2855" spans="1:9" x14ac:dyDescent="0.25">
      <c r="A2855" s="2" t="str">
        <f>CONCATENATE(Códigos!S2854,Códigos!T2854,Códigos!U2854)</f>
        <v>svv2853v</v>
      </c>
      <c r="B2855" t="s">
        <v>498</v>
      </c>
      <c r="C2855" t="s">
        <v>438</v>
      </c>
      <c r="D2855" s="2" t="s">
        <v>359</v>
      </c>
      <c r="E2855" t="s">
        <v>327</v>
      </c>
      <c r="F2855" s="11">
        <v>44565</v>
      </c>
      <c r="G2855" s="2">
        <f>VLOOKUP(E2855,Produtos!$A:$E,5,FALSE)</f>
        <v>890</v>
      </c>
      <c r="H2855" s="2">
        <f>VLOOKUP(E2855,Produtos!$A:$E,4,FALSE)</f>
        <v>600</v>
      </c>
      <c r="I2855" s="2">
        <v>4</v>
      </c>
    </row>
    <row r="2856" spans="1:9" x14ac:dyDescent="0.25">
      <c r="A2856" s="2" t="str">
        <f>CONCATENATE(Códigos!S2855,Códigos!T2855,Códigos!U2855)</f>
        <v>svv2854v</v>
      </c>
      <c r="B2856" t="s">
        <v>498</v>
      </c>
      <c r="C2856" t="s">
        <v>438</v>
      </c>
      <c r="D2856" s="2" t="s">
        <v>359</v>
      </c>
      <c r="E2856" t="s">
        <v>327</v>
      </c>
      <c r="F2856" s="11">
        <v>44566</v>
      </c>
      <c r="G2856" s="2">
        <f>VLOOKUP(E2856,Produtos!$A:$E,5,FALSE)</f>
        <v>890</v>
      </c>
      <c r="H2856" s="2">
        <f>VLOOKUP(E2856,Produtos!$A:$E,4,FALSE)</f>
        <v>600</v>
      </c>
      <c r="I2856" s="2">
        <v>4</v>
      </c>
    </row>
    <row r="2857" spans="1:9" x14ac:dyDescent="0.25">
      <c r="A2857" s="2" t="str">
        <f>CONCATENATE(Códigos!S2856,Códigos!T2856,Códigos!U2856)</f>
        <v>svv2855v</v>
      </c>
      <c r="B2857" t="s">
        <v>498</v>
      </c>
      <c r="C2857" t="s">
        <v>438</v>
      </c>
      <c r="D2857" s="2" t="s">
        <v>359</v>
      </c>
      <c r="E2857" t="s">
        <v>327</v>
      </c>
      <c r="F2857" s="11">
        <v>44567</v>
      </c>
      <c r="G2857" s="2">
        <f>VLOOKUP(E2857,Produtos!$A:$E,5,FALSE)</f>
        <v>890</v>
      </c>
      <c r="H2857" s="2">
        <f>VLOOKUP(E2857,Produtos!$A:$E,4,FALSE)</f>
        <v>600</v>
      </c>
      <c r="I2857" s="2">
        <v>4</v>
      </c>
    </row>
    <row r="2858" spans="1:9" x14ac:dyDescent="0.25">
      <c r="A2858" s="2" t="str">
        <f>CONCATENATE(Códigos!S2857,Códigos!T2857,Códigos!U2857)</f>
        <v>svv2856v</v>
      </c>
      <c r="B2858" t="s">
        <v>498</v>
      </c>
      <c r="C2858" t="s">
        <v>438</v>
      </c>
      <c r="D2858" s="2" t="s">
        <v>359</v>
      </c>
      <c r="E2858" t="s">
        <v>327</v>
      </c>
      <c r="F2858" s="11">
        <v>44568</v>
      </c>
      <c r="G2858" s="2">
        <f>VLOOKUP(E2858,Produtos!$A:$E,5,FALSE)</f>
        <v>890</v>
      </c>
      <c r="H2858" s="2">
        <f>VLOOKUP(E2858,Produtos!$A:$E,4,FALSE)</f>
        <v>600</v>
      </c>
      <c r="I2858" s="2">
        <v>4</v>
      </c>
    </row>
    <row r="2859" spans="1:9" x14ac:dyDescent="0.25">
      <c r="A2859" s="2" t="str">
        <f>CONCATENATE(Códigos!S2858,Códigos!T2858,Códigos!U2858)</f>
        <v>svv2857v</v>
      </c>
      <c r="B2859" t="s">
        <v>498</v>
      </c>
      <c r="C2859" t="s">
        <v>438</v>
      </c>
      <c r="D2859" s="2" t="s">
        <v>359</v>
      </c>
      <c r="E2859" t="s">
        <v>327</v>
      </c>
      <c r="F2859" s="11">
        <v>44569</v>
      </c>
      <c r="G2859" s="2">
        <f>VLOOKUP(E2859,Produtos!$A:$E,5,FALSE)</f>
        <v>890</v>
      </c>
      <c r="H2859" s="2">
        <f>VLOOKUP(E2859,Produtos!$A:$E,4,FALSE)</f>
        <v>600</v>
      </c>
      <c r="I2859" s="2">
        <v>4</v>
      </c>
    </row>
    <row r="2860" spans="1:9" x14ac:dyDescent="0.25">
      <c r="A2860" s="2" t="str">
        <f>CONCATENATE(Códigos!S2859,Códigos!T2859,Códigos!U2859)</f>
        <v>svv2858v</v>
      </c>
      <c r="B2860" t="s">
        <v>498</v>
      </c>
      <c r="C2860" t="s">
        <v>438</v>
      </c>
      <c r="D2860" s="2" t="s">
        <v>359</v>
      </c>
      <c r="E2860" t="s">
        <v>327</v>
      </c>
      <c r="F2860" s="11">
        <v>44570</v>
      </c>
      <c r="G2860" s="2">
        <f>VLOOKUP(E2860,Produtos!$A:$E,5,FALSE)</f>
        <v>890</v>
      </c>
      <c r="H2860" s="2">
        <f>VLOOKUP(E2860,Produtos!$A:$E,4,FALSE)</f>
        <v>600</v>
      </c>
      <c r="I2860" s="2">
        <v>4</v>
      </c>
    </row>
    <row r="2861" spans="1:9" x14ac:dyDescent="0.25">
      <c r="A2861" s="2" t="str">
        <f>CONCATENATE(Códigos!S2860,Códigos!T2860,Códigos!U2860)</f>
        <v>svv2859v</v>
      </c>
      <c r="B2861" t="s">
        <v>498</v>
      </c>
      <c r="C2861" t="s">
        <v>438</v>
      </c>
      <c r="D2861" s="2" t="s">
        <v>359</v>
      </c>
      <c r="E2861" t="s">
        <v>327</v>
      </c>
      <c r="F2861" s="11">
        <v>44571</v>
      </c>
      <c r="G2861" s="2">
        <f>VLOOKUP(E2861,Produtos!$A:$E,5,FALSE)</f>
        <v>890</v>
      </c>
      <c r="H2861" s="2">
        <f>VLOOKUP(E2861,Produtos!$A:$E,4,FALSE)</f>
        <v>600</v>
      </c>
      <c r="I2861" s="2">
        <v>4</v>
      </c>
    </row>
    <row r="2862" spans="1:9" x14ac:dyDescent="0.25">
      <c r="A2862" s="2" t="str">
        <f>CONCATENATE(Códigos!S2861,Códigos!T2861,Códigos!U2861)</f>
        <v>svv2860v</v>
      </c>
      <c r="B2862" t="s">
        <v>498</v>
      </c>
      <c r="C2862" t="s">
        <v>438</v>
      </c>
      <c r="D2862" s="2" t="s">
        <v>359</v>
      </c>
      <c r="E2862" t="s">
        <v>327</v>
      </c>
      <c r="F2862" s="11">
        <v>44572</v>
      </c>
      <c r="G2862" s="2">
        <f>VLOOKUP(E2862,Produtos!$A:$E,5,FALSE)</f>
        <v>890</v>
      </c>
      <c r="H2862" s="2">
        <f>VLOOKUP(E2862,Produtos!$A:$E,4,FALSE)</f>
        <v>600</v>
      </c>
      <c r="I2862" s="2">
        <v>4</v>
      </c>
    </row>
    <row r="2863" spans="1:9" x14ac:dyDescent="0.25">
      <c r="A2863" s="2" t="str">
        <f>CONCATENATE(Códigos!S2862,Códigos!T2862,Códigos!U2862)</f>
        <v>svv2861v</v>
      </c>
      <c r="B2863" t="s">
        <v>498</v>
      </c>
      <c r="C2863" t="s">
        <v>438</v>
      </c>
      <c r="D2863" s="2" t="s">
        <v>359</v>
      </c>
      <c r="E2863" t="s">
        <v>327</v>
      </c>
      <c r="F2863" s="11">
        <v>44573</v>
      </c>
      <c r="G2863" s="2">
        <f>VLOOKUP(E2863,Produtos!$A:$E,5,FALSE)</f>
        <v>890</v>
      </c>
      <c r="H2863" s="2">
        <f>VLOOKUP(E2863,Produtos!$A:$E,4,FALSE)</f>
        <v>600</v>
      </c>
      <c r="I2863" s="2">
        <v>4</v>
      </c>
    </row>
    <row r="2864" spans="1:9" x14ac:dyDescent="0.25">
      <c r="A2864" s="2" t="str">
        <f>CONCATENATE(Códigos!S2863,Códigos!T2863,Códigos!U2863)</f>
        <v>svv2862v</v>
      </c>
      <c r="B2864" t="s">
        <v>498</v>
      </c>
      <c r="C2864" t="s">
        <v>438</v>
      </c>
      <c r="D2864" s="2" t="s">
        <v>359</v>
      </c>
      <c r="E2864" t="s">
        <v>327</v>
      </c>
      <c r="F2864" s="11">
        <v>44574</v>
      </c>
      <c r="G2864" s="2">
        <f>VLOOKUP(E2864,Produtos!$A:$E,5,FALSE)</f>
        <v>890</v>
      </c>
      <c r="H2864" s="2">
        <f>VLOOKUP(E2864,Produtos!$A:$E,4,FALSE)</f>
        <v>600</v>
      </c>
      <c r="I2864" s="2">
        <v>4</v>
      </c>
    </row>
    <row r="2865" spans="1:9" x14ac:dyDescent="0.25">
      <c r="A2865" s="2" t="str">
        <f>CONCATENATE(Códigos!S2864,Códigos!T2864,Códigos!U2864)</f>
        <v>svv2863v</v>
      </c>
      <c r="B2865" t="s">
        <v>498</v>
      </c>
      <c r="C2865" t="s">
        <v>438</v>
      </c>
      <c r="D2865" s="2" t="s">
        <v>359</v>
      </c>
      <c r="E2865" t="s">
        <v>327</v>
      </c>
      <c r="F2865" s="11">
        <v>44575</v>
      </c>
      <c r="G2865" s="2">
        <f>VLOOKUP(E2865,Produtos!$A:$E,5,FALSE)</f>
        <v>890</v>
      </c>
      <c r="H2865" s="2">
        <f>VLOOKUP(E2865,Produtos!$A:$E,4,FALSE)</f>
        <v>600</v>
      </c>
      <c r="I2865" s="2">
        <v>4</v>
      </c>
    </row>
    <row r="2866" spans="1:9" x14ac:dyDescent="0.25">
      <c r="A2866" s="2" t="str">
        <f>CONCATENATE(Códigos!S2865,Códigos!T2865,Códigos!U2865)</f>
        <v>svv2864v</v>
      </c>
      <c r="B2866" t="s">
        <v>498</v>
      </c>
      <c r="C2866" t="s">
        <v>438</v>
      </c>
      <c r="D2866" s="2" t="s">
        <v>359</v>
      </c>
      <c r="E2866" t="s">
        <v>327</v>
      </c>
      <c r="F2866" s="11">
        <v>44576</v>
      </c>
      <c r="G2866" s="2">
        <f>VLOOKUP(E2866,Produtos!$A:$E,5,FALSE)</f>
        <v>890</v>
      </c>
      <c r="H2866" s="2">
        <f>VLOOKUP(E2866,Produtos!$A:$E,4,FALSE)</f>
        <v>600</v>
      </c>
      <c r="I2866" s="2">
        <v>4</v>
      </c>
    </row>
    <row r="2867" spans="1:9" x14ac:dyDescent="0.25">
      <c r="A2867" s="2" t="str">
        <f>CONCATENATE(Códigos!S2866,Códigos!T2866,Códigos!U2866)</f>
        <v>svv2865v</v>
      </c>
      <c r="B2867" t="s">
        <v>498</v>
      </c>
      <c r="C2867" t="s">
        <v>438</v>
      </c>
      <c r="D2867" s="2" t="s">
        <v>359</v>
      </c>
      <c r="E2867" t="s">
        <v>327</v>
      </c>
      <c r="F2867" s="11">
        <v>44577</v>
      </c>
      <c r="G2867" s="2">
        <f>VLOOKUP(E2867,Produtos!$A:$E,5,FALSE)</f>
        <v>890</v>
      </c>
      <c r="H2867" s="2">
        <f>VLOOKUP(E2867,Produtos!$A:$E,4,FALSE)</f>
        <v>600</v>
      </c>
      <c r="I2867" s="2">
        <v>4</v>
      </c>
    </row>
    <row r="2868" spans="1:9" x14ac:dyDescent="0.25">
      <c r="A2868" s="2" t="str">
        <f>CONCATENATE(Códigos!S2867,Códigos!T2867,Códigos!U2867)</f>
        <v>svv2866v</v>
      </c>
      <c r="B2868" t="s">
        <v>498</v>
      </c>
      <c r="C2868" t="s">
        <v>438</v>
      </c>
      <c r="D2868" s="2" t="s">
        <v>359</v>
      </c>
      <c r="E2868" t="s">
        <v>327</v>
      </c>
      <c r="F2868" s="11">
        <v>44578</v>
      </c>
      <c r="G2868" s="2">
        <f>VLOOKUP(E2868,Produtos!$A:$E,5,FALSE)</f>
        <v>890</v>
      </c>
      <c r="H2868" s="2">
        <f>VLOOKUP(E2868,Produtos!$A:$E,4,FALSE)</f>
        <v>600</v>
      </c>
      <c r="I2868" s="2">
        <v>4</v>
      </c>
    </row>
    <row r="2869" spans="1:9" x14ac:dyDescent="0.25">
      <c r="A2869" s="2" t="str">
        <f>CONCATENATE(Códigos!S2868,Códigos!T2868,Códigos!U2868)</f>
        <v>svv2867v</v>
      </c>
      <c r="B2869" t="s">
        <v>498</v>
      </c>
      <c r="C2869" t="s">
        <v>438</v>
      </c>
      <c r="D2869" s="2" t="s">
        <v>359</v>
      </c>
      <c r="E2869" t="s">
        <v>327</v>
      </c>
      <c r="F2869" s="11">
        <v>44579</v>
      </c>
      <c r="G2869" s="2">
        <f>VLOOKUP(E2869,Produtos!$A:$E,5,FALSE)</f>
        <v>890</v>
      </c>
      <c r="H2869" s="2">
        <f>VLOOKUP(E2869,Produtos!$A:$E,4,FALSE)</f>
        <v>600</v>
      </c>
      <c r="I2869" s="2">
        <v>4</v>
      </c>
    </row>
    <row r="2870" spans="1:9" x14ac:dyDescent="0.25">
      <c r="A2870" s="2" t="str">
        <f>CONCATENATE(Códigos!S2869,Códigos!T2869,Códigos!U2869)</f>
        <v>svv2868v</v>
      </c>
      <c r="B2870" t="s">
        <v>498</v>
      </c>
      <c r="C2870" t="s">
        <v>438</v>
      </c>
      <c r="D2870" s="2" t="s">
        <v>359</v>
      </c>
      <c r="E2870" t="s">
        <v>327</v>
      </c>
      <c r="F2870" s="11">
        <v>44580</v>
      </c>
      <c r="G2870" s="2">
        <f>VLOOKUP(E2870,Produtos!$A:$E,5,FALSE)</f>
        <v>890</v>
      </c>
      <c r="H2870" s="2">
        <f>VLOOKUP(E2870,Produtos!$A:$E,4,FALSE)</f>
        <v>600</v>
      </c>
      <c r="I2870" s="2">
        <v>4</v>
      </c>
    </row>
    <row r="2871" spans="1:9" x14ac:dyDescent="0.25">
      <c r="A2871" s="2" t="str">
        <f>CONCATENATE(Códigos!S2870,Códigos!T2870,Códigos!U2870)</f>
        <v>svv2869v</v>
      </c>
      <c r="B2871" t="s">
        <v>498</v>
      </c>
      <c r="C2871" t="s">
        <v>447</v>
      </c>
      <c r="D2871" s="2" t="s">
        <v>448</v>
      </c>
      <c r="E2871" t="s">
        <v>327</v>
      </c>
      <c r="F2871" s="11">
        <v>44581</v>
      </c>
      <c r="G2871" s="2">
        <f>VLOOKUP(E2871,Produtos!$A:$E,5,FALSE)</f>
        <v>890</v>
      </c>
      <c r="H2871" s="2">
        <f>VLOOKUP(E2871,Produtos!$A:$E,4,FALSE)</f>
        <v>600</v>
      </c>
      <c r="I2871" s="2">
        <v>4</v>
      </c>
    </row>
    <row r="2872" spans="1:9" x14ac:dyDescent="0.25">
      <c r="A2872" s="2" t="str">
        <f>CONCATENATE(Códigos!S2871,Códigos!T2871,Códigos!U2871)</f>
        <v>svv2870v</v>
      </c>
      <c r="B2872" t="s">
        <v>498</v>
      </c>
      <c r="C2872" t="s">
        <v>447</v>
      </c>
      <c r="D2872" s="2" t="s">
        <v>448</v>
      </c>
      <c r="E2872" t="s">
        <v>327</v>
      </c>
      <c r="F2872" s="11">
        <v>44582</v>
      </c>
      <c r="G2872" s="2">
        <f>VLOOKUP(E2872,Produtos!$A:$E,5,FALSE)</f>
        <v>890</v>
      </c>
      <c r="H2872" s="2">
        <f>VLOOKUP(E2872,Produtos!$A:$E,4,FALSE)</f>
        <v>600</v>
      </c>
      <c r="I2872" s="2">
        <v>4</v>
      </c>
    </row>
    <row r="2873" spans="1:9" x14ac:dyDescent="0.25">
      <c r="A2873" s="2" t="str">
        <f>CONCATENATE(Códigos!S2872,Códigos!T2872,Códigos!U2872)</f>
        <v>svv2871v</v>
      </c>
      <c r="B2873" t="s">
        <v>498</v>
      </c>
      <c r="C2873" t="s">
        <v>447</v>
      </c>
      <c r="D2873" s="2" t="s">
        <v>448</v>
      </c>
      <c r="E2873" t="s">
        <v>327</v>
      </c>
      <c r="F2873" s="11">
        <v>44583</v>
      </c>
      <c r="G2873" s="2">
        <f>VLOOKUP(E2873,Produtos!$A:$E,5,FALSE)</f>
        <v>890</v>
      </c>
      <c r="H2873" s="2">
        <f>VLOOKUP(E2873,Produtos!$A:$E,4,FALSE)</f>
        <v>600</v>
      </c>
      <c r="I2873" s="2">
        <v>4</v>
      </c>
    </row>
    <row r="2874" spans="1:9" x14ac:dyDescent="0.25">
      <c r="A2874" s="2" t="str">
        <f>CONCATENATE(Códigos!S2873,Códigos!T2873,Códigos!U2873)</f>
        <v>svv2872v</v>
      </c>
      <c r="B2874" t="s">
        <v>498</v>
      </c>
      <c r="C2874" t="s">
        <v>447</v>
      </c>
      <c r="D2874" s="2" t="s">
        <v>448</v>
      </c>
      <c r="E2874" t="s">
        <v>327</v>
      </c>
      <c r="F2874" s="11">
        <v>44584</v>
      </c>
      <c r="G2874" s="2">
        <f>VLOOKUP(E2874,Produtos!$A:$E,5,FALSE)</f>
        <v>890</v>
      </c>
      <c r="H2874" s="2">
        <f>VLOOKUP(E2874,Produtos!$A:$E,4,FALSE)</f>
        <v>600</v>
      </c>
      <c r="I2874" s="2">
        <v>4</v>
      </c>
    </row>
    <row r="2875" spans="1:9" x14ac:dyDescent="0.25">
      <c r="A2875" s="2" t="str">
        <f>CONCATENATE(Códigos!S2874,Códigos!T2874,Códigos!U2874)</f>
        <v>svv2873v</v>
      </c>
      <c r="B2875" t="s">
        <v>498</v>
      </c>
      <c r="C2875" t="s">
        <v>447</v>
      </c>
      <c r="D2875" s="2" t="s">
        <v>448</v>
      </c>
      <c r="E2875" t="s">
        <v>327</v>
      </c>
      <c r="F2875" s="11">
        <v>44585</v>
      </c>
      <c r="G2875" s="2">
        <f>VLOOKUP(E2875,Produtos!$A:$E,5,FALSE)</f>
        <v>890</v>
      </c>
      <c r="H2875" s="2">
        <f>VLOOKUP(E2875,Produtos!$A:$E,4,FALSE)</f>
        <v>600</v>
      </c>
      <c r="I2875" s="2">
        <v>6</v>
      </c>
    </row>
    <row r="2876" spans="1:9" x14ac:dyDescent="0.25">
      <c r="A2876" s="2" t="str">
        <f>CONCATENATE(Códigos!S2875,Códigos!T2875,Códigos!U2875)</f>
        <v>svv2874v</v>
      </c>
      <c r="B2876" t="s">
        <v>498</v>
      </c>
      <c r="C2876" t="s">
        <v>447</v>
      </c>
      <c r="D2876" s="2" t="s">
        <v>448</v>
      </c>
      <c r="E2876" t="s">
        <v>327</v>
      </c>
      <c r="F2876" s="11">
        <v>44586</v>
      </c>
      <c r="G2876" s="2">
        <f>VLOOKUP(E2876,Produtos!$A:$E,5,FALSE)</f>
        <v>890</v>
      </c>
      <c r="H2876" s="2">
        <f>VLOOKUP(E2876,Produtos!$A:$E,4,FALSE)</f>
        <v>600</v>
      </c>
      <c r="I2876" s="2">
        <v>6</v>
      </c>
    </row>
    <row r="2877" spans="1:9" x14ac:dyDescent="0.25">
      <c r="A2877" s="2" t="str">
        <f>CONCATENATE(Códigos!S2876,Códigos!T2876,Códigos!U2876)</f>
        <v>svv2875v</v>
      </c>
      <c r="B2877" t="s">
        <v>498</v>
      </c>
      <c r="C2877" t="s">
        <v>447</v>
      </c>
      <c r="D2877" s="2" t="s">
        <v>448</v>
      </c>
      <c r="E2877" t="s">
        <v>327</v>
      </c>
      <c r="F2877" s="11">
        <v>44587</v>
      </c>
      <c r="G2877" s="2">
        <f>VLOOKUP(E2877,Produtos!$A:$E,5,FALSE)</f>
        <v>890</v>
      </c>
      <c r="H2877" s="2">
        <f>VLOOKUP(E2877,Produtos!$A:$E,4,FALSE)</f>
        <v>600</v>
      </c>
      <c r="I2877" s="2">
        <v>6</v>
      </c>
    </row>
    <row r="2878" spans="1:9" x14ac:dyDescent="0.25">
      <c r="A2878" s="2" t="str">
        <f>CONCATENATE(Códigos!S2877,Códigos!T2877,Códigos!U2877)</f>
        <v>svv2876v</v>
      </c>
      <c r="B2878" t="s">
        <v>498</v>
      </c>
      <c r="C2878" t="s">
        <v>447</v>
      </c>
      <c r="D2878" s="2" t="s">
        <v>448</v>
      </c>
      <c r="E2878" t="s">
        <v>327</v>
      </c>
      <c r="F2878" s="11">
        <v>44588</v>
      </c>
      <c r="G2878" s="2">
        <f>VLOOKUP(E2878,Produtos!$A:$E,5,FALSE)</f>
        <v>890</v>
      </c>
      <c r="H2878" s="2">
        <f>VLOOKUP(E2878,Produtos!$A:$E,4,FALSE)</f>
        <v>600</v>
      </c>
      <c r="I2878" s="2">
        <v>6</v>
      </c>
    </row>
    <row r="2879" spans="1:9" x14ac:dyDescent="0.25">
      <c r="A2879" s="2" t="str">
        <f>CONCATENATE(Códigos!S2878,Códigos!T2878,Códigos!U2878)</f>
        <v>svv2877v</v>
      </c>
      <c r="B2879" t="s">
        <v>498</v>
      </c>
      <c r="C2879" t="s">
        <v>447</v>
      </c>
      <c r="D2879" s="2" t="s">
        <v>448</v>
      </c>
      <c r="E2879" t="s">
        <v>327</v>
      </c>
      <c r="F2879" s="11">
        <v>44589</v>
      </c>
      <c r="G2879" s="2">
        <f>VLOOKUP(E2879,Produtos!$A:$E,5,FALSE)</f>
        <v>890</v>
      </c>
      <c r="H2879" s="2">
        <f>VLOOKUP(E2879,Produtos!$A:$E,4,FALSE)</f>
        <v>600</v>
      </c>
      <c r="I2879" s="2">
        <v>6</v>
      </c>
    </row>
    <row r="2880" spans="1:9" x14ac:dyDescent="0.25">
      <c r="A2880" s="2" t="str">
        <f>CONCATENATE(Códigos!S2879,Códigos!T2879,Códigos!U2879)</f>
        <v>svv2878v</v>
      </c>
      <c r="B2880" t="s">
        <v>498</v>
      </c>
      <c r="C2880" t="s">
        <v>447</v>
      </c>
      <c r="D2880" s="2" t="s">
        <v>448</v>
      </c>
      <c r="E2880" t="s">
        <v>327</v>
      </c>
      <c r="F2880" s="11">
        <v>44590</v>
      </c>
      <c r="G2880" s="2">
        <f>VLOOKUP(E2880,Produtos!$A:$E,5,FALSE)</f>
        <v>890</v>
      </c>
      <c r="H2880" s="2">
        <f>VLOOKUP(E2880,Produtos!$A:$E,4,FALSE)</f>
        <v>600</v>
      </c>
      <c r="I2880" s="2">
        <v>6</v>
      </c>
    </row>
    <row r="2881" spans="1:9" x14ac:dyDescent="0.25">
      <c r="A2881" s="2" t="str">
        <f>CONCATENATE(Códigos!S2880,Códigos!T2880,Códigos!U2880)</f>
        <v>svv2879v</v>
      </c>
      <c r="B2881" t="s">
        <v>498</v>
      </c>
      <c r="C2881" t="s">
        <v>447</v>
      </c>
      <c r="D2881" s="2" t="s">
        <v>448</v>
      </c>
      <c r="E2881" t="s">
        <v>327</v>
      </c>
      <c r="F2881" s="11">
        <v>44591</v>
      </c>
      <c r="G2881" s="2">
        <f>VLOOKUP(E2881,Produtos!$A:$E,5,FALSE)</f>
        <v>890</v>
      </c>
      <c r="H2881" s="2">
        <f>VLOOKUP(E2881,Produtos!$A:$E,4,FALSE)</f>
        <v>600</v>
      </c>
      <c r="I2881" s="2">
        <v>6</v>
      </c>
    </row>
    <row r="2882" spans="1:9" x14ac:dyDescent="0.25">
      <c r="A2882" s="2" t="str">
        <f>CONCATENATE(Códigos!S2881,Códigos!T2881,Códigos!U2881)</f>
        <v>svv2880v</v>
      </c>
      <c r="B2882" t="s">
        <v>498</v>
      </c>
      <c r="C2882" t="s">
        <v>447</v>
      </c>
      <c r="D2882" s="2" t="s">
        <v>448</v>
      </c>
      <c r="E2882" t="s">
        <v>327</v>
      </c>
      <c r="F2882" s="11">
        <v>44592</v>
      </c>
      <c r="G2882" s="2">
        <f>VLOOKUP(E2882,Produtos!$A:$E,5,FALSE)</f>
        <v>890</v>
      </c>
      <c r="H2882" s="2">
        <f>VLOOKUP(E2882,Produtos!$A:$E,4,FALSE)</f>
        <v>600</v>
      </c>
      <c r="I2882" s="2">
        <v>6</v>
      </c>
    </row>
    <row r="2883" spans="1:9" x14ac:dyDescent="0.25">
      <c r="A2883" s="2" t="str">
        <f>CONCATENATE(Códigos!S2882,Códigos!T2882,Códigos!U2882)</f>
        <v>svv2881v</v>
      </c>
      <c r="B2883" t="s">
        <v>498</v>
      </c>
      <c r="C2883" t="s">
        <v>447</v>
      </c>
      <c r="D2883" s="2" t="s">
        <v>448</v>
      </c>
      <c r="E2883" t="s">
        <v>327</v>
      </c>
      <c r="F2883" s="11">
        <v>44593</v>
      </c>
      <c r="G2883" s="2">
        <f>VLOOKUP(E2883,Produtos!$A:$E,5,FALSE)</f>
        <v>890</v>
      </c>
      <c r="H2883" s="2">
        <f>VLOOKUP(E2883,Produtos!$A:$E,4,FALSE)</f>
        <v>600</v>
      </c>
      <c r="I2883" s="2">
        <v>6</v>
      </c>
    </row>
    <row r="2884" spans="1:9" x14ac:dyDescent="0.25">
      <c r="A2884" s="2" t="str">
        <f>CONCATENATE(Códigos!S2883,Códigos!T2883,Códigos!U2883)</f>
        <v>svv2882v</v>
      </c>
      <c r="B2884" t="s">
        <v>498</v>
      </c>
      <c r="C2884" t="s">
        <v>447</v>
      </c>
      <c r="D2884" s="2" t="s">
        <v>448</v>
      </c>
      <c r="E2884" t="s">
        <v>327</v>
      </c>
      <c r="F2884" s="11">
        <v>44594</v>
      </c>
      <c r="G2884" s="2">
        <f>VLOOKUP(E2884,Produtos!$A:$E,5,FALSE)</f>
        <v>890</v>
      </c>
      <c r="H2884" s="2">
        <f>VLOOKUP(E2884,Produtos!$A:$E,4,FALSE)</f>
        <v>600</v>
      </c>
      <c r="I2884" s="2">
        <v>6</v>
      </c>
    </row>
    <row r="2885" spans="1:9" x14ac:dyDescent="0.25">
      <c r="A2885" s="2" t="str">
        <f>CONCATENATE(Códigos!S2884,Códigos!T2884,Códigos!U2884)</f>
        <v>svv2883v</v>
      </c>
      <c r="B2885" t="s">
        <v>498</v>
      </c>
      <c r="C2885" t="s">
        <v>447</v>
      </c>
      <c r="D2885" s="2" t="s">
        <v>448</v>
      </c>
      <c r="E2885" t="s">
        <v>327</v>
      </c>
      <c r="F2885" s="11">
        <v>44595</v>
      </c>
      <c r="G2885" s="2">
        <f>VLOOKUP(E2885,Produtos!$A:$E,5,FALSE)</f>
        <v>890</v>
      </c>
      <c r="H2885" s="2">
        <f>VLOOKUP(E2885,Produtos!$A:$E,4,FALSE)</f>
        <v>600</v>
      </c>
      <c r="I2885" s="2">
        <v>6</v>
      </c>
    </row>
    <row r="2886" spans="1:9" x14ac:dyDescent="0.25">
      <c r="A2886" s="2" t="str">
        <f>CONCATENATE(Códigos!S2885,Códigos!T2885,Códigos!U2885)</f>
        <v>svv2884v</v>
      </c>
      <c r="B2886" t="s">
        <v>498</v>
      </c>
      <c r="C2886" t="s">
        <v>447</v>
      </c>
      <c r="D2886" s="2" t="s">
        <v>448</v>
      </c>
      <c r="E2886" t="s">
        <v>327</v>
      </c>
      <c r="F2886" s="11">
        <v>44596</v>
      </c>
      <c r="G2886" s="2">
        <f>VLOOKUP(E2886,Produtos!$A:$E,5,FALSE)</f>
        <v>890</v>
      </c>
      <c r="H2886" s="2">
        <f>VLOOKUP(E2886,Produtos!$A:$E,4,FALSE)</f>
        <v>600</v>
      </c>
      <c r="I2886" s="2">
        <v>6</v>
      </c>
    </row>
    <row r="2887" spans="1:9" x14ac:dyDescent="0.25">
      <c r="A2887" s="2" t="str">
        <f>CONCATENATE(Códigos!S2886,Códigos!T2886,Códigos!U2886)</f>
        <v>svv2885v</v>
      </c>
      <c r="B2887" t="s">
        <v>498</v>
      </c>
      <c r="C2887" t="s">
        <v>447</v>
      </c>
      <c r="D2887" s="2" t="s">
        <v>448</v>
      </c>
      <c r="E2887" t="s">
        <v>327</v>
      </c>
      <c r="F2887" s="11">
        <v>44597</v>
      </c>
      <c r="G2887" s="2">
        <f>VLOOKUP(E2887,Produtos!$A:$E,5,FALSE)</f>
        <v>890</v>
      </c>
      <c r="H2887" s="2">
        <f>VLOOKUP(E2887,Produtos!$A:$E,4,FALSE)</f>
        <v>600</v>
      </c>
      <c r="I2887" s="2">
        <v>6</v>
      </c>
    </row>
    <row r="2888" spans="1:9" x14ac:dyDescent="0.25">
      <c r="A2888" s="2" t="str">
        <f>CONCATENATE(Códigos!S2887,Códigos!T2887,Códigos!U2887)</f>
        <v>svv2886v</v>
      </c>
      <c r="B2888" t="s">
        <v>498</v>
      </c>
      <c r="C2888" t="s">
        <v>447</v>
      </c>
      <c r="D2888" s="2" t="s">
        <v>448</v>
      </c>
      <c r="E2888" t="s">
        <v>327</v>
      </c>
      <c r="F2888" s="11">
        <v>44598</v>
      </c>
      <c r="G2888" s="2">
        <f>VLOOKUP(E2888,Produtos!$A:$E,5,FALSE)</f>
        <v>890</v>
      </c>
      <c r="H2888" s="2">
        <f>VLOOKUP(E2888,Produtos!$A:$E,4,FALSE)</f>
        <v>600</v>
      </c>
      <c r="I2888" s="2">
        <v>6</v>
      </c>
    </row>
    <row r="2889" spans="1:9" x14ac:dyDescent="0.25">
      <c r="A2889" s="2" t="str">
        <f>CONCATENATE(Códigos!S2888,Códigos!T2888,Códigos!U2888)</f>
        <v>svv2887v</v>
      </c>
      <c r="B2889" t="s">
        <v>498</v>
      </c>
      <c r="C2889" t="s">
        <v>447</v>
      </c>
      <c r="D2889" s="2" t="s">
        <v>448</v>
      </c>
      <c r="E2889" t="s">
        <v>327</v>
      </c>
      <c r="F2889" s="11">
        <v>44599</v>
      </c>
      <c r="G2889" s="2">
        <f>VLOOKUP(E2889,Produtos!$A:$E,5,FALSE)</f>
        <v>890</v>
      </c>
      <c r="H2889" s="2">
        <f>VLOOKUP(E2889,Produtos!$A:$E,4,FALSE)</f>
        <v>600</v>
      </c>
      <c r="I2889" s="2">
        <v>6</v>
      </c>
    </row>
    <row r="2890" spans="1:9" x14ac:dyDescent="0.25">
      <c r="A2890" s="2" t="str">
        <f>CONCATENATE(Códigos!S2889,Códigos!T2889,Códigos!U2889)</f>
        <v>svv2888v</v>
      </c>
      <c r="B2890" t="s">
        <v>498</v>
      </c>
      <c r="C2890" t="s">
        <v>447</v>
      </c>
      <c r="D2890" s="2" t="s">
        <v>448</v>
      </c>
      <c r="E2890" t="s">
        <v>327</v>
      </c>
      <c r="F2890" s="11">
        <v>44600</v>
      </c>
      <c r="G2890" s="2">
        <f>VLOOKUP(E2890,Produtos!$A:$E,5,FALSE)</f>
        <v>890</v>
      </c>
      <c r="H2890" s="2">
        <f>VLOOKUP(E2890,Produtos!$A:$E,4,FALSE)</f>
        <v>600</v>
      </c>
      <c r="I2890" s="2">
        <v>6</v>
      </c>
    </row>
    <row r="2891" spans="1:9" x14ac:dyDescent="0.25">
      <c r="A2891" s="2" t="str">
        <f>CONCATENATE(Códigos!S2890,Códigos!T2890,Códigos!U2890)</f>
        <v>svv2889v</v>
      </c>
      <c r="B2891" t="s">
        <v>498</v>
      </c>
      <c r="C2891" t="s">
        <v>447</v>
      </c>
      <c r="D2891" s="2" t="s">
        <v>448</v>
      </c>
      <c r="E2891" t="s">
        <v>327</v>
      </c>
      <c r="F2891" s="11">
        <v>44601</v>
      </c>
      <c r="G2891" s="2">
        <f>VLOOKUP(E2891,Produtos!$A:$E,5,FALSE)</f>
        <v>890</v>
      </c>
      <c r="H2891" s="2">
        <f>VLOOKUP(E2891,Produtos!$A:$E,4,FALSE)</f>
        <v>600</v>
      </c>
      <c r="I2891" s="2">
        <v>6</v>
      </c>
    </row>
    <row r="2892" spans="1:9" x14ac:dyDescent="0.25">
      <c r="A2892" s="2" t="str">
        <f>CONCATENATE(Códigos!S2891,Códigos!T2891,Códigos!U2891)</f>
        <v>svv2890v</v>
      </c>
      <c r="B2892" t="s">
        <v>498</v>
      </c>
      <c r="C2892" t="s">
        <v>447</v>
      </c>
      <c r="D2892" s="2" t="s">
        <v>448</v>
      </c>
      <c r="E2892" t="s">
        <v>327</v>
      </c>
      <c r="F2892" s="11">
        <v>44602</v>
      </c>
      <c r="G2892" s="2">
        <f>VLOOKUP(E2892,Produtos!$A:$E,5,FALSE)</f>
        <v>890</v>
      </c>
      <c r="H2892" s="2">
        <f>VLOOKUP(E2892,Produtos!$A:$E,4,FALSE)</f>
        <v>600</v>
      </c>
      <c r="I2892" s="2">
        <v>6</v>
      </c>
    </row>
    <row r="2893" spans="1:9" x14ac:dyDescent="0.25">
      <c r="A2893" s="2" t="str">
        <f>CONCATENATE(Códigos!S2892,Códigos!T2892,Códigos!U2892)</f>
        <v>svv2891v</v>
      </c>
      <c r="B2893" t="s">
        <v>498</v>
      </c>
      <c r="C2893" t="s">
        <v>447</v>
      </c>
      <c r="D2893" s="2" t="s">
        <v>448</v>
      </c>
      <c r="E2893" t="s">
        <v>327</v>
      </c>
      <c r="F2893" s="11">
        <v>44603</v>
      </c>
      <c r="G2893" s="2">
        <f>VLOOKUP(E2893,Produtos!$A:$E,5,FALSE)</f>
        <v>890</v>
      </c>
      <c r="H2893" s="2">
        <f>VLOOKUP(E2893,Produtos!$A:$E,4,FALSE)</f>
        <v>600</v>
      </c>
      <c r="I2893" s="2">
        <v>6</v>
      </c>
    </row>
    <row r="2894" spans="1:9" x14ac:dyDescent="0.25">
      <c r="A2894" s="2" t="str">
        <f>CONCATENATE(Códigos!S2893,Códigos!T2893,Códigos!U2893)</f>
        <v>svv2892v</v>
      </c>
      <c r="B2894" t="s">
        <v>498</v>
      </c>
      <c r="C2894" t="s">
        <v>447</v>
      </c>
      <c r="D2894" s="2" t="s">
        <v>448</v>
      </c>
      <c r="E2894" t="s">
        <v>327</v>
      </c>
      <c r="F2894" s="11">
        <v>44604</v>
      </c>
      <c r="G2894" s="2">
        <f>VLOOKUP(E2894,Produtos!$A:$E,5,FALSE)</f>
        <v>890</v>
      </c>
      <c r="H2894" s="2">
        <f>VLOOKUP(E2894,Produtos!$A:$E,4,FALSE)</f>
        <v>600</v>
      </c>
      <c r="I2894" s="2">
        <v>6</v>
      </c>
    </row>
    <row r="2895" spans="1:9" x14ac:dyDescent="0.25">
      <c r="A2895" s="2" t="str">
        <f>CONCATENATE(Códigos!S2894,Códigos!T2894,Códigos!U2894)</f>
        <v>svv2893v</v>
      </c>
      <c r="B2895" t="s">
        <v>498</v>
      </c>
      <c r="C2895" t="s">
        <v>447</v>
      </c>
      <c r="D2895" s="2" t="s">
        <v>448</v>
      </c>
      <c r="E2895" t="s">
        <v>327</v>
      </c>
      <c r="F2895" s="11">
        <v>44605</v>
      </c>
      <c r="G2895" s="2">
        <f>VLOOKUP(E2895,Produtos!$A:$E,5,FALSE)</f>
        <v>890</v>
      </c>
      <c r="H2895" s="2">
        <f>VLOOKUP(E2895,Produtos!$A:$E,4,FALSE)</f>
        <v>600</v>
      </c>
      <c r="I2895" s="2">
        <v>6</v>
      </c>
    </row>
    <row r="2896" spans="1:9" x14ac:dyDescent="0.25">
      <c r="A2896" s="2" t="str">
        <f>CONCATENATE(Códigos!S2895,Códigos!T2895,Códigos!U2895)</f>
        <v>svv2894v</v>
      </c>
      <c r="B2896" t="s">
        <v>498</v>
      </c>
      <c r="C2896" t="s">
        <v>447</v>
      </c>
      <c r="D2896" s="2" t="s">
        <v>448</v>
      </c>
      <c r="E2896" t="s">
        <v>327</v>
      </c>
      <c r="F2896" s="11">
        <v>44606</v>
      </c>
      <c r="G2896" s="2">
        <f>VLOOKUP(E2896,Produtos!$A:$E,5,FALSE)</f>
        <v>890</v>
      </c>
      <c r="H2896" s="2">
        <f>VLOOKUP(E2896,Produtos!$A:$E,4,FALSE)</f>
        <v>600</v>
      </c>
      <c r="I2896" s="2">
        <v>6</v>
      </c>
    </row>
    <row r="2897" spans="1:9" x14ac:dyDescent="0.25">
      <c r="A2897" s="2" t="str">
        <f>CONCATENATE(Códigos!S2896,Códigos!T2896,Códigos!U2896)</f>
        <v>svv2895v</v>
      </c>
      <c r="B2897" t="s">
        <v>498</v>
      </c>
      <c r="C2897" t="s">
        <v>447</v>
      </c>
      <c r="D2897" s="2" t="s">
        <v>448</v>
      </c>
      <c r="E2897" t="s">
        <v>327</v>
      </c>
      <c r="F2897" s="11">
        <v>44607</v>
      </c>
      <c r="G2897" s="2">
        <f>VLOOKUP(E2897,Produtos!$A:$E,5,FALSE)</f>
        <v>890</v>
      </c>
      <c r="H2897" s="2">
        <f>VLOOKUP(E2897,Produtos!$A:$E,4,FALSE)</f>
        <v>600</v>
      </c>
      <c r="I2897" s="2">
        <v>6</v>
      </c>
    </row>
    <row r="2898" spans="1:9" x14ac:dyDescent="0.25">
      <c r="A2898" s="2" t="str">
        <f>CONCATENATE(Códigos!S2897,Códigos!T2897,Códigos!U2897)</f>
        <v>svv2896v</v>
      </c>
      <c r="B2898" t="s">
        <v>498</v>
      </c>
      <c r="C2898" t="s">
        <v>447</v>
      </c>
      <c r="D2898" s="2" t="s">
        <v>448</v>
      </c>
      <c r="E2898" t="s">
        <v>327</v>
      </c>
      <c r="F2898" s="11">
        <v>44608</v>
      </c>
      <c r="G2898" s="2">
        <f>VLOOKUP(E2898,Produtos!$A:$E,5,FALSE)</f>
        <v>890</v>
      </c>
      <c r="H2898" s="2">
        <f>VLOOKUP(E2898,Produtos!$A:$E,4,FALSE)</f>
        <v>600</v>
      </c>
      <c r="I2898" s="2">
        <v>6</v>
      </c>
    </row>
    <row r="2899" spans="1:9" x14ac:dyDescent="0.25">
      <c r="A2899" s="2" t="str">
        <f>CONCATENATE(Códigos!S2898,Códigos!T2898,Códigos!U2898)</f>
        <v>svv2897v</v>
      </c>
      <c r="B2899" t="s">
        <v>498</v>
      </c>
      <c r="C2899" t="s">
        <v>447</v>
      </c>
      <c r="D2899" s="2" t="s">
        <v>448</v>
      </c>
      <c r="E2899" t="s">
        <v>327</v>
      </c>
      <c r="F2899" s="11">
        <v>44609</v>
      </c>
      <c r="G2899" s="2">
        <f>VLOOKUP(E2899,Produtos!$A:$E,5,FALSE)</f>
        <v>890</v>
      </c>
      <c r="H2899" s="2">
        <f>VLOOKUP(E2899,Produtos!$A:$E,4,FALSE)</f>
        <v>600</v>
      </c>
      <c r="I2899" s="2">
        <v>6</v>
      </c>
    </row>
    <row r="2900" spans="1:9" x14ac:dyDescent="0.25">
      <c r="A2900" s="2" t="str">
        <f>CONCATENATE(Códigos!S2899,Códigos!T2899,Códigos!U2899)</f>
        <v>svv2898v</v>
      </c>
      <c r="B2900" t="s">
        <v>498</v>
      </c>
      <c r="C2900" t="s">
        <v>447</v>
      </c>
      <c r="D2900" s="2" t="s">
        <v>448</v>
      </c>
      <c r="E2900" t="s">
        <v>327</v>
      </c>
      <c r="F2900" s="11">
        <v>44610</v>
      </c>
      <c r="G2900" s="2">
        <f>VLOOKUP(E2900,Produtos!$A:$E,5,FALSE)</f>
        <v>890</v>
      </c>
      <c r="H2900" s="2">
        <f>VLOOKUP(E2900,Produtos!$A:$E,4,FALSE)</f>
        <v>600</v>
      </c>
      <c r="I2900" s="2">
        <v>6</v>
      </c>
    </row>
    <row r="2901" spans="1:9" x14ac:dyDescent="0.25">
      <c r="A2901" s="2" t="str">
        <f>CONCATENATE(Códigos!S2900,Códigos!T2900,Códigos!U2900)</f>
        <v>svv2899v</v>
      </c>
      <c r="B2901" t="s">
        <v>498</v>
      </c>
      <c r="C2901" t="s">
        <v>447</v>
      </c>
      <c r="D2901" s="2" t="s">
        <v>448</v>
      </c>
      <c r="E2901" t="s">
        <v>327</v>
      </c>
      <c r="F2901" s="11">
        <v>44611</v>
      </c>
      <c r="G2901" s="2">
        <f>VLOOKUP(E2901,Produtos!$A:$E,5,FALSE)</f>
        <v>890</v>
      </c>
      <c r="H2901" s="2">
        <f>VLOOKUP(E2901,Produtos!$A:$E,4,FALSE)</f>
        <v>600</v>
      </c>
      <c r="I2901" s="2">
        <v>6</v>
      </c>
    </row>
    <row r="2902" spans="1:9" x14ac:dyDescent="0.25">
      <c r="A2902" s="2" t="str">
        <f>CONCATENATE(Códigos!S2901,Códigos!T2901,Códigos!U2901)</f>
        <v>svv2900v</v>
      </c>
      <c r="B2902" t="s">
        <v>498</v>
      </c>
      <c r="C2902" t="s">
        <v>447</v>
      </c>
      <c r="D2902" s="2" t="s">
        <v>448</v>
      </c>
      <c r="E2902" t="s">
        <v>327</v>
      </c>
      <c r="F2902" s="11">
        <v>44612</v>
      </c>
      <c r="G2902" s="2">
        <f>VLOOKUP(E2902,Produtos!$A:$E,5,FALSE)</f>
        <v>890</v>
      </c>
      <c r="H2902" s="2">
        <f>VLOOKUP(E2902,Produtos!$A:$E,4,FALSE)</f>
        <v>600</v>
      </c>
      <c r="I2902" s="2">
        <v>6</v>
      </c>
    </row>
    <row r="2903" spans="1:9" x14ac:dyDescent="0.25">
      <c r="A2903" s="2" t="str">
        <f>CONCATENATE(Códigos!S2902,Códigos!T2902,Códigos!U2902)</f>
        <v>svv2901v</v>
      </c>
      <c r="B2903" t="s">
        <v>498</v>
      </c>
      <c r="C2903" t="s">
        <v>447</v>
      </c>
      <c r="D2903" s="2" t="s">
        <v>448</v>
      </c>
      <c r="E2903" t="s">
        <v>327</v>
      </c>
      <c r="F2903" s="11">
        <v>44613</v>
      </c>
      <c r="G2903" s="2">
        <f>VLOOKUP(E2903,Produtos!$A:$E,5,FALSE)</f>
        <v>890</v>
      </c>
      <c r="H2903" s="2">
        <f>VLOOKUP(E2903,Produtos!$A:$E,4,FALSE)</f>
        <v>600</v>
      </c>
      <c r="I2903" s="2">
        <v>6</v>
      </c>
    </row>
    <row r="2904" spans="1:9" x14ac:dyDescent="0.25">
      <c r="A2904" s="2" t="str">
        <f>CONCATENATE(Códigos!S2903,Códigos!T2903,Códigos!U2903)</f>
        <v>svv2902v</v>
      </c>
      <c r="B2904" t="s">
        <v>498</v>
      </c>
      <c r="C2904" t="s">
        <v>447</v>
      </c>
      <c r="D2904" s="2" t="s">
        <v>448</v>
      </c>
      <c r="E2904" t="s">
        <v>327</v>
      </c>
      <c r="F2904" s="11">
        <v>44614</v>
      </c>
      <c r="G2904" s="2">
        <f>VLOOKUP(E2904,Produtos!$A:$E,5,FALSE)</f>
        <v>890</v>
      </c>
      <c r="H2904" s="2">
        <f>VLOOKUP(E2904,Produtos!$A:$E,4,FALSE)</f>
        <v>600</v>
      </c>
      <c r="I2904" s="2">
        <v>6</v>
      </c>
    </row>
    <row r="2905" spans="1:9" x14ac:dyDescent="0.25">
      <c r="A2905" s="2" t="str">
        <f>CONCATENATE(Códigos!S2904,Códigos!T2904,Códigos!U2904)</f>
        <v>svv2903v</v>
      </c>
      <c r="B2905" t="s">
        <v>500</v>
      </c>
      <c r="C2905" t="s">
        <v>447</v>
      </c>
      <c r="D2905" s="2" t="s">
        <v>448</v>
      </c>
      <c r="E2905" t="s">
        <v>335</v>
      </c>
      <c r="F2905" s="11">
        <v>44615</v>
      </c>
      <c r="G2905" s="2">
        <f>VLOOKUP(E2905,Produtos!$A:$E,5,FALSE)</f>
        <v>3000</v>
      </c>
      <c r="H2905" s="2">
        <f>VLOOKUP(E2905,Produtos!$A:$E,4,FALSE)</f>
        <v>2200</v>
      </c>
      <c r="I2905" s="2">
        <v>6</v>
      </c>
    </row>
    <row r="2906" spans="1:9" x14ac:dyDescent="0.25">
      <c r="A2906" s="2" t="str">
        <f>CONCATENATE(Códigos!S2905,Códigos!T2905,Códigos!U2905)</f>
        <v>svv2904v</v>
      </c>
      <c r="B2906" t="s">
        <v>500</v>
      </c>
      <c r="C2906" t="s">
        <v>447</v>
      </c>
      <c r="D2906" s="2" t="s">
        <v>448</v>
      </c>
      <c r="E2906" t="s">
        <v>335</v>
      </c>
      <c r="F2906" s="11">
        <v>44616</v>
      </c>
      <c r="G2906" s="2">
        <f>VLOOKUP(E2906,Produtos!$A:$E,5,FALSE)</f>
        <v>3000</v>
      </c>
      <c r="H2906" s="2">
        <f>VLOOKUP(E2906,Produtos!$A:$E,4,FALSE)</f>
        <v>2200</v>
      </c>
      <c r="I2906" s="2">
        <v>6</v>
      </c>
    </row>
    <row r="2907" spans="1:9" x14ac:dyDescent="0.25">
      <c r="A2907" s="2" t="str">
        <f>CONCATENATE(Códigos!S2906,Códigos!T2906,Códigos!U2906)</f>
        <v>svv2905v</v>
      </c>
      <c r="B2907" t="s">
        <v>500</v>
      </c>
      <c r="C2907" t="s">
        <v>447</v>
      </c>
      <c r="D2907" s="2" t="s">
        <v>448</v>
      </c>
      <c r="E2907" t="s">
        <v>335</v>
      </c>
      <c r="F2907" s="11">
        <v>44617</v>
      </c>
      <c r="G2907" s="2">
        <f>VLOOKUP(E2907,Produtos!$A:$E,5,FALSE)</f>
        <v>3000</v>
      </c>
      <c r="H2907" s="2">
        <f>VLOOKUP(E2907,Produtos!$A:$E,4,FALSE)</f>
        <v>2200</v>
      </c>
      <c r="I2907" s="2">
        <v>6</v>
      </c>
    </row>
    <row r="2908" spans="1:9" x14ac:dyDescent="0.25">
      <c r="A2908" s="2" t="str">
        <f>CONCATENATE(Códigos!S2907,Códigos!T2907,Códigos!U2907)</f>
        <v>svv2906v</v>
      </c>
      <c r="B2908" t="s">
        <v>500</v>
      </c>
      <c r="C2908" t="s">
        <v>447</v>
      </c>
      <c r="D2908" s="2" t="s">
        <v>448</v>
      </c>
      <c r="E2908" t="s">
        <v>335</v>
      </c>
      <c r="F2908" s="11">
        <v>44618</v>
      </c>
      <c r="G2908" s="2">
        <f>VLOOKUP(E2908,Produtos!$A:$E,5,FALSE)</f>
        <v>3000</v>
      </c>
      <c r="H2908" s="2">
        <f>VLOOKUP(E2908,Produtos!$A:$E,4,FALSE)</f>
        <v>2200</v>
      </c>
      <c r="I2908" s="2">
        <v>6</v>
      </c>
    </row>
    <row r="2909" spans="1:9" x14ac:dyDescent="0.25">
      <c r="A2909" s="2" t="str">
        <f>CONCATENATE(Códigos!S2908,Códigos!T2908,Códigos!U2908)</f>
        <v>svv2907v</v>
      </c>
      <c r="B2909" t="s">
        <v>500</v>
      </c>
      <c r="C2909" t="s">
        <v>447</v>
      </c>
      <c r="D2909" s="2" t="s">
        <v>448</v>
      </c>
      <c r="E2909" t="s">
        <v>335</v>
      </c>
      <c r="F2909" s="11">
        <v>44619</v>
      </c>
      <c r="G2909" s="2">
        <f>VLOOKUP(E2909,Produtos!$A:$E,5,FALSE)</f>
        <v>3000</v>
      </c>
      <c r="H2909" s="2">
        <f>VLOOKUP(E2909,Produtos!$A:$E,4,FALSE)</f>
        <v>2200</v>
      </c>
      <c r="I2909" s="2">
        <v>6</v>
      </c>
    </row>
    <row r="2910" spans="1:9" x14ac:dyDescent="0.25">
      <c r="A2910" s="2" t="str">
        <f>CONCATENATE(Códigos!S2909,Códigos!T2909,Códigos!U2909)</f>
        <v>svv2908v</v>
      </c>
      <c r="B2910" t="s">
        <v>500</v>
      </c>
      <c r="C2910" t="s">
        <v>447</v>
      </c>
      <c r="D2910" s="2" t="s">
        <v>448</v>
      </c>
      <c r="E2910" t="s">
        <v>335</v>
      </c>
      <c r="F2910" s="11">
        <v>44620</v>
      </c>
      <c r="G2910" s="2">
        <f>VLOOKUP(E2910,Produtos!$A:$E,5,FALSE)</f>
        <v>3000</v>
      </c>
      <c r="H2910" s="2">
        <f>VLOOKUP(E2910,Produtos!$A:$E,4,FALSE)</f>
        <v>2200</v>
      </c>
      <c r="I2910" s="2">
        <v>6</v>
      </c>
    </row>
    <row r="2911" spans="1:9" x14ac:dyDescent="0.25">
      <c r="A2911" s="2" t="str">
        <f>CONCATENATE(Códigos!S2910,Códigos!T2910,Códigos!U2910)</f>
        <v>svv2909v</v>
      </c>
      <c r="B2911" t="s">
        <v>500</v>
      </c>
      <c r="C2911" t="s">
        <v>447</v>
      </c>
      <c r="D2911" s="2" t="s">
        <v>448</v>
      </c>
      <c r="E2911" t="s">
        <v>335</v>
      </c>
      <c r="F2911" s="11">
        <v>44621</v>
      </c>
      <c r="G2911" s="2">
        <f>VLOOKUP(E2911,Produtos!$A:$E,5,FALSE)</f>
        <v>3000</v>
      </c>
      <c r="H2911" s="2">
        <f>VLOOKUP(E2911,Produtos!$A:$E,4,FALSE)</f>
        <v>2200</v>
      </c>
      <c r="I2911" s="2">
        <v>6</v>
      </c>
    </row>
    <row r="2912" spans="1:9" x14ac:dyDescent="0.25">
      <c r="A2912" s="2" t="str">
        <f>CONCATENATE(Códigos!S2911,Códigos!T2911,Códigos!U2911)</f>
        <v>svv2910v</v>
      </c>
      <c r="B2912" t="s">
        <v>500</v>
      </c>
      <c r="C2912" t="s">
        <v>447</v>
      </c>
      <c r="D2912" s="2" t="s">
        <v>448</v>
      </c>
      <c r="E2912" t="s">
        <v>335</v>
      </c>
      <c r="F2912" s="11">
        <v>44622</v>
      </c>
      <c r="G2912" s="2">
        <f>VLOOKUP(E2912,Produtos!$A:$E,5,FALSE)</f>
        <v>3000</v>
      </c>
      <c r="H2912" s="2">
        <f>VLOOKUP(E2912,Produtos!$A:$E,4,FALSE)</f>
        <v>2200</v>
      </c>
      <c r="I2912" s="2">
        <v>6</v>
      </c>
    </row>
    <row r="2913" spans="1:9" x14ac:dyDescent="0.25">
      <c r="A2913" s="2" t="str">
        <f>CONCATENATE(Códigos!S2912,Códigos!T2912,Códigos!U2912)</f>
        <v>svv2911v</v>
      </c>
      <c r="B2913" t="s">
        <v>500</v>
      </c>
      <c r="C2913" t="s">
        <v>447</v>
      </c>
      <c r="D2913" s="2" t="s">
        <v>448</v>
      </c>
      <c r="E2913" t="s">
        <v>335</v>
      </c>
      <c r="F2913" s="11">
        <v>44623</v>
      </c>
      <c r="G2913" s="2">
        <f>VLOOKUP(E2913,Produtos!$A:$E,5,FALSE)</f>
        <v>3000</v>
      </c>
      <c r="H2913" s="2">
        <f>VLOOKUP(E2913,Produtos!$A:$E,4,FALSE)</f>
        <v>2200</v>
      </c>
      <c r="I2913" s="2">
        <v>6</v>
      </c>
    </row>
    <row r="2914" spans="1:9" x14ac:dyDescent="0.25">
      <c r="A2914" s="2" t="str">
        <f>CONCATENATE(Códigos!S2913,Códigos!T2913,Códigos!U2913)</f>
        <v>svv2912v</v>
      </c>
      <c r="B2914" t="s">
        <v>500</v>
      </c>
      <c r="C2914" t="s">
        <v>447</v>
      </c>
      <c r="D2914" s="2" t="s">
        <v>448</v>
      </c>
      <c r="E2914" t="s">
        <v>335</v>
      </c>
      <c r="F2914" s="11">
        <v>44624</v>
      </c>
      <c r="G2914" s="2">
        <f>VLOOKUP(E2914,Produtos!$A:$E,5,FALSE)</f>
        <v>3000</v>
      </c>
      <c r="H2914" s="2">
        <f>VLOOKUP(E2914,Produtos!$A:$E,4,FALSE)</f>
        <v>2200</v>
      </c>
      <c r="I2914" s="2">
        <v>6</v>
      </c>
    </row>
    <row r="2915" spans="1:9" x14ac:dyDescent="0.25">
      <c r="A2915" s="2" t="str">
        <f>CONCATENATE(Códigos!S2914,Códigos!T2914,Códigos!U2914)</f>
        <v>svv2913v</v>
      </c>
      <c r="B2915" t="s">
        <v>500</v>
      </c>
      <c r="C2915" t="s">
        <v>447</v>
      </c>
      <c r="D2915" s="2" t="s">
        <v>448</v>
      </c>
      <c r="E2915" t="s">
        <v>335</v>
      </c>
      <c r="F2915" s="11">
        <v>44625</v>
      </c>
      <c r="G2915" s="2">
        <f>VLOOKUP(E2915,Produtos!$A:$E,5,FALSE)</f>
        <v>3000</v>
      </c>
      <c r="H2915" s="2">
        <f>VLOOKUP(E2915,Produtos!$A:$E,4,FALSE)</f>
        <v>2200</v>
      </c>
      <c r="I2915" s="2">
        <v>6</v>
      </c>
    </row>
    <row r="2916" spans="1:9" x14ac:dyDescent="0.25">
      <c r="A2916" s="2" t="str">
        <f>CONCATENATE(Códigos!S2915,Códigos!T2915,Códigos!U2915)</f>
        <v>svv2914v</v>
      </c>
      <c r="B2916" t="s">
        <v>500</v>
      </c>
      <c r="C2916" t="s">
        <v>447</v>
      </c>
      <c r="D2916" s="2" t="s">
        <v>448</v>
      </c>
      <c r="E2916" t="s">
        <v>335</v>
      </c>
      <c r="F2916" s="11">
        <v>44626</v>
      </c>
      <c r="G2916" s="2">
        <f>VLOOKUP(E2916,Produtos!$A:$E,5,FALSE)</f>
        <v>3000</v>
      </c>
      <c r="H2916" s="2">
        <f>VLOOKUP(E2916,Produtos!$A:$E,4,FALSE)</f>
        <v>2200</v>
      </c>
      <c r="I2916" s="2">
        <v>6</v>
      </c>
    </row>
    <row r="2917" spans="1:9" x14ac:dyDescent="0.25">
      <c r="A2917" s="2" t="str">
        <f>CONCATENATE(Códigos!S2916,Códigos!T2916,Códigos!U2916)</f>
        <v>svv2915v</v>
      </c>
      <c r="B2917" t="s">
        <v>500</v>
      </c>
      <c r="C2917" t="s">
        <v>447</v>
      </c>
      <c r="D2917" s="2" t="s">
        <v>448</v>
      </c>
      <c r="E2917" t="s">
        <v>335</v>
      </c>
      <c r="F2917" s="11">
        <v>44627</v>
      </c>
      <c r="G2917" s="2">
        <f>VLOOKUP(E2917,Produtos!$A:$E,5,FALSE)</f>
        <v>3000</v>
      </c>
      <c r="H2917" s="2">
        <f>VLOOKUP(E2917,Produtos!$A:$E,4,FALSE)</f>
        <v>2200</v>
      </c>
      <c r="I2917" s="2">
        <v>6</v>
      </c>
    </row>
    <row r="2918" spans="1:9" x14ac:dyDescent="0.25">
      <c r="A2918" s="2" t="str">
        <f>CONCATENATE(Códigos!S2917,Códigos!T2917,Códigos!U2917)</f>
        <v>svv2916v</v>
      </c>
      <c r="B2918" t="s">
        <v>500</v>
      </c>
      <c r="C2918" t="s">
        <v>447</v>
      </c>
      <c r="D2918" s="2" t="s">
        <v>448</v>
      </c>
      <c r="E2918" t="s">
        <v>335</v>
      </c>
      <c r="F2918" s="11">
        <v>44628</v>
      </c>
      <c r="G2918" s="2">
        <f>VLOOKUP(E2918,Produtos!$A:$E,5,FALSE)</f>
        <v>3000</v>
      </c>
      <c r="H2918" s="2">
        <f>VLOOKUP(E2918,Produtos!$A:$E,4,FALSE)</f>
        <v>2200</v>
      </c>
      <c r="I2918" s="2">
        <v>6</v>
      </c>
    </row>
    <row r="2919" spans="1:9" x14ac:dyDescent="0.25">
      <c r="A2919" s="2" t="str">
        <f>CONCATENATE(Códigos!S2918,Códigos!T2918,Códigos!U2918)</f>
        <v>svv2917v</v>
      </c>
      <c r="B2919" t="s">
        <v>500</v>
      </c>
      <c r="C2919" t="s">
        <v>447</v>
      </c>
      <c r="D2919" s="2" t="s">
        <v>448</v>
      </c>
      <c r="E2919" t="s">
        <v>335</v>
      </c>
      <c r="F2919" s="11">
        <v>44629</v>
      </c>
      <c r="G2919" s="2">
        <f>VLOOKUP(E2919,Produtos!$A:$E,5,FALSE)</f>
        <v>3000</v>
      </c>
      <c r="H2919" s="2">
        <f>VLOOKUP(E2919,Produtos!$A:$E,4,FALSE)</f>
        <v>2200</v>
      </c>
      <c r="I2919" s="2">
        <v>6</v>
      </c>
    </row>
    <row r="2920" spans="1:9" x14ac:dyDescent="0.25">
      <c r="A2920" s="2" t="str">
        <f>CONCATENATE(Códigos!S2919,Códigos!T2919,Códigos!U2919)</f>
        <v>svv2918v</v>
      </c>
      <c r="B2920" t="s">
        <v>500</v>
      </c>
      <c r="C2920" t="s">
        <v>447</v>
      </c>
      <c r="D2920" s="2" t="s">
        <v>448</v>
      </c>
      <c r="E2920" t="s">
        <v>335</v>
      </c>
      <c r="F2920" s="11">
        <v>44630</v>
      </c>
      <c r="G2920" s="2">
        <f>VLOOKUP(E2920,Produtos!$A:$E,5,FALSE)</f>
        <v>3000</v>
      </c>
      <c r="H2920" s="2">
        <f>VLOOKUP(E2920,Produtos!$A:$E,4,FALSE)</f>
        <v>2200</v>
      </c>
      <c r="I2920" s="2">
        <v>6</v>
      </c>
    </row>
    <row r="2921" spans="1:9" x14ac:dyDescent="0.25">
      <c r="A2921" s="2" t="str">
        <f>CONCATENATE(Códigos!S2920,Códigos!T2920,Códigos!U2920)</f>
        <v>svv2919v</v>
      </c>
      <c r="B2921" t="s">
        <v>500</v>
      </c>
      <c r="C2921" t="s">
        <v>447</v>
      </c>
      <c r="D2921" s="2" t="s">
        <v>448</v>
      </c>
      <c r="E2921" t="s">
        <v>335</v>
      </c>
      <c r="F2921" s="11">
        <v>44631</v>
      </c>
      <c r="G2921" s="2">
        <f>VLOOKUP(E2921,Produtos!$A:$E,5,FALSE)</f>
        <v>3000</v>
      </c>
      <c r="H2921" s="2">
        <f>VLOOKUP(E2921,Produtos!$A:$E,4,FALSE)</f>
        <v>2200</v>
      </c>
      <c r="I2921" s="2">
        <v>6</v>
      </c>
    </row>
    <row r="2922" spans="1:9" x14ac:dyDescent="0.25">
      <c r="A2922" s="2" t="str">
        <f>CONCATENATE(Códigos!S2921,Códigos!T2921,Códigos!U2921)</f>
        <v>svv2920v</v>
      </c>
      <c r="B2922" t="s">
        <v>500</v>
      </c>
      <c r="C2922" t="s">
        <v>447</v>
      </c>
      <c r="D2922" s="2" t="s">
        <v>448</v>
      </c>
      <c r="E2922" t="s">
        <v>335</v>
      </c>
      <c r="F2922" s="11">
        <v>44632</v>
      </c>
      <c r="G2922" s="2">
        <f>VLOOKUP(E2922,Produtos!$A:$E,5,FALSE)</f>
        <v>3000</v>
      </c>
      <c r="H2922" s="2">
        <f>VLOOKUP(E2922,Produtos!$A:$E,4,FALSE)</f>
        <v>2200</v>
      </c>
      <c r="I2922" s="2">
        <v>6</v>
      </c>
    </row>
    <row r="2923" spans="1:9" x14ac:dyDescent="0.25">
      <c r="A2923" s="2" t="str">
        <f>CONCATENATE(Códigos!S2922,Códigos!T2922,Códigos!U2922)</f>
        <v>svv2921v</v>
      </c>
      <c r="B2923" t="s">
        <v>500</v>
      </c>
      <c r="C2923" t="s">
        <v>447</v>
      </c>
      <c r="D2923" s="2" t="s">
        <v>448</v>
      </c>
      <c r="E2923" t="s">
        <v>335</v>
      </c>
      <c r="F2923" s="11">
        <v>44633</v>
      </c>
      <c r="G2923" s="2">
        <f>VLOOKUP(E2923,Produtos!$A:$E,5,FALSE)</f>
        <v>3000</v>
      </c>
      <c r="H2923" s="2">
        <f>VLOOKUP(E2923,Produtos!$A:$E,4,FALSE)</f>
        <v>2200</v>
      </c>
      <c r="I2923" s="2">
        <v>6</v>
      </c>
    </row>
    <row r="2924" spans="1:9" x14ac:dyDescent="0.25">
      <c r="A2924" s="2" t="str">
        <f>CONCATENATE(Códigos!S2923,Códigos!T2923,Códigos!U2923)</f>
        <v>svv2922v</v>
      </c>
      <c r="B2924" t="s">
        <v>500</v>
      </c>
      <c r="C2924" t="s">
        <v>447</v>
      </c>
      <c r="D2924" s="2" t="s">
        <v>448</v>
      </c>
      <c r="E2924" t="s">
        <v>335</v>
      </c>
      <c r="F2924" s="11">
        <v>44634</v>
      </c>
      <c r="G2924" s="2">
        <f>VLOOKUP(E2924,Produtos!$A:$E,5,FALSE)</f>
        <v>3000</v>
      </c>
      <c r="H2924" s="2">
        <f>VLOOKUP(E2924,Produtos!$A:$E,4,FALSE)</f>
        <v>2200</v>
      </c>
      <c r="I2924" s="2">
        <v>6</v>
      </c>
    </row>
    <row r="2925" spans="1:9" x14ac:dyDescent="0.25">
      <c r="A2925" s="2" t="str">
        <f>CONCATENATE(Códigos!S2924,Códigos!T2924,Códigos!U2924)</f>
        <v>svv2923v</v>
      </c>
      <c r="B2925" t="s">
        <v>500</v>
      </c>
      <c r="C2925" t="s">
        <v>447</v>
      </c>
      <c r="D2925" s="2" t="s">
        <v>448</v>
      </c>
      <c r="E2925" t="s">
        <v>335</v>
      </c>
      <c r="F2925" s="11">
        <v>44635</v>
      </c>
      <c r="G2925" s="2">
        <f>VLOOKUP(E2925,Produtos!$A:$E,5,FALSE)</f>
        <v>3000</v>
      </c>
      <c r="H2925" s="2">
        <f>VLOOKUP(E2925,Produtos!$A:$E,4,FALSE)</f>
        <v>2200</v>
      </c>
      <c r="I2925" s="2">
        <v>6</v>
      </c>
    </row>
    <row r="2926" spans="1:9" x14ac:dyDescent="0.25">
      <c r="A2926" s="2" t="str">
        <f>CONCATENATE(Códigos!S2925,Códigos!T2925,Códigos!U2925)</f>
        <v>svv2924v</v>
      </c>
      <c r="B2926" t="s">
        <v>500</v>
      </c>
      <c r="C2926" t="s">
        <v>447</v>
      </c>
      <c r="D2926" s="2" t="s">
        <v>448</v>
      </c>
      <c r="E2926" t="s">
        <v>335</v>
      </c>
      <c r="F2926" s="11">
        <v>44636</v>
      </c>
      <c r="G2926" s="2">
        <f>VLOOKUP(E2926,Produtos!$A:$E,5,FALSE)</f>
        <v>3000</v>
      </c>
      <c r="H2926" s="2">
        <f>VLOOKUP(E2926,Produtos!$A:$E,4,FALSE)</f>
        <v>2200</v>
      </c>
      <c r="I2926" s="2">
        <v>6</v>
      </c>
    </row>
    <row r="2927" spans="1:9" x14ac:dyDescent="0.25">
      <c r="A2927" s="2" t="str">
        <f>CONCATENATE(Códigos!S2926,Códigos!T2926,Códigos!U2926)</f>
        <v>svv2925v</v>
      </c>
      <c r="B2927" t="s">
        <v>500</v>
      </c>
      <c r="C2927" t="s">
        <v>447</v>
      </c>
      <c r="D2927" s="2" t="s">
        <v>448</v>
      </c>
      <c r="E2927" t="s">
        <v>335</v>
      </c>
      <c r="F2927" s="11">
        <v>44637</v>
      </c>
      <c r="G2927" s="2">
        <f>VLOOKUP(E2927,Produtos!$A:$E,5,FALSE)</f>
        <v>3000</v>
      </c>
      <c r="H2927" s="2">
        <f>VLOOKUP(E2927,Produtos!$A:$E,4,FALSE)</f>
        <v>2200</v>
      </c>
      <c r="I2927" s="2">
        <v>6</v>
      </c>
    </row>
    <row r="2928" spans="1:9" x14ac:dyDescent="0.25">
      <c r="A2928" s="2" t="str">
        <f>CONCATENATE(Códigos!S2927,Códigos!T2927,Códigos!U2927)</f>
        <v>svv2926v</v>
      </c>
      <c r="B2928" t="s">
        <v>500</v>
      </c>
      <c r="C2928" t="s">
        <v>447</v>
      </c>
      <c r="D2928" s="2" t="s">
        <v>448</v>
      </c>
      <c r="E2928" t="s">
        <v>335</v>
      </c>
      <c r="F2928" s="11">
        <v>44638</v>
      </c>
      <c r="G2928" s="2">
        <f>VLOOKUP(E2928,Produtos!$A:$E,5,FALSE)</f>
        <v>3000</v>
      </c>
      <c r="H2928" s="2">
        <f>VLOOKUP(E2928,Produtos!$A:$E,4,FALSE)</f>
        <v>2200</v>
      </c>
      <c r="I2928" s="2">
        <v>6</v>
      </c>
    </row>
    <row r="2929" spans="1:9" x14ac:dyDescent="0.25">
      <c r="A2929" s="2" t="str">
        <f>CONCATENATE(Códigos!S2928,Códigos!T2928,Códigos!U2928)</f>
        <v>svv2927v</v>
      </c>
      <c r="B2929" t="s">
        <v>500</v>
      </c>
      <c r="C2929" t="s">
        <v>447</v>
      </c>
      <c r="D2929" s="2" t="s">
        <v>448</v>
      </c>
      <c r="E2929" t="s">
        <v>335</v>
      </c>
      <c r="F2929" s="11">
        <v>44639</v>
      </c>
      <c r="G2929" s="2">
        <f>VLOOKUP(E2929,Produtos!$A:$E,5,FALSE)</f>
        <v>3000</v>
      </c>
      <c r="H2929" s="2">
        <f>VLOOKUP(E2929,Produtos!$A:$E,4,FALSE)</f>
        <v>2200</v>
      </c>
      <c r="I2929" s="2">
        <v>6</v>
      </c>
    </row>
    <row r="2930" spans="1:9" x14ac:dyDescent="0.25">
      <c r="A2930" s="2" t="str">
        <f>CONCATENATE(Códigos!S2929,Códigos!T2929,Códigos!U2929)</f>
        <v>svv2928v</v>
      </c>
      <c r="B2930" t="s">
        <v>500</v>
      </c>
      <c r="C2930" t="s">
        <v>447</v>
      </c>
      <c r="D2930" s="2" t="s">
        <v>448</v>
      </c>
      <c r="E2930" t="s">
        <v>335</v>
      </c>
      <c r="F2930" s="11">
        <v>44640</v>
      </c>
      <c r="G2930" s="2">
        <f>VLOOKUP(E2930,Produtos!$A:$E,5,FALSE)</f>
        <v>3000</v>
      </c>
      <c r="H2930" s="2">
        <f>VLOOKUP(E2930,Produtos!$A:$E,4,FALSE)</f>
        <v>2200</v>
      </c>
      <c r="I2930" s="2">
        <v>6</v>
      </c>
    </row>
    <row r="2931" spans="1:9" x14ac:dyDescent="0.25">
      <c r="A2931" s="2" t="str">
        <f>CONCATENATE(Códigos!S2930,Códigos!T2930,Códigos!U2930)</f>
        <v>svv2929v</v>
      </c>
      <c r="B2931" t="s">
        <v>500</v>
      </c>
      <c r="C2931" t="s">
        <v>447</v>
      </c>
      <c r="D2931" s="2" t="s">
        <v>448</v>
      </c>
      <c r="E2931" t="s">
        <v>335</v>
      </c>
      <c r="F2931" s="11">
        <v>44641</v>
      </c>
      <c r="G2931" s="2">
        <f>VLOOKUP(E2931,Produtos!$A:$E,5,FALSE)</f>
        <v>3000</v>
      </c>
      <c r="H2931" s="2">
        <f>VLOOKUP(E2931,Produtos!$A:$E,4,FALSE)</f>
        <v>2200</v>
      </c>
      <c r="I2931" s="2">
        <v>6</v>
      </c>
    </row>
    <row r="2932" spans="1:9" x14ac:dyDescent="0.25">
      <c r="A2932" s="2" t="str">
        <f>CONCATENATE(Códigos!S2931,Códigos!T2931,Códigos!U2931)</f>
        <v>svv2930v</v>
      </c>
      <c r="B2932" t="s">
        <v>500</v>
      </c>
      <c r="C2932" t="s">
        <v>447</v>
      </c>
      <c r="D2932" s="2" t="s">
        <v>448</v>
      </c>
      <c r="E2932" t="s">
        <v>335</v>
      </c>
      <c r="F2932" s="11">
        <v>44642</v>
      </c>
      <c r="G2932" s="2">
        <f>VLOOKUP(E2932,Produtos!$A:$E,5,FALSE)</f>
        <v>3000</v>
      </c>
      <c r="H2932" s="2">
        <f>VLOOKUP(E2932,Produtos!$A:$E,4,FALSE)</f>
        <v>2200</v>
      </c>
      <c r="I2932" s="2">
        <v>6</v>
      </c>
    </row>
    <row r="2933" spans="1:9" x14ac:dyDescent="0.25">
      <c r="A2933" s="2" t="str">
        <f>CONCATENATE(Códigos!S2932,Códigos!T2932,Códigos!U2932)</f>
        <v>svv2931v</v>
      </c>
      <c r="B2933" t="s">
        <v>500</v>
      </c>
      <c r="C2933" t="s">
        <v>447</v>
      </c>
      <c r="D2933" s="2" t="s">
        <v>448</v>
      </c>
      <c r="E2933" t="s">
        <v>335</v>
      </c>
      <c r="F2933" s="11">
        <v>44643</v>
      </c>
      <c r="G2933" s="2">
        <f>VLOOKUP(E2933,Produtos!$A:$E,5,FALSE)</f>
        <v>3000</v>
      </c>
      <c r="H2933" s="2">
        <f>VLOOKUP(E2933,Produtos!$A:$E,4,FALSE)</f>
        <v>2200</v>
      </c>
      <c r="I2933" s="2">
        <v>6</v>
      </c>
    </row>
    <row r="2934" spans="1:9" x14ac:dyDescent="0.25">
      <c r="A2934" s="2" t="str">
        <f>CONCATENATE(Códigos!S2933,Códigos!T2933,Códigos!U2933)</f>
        <v>svv2932v</v>
      </c>
      <c r="B2934" t="s">
        <v>500</v>
      </c>
      <c r="C2934" t="s">
        <v>447</v>
      </c>
      <c r="D2934" s="2" t="s">
        <v>448</v>
      </c>
      <c r="E2934" t="s">
        <v>335</v>
      </c>
      <c r="F2934" s="11">
        <v>44644</v>
      </c>
      <c r="G2934" s="2">
        <f>VLOOKUP(E2934,Produtos!$A:$E,5,FALSE)</f>
        <v>3000</v>
      </c>
      <c r="H2934" s="2">
        <f>VLOOKUP(E2934,Produtos!$A:$E,4,FALSE)</f>
        <v>2200</v>
      </c>
      <c r="I2934" s="2">
        <v>6</v>
      </c>
    </row>
    <row r="2935" spans="1:9" x14ac:dyDescent="0.25">
      <c r="A2935" s="2" t="str">
        <f>CONCATENATE(Códigos!S2934,Códigos!T2934,Códigos!U2934)</f>
        <v>svv2933v</v>
      </c>
      <c r="B2935" t="s">
        <v>500</v>
      </c>
      <c r="C2935" t="s">
        <v>447</v>
      </c>
      <c r="D2935" s="2" t="s">
        <v>448</v>
      </c>
      <c r="E2935" t="s">
        <v>335</v>
      </c>
      <c r="F2935" s="11">
        <v>44645</v>
      </c>
      <c r="G2935" s="2">
        <f>VLOOKUP(E2935,Produtos!$A:$E,5,FALSE)</f>
        <v>3000</v>
      </c>
      <c r="H2935" s="2">
        <f>VLOOKUP(E2935,Produtos!$A:$E,4,FALSE)</f>
        <v>2200</v>
      </c>
      <c r="I2935" s="2">
        <v>6</v>
      </c>
    </row>
    <row r="2936" spans="1:9" x14ac:dyDescent="0.25">
      <c r="A2936" s="2" t="str">
        <f>CONCATENATE(Códigos!S2935,Códigos!T2935,Códigos!U2935)</f>
        <v>svv2934v</v>
      </c>
      <c r="B2936" t="s">
        <v>500</v>
      </c>
      <c r="C2936" t="s">
        <v>447</v>
      </c>
      <c r="D2936" s="2" t="s">
        <v>448</v>
      </c>
      <c r="E2936" t="s">
        <v>335</v>
      </c>
      <c r="F2936" s="11">
        <v>44646</v>
      </c>
      <c r="G2936" s="2">
        <f>VLOOKUP(E2936,Produtos!$A:$E,5,FALSE)</f>
        <v>3000</v>
      </c>
      <c r="H2936" s="2">
        <f>VLOOKUP(E2936,Produtos!$A:$E,4,FALSE)</f>
        <v>2200</v>
      </c>
      <c r="I2936" s="2">
        <v>6</v>
      </c>
    </row>
    <row r="2937" spans="1:9" x14ac:dyDescent="0.25">
      <c r="A2937" s="2" t="str">
        <f>CONCATENATE(Códigos!S2936,Códigos!T2936,Códigos!U2936)</f>
        <v>svv2935v</v>
      </c>
      <c r="B2937" t="s">
        <v>500</v>
      </c>
      <c r="C2937" t="s">
        <v>447</v>
      </c>
      <c r="D2937" s="2" t="s">
        <v>448</v>
      </c>
      <c r="E2937" t="s">
        <v>335</v>
      </c>
      <c r="F2937" s="11">
        <v>44647</v>
      </c>
      <c r="G2937" s="2">
        <f>VLOOKUP(E2937,Produtos!$A:$E,5,FALSE)</f>
        <v>3000</v>
      </c>
      <c r="H2937" s="2">
        <f>VLOOKUP(E2937,Produtos!$A:$E,4,FALSE)</f>
        <v>2200</v>
      </c>
      <c r="I2937" s="2">
        <v>6</v>
      </c>
    </row>
    <row r="2938" spans="1:9" x14ac:dyDescent="0.25">
      <c r="A2938" s="2" t="str">
        <f>CONCATENATE(Códigos!S2937,Códigos!T2937,Códigos!U2937)</f>
        <v>svv2936v</v>
      </c>
      <c r="B2938" t="s">
        <v>500</v>
      </c>
      <c r="C2938" t="s">
        <v>447</v>
      </c>
      <c r="D2938" s="2" t="s">
        <v>448</v>
      </c>
      <c r="E2938" t="s">
        <v>335</v>
      </c>
      <c r="F2938" s="11">
        <v>44648</v>
      </c>
      <c r="G2938" s="2">
        <f>VLOOKUP(E2938,Produtos!$A:$E,5,FALSE)</f>
        <v>3000</v>
      </c>
      <c r="H2938" s="2">
        <f>VLOOKUP(E2938,Produtos!$A:$E,4,FALSE)</f>
        <v>2200</v>
      </c>
      <c r="I2938" s="2">
        <v>6</v>
      </c>
    </row>
    <row r="2939" spans="1:9" x14ac:dyDescent="0.25">
      <c r="A2939" s="2" t="str">
        <f>CONCATENATE(Códigos!S2938,Códigos!T2938,Códigos!U2938)</f>
        <v>svv2937v</v>
      </c>
      <c r="B2939" t="s">
        <v>500</v>
      </c>
      <c r="C2939" t="s">
        <v>447</v>
      </c>
      <c r="D2939" s="2" t="s">
        <v>448</v>
      </c>
      <c r="E2939" t="s">
        <v>335</v>
      </c>
      <c r="F2939" s="11">
        <v>44649</v>
      </c>
      <c r="G2939" s="2">
        <f>VLOOKUP(E2939,Produtos!$A:$E,5,FALSE)</f>
        <v>3000</v>
      </c>
      <c r="H2939" s="2">
        <f>VLOOKUP(E2939,Produtos!$A:$E,4,FALSE)</f>
        <v>2200</v>
      </c>
      <c r="I2939" s="2">
        <v>6</v>
      </c>
    </row>
    <row r="2940" spans="1:9" x14ac:dyDescent="0.25">
      <c r="A2940" s="2" t="str">
        <f>CONCATENATE(Códigos!S2939,Códigos!T2939,Códigos!U2939)</f>
        <v>svv2938v</v>
      </c>
      <c r="B2940" t="s">
        <v>500</v>
      </c>
      <c r="C2940" t="s">
        <v>447</v>
      </c>
      <c r="D2940" s="2" t="s">
        <v>448</v>
      </c>
      <c r="E2940" t="s">
        <v>435</v>
      </c>
      <c r="F2940" s="11">
        <v>44650</v>
      </c>
      <c r="G2940" s="2">
        <f>VLOOKUP(E2940,Produtos!$A:$E,5,FALSE)</f>
        <v>2100</v>
      </c>
      <c r="H2940" s="2">
        <f>VLOOKUP(E2940,Produtos!$A:$E,4,FALSE)</f>
        <v>1400</v>
      </c>
      <c r="I2940" s="2">
        <v>6</v>
      </c>
    </row>
    <row r="2941" spans="1:9" x14ac:dyDescent="0.25">
      <c r="A2941" s="2" t="str">
        <f>CONCATENATE(Códigos!S2940,Códigos!T2940,Códigos!U2940)</f>
        <v>svv2939v</v>
      </c>
      <c r="B2941" t="s">
        <v>500</v>
      </c>
      <c r="C2941" t="s">
        <v>447</v>
      </c>
      <c r="D2941" s="2" t="s">
        <v>448</v>
      </c>
      <c r="E2941" t="s">
        <v>435</v>
      </c>
      <c r="F2941" s="11">
        <v>44651</v>
      </c>
      <c r="G2941" s="2">
        <f>VLOOKUP(E2941,Produtos!$A:$E,5,FALSE)</f>
        <v>2100</v>
      </c>
      <c r="H2941" s="2">
        <f>VLOOKUP(E2941,Produtos!$A:$E,4,FALSE)</f>
        <v>1400</v>
      </c>
      <c r="I2941" s="2">
        <v>6</v>
      </c>
    </row>
    <row r="2942" spans="1:9" x14ac:dyDescent="0.25">
      <c r="A2942" s="2" t="str">
        <f>CONCATENATE(Códigos!S2941,Códigos!T2941,Códigos!U2941)</f>
        <v>svv2940v</v>
      </c>
      <c r="B2942" t="s">
        <v>500</v>
      </c>
      <c r="C2942" t="s">
        <v>447</v>
      </c>
      <c r="D2942" s="2" t="s">
        <v>448</v>
      </c>
      <c r="E2942" t="s">
        <v>435</v>
      </c>
      <c r="F2942" s="11">
        <v>44652</v>
      </c>
      <c r="G2942" s="2">
        <f>VLOOKUP(E2942,Produtos!$A:$E,5,FALSE)</f>
        <v>2100</v>
      </c>
      <c r="H2942" s="2">
        <f>VLOOKUP(E2942,Produtos!$A:$E,4,FALSE)</f>
        <v>1400</v>
      </c>
      <c r="I2942" s="2">
        <v>6</v>
      </c>
    </row>
    <row r="2943" spans="1:9" x14ac:dyDescent="0.25">
      <c r="A2943" s="2" t="str">
        <f>CONCATENATE(Códigos!S2942,Códigos!T2942,Códigos!U2942)</f>
        <v>svv2941v</v>
      </c>
      <c r="B2943" t="s">
        <v>500</v>
      </c>
      <c r="C2943" t="s">
        <v>447</v>
      </c>
      <c r="D2943" s="2" t="s">
        <v>448</v>
      </c>
      <c r="E2943" t="s">
        <v>435</v>
      </c>
      <c r="F2943" s="11">
        <v>44653</v>
      </c>
      <c r="G2943" s="2">
        <f>VLOOKUP(E2943,Produtos!$A:$E,5,FALSE)</f>
        <v>2100</v>
      </c>
      <c r="H2943" s="2">
        <f>VLOOKUP(E2943,Produtos!$A:$E,4,FALSE)</f>
        <v>1400</v>
      </c>
      <c r="I2943" s="2">
        <v>6</v>
      </c>
    </row>
    <row r="2944" spans="1:9" x14ac:dyDescent="0.25">
      <c r="A2944" s="2" t="str">
        <f>CONCATENATE(Códigos!S2943,Códigos!T2943,Códigos!U2943)</f>
        <v>svv2942v</v>
      </c>
      <c r="B2944" t="s">
        <v>500</v>
      </c>
      <c r="C2944" t="s">
        <v>447</v>
      </c>
      <c r="D2944" s="2" t="s">
        <v>448</v>
      </c>
      <c r="E2944" t="s">
        <v>435</v>
      </c>
      <c r="F2944" s="11">
        <v>44654</v>
      </c>
      <c r="G2944" s="2">
        <f>VLOOKUP(E2944,Produtos!$A:$E,5,FALSE)</f>
        <v>2100</v>
      </c>
      <c r="H2944" s="2">
        <f>VLOOKUP(E2944,Produtos!$A:$E,4,FALSE)</f>
        <v>1400</v>
      </c>
      <c r="I2944" s="2">
        <v>6</v>
      </c>
    </row>
    <row r="2945" spans="1:9" x14ac:dyDescent="0.25">
      <c r="A2945" s="2" t="str">
        <f>CONCATENATE(Códigos!S2944,Códigos!T2944,Códigos!U2944)</f>
        <v>svv2943v</v>
      </c>
      <c r="B2945" t="s">
        <v>500</v>
      </c>
      <c r="C2945" t="s">
        <v>447</v>
      </c>
      <c r="D2945" s="2" t="s">
        <v>448</v>
      </c>
      <c r="E2945" t="s">
        <v>435</v>
      </c>
      <c r="F2945" s="11">
        <v>44655</v>
      </c>
      <c r="G2945" s="2">
        <f>VLOOKUP(E2945,Produtos!$A:$E,5,FALSE)</f>
        <v>2100</v>
      </c>
      <c r="H2945" s="2">
        <f>VLOOKUP(E2945,Produtos!$A:$E,4,FALSE)</f>
        <v>1400</v>
      </c>
      <c r="I2945" s="2">
        <v>6</v>
      </c>
    </row>
    <row r="2946" spans="1:9" x14ac:dyDescent="0.25">
      <c r="A2946" s="2" t="str">
        <f>CONCATENATE(Códigos!S2945,Códigos!T2945,Códigos!U2945)</f>
        <v>svv2944v</v>
      </c>
      <c r="B2946" t="s">
        <v>500</v>
      </c>
      <c r="C2946" t="s">
        <v>447</v>
      </c>
      <c r="D2946" s="2" t="s">
        <v>448</v>
      </c>
      <c r="E2946" t="s">
        <v>355</v>
      </c>
      <c r="F2946" s="11">
        <v>44656</v>
      </c>
      <c r="G2946" s="2">
        <f>VLOOKUP(E2946,Produtos!$A:$E,5,FALSE)</f>
        <v>1300</v>
      </c>
      <c r="H2946" s="2">
        <f>VLOOKUP(E2946,Produtos!$A:$E,4,FALSE)</f>
        <v>1000</v>
      </c>
      <c r="I2946" s="2">
        <v>6</v>
      </c>
    </row>
    <row r="2947" spans="1:9" x14ac:dyDescent="0.25">
      <c r="A2947" s="2" t="str">
        <f>CONCATENATE(Códigos!S2946,Códigos!T2946,Códigos!U2946)</f>
        <v>svv2945v</v>
      </c>
      <c r="B2947" t="s">
        <v>500</v>
      </c>
      <c r="C2947" t="s">
        <v>447</v>
      </c>
      <c r="D2947" s="2" t="s">
        <v>448</v>
      </c>
      <c r="E2947" t="s">
        <v>355</v>
      </c>
      <c r="F2947" s="11">
        <v>44657</v>
      </c>
      <c r="G2947" s="2">
        <f>VLOOKUP(E2947,Produtos!$A:$E,5,FALSE)</f>
        <v>1300</v>
      </c>
      <c r="H2947" s="2">
        <f>VLOOKUP(E2947,Produtos!$A:$E,4,FALSE)</f>
        <v>1000</v>
      </c>
      <c r="I2947" s="2">
        <v>6</v>
      </c>
    </row>
    <row r="2948" spans="1:9" x14ac:dyDescent="0.25">
      <c r="A2948" s="2" t="str">
        <f>CONCATENATE(Códigos!S2947,Códigos!T2947,Códigos!U2947)</f>
        <v>svv2946v</v>
      </c>
      <c r="B2948" t="s">
        <v>500</v>
      </c>
      <c r="C2948" t="s">
        <v>447</v>
      </c>
      <c r="D2948" s="2" t="s">
        <v>448</v>
      </c>
      <c r="E2948" t="s">
        <v>355</v>
      </c>
      <c r="F2948" s="11">
        <v>44658</v>
      </c>
      <c r="G2948" s="2">
        <f>VLOOKUP(E2948,Produtos!$A:$E,5,FALSE)</f>
        <v>1300</v>
      </c>
      <c r="H2948" s="2">
        <f>VLOOKUP(E2948,Produtos!$A:$E,4,FALSE)</f>
        <v>1000</v>
      </c>
      <c r="I2948" s="2">
        <v>6</v>
      </c>
    </row>
    <row r="2949" spans="1:9" x14ac:dyDescent="0.25">
      <c r="A2949" s="2" t="str">
        <f>CONCATENATE(Códigos!S2948,Códigos!T2948,Códigos!U2948)</f>
        <v>svv2947v</v>
      </c>
      <c r="B2949" t="s">
        <v>500</v>
      </c>
      <c r="C2949" t="s">
        <v>447</v>
      </c>
      <c r="D2949" s="2" t="s">
        <v>448</v>
      </c>
      <c r="E2949" t="s">
        <v>355</v>
      </c>
      <c r="F2949" s="11">
        <v>44659</v>
      </c>
      <c r="G2949" s="2">
        <f>VLOOKUP(E2949,Produtos!$A:$E,5,FALSE)</f>
        <v>1300</v>
      </c>
      <c r="H2949" s="2">
        <f>VLOOKUP(E2949,Produtos!$A:$E,4,FALSE)</f>
        <v>1000</v>
      </c>
      <c r="I2949" s="2">
        <v>6</v>
      </c>
    </row>
    <row r="2950" spans="1:9" x14ac:dyDescent="0.25">
      <c r="A2950" s="2" t="str">
        <f>CONCATENATE(Códigos!S2949,Códigos!T2949,Códigos!U2949)</f>
        <v>svv2948v</v>
      </c>
      <c r="B2950" t="s">
        <v>500</v>
      </c>
      <c r="C2950" t="s">
        <v>447</v>
      </c>
      <c r="D2950" s="2" t="s">
        <v>448</v>
      </c>
      <c r="E2950" t="s">
        <v>355</v>
      </c>
      <c r="F2950" s="11">
        <v>44660</v>
      </c>
      <c r="G2950" s="2">
        <f>VLOOKUP(E2950,Produtos!$A:$E,5,FALSE)</f>
        <v>1300</v>
      </c>
      <c r="H2950" s="2">
        <f>VLOOKUP(E2950,Produtos!$A:$E,4,FALSE)</f>
        <v>1000</v>
      </c>
      <c r="I2950" s="2">
        <v>6</v>
      </c>
    </row>
    <row r="2951" spans="1:9" x14ac:dyDescent="0.25">
      <c r="A2951" s="2" t="str">
        <f>CONCATENATE(Códigos!S2950,Códigos!T2950,Códigos!U2950)</f>
        <v>svv2949v</v>
      </c>
      <c r="B2951" t="s">
        <v>500</v>
      </c>
      <c r="C2951" t="s">
        <v>447</v>
      </c>
      <c r="D2951" s="2" t="s">
        <v>448</v>
      </c>
      <c r="E2951" t="s">
        <v>355</v>
      </c>
      <c r="F2951" s="11">
        <v>44661</v>
      </c>
      <c r="G2951" s="2">
        <f>VLOOKUP(E2951,Produtos!$A:$E,5,FALSE)</f>
        <v>1300</v>
      </c>
      <c r="H2951" s="2">
        <f>VLOOKUP(E2951,Produtos!$A:$E,4,FALSE)</f>
        <v>1000</v>
      </c>
      <c r="I2951" s="2">
        <v>6</v>
      </c>
    </row>
    <row r="2952" spans="1:9" x14ac:dyDescent="0.25">
      <c r="A2952" s="2" t="str">
        <f>CONCATENATE(Códigos!S2951,Códigos!T2951,Códigos!U2951)</f>
        <v>svv2950v</v>
      </c>
      <c r="B2952" t="s">
        <v>500</v>
      </c>
      <c r="C2952" t="s">
        <v>447</v>
      </c>
      <c r="D2952" s="2" t="s">
        <v>448</v>
      </c>
      <c r="E2952" t="s">
        <v>355</v>
      </c>
      <c r="F2952" s="11">
        <v>44662</v>
      </c>
      <c r="G2952" s="2">
        <f>VLOOKUP(E2952,Produtos!$A:$E,5,FALSE)</f>
        <v>1300</v>
      </c>
      <c r="H2952" s="2">
        <f>VLOOKUP(E2952,Produtos!$A:$E,4,FALSE)</f>
        <v>1000</v>
      </c>
      <c r="I2952" s="2">
        <v>6</v>
      </c>
    </row>
    <row r="2953" spans="1:9" x14ac:dyDescent="0.25">
      <c r="A2953" s="2" t="str">
        <f>CONCATENATE(Códigos!S2952,Códigos!T2952,Códigos!U2952)</f>
        <v>svv2951v</v>
      </c>
      <c r="B2953" t="s">
        <v>500</v>
      </c>
      <c r="C2953" t="s">
        <v>447</v>
      </c>
      <c r="D2953" s="2" t="s">
        <v>448</v>
      </c>
      <c r="E2953" t="s">
        <v>355</v>
      </c>
      <c r="F2953" s="11">
        <v>44663</v>
      </c>
      <c r="G2953" s="2">
        <f>VLOOKUP(E2953,Produtos!$A:$E,5,FALSE)</f>
        <v>1300</v>
      </c>
      <c r="H2953" s="2">
        <f>VLOOKUP(E2953,Produtos!$A:$E,4,FALSE)</f>
        <v>1000</v>
      </c>
      <c r="I2953" s="2">
        <v>6</v>
      </c>
    </row>
    <row r="2954" spans="1:9" x14ac:dyDescent="0.25">
      <c r="A2954" s="2" t="str">
        <f>CONCATENATE(Códigos!S2953,Códigos!T2953,Códigos!U2953)</f>
        <v>svv2952v</v>
      </c>
      <c r="B2954" t="s">
        <v>500</v>
      </c>
      <c r="C2954" t="s">
        <v>447</v>
      </c>
      <c r="D2954" s="2" t="s">
        <v>448</v>
      </c>
      <c r="E2954" t="s">
        <v>355</v>
      </c>
      <c r="F2954" s="11">
        <v>44664</v>
      </c>
      <c r="G2954" s="2">
        <f>VLOOKUP(E2954,Produtos!$A:$E,5,FALSE)</f>
        <v>1300</v>
      </c>
      <c r="H2954" s="2">
        <f>VLOOKUP(E2954,Produtos!$A:$E,4,FALSE)</f>
        <v>1000</v>
      </c>
      <c r="I2954" s="2">
        <v>6</v>
      </c>
    </row>
    <row r="2955" spans="1:9" x14ac:dyDescent="0.25">
      <c r="A2955" s="2" t="str">
        <f>CONCATENATE(Códigos!S2954,Códigos!T2954,Códigos!U2954)</f>
        <v>svv2953v</v>
      </c>
      <c r="B2955" t="s">
        <v>500</v>
      </c>
      <c r="C2955" t="s">
        <v>447</v>
      </c>
      <c r="D2955" s="2" t="s">
        <v>448</v>
      </c>
      <c r="E2955" t="s">
        <v>355</v>
      </c>
      <c r="F2955" s="11">
        <v>44665</v>
      </c>
      <c r="G2955" s="2">
        <f>VLOOKUP(E2955,Produtos!$A:$E,5,FALSE)</f>
        <v>1300</v>
      </c>
      <c r="H2955" s="2">
        <f>VLOOKUP(E2955,Produtos!$A:$E,4,FALSE)</f>
        <v>1000</v>
      </c>
      <c r="I2955" s="2">
        <v>6</v>
      </c>
    </row>
    <row r="2956" spans="1:9" x14ac:dyDescent="0.25">
      <c r="A2956" s="2" t="str">
        <f>CONCATENATE(Códigos!S2955,Códigos!T2955,Códigos!U2955)</f>
        <v>svv2954v</v>
      </c>
      <c r="B2956" t="s">
        <v>500</v>
      </c>
      <c r="C2956" t="s">
        <v>447</v>
      </c>
      <c r="D2956" s="2" t="s">
        <v>448</v>
      </c>
      <c r="E2956" t="s">
        <v>355</v>
      </c>
      <c r="F2956" s="11">
        <v>44666</v>
      </c>
      <c r="G2956" s="2">
        <f>VLOOKUP(E2956,Produtos!$A:$E,5,FALSE)</f>
        <v>1300</v>
      </c>
      <c r="H2956" s="2">
        <f>VLOOKUP(E2956,Produtos!$A:$E,4,FALSE)</f>
        <v>1000</v>
      </c>
      <c r="I2956" s="2">
        <v>6</v>
      </c>
    </row>
    <row r="2957" spans="1:9" x14ac:dyDescent="0.25">
      <c r="A2957" s="2" t="str">
        <f>CONCATENATE(Códigos!S2956,Códigos!T2956,Códigos!U2956)</f>
        <v>svv2955v</v>
      </c>
      <c r="B2957" t="s">
        <v>500</v>
      </c>
      <c r="C2957" t="s">
        <v>447</v>
      </c>
      <c r="D2957" s="2" t="s">
        <v>448</v>
      </c>
      <c r="E2957" t="s">
        <v>355</v>
      </c>
      <c r="F2957" s="11">
        <v>44667</v>
      </c>
      <c r="G2957" s="2">
        <f>VLOOKUP(E2957,Produtos!$A:$E,5,FALSE)</f>
        <v>1300</v>
      </c>
      <c r="H2957" s="2">
        <f>VLOOKUP(E2957,Produtos!$A:$E,4,FALSE)</f>
        <v>1000</v>
      </c>
      <c r="I2957" s="2">
        <v>6</v>
      </c>
    </row>
    <row r="2958" spans="1:9" x14ac:dyDescent="0.25">
      <c r="A2958" s="2" t="str">
        <f>CONCATENATE(Códigos!S2957,Códigos!T2957,Códigos!U2957)</f>
        <v>svv2956v</v>
      </c>
      <c r="B2958" t="s">
        <v>500</v>
      </c>
      <c r="C2958" t="s">
        <v>447</v>
      </c>
      <c r="D2958" s="2" t="s">
        <v>448</v>
      </c>
      <c r="E2958" t="s">
        <v>355</v>
      </c>
      <c r="F2958" s="11">
        <v>44668</v>
      </c>
      <c r="G2958" s="2">
        <f>VLOOKUP(E2958,Produtos!$A:$E,5,FALSE)</f>
        <v>1300</v>
      </c>
      <c r="H2958" s="2">
        <f>VLOOKUP(E2958,Produtos!$A:$E,4,FALSE)</f>
        <v>1000</v>
      </c>
      <c r="I2958" s="2">
        <v>6</v>
      </c>
    </row>
    <row r="2959" spans="1:9" x14ac:dyDescent="0.25">
      <c r="A2959" s="2" t="str">
        <f>CONCATENATE(Códigos!S2958,Códigos!T2958,Códigos!U2958)</f>
        <v>svv2957v</v>
      </c>
      <c r="B2959" t="s">
        <v>500</v>
      </c>
      <c r="C2959" t="s">
        <v>447</v>
      </c>
      <c r="D2959" s="2" t="s">
        <v>448</v>
      </c>
      <c r="E2959" t="s">
        <v>355</v>
      </c>
      <c r="F2959" s="11">
        <v>44669</v>
      </c>
      <c r="G2959" s="2">
        <f>VLOOKUP(E2959,Produtos!$A:$E,5,FALSE)</f>
        <v>1300</v>
      </c>
      <c r="H2959" s="2">
        <f>VLOOKUP(E2959,Produtos!$A:$E,4,FALSE)</f>
        <v>1000</v>
      </c>
      <c r="I2959" s="2">
        <v>6</v>
      </c>
    </row>
    <row r="2960" spans="1:9" x14ac:dyDescent="0.25">
      <c r="A2960" s="2" t="str">
        <f>CONCATENATE(Códigos!S2959,Códigos!T2959,Códigos!U2959)</f>
        <v>svv2958v</v>
      </c>
      <c r="B2960" t="s">
        <v>500</v>
      </c>
      <c r="C2960" t="s">
        <v>447</v>
      </c>
      <c r="D2960" s="2" t="s">
        <v>448</v>
      </c>
      <c r="E2960" t="s">
        <v>355</v>
      </c>
      <c r="F2960" s="11">
        <v>44670</v>
      </c>
      <c r="G2960" s="2">
        <f>VLOOKUP(E2960,Produtos!$A:$E,5,FALSE)</f>
        <v>1300</v>
      </c>
      <c r="H2960" s="2">
        <f>VLOOKUP(E2960,Produtos!$A:$E,4,FALSE)</f>
        <v>1000</v>
      </c>
      <c r="I2960" s="2">
        <v>6</v>
      </c>
    </row>
    <row r="2961" spans="1:9" x14ac:dyDescent="0.25">
      <c r="A2961" s="2" t="str">
        <f>CONCATENATE(Códigos!S2960,Códigos!T2960,Códigos!U2960)</f>
        <v>svv2959v</v>
      </c>
      <c r="B2961" t="s">
        <v>500</v>
      </c>
      <c r="C2961" t="s">
        <v>447</v>
      </c>
      <c r="D2961" s="2" t="s">
        <v>448</v>
      </c>
      <c r="E2961" t="s">
        <v>355</v>
      </c>
      <c r="F2961" s="11">
        <v>44671</v>
      </c>
      <c r="G2961" s="2">
        <f>VLOOKUP(E2961,Produtos!$A:$E,5,FALSE)</f>
        <v>1300</v>
      </c>
      <c r="H2961" s="2">
        <f>VLOOKUP(E2961,Produtos!$A:$E,4,FALSE)</f>
        <v>1000</v>
      </c>
      <c r="I2961" s="2">
        <v>6</v>
      </c>
    </row>
    <row r="2962" spans="1:9" x14ac:dyDescent="0.25">
      <c r="A2962" s="2" t="str">
        <f>CONCATENATE(Códigos!S2961,Códigos!T2961,Códigos!U2961)</f>
        <v>svv2960v</v>
      </c>
      <c r="B2962" t="s">
        <v>500</v>
      </c>
      <c r="C2962" t="s">
        <v>447</v>
      </c>
      <c r="D2962" s="2" t="s">
        <v>448</v>
      </c>
      <c r="E2962" t="s">
        <v>355</v>
      </c>
      <c r="F2962" s="11">
        <v>44672</v>
      </c>
      <c r="G2962" s="2">
        <f>VLOOKUP(E2962,Produtos!$A:$E,5,FALSE)</f>
        <v>1300</v>
      </c>
      <c r="H2962" s="2">
        <f>VLOOKUP(E2962,Produtos!$A:$E,4,FALSE)</f>
        <v>1000</v>
      </c>
      <c r="I2962" s="2">
        <v>6</v>
      </c>
    </row>
    <row r="2963" spans="1:9" x14ac:dyDescent="0.25">
      <c r="A2963" s="2" t="str">
        <f>CONCATENATE(Códigos!S2962,Códigos!T2962,Códigos!U2962)</f>
        <v>svv2961v</v>
      </c>
      <c r="B2963" t="s">
        <v>500</v>
      </c>
      <c r="C2963" t="s">
        <v>447</v>
      </c>
      <c r="D2963" s="2" t="s">
        <v>448</v>
      </c>
      <c r="E2963" t="s">
        <v>355</v>
      </c>
      <c r="F2963" s="11">
        <v>44673</v>
      </c>
      <c r="G2963" s="2">
        <f>VLOOKUP(E2963,Produtos!$A:$E,5,FALSE)</f>
        <v>1300</v>
      </c>
      <c r="H2963" s="2">
        <f>VLOOKUP(E2963,Produtos!$A:$E,4,FALSE)</f>
        <v>1000</v>
      </c>
      <c r="I2963" s="2">
        <v>6</v>
      </c>
    </row>
    <row r="2964" spans="1:9" x14ac:dyDescent="0.25">
      <c r="A2964" s="2" t="str">
        <f>CONCATENATE(Códigos!S2963,Códigos!T2963,Códigos!U2963)</f>
        <v>svv2962v</v>
      </c>
      <c r="B2964" t="s">
        <v>500</v>
      </c>
      <c r="C2964" t="s">
        <v>447</v>
      </c>
      <c r="D2964" s="2" t="s">
        <v>448</v>
      </c>
      <c r="E2964" t="s">
        <v>355</v>
      </c>
      <c r="F2964" s="11">
        <v>44674</v>
      </c>
      <c r="G2964" s="2">
        <f>VLOOKUP(E2964,Produtos!$A:$E,5,FALSE)</f>
        <v>1300</v>
      </c>
      <c r="H2964" s="2">
        <f>VLOOKUP(E2964,Produtos!$A:$E,4,FALSE)</f>
        <v>1000</v>
      </c>
      <c r="I2964" s="2">
        <v>6</v>
      </c>
    </row>
    <row r="2965" spans="1:9" x14ac:dyDescent="0.25">
      <c r="A2965" s="2" t="str">
        <f>CONCATENATE(Códigos!S2964,Códigos!T2964,Códigos!U2964)</f>
        <v>svv2963v</v>
      </c>
      <c r="B2965" t="s">
        <v>500</v>
      </c>
      <c r="C2965" t="s">
        <v>447</v>
      </c>
      <c r="D2965" s="2" t="s">
        <v>448</v>
      </c>
      <c r="E2965" t="s">
        <v>355</v>
      </c>
      <c r="F2965" s="11">
        <v>44675</v>
      </c>
      <c r="G2965" s="2">
        <f>VLOOKUP(E2965,Produtos!$A:$E,5,FALSE)</f>
        <v>1300</v>
      </c>
      <c r="H2965" s="2">
        <f>VLOOKUP(E2965,Produtos!$A:$E,4,FALSE)</f>
        <v>1000</v>
      </c>
      <c r="I2965" s="2">
        <v>6</v>
      </c>
    </row>
    <row r="2966" spans="1:9" x14ac:dyDescent="0.25">
      <c r="A2966" s="2" t="str">
        <f>CONCATENATE(Códigos!S2965,Códigos!T2965,Códigos!U2965)</f>
        <v>svv2964v</v>
      </c>
      <c r="B2966" t="s">
        <v>500</v>
      </c>
      <c r="C2966" t="s">
        <v>447</v>
      </c>
      <c r="D2966" s="2" t="s">
        <v>448</v>
      </c>
      <c r="E2966" t="s">
        <v>355</v>
      </c>
      <c r="F2966" s="11">
        <v>44676</v>
      </c>
      <c r="G2966" s="2">
        <f>VLOOKUP(E2966,Produtos!$A:$E,5,FALSE)</f>
        <v>1300</v>
      </c>
      <c r="H2966" s="2">
        <f>VLOOKUP(E2966,Produtos!$A:$E,4,FALSE)</f>
        <v>1000</v>
      </c>
      <c r="I2966" s="2">
        <v>6</v>
      </c>
    </row>
    <row r="2967" spans="1:9" x14ac:dyDescent="0.25">
      <c r="A2967" s="2" t="str">
        <f>CONCATENATE(Códigos!S2966,Códigos!T2966,Códigos!U2966)</f>
        <v>svv2965v</v>
      </c>
      <c r="B2967" t="s">
        <v>500</v>
      </c>
      <c r="C2967" t="s">
        <v>447</v>
      </c>
      <c r="D2967" s="2" t="s">
        <v>448</v>
      </c>
      <c r="E2967" t="s">
        <v>355</v>
      </c>
      <c r="F2967" s="11">
        <v>44677</v>
      </c>
      <c r="G2967" s="2">
        <f>VLOOKUP(E2967,Produtos!$A:$E,5,FALSE)</f>
        <v>1300</v>
      </c>
      <c r="H2967" s="2">
        <f>VLOOKUP(E2967,Produtos!$A:$E,4,FALSE)</f>
        <v>1000</v>
      </c>
      <c r="I2967" s="2">
        <v>6</v>
      </c>
    </row>
    <row r="2968" spans="1:9" x14ac:dyDescent="0.25">
      <c r="A2968" s="2" t="str">
        <f>CONCATENATE(Códigos!S2967,Códigos!T2967,Códigos!U2967)</f>
        <v>svv2966v</v>
      </c>
      <c r="B2968" t="s">
        <v>500</v>
      </c>
      <c r="C2968" t="s">
        <v>447</v>
      </c>
      <c r="D2968" s="2" t="s">
        <v>448</v>
      </c>
      <c r="E2968" t="s">
        <v>355</v>
      </c>
      <c r="F2968" s="11">
        <v>44678</v>
      </c>
      <c r="G2968" s="2">
        <f>VLOOKUP(E2968,Produtos!$A:$E,5,FALSE)</f>
        <v>1300</v>
      </c>
      <c r="H2968" s="2">
        <f>VLOOKUP(E2968,Produtos!$A:$E,4,FALSE)</f>
        <v>1000</v>
      </c>
      <c r="I2968" s="2">
        <v>6</v>
      </c>
    </row>
    <row r="2969" spans="1:9" x14ac:dyDescent="0.25">
      <c r="A2969" s="2" t="str">
        <f>CONCATENATE(Códigos!S2968,Códigos!T2968,Códigos!U2968)</f>
        <v>svv2967v</v>
      </c>
      <c r="B2969" t="s">
        <v>500</v>
      </c>
      <c r="C2969" t="s">
        <v>447</v>
      </c>
      <c r="D2969" s="2" t="s">
        <v>448</v>
      </c>
      <c r="E2969" t="s">
        <v>355</v>
      </c>
      <c r="F2969" s="11">
        <v>44679</v>
      </c>
      <c r="G2969" s="2">
        <f>VLOOKUP(E2969,Produtos!$A:$E,5,FALSE)</f>
        <v>1300</v>
      </c>
      <c r="H2969" s="2">
        <f>VLOOKUP(E2969,Produtos!$A:$E,4,FALSE)</f>
        <v>1000</v>
      </c>
      <c r="I2969" s="2">
        <v>6</v>
      </c>
    </row>
    <row r="2970" spans="1:9" x14ac:dyDescent="0.25">
      <c r="A2970" s="2" t="str">
        <f>CONCATENATE(Códigos!S2969,Códigos!T2969,Códigos!U2969)</f>
        <v>svv2968v</v>
      </c>
      <c r="B2970" t="s">
        <v>500</v>
      </c>
      <c r="C2970" t="s">
        <v>447</v>
      </c>
      <c r="D2970" s="2" t="s">
        <v>448</v>
      </c>
      <c r="E2970" t="s">
        <v>355</v>
      </c>
      <c r="F2970" s="11">
        <v>44680</v>
      </c>
      <c r="G2970" s="2">
        <f>VLOOKUP(E2970,Produtos!$A:$E,5,FALSE)</f>
        <v>1300</v>
      </c>
      <c r="H2970" s="2">
        <f>VLOOKUP(E2970,Produtos!$A:$E,4,FALSE)</f>
        <v>1000</v>
      </c>
      <c r="I2970" s="2">
        <v>6</v>
      </c>
    </row>
    <row r="2971" spans="1:9" x14ac:dyDescent="0.25">
      <c r="A2971" s="2" t="str">
        <f>CONCATENATE(Códigos!S2970,Códigos!T2970,Códigos!U2970)</f>
        <v>svv2969v</v>
      </c>
      <c r="B2971" t="s">
        <v>500</v>
      </c>
      <c r="C2971" t="s">
        <v>447</v>
      </c>
      <c r="D2971" s="2" t="s">
        <v>448</v>
      </c>
      <c r="E2971" t="s">
        <v>355</v>
      </c>
      <c r="F2971" s="11">
        <v>44681</v>
      </c>
      <c r="G2971" s="2">
        <f>VLOOKUP(E2971,Produtos!$A:$E,5,FALSE)</f>
        <v>1300</v>
      </c>
      <c r="H2971" s="2">
        <f>VLOOKUP(E2971,Produtos!$A:$E,4,FALSE)</f>
        <v>1000</v>
      </c>
      <c r="I2971" s="2">
        <v>6</v>
      </c>
    </row>
    <row r="2972" spans="1:9" x14ac:dyDescent="0.25">
      <c r="A2972" s="2" t="str">
        <f>CONCATENATE(Códigos!S2971,Códigos!T2971,Códigos!U2971)</f>
        <v>svv2970v</v>
      </c>
      <c r="B2972" t="s">
        <v>500</v>
      </c>
      <c r="C2972" t="s">
        <v>447</v>
      </c>
      <c r="D2972" s="2" t="s">
        <v>448</v>
      </c>
      <c r="E2972" t="s">
        <v>355</v>
      </c>
      <c r="F2972" s="11">
        <v>44682</v>
      </c>
      <c r="G2972" s="2">
        <f>VLOOKUP(E2972,Produtos!$A:$E,5,FALSE)</f>
        <v>1300</v>
      </c>
      <c r="H2972" s="2">
        <f>VLOOKUP(E2972,Produtos!$A:$E,4,FALSE)</f>
        <v>1000</v>
      </c>
      <c r="I2972" s="2">
        <v>6</v>
      </c>
    </row>
    <row r="2973" spans="1:9" x14ac:dyDescent="0.25">
      <c r="A2973" s="2" t="str">
        <f>CONCATENATE(Códigos!S2972,Códigos!T2972,Códigos!U2972)</f>
        <v>svv2971v</v>
      </c>
      <c r="B2973" t="s">
        <v>500</v>
      </c>
      <c r="C2973" t="s">
        <v>447</v>
      </c>
      <c r="D2973" s="2" t="s">
        <v>448</v>
      </c>
      <c r="E2973" t="s">
        <v>355</v>
      </c>
      <c r="F2973" s="11">
        <v>44683</v>
      </c>
      <c r="G2973" s="2">
        <f>VLOOKUP(E2973,Produtos!$A:$E,5,FALSE)</f>
        <v>1300</v>
      </c>
      <c r="H2973" s="2">
        <f>VLOOKUP(E2973,Produtos!$A:$E,4,FALSE)</f>
        <v>1000</v>
      </c>
      <c r="I2973" s="2">
        <v>6</v>
      </c>
    </row>
    <row r="2974" spans="1:9" x14ac:dyDescent="0.25">
      <c r="A2974" s="2" t="str">
        <f>CONCATENATE(Códigos!S2973,Códigos!T2973,Códigos!U2973)</f>
        <v>svv2972v</v>
      </c>
      <c r="B2974" t="s">
        <v>500</v>
      </c>
      <c r="C2974" t="s">
        <v>447</v>
      </c>
      <c r="D2974" s="2" t="s">
        <v>448</v>
      </c>
      <c r="E2974" t="s">
        <v>355</v>
      </c>
      <c r="F2974" s="11">
        <v>44684</v>
      </c>
      <c r="G2974" s="2">
        <f>VLOOKUP(E2974,Produtos!$A:$E,5,FALSE)</f>
        <v>1300</v>
      </c>
      <c r="H2974" s="2">
        <f>VLOOKUP(E2974,Produtos!$A:$E,4,FALSE)</f>
        <v>1000</v>
      </c>
      <c r="I2974" s="2">
        <v>6</v>
      </c>
    </row>
    <row r="2975" spans="1:9" x14ac:dyDescent="0.25">
      <c r="A2975" s="2" t="str">
        <f>CONCATENATE(Códigos!S2974,Códigos!T2974,Códigos!U2974)</f>
        <v>svv2973v</v>
      </c>
      <c r="B2975" t="s">
        <v>500</v>
      </c>
      <c r="C2975" t="s">
        <v>447</v>
      </c>
      <c r="D2975" s="2" t="s">
        <v>448</v>
      </c>
      <c r="E2975" t="s">
        <v>355</v>
      </c>
      <c r="F2975" s="11">
        <v>44685</v>
      </c>
      <c r="G2975" s="2">
        <f>VLOOKUP(E2975,Produtos!$A:$E,5,FALSE)</f>
        <v>1300</v>
      </c>
      <c r="H2975" s="2">
        <f>VLOOKUP(E2975,Produtos!$A:$E,4,FALSE)</f>
        <v>1000</v>
      </c>
      <c r="I2975" s="2">
        <v>6</v>
      </c>
    </row>
    <row r="2976" spans="1:9" x14ac:dyDescent="0.25">
      <c r="A2976" s="2" t="str">
        <f>CONCATENATE(Códigos!S2975,Códigos!T2975,Códigos!U2975)</f>
        <v>svv2974v</v>
      </c>
      <c r="B2976" t="s">
        <v>500</v>
      </c>
      <c r="C2976" t="s">
        <v>447</v>
      </c>
      <c r="D2976" s="2" t="s">
        <v>448</v>
      </c>
      <c r="E2976" t="s">
        <v>355</v>
      </c>
      <c r="F2976" s="11">
        <v>44686</v>
      </c>
      <c r="G2976" s="2">
        <f>VLOOKUP(E2976,Produtos!$A:$E,5,FALSE)</f>
        <v>1300</v>
      </c>
      <c r="H2976" s="2">
        <f>VLOOKUP(E2976,Produtos!$A:$E,4,FALSE)</f>
        <v>1000</v>
      </c>
      <c r="I2976" s="2">
        <v>6</v>
      </c>
    </row>
    <row r="2977" spans="1:9" x14ac:dyDescent="0.25">
      <c r="A2977" s="2" t="str">
        <f>CONCATENATE(Códigos!S2976,Códigos!T2976,Códigos!U2976)</f>
        <v>svv2975v</v>
      </c>
      <c r="B2977" t="s">
        <v>500</v>
      </c>
      <c r="C2977" t="s">
        <v>447</v>
      </c>
      <c r="D2977" s="2" t="s">
        <v>448</v>
      </c>
      <c r="E2977" t="s">
        <v>348</v>
      </c>
      <c r="F2977" s="11">
        <v>44687</v>
      </c>
      <c r="G2977" s="2">
        <f>VLOOKUP(E2977,Produtos!$A:$E,5,FALSE)</f>
        <v>2</v>
      </c>
      <c r="H2977" s="2">
        <f>VLOOKUP(E2977,Produtos!$A:$E,4,FALSE)</f>
        <v>1</v>
      </c>
      <c r="I2977" s="2">
        <v>6</v>
      </c>
    </row>
    <row r="2978" spans="1:9" x14ac:dyDescent="0.25">
      <c r="A2978" s="2" t="str">
        <f>CONCATENATE(Códigos!S2977,Códigos!T2977,Códigos!U2977)</f>
        <v>svv2976v</v>
      </c>
      <c r="B2978" t="s">
        <v>500</v>
      </c>
      <c r="C2978" t="s">
        <v>447</v>
      </c>
      <c r="D2978" s="2" t="s">
        <v>448</v>
      </c>
      <c r="E2978" t="s">
        <v>348</v>
      </c>
      <c r="F2978" s="11">
        <v>44688</v>
      </c>
      <c r="G2978" s="2">
        <f>VLOOKUP(E2978,Produtos!$A:$E,5,FALSE)</f>
        <v>2</v>
      </c>
      <c r="H2978" s="2">
        <f>VLOOKUP(E2978,Produtos!$A:$E,4,FALSE)</f>
        <v>1</v>
      </c>
      <c r="I2978" s="2">
        <v>6</v>
      </c>
    </row>
    <row r="2979" spans="1:9" x14ac:dyDescent="0.25">
      <c r="A2979" s="2" t="str">
        <f>CONCATENATE(Códigos!S2978,Códigos!T2978,Códigos!U2978)</f>
        <v>svv2977v</v>
      </c>
      <c r="B2979" t="s">
        <v>500</v>
      </c>
      <c r="C2979" t="s">
        <v>447</v>
      </c>
      <c r="D2979" s="2" t="s">
        <v>448</v>
      </c>
      <c r="E2979" t="s">
        <v>348</v>
      </c>
      <c r="F2979" s="11">
        <v>44689</v>
      </c>
      <c r="G2979" s="2">
        <f>VLOOKUP(E2979,Produtos!$A:$E,5,FALSE)</f>
        <v>2</v>
      </c>
      <c r="H2979" s="2">
        <f>VLOOKUP(E2979,Produtos!$A:$E,4,FALSE)</f>
        <v>1</v>
      </c>
      <c r="I2979" s="2">
        <v>6</v>
      </c>
    </row>
    <row r="2980" spans="1:9" x14ac:dyDescent="0.25">
      <c r="A2980" s="2" t="str">
        <f>CONCATENATE(Códigos!S2979,Códigos!T2979,Códigos!U2979)</f>
        <v>svv2978v</v>
      </c>
      <c r="B2980" t="s">
        <v>500</v>
      </c>
      <c r="C2980" t="s">
        <v>447</v>
      </c>
      <c r="D2980" s="2" t="s">
        <v>448</v>
      </c>
      <c r="E2980" t="s">
        <v>348</v>
      </c>
      <c r="F2980" s="11">
        <v>44690</v>
      </c>
      <c r="G2980" s="2">
        <f>VLOOKUP(E2980,Produtos!$A:$E,5,FALSE)</f>
        <v>2</v>
      </c>
      <c r="H2980" s="2">
        <f>VLOOKUP(E2980,Produtos!$A:$E,4,FALSE)</f>
        <v>1</v>
      </c>
      <c r="I2980" s="2">
        <v>6</v>
      </c>
    </row>
    <row r="2981" spans="1:9" x14ac:dyDescent="0.25">
      <c r="A2981" s="2" t="str">
        <f>CONCATENATE(Códigos!S2980,Códigos!T2980,Códigos!U2980)</f>
        <v>svv2979v</v>
      </c>
      <c r="B2981" t="s">
        <v>500</v>
      </c>
      <c r="C2981" t="s">
        <v>447</v>
      </c>
      <c r="D2981" s="2" t="s">
        <v>448</v>
      </c>
      <c r="E2981" t="s">
        <v>348</v>
      </c>
      <c r="F2981" s="11">
        <v>44691</v>
      </c>
      <c r="G2981" s="2">
        <f>VLOOKUP(E2981,Produtos!$A:$E,5,FALSE)</f>
        <v>2</v>
      </c>
      <c r="H2981" s="2">
        <f>VLOOKUP(E2981,Produtos!$A:$E,4,FALSE)</f>
        <v>1</v>
      </c>
      <c r="I2981" s="2">
        <v>6</v>
      </c>
    </row>
    <row r="2982" spans="1:9" x14ac:dyDescent="0.25">
      <c r="A2982" s="2" t="str">
        <f>CONCATENATE(Códigos!S2981,Códigos!T2981,Códigos!U2981)</f>
        <v>svv2980v</v>
      </c>
      <c r="B2982" t="s">
        <v>500</v>
      </c>
      <c r="C2982" t="s">
        <v>447</v>
      </c>
      <c r="D2982" s="2" t="s">
        <v>448</v>
      </c>
      <c r="E2982" t="s">
        <v>348</v>
      </c>
      <c r="F2982" s="11">
        <v>44692</v>
      </c>
      <c r="G2982" s="2">
        <f>VLOOKUP(E2982,Produtos!$A:$E,5,FALSE)</f>
        <v>2</v>
      </c>
      <c r="H2982" s="2">
        <f>VLOOKUP(E2982,Produtos!$A:$E,4,FALSE)</f>
        <v>1</v>
      </c>
      <c r="I2982" s="2">
        <v>6</v>
      </c>
    </row>
    <row r="2983" spans="1:9" x14ac:dyDescent="0.25">
      <c r="A2983" s="2" t="str">
        <f>CONCATENATE(Códigos!S2982,Códigos!T2982,Códigos!U2982)</f>
        <v>svv2981v</v>
      </c>
      <c r="B2983" t="s">
        <v>500</v>
      </c>
      <c r="C2983" t="s">
        <v>447</v>
      </c>
      <c r="D2983" s="2" t="s">
        <v>448</v>
      </c>
      <c r="E2983" t="s">
        <v>348</v>
      </c>
      <c r="F2983" s="11">
        <v>44693</v>
      </c>
      <c r="G2983" s="2">
        <f>VLOOKUP(E2983,Produtos!$A:$E,5,FALSE)</f>
        <v>2</v>
      </c>
      <c r="H2983" s="2">
        <f>VLOOKUP(E2983,Produtos!$A:$E,4,FALSE)</f>
        <v>1</v>
      </c>
      <c r="I2983" s="2">
        <v>6</v>
      </c>
    </row>
    <row r="2984" spans="1:9" x14ac:dyDescent="0.25">
      <c r="A2984" s="2" t="str">
        <f>CONCATENATE(Códigos!S2983,Códigos!T2983,Códigos!U2983)</f>
        <v>svv2982v</v>
      </c>
      <c r="B2984" t="s">
        <v>500</v>
      </c>
      <c r="C2984" t="s">
        <v>447</v>
      </c>
      <c r="D2984" s="2" t="s">
        <v>448</v>
      </c>
      <c r="E2984" t="s">
        <v>348</v>
      </c>
      <c r="F2984" s="11">
        <v>44694</v>
      </c>
      <c r="G2984" s="2">
        <f>VLOOKUP(E2984,Produtos!$A:$E,5,FALSE)</f>
        <v>2</v>
      </c>
      <c r="H2984" s="2">
        <f>VLOOKUP(E2984,Produtos!$A:$E,4,FALSE)</f>
        <v>1</v>
      </c>
      <c r="I2984" s="2">
        <v>6</v>
      </c>
    </row>
    <row r="2985" spans="1:9" x14ac:dyDescent="0.25">
      <c r="A2985" s="2" t="str">
        <f>CONCATENATE(Códigos!S2984,Códigos!T2984,Códigos!U2984)</f>
        <v>svv2983v</v>
      </c>
      <c r="B2985" t="s">
        <v>500</v>
      </c>
      <c r="C2985" t="s">
        <v>447</v>
      </c>
      <c r="D2985" s="2" t="s">
        <v>448</v>
      </c>
      <c r="E2985" t="s">
        <v>348</v>
      </c>
      <c r="F2985" s="11">
        <v>44695</v>
      </c>
      <c r="G2985" s="2">
        <f>VLOOKUP(E2985,Produtos!$A:$E,5,FALSE)</f>
        <v>2</v>
      </c>
      <c r="H2985" s="2">
        <f>VLOOKUP(E2985,Produtos!$A:$E,4,FALSE)</f>
        <v>1</v>
      </c>
      <c r="I2985" s="2">
        <v>6</v>
      </c>
    </row>
    <row r="2986" spans="1:9" x14ac:dyDescent="0.25">
      <c r="A2986" s="2" t="str">
        <f>CONCATENATE(Códigos!S2985,Códigos!T2985,Códigos!U2985)</f>
        <v>svv2984v</v>
      </c>
      <c r="B2986" t="s">
        <v>500</v>
      </c>
      <c r="C2986" t="s">
        <v>447</v>
      </c>
      <c r="D2986" s="2" t="s">
        <v>448</v>
      </c>
      <c r="E2986" t="s">
        <v>348</v>
      </c>
      <c r="F2986" s="11">
        <v>44696</v>
      </c>
      <c r="G2986" s="2">
        <f>VLOOKUP(E2986,Produtos!$A:$E,5,FALSE)</f>
        <v>2</v>
      </c>
      <c r="H2986" s="2">
        <f>VLOOKUP(E2986,Produtos!$A:$E,4,FALSE)</f>
        <v>1</v>
      </c>
      <c r="I2986" s="2">
        <v>6</v>
      </c>
    </row>
    <row r="2987" spans="1:9" x14ac:dyDescent="0.25">
      <c r="A2987" s="2" t="str">
        <f>CONCATENATE(Códigos!S2986,Códigos!T2986,Códigos!U2986)</f>
        <v>svv2985v</v>
      </c>
      <c r="B2987" t="s">
        <v>500</v>
      </c>
      <c r="C2987" t="s">
        <v>447</v>
      </c>
      <c r="D2987" s="2" t="s">
        <v>448</v>
      </c>
      <c r="E2987" t="s">
        <v>348</v>
      </c>
      <c r="F2987" s="11">
        <v>44697</v>
      </c>
      <c r="G2987" s="2">
        <f>VLOOKUP(E2987,Produtos!$A:$E,5,FALSE)</f>
        <v>2</v>
      </c>
      <c r="H2987" s="2">
        <f>VLOOKUP(E2987,Produtos!$A:$E,4,FALSE)</f>
        <v>1</v>
      </c>
      <c r="I2987" s="2">
        <v>6</v>
      </c>
    </row>
    <row r="2988" spans="1:9" x14ac:dyDescent="0.25">
      <c r="A2988" s="2" t="str">
        <f>CONCATENATE(Códigos!S2987,Códigos!T2987,Códigos!U2987)</f>
        <v>svv2986v</v>
      </c>
      <c r="B2988" t="s">
        <v>500</v>
      </c>
      <c r="C2988" t="s">
        <v>447</v>
      </c>
      <c r="D2988" s="2" t="s">
        <v>448</v>
      </c>
      <c r="E2988" t="s">
        <v>348</v>
      </c>
      <c r="F2988" s="11">
        <v>44698</v>
      </c>
      <c r="G2988" s="2">
        <f>VLOOKUP(E2988,Produtos!$A:$E,5,FALSE)</f>
        <v>2</v>
      </c>
      <c r="H2988" s="2">
        <f>VLOOKUP(E2988,Produtos!$A:$E,4,FALSE)</f>
        <v>1</v>
      </c>
      <c r="I2988" s="2">
        <v>6</v>
      </c>
    </row>
    <row r="2989" spans="1:9" x14ac:dyDescent="0.25">
      <c r="A2989" s="2" t="str">
        <f>CONCATENATE(Códigos!S2988,Códigos!T2988,Códigos!U2988)</f>
        <v>svv2987v</v>
      </c>
      <c r="B2989" t="s">
        <v>500</v>
      </c>
      <c r="C2989" t="s">
        <v>447</v>
      </c>
      <c r="D2989" s="2" t="s">
        <v>448</v>
      </c>
      <c r="E2989" t="s">
        <v>348</v>
      </c>
      <c r="F2989" s="11">
        <v>44699</v>
      </c>
      <c r="G2989" s="2">
        <f>VLOOKUP(E2989,Produtos!$A:$E,5,FALSE)</f>
        <v>2</v>
      </c>
      <c r="H2989" s="2">
        <f>VLOOKUP(E2989,Produtos!$A:$E,4,FALSE)</f>
        <v>1</v>
      </c>
      <c r="I2989" s="2">
        <v>6</v>
      </c>
    </row>
    <row r="2990" spans="1:9" x14ac:dyDescent="0.25">
      <c r="A2990" s="2" t="str">
        <f>CONCATENATE(Códigos!S2989,Códigos!T2989,Códigos!U2989)</f>
        <v>svv2988v</v>
      </c>
      <c r="B2990" t="s">
        <v>500</v>
      </c>
      <c r="C2990" t="s">
        <v>447</v>
      </c>
      <c r="D2990" s="2" t="s">
        <v>448</v>
      </c>
      <c r="E2990" t="s">
        <v>348</v>
      </c>
      <c r="F2990" s="11">
        <v>44700</v>
      </c>
      <c r="G2990" s="2">
        <f>VLOOKUP(E2990,Produtos!$A:$E,5,FALSE)</f>
        <v>2</v>
      </c>
      <c r="H2990" s="2">
        <f>VLOOKUP(E2990,Produtos!$A:$E,4,FALSE)</f>
        <v>1</v>
      </c>
      <c r="I2990" s="2">
        <v>6</v>
      </c>
    </row>
    <row r="2991" spans="1:9" x14ac:dyDescent="0.25">
      <c r="A2991" s="2" t="str">
        <f>CONCATENATE(Códigos!S2990,Códigos!T2990,Códigos!U2990)</f>
        <v>svv2989v</v>
      </c>
      <c r="B2991" t="s">
        <v>500</v>
      </c>
      <c r="C2991" t="s">
        <v>447</v>
      </c>
      <c r="D2991" s="2" t="s">
        <v>448</v>
      </c>
      <c r="E2991" t="s">
        <v>348</v>
      </c>
      <c r="F2991" s="11">
        <v>44701</v>
      </c>
      <c r="G2991" s="2">
        <f>VLOOKUP(E2991,Produtos!$A:$E,5,FALSE)</f>
        <v>2</v>
      </c>
      <c r="H2991" s="2">
        <f>VLOOKUP(E2991,Produtos!$A:$E,4,FALSE)</f>
        <v>1</v>
      </c>
      <c r="I2991" s="2">
        <v>6</v>
      </c>
    </row>
    <row r="2992" spans="1:9" x14ac:dyDescent="0.25">
      <c r="A2992" s="2" t="str">
        <f>CONCATENATE(Códigos!S2991,Códigos!T2991,Códigos!U2991)</f>
        <v>svv2990v</v>
      </c>
      <c r="B2992" t="s">
        <v>500</v>
      </c>
      <c r="C2992" t="s">
        <v>447</v>
      </c>
      <c r="D2992" s="2" t="s">
        <v>448</v>
      </c>
      <c r="E2992" t="s">
        <v>348</v>
      </c>
      <c r="F2992" s="11">
        <v>44702</v>
      </c>
      <c r="G2992" s="2">
        <f>VLOOKUP(E2992,Produtos!$A:$E,5,FALSE)</f>
        <v>2</v>
      </c>
      <c r="H2992" s="2">
        <f>VLOOKUP(E2992,Produtos!$A:$E,4,FALSE)</f>
        <v>1</v>
      </c>
      <c r="I2992" s="2">
        <v>10</v>
      </c>
    </row>
    <row r="2993" spans="1:9" x14ac:dyDescent="0.25">
      <c r="A2993" s="2" t="str">
        <f>CONCATENATE(Códigos!S2992,Códigos!T2992,Códigos!U2992)</f>
        <v>svv2991v</v>
      </c>
      <c r="B2993" t="s">
        <v>500</v>
      </c>
      <c r="C2993" t="s">
        <v>447</v>
      </c>
      <c r="D2993" s="2" t="s">
        <v>448</v>
      </c>
      <c r="E2993" t="s">
        <v>348</v>
      </c>
      <c r="F2993" s="11">
        <v>44703</v>
      </c>
      <c r="G2993" s="2">
        <f>VLOOKUP(E2993,Produtos!$A:$E,5,FALSE)</f>
        <v>2</v>
      </c>
      <c r="H2993" s="2">
        <f>VLOOKUP(E2993,Produtos!$A:$E,4,FALSE)</f>
        <v>1</v>
      </c>
      <c r="I2993" s="2">
        <v>10</v>
      </c>
    </row>
    <row r="2994" spans="1:9" x14ac:dyDescent="0.25">
      <c r="A2994" s="2" t="str">
        <f>CONCATENATE(Códigos!S2993,Códigos!T2993,Códigos!U2993)</f>
        <v>svv2992v</v>
      </c>
      <c r="B2994" t="s">
        <v>500</v>
      </c>
      <c r="C2994" t="s">
        <v>447</v>
      </c>
      <c r="D2994" s="2" t="s">
        <v>448</v>
      </c>
      <c r="E2994" t="s">
        <v>348</v>
      </c>
      <c r="F2994" s="11">
        <v>44704</v>
      </c>
      <c r="G2994" s="2">
        <f>VLOOKUP(E2994,Produtos!$A:$E,5,FALSE)</f>
        <v>2</v>
      </c>
      <c r="H2994" s="2">
        <f>VLOOKUP(E2994,Produtos!$A:$E,4,FALSE)</f>
        <v>1</v>
      </c>
      <c r="I2994" s="2">
        <v>10</v>
      </c>
    </row>
    <row r="2995" spans="1:9" x14ac:dyDescent="0.25">
      <c r="A2995" s="2" t="str">
        <f>CONCATENATE(Códigos!S2994,Códigos!T2994,Códigos!U2994)</f>
        <v>svv2993v</v>
      </c>
      <c r="B2995" t="s">
        <v>500</v>
      </c>
      <c r="C2995" t="s">
        <v>447</v>
      </c>
      <c r="D2995" s="2" t="s">
        <v>448</v>
      </c>
      <c r="E2995" t="s">
        <v>348</v>
      </c>
      <c r="F2995" s="11">
        <v>44705</v>
      </c>
      <c r="G2995" s="2">
        <f>VLOOKUP(E2995,Produtos!$A:$E,5,FALSE)</f>
        <v>2</v>
      </c>
      <c r="H2995" s="2">
        <f>VLOOKUP(E2995,Produtos!$A:$E,4,FALSE)</f>
        <v>1</v>
      </c>
      <c r="I2995" s="2">
        <v>10</v>
      </c>
    </row>
    <row r="2996" spans="1:9" x14ac:dyDescent="0.25">
      <c r="A2996" s="2" t="str">
        <f>CONCATENATE(Códigos!S2995,Códigos!T2995,Códigos!U2995)</f>
        <v>svv2994v</v>
      </c>
      <c r="B2996" t="s">
        <v>500</v>
      </c>
      <c r="C2996" t="s">
        <v>447</v>
      </c>
      <c r="D2996" s="2" t="s">
        <v>448</v>
      </c>
      <c r="E2996" t="s">
        <v>348</v>
      </c>
      <c r="F2996" s="11">
        <v>44706</v>
      </c>
      <c r="G2996" s="2">
        <f>VLOOKUP(E2996,Produtos!$A:$E,5,FALSE)</f>
        <v>2</v>
      </c>
      <c r="H2996" s="2">
        <f>VLOOKUP(E2996,Produtos!$A:$E,4,FALSE)</f>
        <v>1</v>
      </c>
      <c r="I2996" s="2">
        <v>10</v>
      </c>
    </row>
    <row r="2997" spans="1:9" x14ac:dyDescent="0.25">
      <c r="A2997" s="2" t="str">
        <f>CONCATENATE(Códigos!S2996,Códigos!T2996,Códigos!U2996)</f>
        <v>svv2995v</v>
      </c>
      <c r="B2997" t="s">
        <v>500</v>
      </c>
      <c r="C2997" t="s">
        <v>447</v>
      </c>
      <c r="D2997" s="2" t="s">
        <v>448</v>
      </c>
      <c r="E2997" t="s">
        <v>348</v>
      </c>
      <c r="F2997" s="11">
        <v>44707</v>
      </c>
      <c r="G2997" s="2">
        <f>VLOOKUP(E2997,Produtos!$A:$E,5,FALSE)</f>
        <v>2</v>
      </c>
      <c r="H2997" s="2">
        <f>VLOOKUP(E2997,Produtos!$A:$E,4,FALSE)</f>
        <v>1</v>
      </c>
      <c r="I2997" s="2">
        <v>10</v>
      </c>
    </row>
    <row r="2998" spans="1:9" x14ac:dyDescent="0.25">
      <c r="A2998" s="2" t="str">
        <f>CONCATENATE(Códigos!S2997,Códigos!T2997,Códigos!U2997)</f>
        <v>svv2996v</v>
      </c>
      <c r="B2998" t="s">
        <v>500</v>
      </c>
      <c r="C2998" t="s">
        <v>447</v>
      </c>
      <c r="D2998" s="2" t="s">
        <v>448</v>
      </c>
      <c r="E2998" t="s">
        <v>348</v>
      </c>
      <c r="F2998" s="11">
        <v>44708</v>
      </c>
      <c r="G2998" s="2">
        <f>VLOOKUP(E2998,Produtos!$A:$E,5,FALSE)</f>
        <v>2</v>
      </c>
      <c r="H2998" s="2">
        <f>VLOOKUP(E2998,Produtos!$A:$E,4,FALSE)</f>
        <v>1</v>
      </c>
      <c r="I2998" s="2">
        <v>10</v>
      </c>
    </row>
    <row r="2999" spans="1:9" x14ac:dyDescent="0.25">
      <c r="A2999" s="2" t="str">
        <f>CONCATENATE(Códigos!S2998,Códigos!T2998,Códigos!U2998)</f>
        <v>svv2997v</v>
      </c>
      <c r="B2999" t="s">
        <v>500</v>
      </c>
      <c r="C2999" t="s">
        <v>447</v>
      </c>
      <c r="D2999" s="2" t="s">
        <v>448</v>
      </c>
      <c r="E2999" t="s">
        <v>348</v>
      </c>
      <c r="F2999" s="11">
        <v>44709</v>
      </c>
      <c r="G2999" s="2">
        <f>VLOOKUP(E2999,Produtos!$A:$E,5,FALSE)</f>
        <v>2</v>
      </c>
      <c r="H2999" s="2">
        <f>VLOOKUP(E2999,Produtos!$A:$E,4,FALSE)</f>
        <v>1</v>
      </c>
      <c r="I2999" s="2">
        <v>10</v>
      </c>
    </row>
    <row r="3000" spans="1:9" x14ac:dyDescent="0.25">
      <c r="A3000" s="2" t="str">
        <f>CONCATENATE(Códigos!S2999,Códigos!T2999,Códigos!U2999)</f>
        <v>svv2998v</v>
      </c>
      <c r="B3000" t="s">
        <v>500</v>
      </c>
      <c r="C3000" t="s">
        <v>447</v>
      </c>
      <c r="D3000" s="2" t="s">
        <v>448</v>
      </c>
      <c r="E3000" t="s">
        <v>348</v>
      </c>
      <c r="F3000" s="11">
        <v>44710</v>
      </c>
      <c r="G3000" s="2">
        <f>VLOOKUP(E3000,Produtos!$A:$E,5,FALSE)</f>
        <v>2</v>
      </c>
      <c r="H3000" s="2">
        <f>VLOOKUP(E3000,Produtos!$A:$E,4,FALSE)</f>
        <v>1</v>
      </c>
      <c r="I3000" s="2">
        <v>10</v>
      </c>
    </row>
    <row r="3001" spans="1:9" x14ac:dyDescent="0.25">
      <c r="A3001" s="2" t="str">
        <f>CONCATENATE(Códigos!S3000,Códigos!T3000,Códigos!U3000)</f>
        <v>svv2999v</v>
      </c>
      <c r="B3001" t="s">
        <v>500</v>
      </c>
      <c r="C3001" t="s">
        <v>447</v>
      </c>
      <c r="D3001" s="2" t="s">
        <v>448</v>
      </c>
      <c r="E3001" t="s">
        <v>348</v>
      </c>
      <c r="F3001" s="11">
        <v>44711</v>
      </c>
      <c r="G3001" s="2">
        <f>VLOOKUP(E3001,Produtos!$A:$E,5,FALSE)</f>
        <v>2</v>
      </c>
      <c r="H3001" s="2">
        <f>VLOOKUP(E3001,Produtos!$A:$E,4,FALSE)</f>
        <v>1</v>
      </c>
      <c r="I3001" s="2">
        <v>10</v>
      </c>
    </row>
    <row r="3002" spans="1:9" x14ac:dyDescent="0.25">
      <c r="A3002" s="2" t="str">
        <f>CONCATENATE(Códigos!S3001,Códigos!T3001,Códigos!U3001)</f>
        <v>svv3000v</v>
      </c>
      <c r="B3002" t="s">
        <v>500</v>
      </c>
      <c r="C3002" t="s">
        <v>447</v>
      </c>
      <c r="D3002" s="2" t="s">
        <v>448</v>
      </c>
      <c r="E3002" t="s">
        <v>348</v>
      </c>
      <c r="F3002" s="11">
        <v>44712</v>
      </c>
      <c r="G3002" s="2">
        <f>VLOOKUP(E3002,Produtos!$A:$E,5,FALSE)</f>
        <v>2</v>
      </c>
      <c r="H3002" s="2">
        <f>VLOOKUP(E3002,Produtos!$A:$E,4,FALSE)</f>
        <v>1</v>
      </c>
      <c r="I3002" s="2">
        <v>10</v>
      </c>
    </row>
    <row r="3003" spans="1:9" x14ac:dyDescent="0.25">
      <c r="A3003" s="2" t="str">
        <f>CONCATENATE(Códigos!S3002,Códigos!T3002,Códigos!U3002)</f>
        <v>svv3001v</v>
      </c>
      <c r="B3003" t="s">
        <v>500</v>
      </c>
      <c r="C3003" t="s">
        <v>447</v>
      </c>
      <c r="D3003" s="2" t="s">
        <v>448</v>
      </c>
      <c r="E3003" t="s">
        <v>348</v>
      </c>
      <c r="F3003" s="11">
        <v>44713</v>
      </c>
      <c r="G3003" s="2">
        <f>VLOOKUP(E3003,Produtos!$A:$E,5,FALSE)</f>
        <v>2</v>
      </c>
      <c r="H3003" s="2">
        <f>VLOOKUP(E3003,Produtos!$A:$E,4,FALSE)</f>
        <v>1</v>
      </c>
      <c r="I3003" s="2">
        <v>10</v>
      </c>
    </row>
    <row r="3004" spans="1:9" x14ac:dyDescent="0.25">
      <c r="A3004" s="2" t="str">
        <f>CONCATENATE(Códigos!S3003,Códigos!T3003,Códigos!U3003)</f>
        <v>svv3002v</v>
      </c>
      <c r="B3004" t="s">
        <v>500</v>
      </c>
      <c r="C3004" t="s">
        <v>447</v>
      </c>
      <c r="D3004" s="2" t="s">
        <v>448</v>
      </c>
      <c r="E3004" t="s">
        <v>348</v>
      </c>
      <c r="F3004" s="11">
        <v>44714</v>
      </c>
      <c r="G3004" s="2">
        <f>VLOOKUP(E3004,Produtos!$A:$E,5,FALSE)</f>
        <v>2</v>
      </c>
      <c r="H3004" s="2">
        <f>VLOOKUP(E3004,Produtos!$A:$E,4,FALSE)</f>
        <v>1</v>
      </c>
      <c r="I3004" s="2">
        <v>10</v>
      </c>
    </row>
    <row r="3005" spans="1:9" x14ac:dyDescent="0.25">
      <c r="A3005" s="2" t="str">
        <f>CONCATENATE(Códigos!S3004,Códigos!T3004,Códigos!U3004)</f>
        <v>svv3003v</v>
      </c>
      <c r="B3005" t="s">
        <v>500</v>
      </c>
      <c r="C3005" t="s">
        <v>447</v>
      </c>
      <c r="D3005" s="2" t="s">
        <v>448</v>
      </c>
      <c r="E3005" t="s">
        <v>348</v>
      </c>
      <c r="F3005" s="11">
        <v>44715</v>
      </c>
      <c r="G3005" s="2">
        <f>VLOOKUP(E3005,Produtos!$A:$E,5,FALSE)</f>
        <v>2</v>
      </c>
      <c r="H3005" s="2">
        <f>VLOOKUP(E3005,Produtos!$A:$E,4,FALSE)</f>
        <v>1</v>
      </c>
      <c r="I3005" s="2">
        <v>10</v>
      </c>
    </row>
    <row r="3006" spans="1:9" x14ac:dyDescent="0.25">
      <c r="A3006" s="2" t="str">
        <f>CONCATENATE(Códigos!S3005,Códigos!T3005,Códigos!U3005)</f>
        <v>svv3004v</v>
      </c>
      <c r="B3006" t="s">
        <v>500</v>
      </c>
      <c r="C3006" t="s">
        <v>447</v>
      </c>
      <c r="D3006" s="2" t="s">
        <v>448</v>
      </c>
      <c r="E3006" t="s">
        <v>348</v>
      </c>
      <c r="F3006" s="11">
        <v>44716</v>
      </c>
      <c r="G3006" s="2">
        <f>VLOOKUP(E3006,Produtos!$A:$E,5,FALSE)</f>
        <v>2</v>
      </c>
      <c r="H3006" s="2">
        <f>VLOOKUP(E3006,Produtos!$A:$E,4,FALSE)</f>
        <v>1</v>
      </c>
      <c r="I3006" s="2">
        <v>10</v>
      </c>
    </row>
    <row r="3007" spans="1:9" x14ac:dyDescent="0.25">
      <c r="A3007" s="2" t="str">
        <f>CONCATENATE(Códigos!S3006,Códigos!T3006,Códigos!U3006)</f>
        <v>svv3005v</v>
      </c>
      <c r="B3007" t="s">
        <v>500</v>
      </c>
      <c r="C3007" t="s">
        <v>447</v>
      </c>
      <c r="D3007" s="2" t="s">
        <v>448</v>
      </c>
      <c r="E3007" t="s">
        <v>348</v>
      </c>
      <c r="F3007" s="11">
        <v>44717</v>
      </c>
      <c r="G3007" s="2">
        <f>VLOOKUP(E3007,Produtos!$A:$E,5,FALSE)</f>
        <v>2</v>
      </c>
      <c r="H3007" s="2">
        <f>VLOOKUP(E3007,Produtos!$A:$E,4,FALSE)</f>
        <v>1</v>
      </c>
      <c r="I3007" s="2">
        <v>10</v>
      </c>
    </row>
    <row r="3008" spans="1:9" x14ac:dyDescent="0.25">
      <c r="A3008" s="2" t="str">
        <f>CONCATENATE(Códigos!S3007,Códigos!T3007,Códigos!U3007)</f>
        <v>svv3006v</v>
      </c>
      <c r="B3008" t="s">
        <v>500</v>
      </c>
      <c r="C3008" t="s">
        <v>447</v>
      </c>
      <c r="D3008" s="2" t="s">
        <v>448</v>
      </c>
      <c r="E3008" t="s">
        <v>348</v>
      </c>
      <c r="F3008" s="11">
        <v>44718</v>
      </c>
      <c r="G3008" s="2">
        <f>VLOOKUP(E3008,Produtos!$A:$E,5,FALSE)</f>
        <v>2</v>
      </c>
      <c r="H3008" s="2">
        <f>VLOOKUP(E3008,Produtos!$A:$E,4,FALSE)</f>
        <v>1</v>
      </c>
      <c r="I3008" s="2">
        <v>10</v>
      </c>
    </row>
    <row r="3009" spans="1:9" x14ac:dyDescent="0.25">
      <c r="A3009" s="2" t="str">
        <f>CONCATENATE(Códigos!S3008,Códigos!T3008,Códigos!U3008)</f>
        <v>svv3007v</v>
      </c>
      <c r="B3009" t="s">
        <v>500</v>
      </c>
      <c r="C3009" t="s">
        <v>447</v>
      </c>
      <c r="D3009" s="2" t="s">
        <v>448</v>
      </c>
      <c r="E3009" t="s">
        <v>348</v>
      </c>
      <c r="F3009" s="11">
        <v>44719</v>
      </c>
      <c r="G3009" s="2">
        <f>VLOOKUP(E3009,Produtos!$A:$E,5,FALSE)</f>
        <v>2</v>
      </c>
      <c r="H3009" s="2">
        <f>VLOOKUP(E3009,Produtos!$A:$E,4,FALSE)</f>
        <v>1</v>
      </c>
      <c r="I3009" s="2">
        <v>10</v>
      </c>
    </row>
    <row r="3010" spans="1:9" x14ac:dyDescent="0.25">
      <c r="A3010" s="2" t="str">
        <f>CONCATENATE(Códigos!S3009,Códigos!T3009,Códigos!U3009)</f>
        <v>svv3008v</v>
      </c>
      <c r="B3010" t="s">
        <v>500</v>
      </c>
      <c r="C3010" t="s">
        <v>447</v>
      </c>
      <c r="D3010" s="2" t="s">
        <v>448</v>
      </c>
      <c r="E3010" t="s">
        <v>348</v>
      </c>
      <c r="F3010" s="11">
        <v>44720</v>
      </c>
      <c r="G3010" s="2">
        <f>VLOOKUP(E3010,Produtos!$A:$E,5,FALSE)</f>
        <v>2</v>
      </c>
      <c r="H3010" s="2">
        <f>VLOOKUP(E3010,Produtos!$A:$E,4,FALSE)</f>
        <v>1</v>
      </c>
      <c r="I3010" s="2">
        <v>10</v>
      </c>
    </row>
    <row r="3011" spans="1:9" x14ac:dyDescent="0.25">
      <c r="A3011" s="2" t="str">
        <f>CONCATENATE(Códigos!S3010,Códigos!T3010,Códigos!U3010)</f>
        <v>svv3009v</v>
      </c>
      <c r="B3011" t="s">
        <v>500</v>
      </c>
      <c r="C3011" t="s">
        <v>447</v>
      </c>
      <c r="D3011" s="2" t="s">
        <v>448</v>
      </c>
      <c r="E3011" t="s">
        <v>348</v>
      </c>
      <c r="F3011" s="11">
        <v>44721</v>
      </c>
      <c r="G3011" s="2">
        <f>VLOOKUP(E3011,Produtos!$A:$E,5,FALSE)</f>
        <v>2</v>
      </c>
      <c r="H3011" s="2">
        <f>VLOOKUP(E3011,Produtos!$A:$E,4,FALSE)</f>
        <v>1</v>
      </c>
      <c r="I3011" s="2">
        <v>10</v>
      </c>
    </row>
    <row r="3012" spans="1:9" x14ac:dyDescent="0.25">
      <c r="A3012" s="2" t="str">
        <f>CONCATENATE(Códigos!S3011,Códigos!T3011,Códigos!U3011)</f>
        <v>svv3010v</v>
      </c>
      <c r="B3012" t="s">
        <v>500</v>
      </c>
      <c r="C3012" t="s">
        <v>446</v>
      </c>
      <c r="D3012" s="2" t="s">
        <v>370</v>
      </c>
      <c r="E3012" t="s">
        <v>502</v>
      </c>
      <c r="F3012" s="11">
        <v>44722</v>
      </c>
      <c r="G3012" s="2">
        <f>VLOOKUP(E3012,Produtos!$A:$E,5,FALSE)</f>
        <v>1</v>
      </c>
      <c r="H3012" s="2">
        <f>VLOOKUP(E3012,Produtos!$A:$E,4,FALSE)</f>
        <v>0.5</v>
      </c>
      <c r="I3012" s="2">
        <v>10</v>
      </c>
    </row>
    <row r="3013" spans="1:9" x14ac:dyDescent="0.25">
      <c r="A3013" s="2" t="str">
        <f>CONCATENATE(Códigos!S3012,Códigos!T3012,Códigos!U3012)</f>
        <v>svv3011v</v>
      </c>
      <c r="B3013" t="s">
        <v>500</v>
      </c>
      <c r="C3013" t="s">
        <v>446</v>
      </c>
      <c r="D3013" s="2" t="s">
        <v>370</v>
      </c>
      <c r="E3013" t="s">
        <v>502</v>
      </c>
      <c r="F3013" s="11">
        <v>44723</v>
      </c>
      <c r="G3013" s="2">
        <f>VLOOKUP(E3013,Produtos!$A:$E,5,FALSE)</f>
        <v>1</v>
      </c>
      <c r="H3013" s="2">
        <f>VLOOKUP(E3013,Produtos!$A:$E,4,FALSE)</f>
        <v>0.5</v>
      </c>
      <c r="I3013" s="2">
        <v>10</v>
      </c>
    </row>
    <row r="3014" spans="1:9" x14ac:dyDescent="0.25">
      <c r="A3014" s="2" t="str">
        <f>CONCATENATE(Códigos!S3013,Códigos!T3013,Códigos!U3013)</f>
        <v>svv3012v</v>
      </c>
      <c r="B3014" t="s">
        <v>500</v>
      </c>
      <c r="C3014" t="s">
        <v>446</v>
      </c>
      <c r="D3014" s="2" t="s">
        <v>370</v>
      </c>
      <c r="E3014" t="s">
        <v>502</v>
      </c>
      <c r="F3014" s="11">
        <v>44724</v>
      </c>
      <c r="G3014" s="2">
        <f>VLOOKUP(E3014,Produtos!$A:$E,5,FALSE)</f>
        <v>1</v>
      </c>
      <c r="H3014" s="2">
        <f>VLOOKUP(E3014,Produtos!$A:$E,4,FALSE)</f>
        <v>0.5</v>
      </c>
      <c r="I3014" s="2">
        <v>10</v>
      </c>
    </row>
    <row r="3015" spans="1:9" x14ac:dyDescent="0.25">
      <c r="A3015" s="2" t="str">
        <f>CONCATENATE(Códigos!S3014,Códigos!T3014,Códigos!U3014)</f>
        <v>svv3013v</v>
      </c>
      <c r="B3015" t="s">
        <v>500</v>
      </c>
      <c r="C3015" t="s">
        <v>446</v>
      </c>
      <c r="D3015" s="2" t="s">
        <v>370</v>
      </c>
      <c r="E3015" t="s">
        <v>502</v>
      </c>
      <c r="F3015" s="11">
        <v>44725</v>
      </c>
      <c r="G3015" s="2">
        <f>VLOOKUP(E3015,Produtos!$A:$E,5,FALSE)</f>
        <v>1</v>
      </c>
      <c r="H3015" s="2">
        <f>VLOOKUP(E3015,Produtos!$A:$E,4,FALSE)</f>
        <v>0.5</v>
      </c>
      <c r="I3015" s="2">
        <v>10</v>
      </c>
    </row>
    <row r="3016" spans="1:9" x14ac:dyDescent="0.25">
      <c r="A3016" s="2" t="str">
        <f>CONCATENATE(Códigos!S3015,Códigos!T3015,Códigos!U3015)</f>
        <v>svv3014v</v>
      </c>
      <c r="B3016" t="s">
        <v>500</v>
      </c>
      <c r="C3016" t="s">
        <v>446</v>
      </c>
      <c r="D3016" s="2" t="s">
        <v>370</v>
      </c>
      <c r="E3016" t="s">
        <v>502</v>
      </c>
      <c r="F3016" s="11">
        <v>44726</v>
      </c>
      <c r="G3016" s="2">
        <f>VLOOKUP(E3016,Produtos!$A:$E,5,FALSE)</f>
        <v>1</v>
      </c>
      <c r="H3016" s="2">
        <f>VLOOKUP(E3016,Produtos!$A:$E,4,FALSE)</f>
        <v>0.5</v>
      </c>
      <c r="I3016" s="2">
        <v>10</v>
      </c>
    </row>
    <row r="3017" spans="1:9" x14ac:dyDescent="0.25">
      <c r="A3017" s="2" t="str">
        <f>CONCATENATE(Códigos!S3016,Códigos!T3016,Códigos!U3016)</f>
        <v>svv3015v</v>
      </c>
      <c r="B3017" t="s">
        <v>500</v>
      </c>
      <c r="C3017" t="s">
        <v>446</v>
      </c>
      <c r="D3017" s="2" t="s">
        <v>370</v>
      </c>
      <c r="E3017" t="s">
        <v>502</v>
      </c>
      <c r="F3017" s="11">
        <v>44727</v>
      </c>
      <c r="G3017" s="2">
        <f>VLOOKUP(E3017,Produtos!$A:$E,5,FALSE)</f>
        <v>1</v>
      </c>
      <c r="H3017" s="2">
        <f>VLOOKUP(E3017,Produtos!$A:$E,4,FALSE)</f>
        <v>0.5</v>
      </c>
      <c r="I3017" s="2">
        <v>10</v>
      </c>
    </row>
    <row r="3018" spans="1:9" x14ac:dyDescent="0.25">
      <c r="A3018" s="2" t="str">
        <f>CONCATENATE(Códigos!S3017,Códigos!T3017,Códigos!U3017)</f>
        <v>svv3016v</v>
      </c>
      <c r="B3018" t="s">
        <v>500</v>
      </c>
      <c r="C3018" t="s">
        <v>446</v>
      </c>
      <c r="D3018" s="2" t="s">
        <v>370</v>
      </c>
      <c r="E3018" t="s">
        <v>502</v>
      </c>
      <c r="F3018" s="11">
        <v>44728</v>
      </c>
      <c r="G3018" s="2">
        <f>VLOOKUP(E3018,Produtos!$A:$E,5,FALSE)</f>
        <v>1</v>
      </c>
      <c r="H3018" s="2">
        <f>VLOOKUP(E3018,Produtos!$A:$E,4,FALSE)</f>
        <v>0.5</v>
      </c>
      <c r="I3018" s="2">
        <v>10</v>
      </c>
    </row>
    <row r="3019" spans="1:9" x14ac:dyDescent="0.25">
      <c r="A3019" s="2" t="str">
        <f>CONCATENATE(Códigos!S3018,Códigos!T3018,Códigos!U3018)</f>
        <v>svv3017v</v>
      </c>
      <c r="B3019" t="s">
        <v>500</v>
      </c>
      <c r="C3019" t="s">
        <v>446</v>
      </c>
      <c r="D3019" s="2" t="s">
        <v>370</v>
      </c>
      <c r="E3019" t="s">
        <v>502</v>
      </c>
      <c r="F3019" s="11">
        <v>44729</v>
      </c>
      <c r="G3019" s="2">
        <f>VLOOKUP(E3019,Produtos!$A:$E,5,FALSE)</f>
        <v>1</v>
      </c>
      <c r="H3019" s="2">
        <f>VLOOKUP(E3019,Produtos!$A:$E,4,FALSE)</f>
        <v>0.5</v>
      </c>
      <c r="I3019" s="2">
        <v>10</v>
      </c>
    </row>
    <row r="3020" spans="1:9" x14ac:dyDescent="0.25">
      <c r="A3020" s="2" t="str">
        <f>CONCATENATE(Códigos!S3019,Códigos!T3019,Códigos!U3019)</f>
        <v>svv3018v</v>
      </c>
      <c r="B3020" t="s">
        <v>500</v>
      </c>
      <c r="C3020" t="s">
        <v>446</v>
      </c>
      <c r="D3020" s="2" t="s">
        <v>370</v>
      </c>
      <c r="E3020" t="s">
        <v>502</v>
      </c>
      <c r="F3020" s="11">
        <v>44730</v>
      </c>
      <c r="G3020" s="2">
        <f>VLOOKUP(E3020,Produtos!$A:$E,5,FALSE)</f>
        <v>1</v>
      </c>
      <c r="H3020" s="2">
        <f>VLOOKUP(E3020,Produtos!$A:$E,4,FALSE)</f>
        <v>0.5</v>
      </c>
      <c r="I3020" s="2">
        <v>10</v>
      </c>
    </row>
    <row r="3021" spans="1:9" x14ac:dyDescent="0.25">
      <c r="A3021" s="2" t="str">
        <f>CONCATENATE(Códigos!S3020,Códigos!T3020,Códigos!U3020)</f>
        <v>svv3019v</v>
      </c>
      <c r="B3021" t="s">
        <v>500</v>
      </c>
      <c r="C3021" t="s">
        <v>446</v>
      </c>
      <c r="D3021" s="2" t="s">
        <v>370</v>
      </c>
      <c r="E3021" t="s">
        <v>502</v>
      </c>
      <c r="F3021" s="11">
        <v>44731</v>
      </c>
      <c r="G3021" s="2">
        <f>VLOOKUP(E3021,Produtos!$A:$E,5,FALSE)</f>
        <v>1</v>
      </c>
      <c r="H3021" s="2">
        <f>VLOOKUP(E3021,Produtos!$A:$E,4,FALSE)</f>
        <v>0.5</v>
      </c>
      <c r="I3021" s="2">
        <v>10</v>
      </c>
    </row>
    <row r="3022" spans="1:9" x14ac:dyDescent="0.25">
      <c r="A3022" s="2" t="str">
        <f>CONCATENATE(Códigos!S3021,Códigos!T3021,Códigos!U3021)</f>
        <v>svv3020v</v>
      </c>
      <c r="B3022" t="s">
        <v>500</v>
      </c>
      <c r="C3022" t="s">
        <v>446</v>
      </c>
      <c r="D3022" s="2" t="s">
        <v>370</v>
      </c>
      <c r="E3022" t="s">
        <v>502</v>
      </c>
      <c r="F3022" s="11">
        <v>44732</v>
      </c>
      <c r="G3022" s="2">
        <f>VLOOKUP(E3022,Produtos!$A:$E,5,FALSE)</f>
        <v>1</v>
      </c>
      <c r="H3022" s="2">
        <f>VLOOKUP(E3022,Produtos!$A:$E,4,FALSE)</f>
        <v>0.5</v>
      </c>
      <c r="I3022" s="2">
        <v>20</v>
      </c>
    </row>
    <row r="3023" spans="1:9" x14ac:dyDescent="0.25">
      <c r="A3023" s="2" t="str">
        <f>CONCATENATE(Códigos!S3022,Códigos!T3022,Códigos!U3022)</f>
        <v>svv3021v</v>
      </c>
      <c r="B3023" t="s">
        <v>500</v>
      </c>
      <c r="C3023" t="s">
        <v>446</v>
      </c>
      <c r="D3023" s="2" t="s">
        <v>370</v>
      </c>
      <c r="E3023" t="s">
        <v>502</v>
      </c>
      <c r="F3023" s="11">
        <v>44733</v>
      </c>
      <c r="G3023" s="2">
        <f>VLOOKUP(E3023,Produtos!$A:$E,5,FALSE)</f>
        <v>1</v>
      </c>
      <c r="H3023" s="2">
        <f>VLOOKUP(E3023,Produtos!$A:$E,4,FALSE)</f>
        <v>0.5</v>
      </c>
      <c r="I3023" s="2">
        <v>20</v>
      </c>
    </row>
    <row r="3024" spans="1:9" x14ac:dyDescent="0.25">
      <c r="A3024" s="2" t="str">
        <f>CONCATENATE(Códigos!S3023,Códigos!T3023,Códigos!U3023)</f>
        <v>svv3022v</v>
      </c>
      <c r="B3024" t="s">
        <v>500</v>
      </c>
      <c r="C3024" t="s">
        <v>446</v>
      </c>
      <c r="D3024" s="2" t="s">
        <v>370</v>
      </c>
      <c r="E3024" t="s">
        <v>502</v>
      </c>
      <c r="F3024" s="11">
        <v>44734</v>
      </c>
      <c r="G3024" s="2">
        <f>VLOOKUP(E3024,Produtos!$A:$E,5,FALSE)</f>
        <v>1</v>
      </c>
      <c r="H3024" s="2">
        <f>VLOOKUP(E3024,Produtos!$A:$E,4,FALSE)</f>
        <v>0.5</v>
      </c>
      <c r="I3024" s="2">
        <v>20</v>
      </c>
    </row>
    <row r="3025" spans="1:9" x14ac:dyDescent="0.25">
      <c r="A3025" s="2" t="str">
        <f>CONCATENATE(Códigos!S3024,Códigos!T3024,Códigos!U3024)</f>
        <v>svv3023v</v>
      </c>
      <c r="B3025" t="s">
        <v>500</v>
      </c>
      <c r="C3025" t="s">
        <v>446</v>
      </c>
      <c r="D3025" s="2" t="s">
        <v>370</v>
      </c>
      <c r="E3025" t="s">
        <v>502</v>
      </c>
      <c r="F3025" s="11">
        <v>44735</v>
      </c>
      <c r="G3025" s="2">
        <f>VLOOKUP(E3025,Produtos!$A:$E,5,FALSE)</f>
        <v>1</v>
      </c>
      <c r="H3025" s="2">
        <f>VLOOKUP(E3025,Produtos!$A:$E,4,FALSE)</f>
        <v>0.5</v>
      </c>
      <c r="I3025" s="2">
        <v>20</v>
      </c>
    </row>
    <row r="3026" spans="1:9" x14ac:dyDescent="0.25">
      <c r="A3026" s="2" t="str">
        <f>CONCATENATE(Códigos!S3025,Códigos!T3025,Códigos!U3025)</f>
        <v>svv3024v</v>
      </c>
      <c r="B3026" t="s">
        <v>500</v>
      </c>
      <c r="C3026" t="s">
        <v>446</v>
      </c>
      <c r="D3026" s="2" t="s">
        <v>370</v>
      </c>
      <c r="E3026" t="s">
        <v>502</v>
      </c>
      <c r="F3026" s="11">
        <v>44736</v>
      </c>
      <c r="G3026" s="2">
        <f>VLOOKUP(E3026,Produtos!$A:$E,5,FALSE)</f>
        <v>1</v>
      </c>
      <c r="H3026" s="2">
        <f>VLOOKUP(E3026,Produtos!$A:$E,4,FALSE)</f>
        <v>0.5</v>
      </c>
      <c r="I3026" s="2">
        <v>20</v>
      </c>
    </row>
    <row r="3027" spans="1:9" x14ac:dyDescent="0.25">
      <c r="A3027" s="2" t="str">
        <f>CONCATENATE(Códigos!S3026,Códigos!T3026,Códigos!U3026)</f>
        <v>svv3025v</v>
      </c>
      <c r="B3027" t="s">
        <v>500</v>
      </c>
      <c r="C3027" t="s">
        <v>446</v>
      </c>
      <c r="D3027" s="2" t="s">
        <v>370</v>
      </c>
      <c r="E3027" t="s">
        <v>502</v>
      </c>
      <c r="F3027" s="11">
        <v>44737</v>
      </c>
      <c r="G3027" s="2">
        <f>VLOOKUP(E3027,Produtos!$A:$E,5,FALSE)</f>
        <v>1</v>
      </c>
      <c r="H3027" s="2">
        <f>VLOOKUP(E3027,Produtos!$A:$E,4,FALSE)</f>
        <v>0.5</v>
      </c>
      <c r="I3027" s="2">
        <v>20</v>
      </c>
    </row>
    <row r="3028" spans="1:9" x14ac:dyDescent="0.25">
      <c r="A3028" s="2" t="str">
        <f>CONCATENATE(Códigos!S3027,Códigos!T3027,Códigos!U3027)</f>
        <v>svv3026v</v>
      </c>
      <c r="B3028" t="s">
        <v>500</v>
      </c>
      <c r="C3028" t="s">
        <v>446</v>
      </c>
      <c r="D3028" s="2" t="s">
        <v>370</v>
      </c>
      <c r="E3028" t="s">
        <v>502</v>
      </c>
      <c r="F3028" s="11">
        <v>44738</v>
      </c>
      <c r="G3028" s="2">
        <f>VLOOKUP(E3028,Produtos!$A:$E,5,FALSE)</f>
        <v>1</v>
      </c>
      <c r="H3028" s="2">
        <f>VLOOKUP(E3028,Produtos!$A:$E,4,FALSE)</f>
        <v>0.5</v>
      </c>
      <c r="I3028" s="2">
        <v>20</v>
      </c>
    </row>
    <row r="3029" spans="1:9" x14ac:dyDescent="0.25">
      <c r="A3029" s="2" t="str">
        <f>CONCATENATE(Códigos!S3028,Códigos!T3028,Códigos!U3028)</f>
        <v>svv3027v</v>
      </c>
      <c r="B3029" t="s">
        <v>500</v>
      </c>
      <c r="C3029" t="s">
        <v>446</v>
      </c>
      <c r="D3029" s="2" t="s">
        <v>370</v>
      </c>
      <c r="E3029" t="s">
        <v>502</v>
      </c>
      <c r="F3029" s="11">
        <v>44739</v>
      </c>
      <c r="G3029" s="2">
        <f>VLOOKUP(E3029,Produtos!$A:$E,5,FALSE)</f>
        <v>1</v>
      </c>
      <c r="H3029" s="2">
        <f>VLOOKUP(E3029,Produtos!$A:$E,4,FALSE)</f>
        <v>0.5</v>
      </c>
      <c r="I3029" s="2">
        <v>20</v>
      </c>
    </row>
    <row r="3030" spans="1:9" x14ac:dyDescent="0.25">
      <c r="A3030" s="2" t="str">
        <f>CONCATENATE(Códigos!S3029,Códigos!T3029,Códigos!U3029)</f>
        <v>svv3028v</v>
      </c>
      <c r="B3030" t="s">
        <v>500</v>
      </c>
      <c r="C3030" t="s">
        <v>446</v>
      </c>
      <c r="D3030" s="2" t="s">
        <v>370</v>
      </c>
      <c r="E3030" t="s">
        <v>502</v>
      </c>
      <c r="F3030" s="11">
        <v>44740</v>
      </c>
      <c r="G3030" s="2">
        <f>VLOOKUP(E3030,Produtos!$A:$E,5,FALSE)</f>
        <v>1</v>
      </c>
      <c r="H3030" s="2">
        <f>VLOOKUP(E3030,Produtos!$A:$E,4,FALSE)</f>
        <v>0.5</v>
      </c>
      <c r="I3030" s="2">
        <v>20</v>
      </c>
    </row>
    <row r="3031" spans="1:9" x14ac:dyDescent="0.25">
      <c r="A3031" s="2" t="str">
        <f>CONCATENATE(Códigos!S3030,Códigos!T3030,Códigos!U3030)</f>
        <v>svv3029v</v>
      </c>
      <c r="B3031" t="s">
        <v>500</v>
      </c>
      <c r="C3031" t="s">
        <v>446</v>
      </c>
      <c r="D3031" s="2" t="s">
        <v>370</v>
      </c>
      <c r="E3031" t="s">
        <v>502</v>
      </c>
      <c r="F3031" s="11">
        <v>44741</v>
      </c>
      <c r="G3031" s="2">
        <f>VLOOKUP(E3031,Produtos!$A:$E,5,FALSE)</f>
        <v>1</v>
      </c>
      <c r="H3031" s="2">
        <f>VLOOKUP(E3031,Produtos!$A:$E,4,FALSE)</f>
        <v>0.5</v>
      </c>
      <c r="I3031" s="2">
        <v>20</v>
      </c>
    </row>
    <row r="3032" spans="1:9" x14ac:dyDescent="0.25">
      <c r="A3032" s="2" t="str">
        <f>CONCATENATE(Códigos!S3031,Códigos!T3031,Códigos!U3031)</f>
        <v>svv3030v</v>
      </c>
      <c r="B3032" t="s">
        <v>500</v>
      </c>
      <c r="C3032" t="s">
        <v>446</v>
      </c>
      <c r="D3032" s="2" t="s">
        <v>370</v>
      </c>
      <c r="E3032" t="s">
        <v>502</v>
      </c>
      <c r="F3032" s="11">
        <v>44742</v>
      </c>
      <c r="G3032" s="2">
        <f>VLOOKUP(E3032,Produtos!$A:$E,5,FALSE)</f>
        <v>1</v>
      </c>
      <c r="H3032" s="2">
        <f>VLOOKUP(E3032,Produtos!$A:$E,4,FALSE)</f>
        <v>0.5</v>
      </c>
      <c r="I3032" s="2">
        <v>20</v>
      </c>
    </row>
    <row r="3033" spans="1:9" x14ac:dyDescent="0.25">
      <c r="A3033" s="2" t="str">
        <f>CONCATENATE(Códigos!S3032,Códigos!T3032,Códigos!U3032)</f>
        <v>svv3031v</v>
      </c>
      <c r="B3033" t="s">
        <v>500</v>
      </c>
      <c r="C3033" t="s">
        <v>446</v>
      </c>
      <c r="D3033" s="2" t="s">
        <v>370</v>
      </c>
      <c r="E3033" t="s">
        <v>502</v>
      </c>
      <c r="F3033" s="11">
        <v>44743</v>
      </c>
      <c r="G3033" s="2">
        <f>VLOOKUP(E3033,Produtos!$A:$E,5,FALSE)</f>
        <v>1</v>
      </c>
      <c r="H3033" s="2">
        <f>VLOOKUP(E3033,Produtos!$A:$E,4,FALSE)</f>
        <v>0.5</v>
      </c>
      <c r="I3033" s="2">
        <v>20</v>
      </c>
    </row>
    <row r="3034" spans="1:9" x14ac:dyDescent="0.25">
      <c r="A3034" s="2" t="str">
        <f>CONCATENATE(Códigos!S3033,Códigos!T3033,Códigos!U3033)</f>
        <v>svv3032v</v>
      </c>
      <c r="B3034" t="s">
        <v>500</v>
      </c>
      <c r="C3034" t="s">
        <v>446</v>
      </c>
      <c r="D3034" s="2" t="s">
        <v>370</v>
      </c>
      <c r="E3034" t="s">
        <v>502</v>
      </c>
      <c r="F3034" s="11">
        <v>44744</v>
      </c>
      <c r="G3034" s="2">
        <f>VLOOKUP(E3034,Produtos!$A:$E,5,FALSE)</f>
        <v>1</v>
      </c>
      <c r="H3034" s="2">
        <f>VLOOKUP(E3034,Produtos!$A:$E,4,FALSE)</f>
        <v>0.5</v>
      </c>
      <c r="I3034" s="2">
        <v>20</v>
      </c>
    </row>
    <row r="3035" spans="1:9" x14ac:dyDescent="0.25">
      <c r="A3035" s="2" t="str">
        <f>CONCATENATE(Códigos!S3034,Códigos!T3034,Códigos!U3034)</f>
        <v>svv3033v</v>
      </c>
      <c r="B3035" t="s">
        <v>500</v>
      </c>
      <c r="C3035" t="s">
        <v>446</v>
      </c>
      <c r="D3035" s="2" t="s">
        <v>370</v>
      </c>
      <c r="E3035" t="s">
        <v>502</v>
      </c>
      <c r="F3035" s="11">
        <v>44745</v>
      </c>
      <c r="G3035" s="2">
        <f>VLOOKUP(E3035,Produtos!$A:$E,5,FALSE)</f>
        <v>1</v>
      </c>
      <c r="H3035" s="2">
        <f>VLOOKUP(E3035,Produtos!$A:$E,4,FALSE)</f>
        <v>0.5</v>
      </c>
      <c r="I3035" s="2">
        <v>20</v>
      </c>
    </row>
    <row r="3036" spans="1:9" x14ac:dyDescent="0.25">
      <c r="A3036" s="2" t="str">
        <f>CONCATENATE(Códigos!S3035,Códigos!T3035,Códigos!U3035)</f>
        <v>svv3034v</v>
      </c>
      <c r="B3036" t="s">
        <v>500</v>
      </c>
      <c r="C3036" t="s">
        <v>446</v>
      </c>
      <c r="D3036" s="2" t="s">
        <v>370</v>
      </c>
      <c r="E3036" t="s">
        <v>502</v>
      </c>
      <c r="F3036" s="11">
        <v>44746</v>
      </c>
      <c r="G3036" s="2">
        <f>VLOOKUP(E3036,Produtos!$A:$E,5,FALSE)</f>
        <v>1</v>
      </c>
      <c r="H3036" s="2">
        <f>VLOOKUP(E3036,Produtos!$A:$E,4,FALSE)</f>
        <v>0.5</v>
      </c>
      <c r="I3036" s="2">
        <v>20</v>
      </c>
    </row>
    <row r="3037" spans="1:9" x14ac:dyDescent="0.25">
      <c r="A3037" s="2" t="str">
        <f>CONCATENATE(Códigos!S3036,Códigos!T3036,Códigos!U3036)</f>
        <v>svv3035v</v>
      </c>
      <c r="B3037" t="s">
        <v>500</v>
      </c>
      <c r="C3037" t="s">
        <v>446</v>
      </c>
      <c r="D3037" s="2" t="s">
        <v>370</v>
      </c>
      <c r="E3037" t="s">
        <v>502</v>
      </c>
      <c r="F3037" s="11">
        <v>44747</v>
      </c>
      <c r="G3037" s="2">
        <f>VLOOKUP(E3037,Produtos!$A:$E,5,FALSE)</f>
        <v>1</v>
      </c>
      <c r="H3037" s="2">
        <f>VLOOKUP(E3037,Produtos!$A:$E,4,FALSE)</f>
        <v>0.5</v>
      </c>
      <c r="I3037" s="2">
        <v>20</v>
      </c>
    </row>
    <row r="3038" spans="1:9" x14ac:dyDescent="0.25">
      <c r="A3038" s="2" t="str">
        <f>CONCATENATE(Códigos!S3037,Códigos!T3037,Códigos!U3037)</f>
        <v>svv3036v</v>
      </c>
      <c r="B3038" t="s">
        <v>500</v>
      </c>
      <c r="C3038" t="s">
        <v>446</v>
      </c>
      <c r="D3038" s="2" t="s">
        <v>370</v>
      </c>
      <c r="E3038" t="s">
        <v>502</v>
      </c>
      <c r="F3038" s="11">
        <v>44748</v>
      </c>
      <c r="G3038" s="2">
        <f>VLOOKUP(E3038,Produtos!$A:$E,5,FALSE)</f>
        <v>1</v>
      </c>
      <c r="H3038" s="2">
        <f>VLOOKUP(E3038,Produtos!$A:$E,4,FALSE)</f>
        <v>0.5</v>
      </c>
      <c r="I3038" s="2">
        <v>20</v>
      </c>
    </row>
    <row r="3039" spans="1:9" x14ac:dyDescent="0.25">
      <c r="A3039" s="2" t="str">
        <f>CONCATENATE(Códigos!S3038,Códigos!T3038,Códigos!U3038)</f>
        <v>svv3037v</v>
      </c>
      <c r="B3039" t="s">
        <v>500</v>
      </c>
      <c r="C3039" t="s">
        <v>446</v>
      </c>
      <c r="D3039" s="2" t="s">
        <v>370</v>
      </c>
      <c r="E3039" t="s">
        <v>502</v>
      </c>
      <c r="F3039" s="11">
        <v>44749</v>
      </c>
      <c r="G3039" s="2">
        <f>VLOOKUP(E3039,Produtos!$A:$E,5,FALSE)</f>
        <v>1</v>
      </c>
      <c r="H3039" s="2">
        <f>VLOOKUP(E3039,Produtos!$A:$E,4,FALSE)</f>
        <v>0.5</v>
      </c>
      <c r="I3039" s="2">
        <v>20</v>
      </c>
    </row>
    <row r="3040" spans="1:9" x14ac:dyDescent="0.25">
      <c r="A3040" s="2" t="str">
        <f>CONCATENATE(Códigos!S3039,Códigos!T3039,Códigos!U3039)</f>
        <v>svv3038v</v>
      </c>
      <c r="B3040" t="s">
        <v>500</v>
      </c>
      <c r="C3040" t="s">
        <v>446</v>
      </c>
      <c r="D3040" s="2" t="s">
        <v>370</v>
      </c>
      <c r="E3040" t="s">
        <v>502</v>
      </c>
      <c r="F3040" s="11">
        <v>44750</v>
      </c>
      <c r="G3040" s="2">
        <f>VLOOKUP(E3040,Produtos!$A:$E,5,FALSE)</f>
        <v>1</v>
      </c>
      <c r="H3040" s="2">
        <f>VLOOKUP(E3040,Produtos!$A:$E,4,FALSE)</f>
        <v>0.5</v>
      </c>
      <c r="I3040" s="2">
        <v>20</v>
      </c>
    </row>
    <row r="3041" spans="1:9" x14ac:dyDescent="0.25">
      <c r="A3041" s="2" t="str">
        <f>CONCATENATE(Códigos!S3040,Códigos!T3040,Códigos!U3040)</f>
        <v>svv3039v</v>
      </c>
      <c r="B3041" t="s">
        <v>497</v>
      </c>
      <c r="C3041" t="s">
        <v>403</v>
      </c>
      <c r="D3041" s="2" t="s">
        <v>404</v>
      </c>
      <c r="E3041" t="s">
        <v>502</v>
      </c>
      <c r="F3041" s="11">
        <v>44751</v>
      </c>
      <c r="G3041" s="2">
        <f>VLOOKUP(E3041,Produtos!$A:$E,5,FALSE)</f>
        <v>1</v>
      </c>
      <c r="H3041" s="2">
        <f>VLOOKUP(E3041,Produtos!$A:$E,4,FALSE)</f>
        <v>0.5</v>
      </c>
      <c r="I3041" s="2">
        <v>20</v>
      </c>
    </row>
    <row r="3042" spans="1:9" x14ac:dyDescent="0.25">
      <c r="A3042" s="2" t="str">
        <f>CONCATENATE(Códigos!S3041,Códigos!T3041,Códigos!U3041)</f>
        <v>svv3040v</v>
      </c>
      <c r="B3042" t="s">
        <v>497</v>
      </c>
      <c r="C3042" t="s">
        <v>403</v>
      </c>
      <c r="D3042" s="2" t="s">
        <v>404</v>
      </c>
      <c r="E3042" t="s">
        <v>502</v>
      </c>
      <c r="F3042" s="11">
        <v>44752</v>
      </c>
      <c r="G3042" s="2">
        <f>VLOOKUP(E3042,Produtos!$A:$E,5,FALSE)</f>
        <v>1</v>
      </c>
      <c r="H3042" s="2">
        <f>VLOOKUP(E3042,Produtos!$A:$E,4,FALSE)</f>
        <v>0.5</v>
      </c>
      <c r="I3042" s="2">
        <v>20</v>
      </c>
    </row>
    <row r="3043" spans="1:9" x14ac:dyDescent="0.25">
      <c r="A3043" s="2" t="str">
        <f>CONCATENATE(Códigos!S3042,Códigos!T3042,Códigos!U3042)</f>
        <v>svv3041v</v>
      </c>
      <c r="B3043" t="s">
        <v>497</v>
      </c>
      <c r="C3043" t="s">
        <v>403</v>
      </c>
      <c r="D3043" s="2" t="s">
        <v>404</v>
      </c>
      <c r="E3043" t="s">
        <v>502</v>
      </c>
      <c r="F3043" s="11">
        <v>44753</v>
      </c>
      <c r="G3043" s="2">
        <f>VLOOKUP(E3043,Produtos!$A:$E,5,FALSE)</f>
        <v>1</v>
      </c>
      <c r="H3043" s="2">
        <f>VLOOKUP(E3043,Produtos!$A:$E,4,FALSE)</f>
        <v>0.5</v>
      </c>
      <c r="I3043" s="2">
        <v>20</v>
      </c>
    </row>
    <row r="3044" spans="1:9" x14ac:dyDescent="0.25">
      <c r="A3044" s="2" t="str">
        <f>CONCATENATE(Códigos!S3043,Códigos!T3043,Códigos!U3043)</f>
        <v>svv3042v</v>
      </c>
      <c r="B3044" t="s">
        <v>497</v>
      </c>
      <c r="C3044" t="s">
        <v>403</v>
      </c>
      <c r="D3044" s="2" t="s">
        <v>404</v>
      </c>
      <c r="E3044" t="s">
        <v>502</v>
      </c>
      <c r="F3044" s="11">
        <v>44754</v>
      </c>
      <c r="G3044" s="2">
        <f>VLOOKUP(E3044,Produtos!$A:$E,5,FALSE)</f>
        <v>1</v>
      </c>
      <c r="H3044" s="2">
        <f>VLOOKUP(E3044,Produtos!$A:$E,4,FALSE)</f>
        <v>0.5</v>
      </c>
      <c r="I3044" s="2">
        <v>20</v>
      </c>
    </row>
    <row r="3045" spans="1:9" x14ac:dyDescent="0.25">
      <c r="A3045" s="2" t="str">
        <f>CONCATENATE(Códigos!S3044,Códigos!T3044,Códigos!U3044)</f>
        <v>svv3043v</v>
      </c>
      <c r="B3045" t="s">
        <v>497</v>
      </c>
      <c r="C3045" t="s">
        <v>403</v>
      </c>
      <c r="D3045" s="2" t="s">
        <v>404</v>
      </c>
      <c r="E3045" t="s">
        <v>502</v>
      </c>
      <c r="F3045" s="11">
        <v>44755</v>
      </c>
      <c r="G3045" s="2">
        <f>VLOOKUP(E3045,Produtos!$A:$E,5,FALSE)</f>
        <v>1</v>
      </c>
      <c r="H3045" s="2">
        <f>VLOOKUP(E3045,Produtos!$A:$E,4,FALSE)</f>
        <v>0.5</v>
      </c>
      <c r="I3045" s="2">
        <v>20</v>
      </c>
    </row>
    <row r="3046" spans="1:9" x14ac:dyDescent="0.25">
      <c r="A3046" s="2" t="str">
        <f>CONCATENATE(Códigos!S3045,Códigos!T3045,Códigos!U3045)</f>
        <v>svv3044v</v>
      </c>
      <c r="B3046" t="s">
        <v>497</v>
      </c>
      <c r="C3046" t="s">
        <v>403</v>
      </c>
      <c r="D3046" s="2" t="s">
        <v>404</v>
      </c>
      <c r="E3046" t="s">
        <v>502</v>
      </c>
      <c r="F3046" s="11">
        <v>44756</v>
      </c>
      <c r="G3046" s="2">
        <f>VLOOKUP(E3046,Produtos!$A:$E,5,FALSE)</f>
        <v>1</v>
      </c>
      <c r="H3046" s="2">
        <f>VLOOKUP(E3046,Produtos!$A:$E,4,FALSE)</f>
        <v>0.5</v>
      </c>
      <c r="I3046" s="2">
        <v>20</v>
      </c>
    </row>
    <row r="3047" spans="1:9" x14ac:dyDescent="0.25">
      <c r="A3047" s="2" t="str">
        <f>CONCATENATE(Códigos!S3046,Códigos!T3046,Códigos!U3046)</f>
        <v>svv3045v</v>
      </c>
      <c r="B3047" t="s">
        <v>497</v>
      </c>
      <c r="C3047" t="s">
        <v>403</v>
      </c>
      <c r="D3047" s="2" t="s">
        <v>404</v>
      </c>
      <c r="E3047" t="s">
        <v>502</v>
      </c>
      <c r="F3047" s="11">
        <v>44757</v>
      </c>
      <c r="G3047" s="2">
        <f>VLOOKUP(E3047,Produtos!$A:$E,5,FALSE)</f>
        <v>1</v>
      </c>
      <c r="H3047" s="2">
        <f>VLOOKUP(E3047,Produtos!$A:$E,4,FALSE)</f>
        <v>0.5</v>
      </c>
      <c r="I3047" s="2">
        <v>20</v>
      </c>
    </row>
    <row r="3048" spans="1:9" x14ac:dyDescent="0.25">
      <c r="A3048" s="2" t="str">
        <f>CONCATENATE(Códigos!S3047,Códigos!T3047,Códigos!U3047)</f>
        <v>svv3046v</v>
      </c>
      <c r="B3048" t="s">
        <v>497</v>
      </c>
      <c r="C3048" t="s">
        <v>403</v>
      </c>
      <c r="D3048" s="2" t="s">
        <v>404</v>
      </c>
      <c r="E3048" t="s">
        <v>502</v>
      </c>
      <c r="F3048" s="11">
        <v>44758</v>
      </c>
      <c r="G3048" s="2">
        <f>VLOOKUP(E3048,Produtos!$A:$E,5,FALSE)</f>
        <v>1</v>
      </c>
      <c r="H3048" s="2">
        <f>VLOOKUP(E3048,Produtos!$A:$E,4,FALSE)</f>
        <v>0.5</v>
      </c>
      <c r="I3048" s="2">
        <v>20</v>
      </c>
    </row>
    <row r="3049" spans="1:9" x14ac:dyDescent="0.25">
      <c r="A3049" s="2" t="str">
        <f>CONCATENATE(Códigos!S3048,Códigos!T3048,Códigos!U3048)</f>
        <v>svv3047v</v>
      </c>
      <c r="B3049" t="s">
        <v>497</v>
      </c>
      <c r="C3049" t="s">
        <v>403</v>
      </c>
      <c r="D3049" s="2" t="s">
        <v>404</v>
      </c>
      <c r="E3049" t="s">
        <v>502</v>
      </c>
      <c r="F3049" s="11">
        <v>44759</v>
      </c>
      <c r="G3049" s="2">
        <f>VLOOKUP(E3049,Produtos!$A:$E,5,FALSE)</f>
        <v>1</v>
      </c>
      <c r="H3049" s="2">
        <f>VLOOKUP(E3049,Produtos!$A:$E,4,FALSE)</f>
        <v>0.5</v>
      </c>
      <c r="I3049" s="2">
        <v>20</v>
      </c>
    </row>
    <row r="3050" spans="1:9" x14ac:dyDescent="0.25">
      <c r="A3050" s="2" t="str">
        <f>CONCATENATE(Códigos!S3049,Códigos!T3049,Códigos!U3049)</f>
        <v>svv3048v</v>
      </c>
      <c r="B3050" t="s">
        <v>497</v>
      </c>
      <c r="C3050" t="s">
        <v>403</v>
      </c>
      <c r="D3050" s="2" t="s">
        <v>404</v>
      </c>
      <c r="E3050" t="s">
        <v>502</v>
      </c>
      <c r="F3050" s="11">
        <v>44760</v>
      </c>
      <c r="G3050" s="2">
        <f>VLOOKUP(E3050,Produtos!$A:$E,5,FALSE)</f>
        <v>1</v>
      </c>
      <c r="H3050" s="2">
        <f>VLOOKUP(E3050,Produtos!$A:$E,4,FALSE)</f>
        <v>0.5</v>
      </c>
      <c r="I3050" s="2">
        <v>20</v>
      </c>
    </row>
    <row r="3051" spans="1:9" x14ac:dyDescent="0.25">
      <c r="A3051" s="2" t="str">
        <f>CONCATENATE(Códigos!S3050,Códigos!T3050,Códigos!U3050)</f>
        <v>svv3049v</v>
      </c>
      <c r="B3051" t="s">
        <v>497</v>
      </c>
      <c r="C3051" t="s">
        <v>403</v>
      </c>
      <c r="D3051" s="2" t="s">
        <v>404</v>
      </c>
      <c r="E3051" t="s">
        <v>502</v>
      </c>
      <c r="F3051" s="11">
        <v>44761</v>
      </c>
      <c r="G3051" s="2">
        <f>VLOOKUP(E3051,Produtos!$A:$E,5,FALSE)</f>
        <v>1</v>
      </c>
      <c r="H3051" s="2">
        <f>VLOOKUP(E3051,Produtos!$A:$E,4,FALSE)</f>
        <v>0.5</v>
      </c>
      <c r="I3051" s="2">
        <v>20</v>
      </c>
    </row>
    <row r="3052" spans="1:9" x14ac:dyDescent="0.25">
      <c r="A3052" s="2" t="str">
        <f>CONCATENATE(Códigos!S3051,Códigos!T3051,Códigos!U3051)</f>
        <v>svv3050v</v>
      </c>
      <c r="B3052" t="s">
        <v>497</v>
      </c>
      <c r="C3052" t="s">
        <v>403</v>
      </c>
      <c r="D3052" s="2" t="s">
        <v>404</v>
      </c>
      <c r="E3052" t="s">
        <v>502</v>
      </c>
      <c r="F3052" s="11">
        <v>44762</v>
      </c>
      <c r="G3052" s="2">
        <f>VLOOKUP(E3052,Produtos!$A:$E,5,FALSE)</f>
        <v>1</v>
      </c>
      <c r="H3052" s="2">
        <f>VLOOKUP(E3052,Produtos!$A:$E,4,FALSE)</f>
        <v>0.5</v>
      </c>
      <c r="I3052" s="2">
        <v>20</v>
      </c>
    </row>
    <row r="3053" spans="1:9" x14ac:dyDescent="0.25">
      <c r="A3053" s="2" t="str">
        <f>CONCATENATE(Códigos!S3052,Códigos!T3052,Códigos!U3052)</f>
        <v>svv3051v</v>
      </c>
      <c r="B3053" t="s">
        <v>497</v>
      </c>
      <c r="C3053" t="s">
        <v>403</v>
      </c>
      <c r="D3053" s="2" t="s">
        <v>404</v>
      </c>
      <c r="E3053" t="s">
        <v>502</v>
      </c>
      <c r="F3053" s="11">
        <v>44763</v>
      </c>
      <c r="G3053" s="2">
        <f>VLOOKUP(E3053,Produtos!$A:$E,5,FALSE)</f>
        <v>1</v>
      </c>
      <c r="H3053" s="2">
        <f>VLOOKUP(E3053,Produtos!$A:$E,4,FALSE)</f>
        <v>0.5</v>
      </c>
      <c r="I3053" s="2">
        <v>20</v>
      </c>
    </row>
    <row r="3054" spans="1:9" x14ac:dyDescent="0.25">
      <c r="A3054" s="2" t="str">
        <f>CONCATENATE(Códigos!S3053,Códigos!T3053,Códigos!U3053)</f>
        <v>svv3052v</v>
      </c>
      <c r="B3054" t="s">
        <v>497</v>
      </c>
      <c r="C3054" t="s">
        <v>403</v>
      </c>
      <c r="D3054" s="2" t="s">
        <v>404</v>
      </c>
      <c r="E3054" t="s">
        <v>502</v>
      </c>
      <c r="F3054" s="11">
        <v>44764</v>
      </c>
      <c r="G3054" s="2">
        <f>VLOOKUP(E3054,Produtos!$A:$E,5,FALSE)</f>
        <v>1</v>
      </c>
      <c r="H3054" s="2">
        <f>VLOOKUP(E3054,Produtos!$A:$E,4,FALSE)</f>
        <v>0.5</v>
      </c>
      <c r="I3054" s="2">
        <v>20</v>
      </c>
    </row>
    <row r="3055" spans="1:9" x14ac:dyDescent="0.25">
      <c r="A3055" s="2" t="str">
        <f>CONCATENATE(Códigos!S3054,Códigos!T3054,Códigos!U3054)</f>
        <v>svv3053v</v>
      </c>
      <c r="B3055" t="s">
        <v>497</v>
      </c>
      <c r="C3055" t="s">
        <v>403</v>
      </c>
      <c r="D3055" s="2" t="s">
        <v>404</v>
      </c>
      <c r="E3055" t="s">
        <v>502</v>
      </c>
      <c r="F3055" s="11">
        <v>44765</v>
      </c>
      <c r="G3055" s="2">
        <f>VLOOKUP(E3055,Produtos!$A:$E,5,FALSE)</f>
        <v>1</v>
      </c>
      <c r="H3055" s="2">
        <f>VLOOKUP(E3055,Produtos!$A:$E,4,FALSE)</f>
        <v>0.5</v>
      </c>
      <c r="I3055" s="2">
        <v>20</v>
      </c>
    </row>
    <row r="3056" spans="1:9" x14ac:dyDescent="0.25">
      <c r="A3056" s="2" t="str">
        <f>CONCATENATE(Códigos!S3055,Códigos!T3055,Códigos!U3055)</f>
        <v>svv3054v</v>
      </c>
      <c r="B3056" t="s">
        <v>497</v>
      </c>
      <c r="C3056" t="s">
        <v>403</v>
      </c>
      <c r="D3056" s="2" t="s">
        <v>404</v>
      </c>
      <c r="E3056" t="s">
        <v>502</v>
      </c>
      <c r="F3056" s="11">
        <v>44766</v>
      </c>
      <c r="G3056" s="2">
        <f>VLOOKUP(E3056,Produtos!$A:$E,5,FALSE)</f>
        <v>1</v>
      </c>
      <c r="H3056" s="2">
        <f>VLOOKUP(E3056,Produtos!$A:$E,4,FALSE)</f>
        <v>0.5</v>
      </c>
      <c r="I3056" s="2">
        <v>20</v>
      </c>
    </row>
    <row r="3057" spans="1:9" x14ac:dyDescent="0.25">
      <c r="A3057" s="2" t="str">
        <f>CONCATENATE(Códigos!S3056,Códigos!T3056,Códigos!U3056)</f>
        <v>svv3055v</v>
      </c>
      <c r="B3057" t="s">
        <v>497</v>
      </c>
      <c r="C3057" t="s">
        <v>403</v>
      </c>
      <c r="D3057" s="2" t="s">
        <v>404</v>
      </c>
      <c r="E3057" t="s">
        <v>502</v>
      </c>
      <c r="F3057" s="11">
        <v>44767</v>
      </c>
      <c r="G3057" s="2">
        <f>VLOOKUP(E3057,Produtos!$A:$E,5,FALSE)</f>
        <v>1</v>
      </c>
      <c r="H3057" s="2">
        <f>VLOOKUP(E3057,Produtos!$A:$E,4,FALSE)</f>
        <v>0.5</v>
      </c>
      <c r="I3057" s="2">
        <v>20</v>
      </c>
    </row>
    <row r="3058" spans="1:9" x14ac:dyDescent="0.25">
      <c r="A3058" s="2" t="str">
        <f>CONCATENATE(Códigos!S3057,Códigos!T3057,Códigos!U3057)</f>
        <v>svv3056v</v>
      </c>
      <c r="B3058" t="s">
        <v>497</v>
      </c>
      <c r="C3058" t="s">
        <v>403</v>
      </c>
      <c r="D3058" s="2" t="s">
        <v>404</v>
      </c>
      <c r="E3058" t="s">
        <v>502</v>
      </c>
      <c r="F3058" s="11">
        <v>44768</v>
      </c>
      <c r="G3058" s="2">
        <f>VLOOKUP(E3058,Produtos!$A:$E,5,FALSE)</f>
        <v>1</v>
      </c>
      <c r="H3058" s="2">
        <f>VLOOKUP(E3058,Produtos!$A:$E,4,FALSE)</f>
        <v>0.5</v>
      </c>
      <c r="I3058" s="2">
        <v>20</v>
      </c>
    </row>
    <row r="3059" spans="1:9" x14ac:dyDescent="0.25">
      <c r="A3059" s="2" t="str">
        <f>CONCATENATE(Códigos!S3058,Códigos!T3058,Códigos!U3058)</f>
        <v>svv3057v</v>
      </c>
      <c r="B3059" t="s">
        <v>497</v>
      </c>
      <c r="C3059" t="s">
        <v>403</v>
      </c>
      <c r="D3059" s="2" t="s">
        <v>404</v>
      </c>
      <c r="E3059" t="s">
        <v>502</v>
      </c>
      <c r="F3059" s="11">
        <v>44769</v>
      </c>
      <c r="G3059" s="2">
        <f>VLOOKUP(E3059,Produtos!$A:$E,5,FALSE)</f>
        <v>1</v>
      </c>
      <c r="H3059" s="2">
        <f>VLOOKUP(E3059,Produtos!$A:$E,4,FALSE)</f>
        <v>0.5</v>
      </c>
      <c r="I3059" s="2">
        <v>20</v>
      </c>
    </row>
    <row r="3060" spans="1:9" x14ac:dyDescent="0.25">
      <c r="A3060" s="2" t="str">
        <f>CONCATENATE(Códigos!S3059,Códigos!T3059,Códigos!U3059)</f>
        <v>svv3058v</v>
      </c>
      <c r="B3060" t="s">
        <v>497</v>
      </c>
      <c r="C3060" t="s">
        <v>403</v>
      </c>
      <c r="D3060" s="2" t="s">
        <v>404</v>
      </c>
      <c r="E3060" t="s">
        <v>502</v>
      </c>
      <c r="F3060" s="11">
        <v>44770</v>
      </c>
      <c r="G3060" s="2">
        <f>VLOOKUP(E3060,Produtos!$A:$E,5,FALSE)</f>
        <v>1</v>
      </c>
      <c r="H3060" s="2">
        <f>VLOOKUP(E3060,Produtos!$A:$E,4,FALSE)</f>
        <v>0.5</v>
      </c>
      <c r="I3060" s="2">
        <v>20</v>
      </c>
    </row>
    <row r="3061" spans="1:9" x14ac:dyDescent="0.25">
      <c r="A3061" s="2" t="str">
        <f>CONCATENATE(Códigos!S3060,Códigos!T3060,Códigos!U3060)</f>
        <v>svv3059v</v>
      </c>
      <c r="B3061" t="s">
        <v>497</v>
      </c>
      <c r="C3061" t="s">
        <v>403</v>
      </c>
      <c r="D3061" s="2" t="s">
        <v>404</v>
      </c>
      <c r="E3061" t="s">
        <v>502</v>
      </c>
      <c r="F3061" s="11">
        <v>44771</v>
      </c>
      <c r="G3061" s="2">
        <f>VLOOKUP(E3061,Produtos!$A:$E,5,FALSE)</f>
        <v>1</v>
      </c>
      <c r="H3061" s="2">
        <f>VLOOKUP(E3061,Produtos!$A:$E,4,FALSE)</f>
        <v>0.5</v>
      </c>
      <c r="I3061" s="2">
        <v>20</v>
      </c>
    </row>
    <row r="3062" spans="1:9" x14ac:dyDescent="0.25">
      <c r="A3062" s="2" t="str">
        <f>CONCATENATE(Códigos!S3061,Códigos!T3061,Códigos!U3061)</f>
        <v>svv3060v</v>
      </c>
      <c r="B3062" t="s">
        <v>497</v>
      </c>
      <c r="C3062" t="s">
        <v>403</v>
      </c>
      <c r="D3062" s="2" t="s">
        <v>404</v>
      </c>
      <c r="E3062" t="s">
        <v>502</v>
      </c>
      <c r="F3062" s="11">
        <v>44772</v>
      </c>
      <c r="G3062" s="2">
        <f>VLOOKUP(E3062,Produtos!$A:$E,5,FALSE)</f>
        <v>1</v>
      </c>
      <c r="H3062" s="2">
        <f>VLOOKUP(E3062,Produtos!$A:$E,4,FALSE)</f>
        <v>0.5</v>
      </c>
      <c r="I3062" s="2">
        <v>20</v>
      </c>
    </row>
    <row r="3063" spans="1:9" x14ac:dyDescent="0.25">
      <c r="A3063" s="2" t="str">
        <f>CONCATENATE(Códigos!S3062,Códigos!T3062,Códigos!U3062)</f>
        <v>svv3061v</v>
      </c>
      <c r="B3063" t="s">
        <v>497</v>
      </c>
      <c r="C3063" t="s">
        <v>403</v>
      </c>
      <c r="D3063" s="2" t="s">
        <v>404</v>
      </c>
      <c r="E3063" t="s">
        <v>502</v>
      </c>
      <c r="F3063" s="11">
        <v>44773</v>
      </c>
      <c r="G3063" s="2">
        <f>VLOOKUP(E3063,Produtos!$A:$E,5,FALSE)</f>
        <v>1</v>
      </c>
      <c r="H3063" s="2">
        <f>VLOOKUP(E3063,Produtos!$A:$E,4,FALSE)</f>
        <v>0.5</v>
      </c>
      <c r="I3063" s="2">
        <v>30</v>
      </c>
    </row>
    <row r="3064" spans="1:9" x14ac:dyDescent="0.25">
      <c r="A3064" s="2" t="str">
        <f>CONCATENATE(Códigos!S3063,Códigos!T3063,Códigos!U3063)</f>
        <v>svv3062v</v>
      </c>
      <c r="B3064" t="s">
        <v>497</v>
      </c>
      <c r="C3064" t="s">
        <v>403</v>
      </c>
      <c r="D3064" s="2" t="s">
        <v>404</v>
      </c>
      <c r="E3064" t="s">
        <v>502</v>
      </c>
      <c r="F3064" s="11">
        <v>44774</v>
      </c>
      <c r="G3064" s="2">
        <f>VLOOKUP(E3064,Produtos!$A:$E,5,FALSE)</f>
        <v>1</v>
      </c>
      <c r="H3064" s="2">
        <f>VLOOKUP(E3064,Produtos!$A:$E,4,FALSE)</f>
        <v>0.5</v>
      </c>
      <c r="I3064" s="2">
        <v>30</v>
      </c>
    </row>
    <row r="3065" spans="1:9" x14ac:dyDescent="0.25">
      <c r="A3065" s="2" t="str">
        <f>CONCATENATE(Códigos!S3064,Códigos!T3064,Códigos!U3064)</f>
        <v>svv3063v</v>
      </c>
      <c r="B3065" t="s">
        <v>497</v>
      </c>
      <c r="C3065" t="s">
        <v>403</v>
      </c>
      <c r="D3065" s="2" t="s">
        <v>404</v>
      </c>
      <c r="E3065" t="s">
        <v>502</v>
      </c>
      <c r="F3065" s="11">
        <v>44775</v>
      </c>
      <c r="G3065" s="2">
        <f>VLOOKUP(E3065,Produtos!$A:$E,5,FALSE)</f>
        <v>1</v>
      </c>
      <c r="H3065" s="2">
        <f>VLOOKUP(E3065,Produtos!$A:$E,4,FALSE)</f>
        <v>0.5</v>
      </c>
      <c r="I3065" s="2">
        <v>30</v>
      </c>
    </row>
    <row r="3066" spans="1:9" x14ac:dyDescent="0.25">
      <c r="A3066" s="2" t="str">
        <f>CONCATENATE(Códigos!S3065,Códigos!T3065,Códigos!U3065)</f>
        <v>svv3064v</v>
      </c>
      <c r="B3066" t="s">
        <v>497</v>
      </c>
      <c r="C3066" t="s">
        <v>403</v>
      </c>
      <c r="D3066" s="2" t="s">
        <v>404</v>
      </c>
      <c r="E3066" t="s">
        <v>348</v>
      </c>
      <c r="F3066" s="11">
        <v>44776</v>
      </c>
      <c r="G3066" s="2">
        <f>VLOOKUP(E3066,Produtos!$A:$E,5,FALSE)</f>
        <v>2</v>
      </c>
      <c r="H3066" s="2">
        <f>VLOOKUP(E3066,Produtos!$A:$E,4,FALSE)</f>
        <v>1</v>
      </c>
      <c r="I3066" s="2">
        <v>30</v>
      </c>
    </row>
    <row r="3067" spans="1:9" x14ac:dyDescent="0.25">
      <c r="A3067" s="2" t="str">
        <f>CONCATENATE(Códigos!S3066,Códigos!T3066,Códigos!U3066)</f>
        <v>svv3065v</v>
      </c>
      <c r="B3067" t="s">
        <v>497</v>
      </c>
      <c r="C3067" t="s">
        <v>403</v>
      </c>
      <c r="D3067" s="2" t="s">
        <v>404</v>
      </c>
      <c r="E3067" t="s">
        <v>348</v>
      </c>
      <c r="F3067" s="11">
        <v>44777</v>
      </c>
      <c r="G3067" s="2">
        <f>VLOOKUP(E3067,Produtos!$A:$E,5,FALSE)</f>
        <v>2</v>
      </c>
      <c r="H3067" s="2">
        <f>VLOOKUP(E3067,Produtos!$A:$E,4,FALSE)</f>
        <v>1</v>
      </c>
      <c r="I3067" s="2">
        <v>30</v>
      </c>
    </row>
    <row r="3068" spans="1:9" x14ac:dyDescent="0.25">
      <c r="A3068" s="2" t="str">
        <f>CONCATENATE(Códigos!S3067,Códigos!T3067,Códigos!U3067)</f>
        <v>svv3066v</v>
      </c>
      <c r="B3068" t="s">
        <v>497</v>
      </c>
      <c r="C3068" t="s">
        <v>403</v>
      </c>
      <c r="D3068" s="2" t="s">
        <v>404</v>
      </c>
      <c r="E3068" t="s">
        <v>348</v>
      </c>
      <c r="F3068" s="11">
        <v>44778</v>
      </c>
      <c r="G3068" s="2">
        <f>VLOOKUP(E3068,Produtos!$A:$E,5,FALSE)</f>
        <v>2</v>
      </c>
      <c r="H3068" s="2">
        <f>VLOOKUP(E3068,Produtos!$A:$E,4,FALSE)</f>
        <v>1</v>
      </c>
      <c r="I3068" s="2">
        <v>30</v>
      </c>
    </row>
    <row r="3069" spans="1:9" x14ac:dyDescent="0.25">
      <c r="A3069" s="2" t="str">
        <f>CONCATENATE(Códigos!S3068,Códigos!T3068,Códigos!U3068)</f>
        <v>svv3067v</v>
      </c>
      <c r="B3069" t="s">
        <v>497</v>
      </c>
      <c r="C3069" t="s">
        <v>403</v>
      </c>
      <c r="D3069" s="2" t="s">
        <v>404</v>
      </c>
      <c r="E3069" t="s">
        <v>348</v>
      </c>
      <c r="F3069" s="11">
        <v>44779</v>
      </c>
      <c r="G3069" s="2">
        <f>VLOOKUP(E3069,Produtos!$A:$E,5,FALSE)</f>
        <v>2</v>
      </c>
      <c r="H3069" s="2">
        <f>VLOOKUP(E3069,Produtos!$A:$E,4,FALSE)</f>
        <v>1</v>
      </c>
      <c r="I3069" s="2">
        <v>30</v>
      </c>
    </row>
    <row r="3070" spans="1:9" x14ac:dyDescent="0.25">
      <c r="A3070" s="2" t="str">
        <f>CONCATENATE(Códigos!S3069,Códigos!T3069,Códigos!U3069)</f>
        <v>svv3068v</v>
      </c>
      <c r="B3070" t="s">
        <v>497</v>
      </c>
      <c r="C3070" t="s">
        <v>403</v>
      </c>
      <c r="D3070" s="2" t="s">
        <v>404</v>
      </c>
      <c r="E3070" t="s">
        <v>348</v>
      </c>
      <c r="F3070" s="11">
        <v>44780</v>
      </c>
      <c r="G3070" s="2">
        <f>VLOOKUP(E3070,Produtos!$A:$E,5,FALSE)</f>
        <v>2</v>
      </c>
      <c r="H3070" s="2">
        <f>VLOOKUP(E3070,Produtos!$A:$E,4,FALSE)</f>
        <v>1</v>
      </c>
      <c r="I3070" s="2">
        <v>30</v>
      </c>
    </row>
    <row r="3071" spans="1:9" x14ac:dyDescent="0.25">
      <c r="A3071" s="2" t="str">
        <f>CONCATENATE(Códigos!S3070,Códigos!T3070,Códigos!U3070)</f>
        <v>svv3069v</v>
      </c>
      <c r="B3071" t="s">
        <v>497</v>
      </c>
      <c r="C3071" t="s">
        <v>403</v>
      </c>
      <c r="D3071" s="2" t="s">
        <v>404</v>
      </c>
      <c r="E3071" t="s">
        <v>348</v>
      </c>
      <c r="F3071" s="11">
        <v>44781</v>
      </c>
      <c r="G3071" s="2">
        <f>VLOOKUP(E3071,Produtos!$A:$E,5,FALSE)</f>
        <v>2</v>
      </c>
      <c r="H3071" s="2">
        <f>VLOOKUP(E3071,Produtos!$A:$E,4,FALSE)</f>
        <v>1</v>
      </c>
      <c r="I3071" s="2">
        <v>30</v>
      </c>
    </row>
    <row r="3072" spans="1:9" x14ac:dyDescent="0.25">
      <c r="A3072" s="2" t="str">
        <f>CONCATENATE(Códigos!S3071,Códigos!T3071,Códigos!U3071)</f>
        <v>svv3070v</v>
      </c>
      <c r="B3072" t="s">
        <v>497</v>
      </c>
      <c r="C3072" t="s">
        <v>403</v>
      </c>
      <c r="D3072" s="2" t="s">
        <v>404</v>
      </c>
      <c r="E3072" t="s">
        <v>348</v>
      </c>
      <c r="F3072" s="11">
        <v>44782</v>
      </c>
      <c r="G3072" s="2">
        <f>VLOOKUP(E3072,Produtos!$A:$E,5,FALSE)</f>
        <v>2</v>
      </c>
      <c r="H3072" s="2">
        <f>VLOOKUP(E3072,Produtos!$A:$E,4,FALSE)</f>
        <v>1</v>
      </c>
      <c r="I3072" s="2">
        <v>30</v>
      </c>
    </row>
    <row r="3073" spans="1:9" x14ac:dyDescent="0.25">
      <c r="A3073" s="2" t="str">
        <f>CONCATENATE(Códigos!S3072,Códigos!T3072,Códigos!U3072)</f>
        <v>svv3071v</v>
      </c>
      <c r="B3073" t="s">
        <v>497</v>
      </c>
      <c r="C3073" t="s">
        <v>403</v>
      </c>
      <c r="D3073" s="2" t="s">
        <v>404</v>
      </c>
      <c r="E3073" t="s">
        <v>348</v>
      </c>
      <c r="F3073" s="11">
        <v>44783</v>
      </c>
      <c r="G3073" s="2">
        <f>VLOOKUP(E3073,Produtos!$A:$E,5,FALSE)</f>
        <v>2</v>
      </c>
      <c r="H3073" s="2">
        <f>VLOOKUP(E3073,Produtos!$A:$E,4,FALSE)</f>
        <v>1</v>
      </c>
      <c r="I3073" s="2">
        <v>30</v>
      </c>
    </row>
    <row r="3074" spans="1:9" x14ac:dyDescent="0.25">
      <c r="A3074" s="2" t="str">
        <f>CONCATENATE(Códigos!S3073,Códigos!T3073,Códigos!U3073)</f>
        <v>svv3072v</v>
      </c>
      <c r="B3074" t="s">
        <v>497</v>
      </c>
      <c r="C3074" t="s">
        <v>403</v>
      </c>
      <c r="D3074" s="2" t="s">
        <v>404</v>
      </c>
      <c r="E3074" t="s">
        <v>348</v>
      </c>
      <c r="F3074" s="11">
        <v>44784</v>
      </c>
      <c r="G3074" s="2">
        <f>VLOOKUP(E3074,Produtos!$A:$E,5,FALSE)</f>
        <v>2</v>
      </c>
      <c r="H3074" s="2">
        <f>VLOOKUP(E3074,Produtos!$A:$E,4,FALSE)</f>
        <v>1</v>
      </c>
      <c r="I3074" s="2">
        <v>30</v>
      </c>
    </row>
    <row r="3075" spans="1:9" x14ac:dyDescent="0.25">
      <c r="A3075" s="2" t="str">
        <f>CONCATENATE(Códigos!S3074,Códigos!T3074,Códigos!U3074)</f>
        <v>svv3073v</v>
      </c>
      <c r="B3075" t="s">
        <v>497</v>
      </c>
      <c r="C3075" t="s">
        <v>403</v>
      </c>
      <c r="D3075" s="2" t="s">
        <v>404</v>
      </c>
      <c r="E3075" t="s">
        <v>348</v>
      </c>
      <c r="F3075" s="11">
        <v>44785</v>
      </c>
      <c r="G3075" s="2">
        <f>VLOOKUP(E3075,Produtos!$A:$E,5,FALSE)</f>
        <v>2</v>
      </c>
      <c r="H3075" s="2">
        <f>VLOOKUP(E3075,Produtos!$A:$E,4,FALSE)</f>
        <v>1</v>
      </c>
      <c r="I3075" s="2">
        <v>30</v>
      </c>
    </row>
    <row r="3076" spans="1:9" x14ac:dyDescent="0.25">
      <c r="A3076" s="2" t="str">
        <f>CONCATENATE(Códigos!S3075,Códigos!T3075,Códigos!U3075)</f>
        <v>svv3074v</v>
      </c>
      <c r="B3076" t="s">
        <v>497</v>
      </c>
      <c r="C3076" t="s">
        <v>403</v>
      </c>
      <c r="D3076" s="2" t="s">
        <v>404</v>
      </c>
      <c r="E3076" t="s">
        <v>348</v>
      </c>
      <c r="F3076" s="11">
        <v>44786</v>
      </c>
      <c r="G3076" s="2">
        <f>VLOOKUP(E3076,Produtos!$A:$E,5,FALSE)</f>
        <v>2</v>
      </c>
      <c r="H3076" s="2">
        <f>VLOOKUP(E3076,Produtos!$A:$E,4,FALSE)</f>
        <v>1</v>
      </c>
      <c r="I3076" s="2">
        <v>30</v>
      </c>
    </row>
    <row r="3077" spans="1:9" x14ac:dyDescent="0.25">
      <c r="A3077" s="2" t="str">
        <f>CONCATENATE(Códigos!S3076,Códigos!T3076,Códigos!U3076)</f>
        <v>svv3075v</v>
      </c>
      <c r="B3077" t="s">
        <v>497</v>
      </c>
      <c r="C3077" t="s">
        <v>403</v>
      </c>
      <c r="D3077" s="2" t="s">
        <v>404</v>
      </c>
      <c r="E3077" t="s">
        <v>348</v>
      </c>
      <c r="F3077" s="11">
        <v>44787</v>
      </c>
      <c r="G3077" s="2">
        <f>VLOOKUP(E3077,Produtos!$A:$E,5,FALSE)</f>
        <v>2</v>
      </c>
      <c r="H3077" s="2">
        <f>VLOOKUP(E3077,Produtos!$A:$E,4,FALSE)</f>
        <v>1</v>
      </c>
      <c r="I3077" s="2">
        <v>30</v>
      </c>
    </row>
    <row r="3078" spans="1:9" x14ac:dyDescent="0.25">
      <c r="A3078" s="2" t="str">
        <f>CONCATENATE(Códigos!S3077,Códigos!T3077,Códigos!U3077)</f>
        <v>svv3076v</v>
      </c>
      <c r="B3078" t="s">
        <v>497</v>
      </c>
      <c r="C3078" t="s">
        <v>403</v>
      </c>
      <c r="D3078" s="2" t="s">
        <v>404</v>
      </c>
      <c r="E3078" t="s">
        <v>348</v>
      </c>
      <c r="F3078" s="11">
        <v>44788</v>
      </c>
      <c r="G3078" s="2">
        <f>VLOOKUP(E3078,Produtos!$A:$E,5,FALSE)</f>
        <v>2</v>
      </c>
      <c r="H3078" s="2">
        <f>VLOOKUP(E3078,Produtos!$A:$E,4,FALSE)</f>
        <v>1</v>
      </c>
      <c r="I3078" s="2">
        <v>30</v>
      </c>
    </row>
    <row r="3079" spans="1:9" x14ac:dyDescent="0.25">
      <c r="A3079" s="2" t="str">
        <f>CONCATENATE(Códigos!S3078,Códigos!T3078,Códigos!U3078)</f>
        <v>svv3077v</v>
      </c>
      <c r="B3079" t="s">
        <v>497</v>
      </c>
      <c r="C3079" t="s">
        <v>403</v>
      </c>
      <c r="D3079" s="2" t="s">
        <v>404</v>
      </c>
      <c r="E3079" t="s">
        <v>348</v>
      </c>
      <c r="F3079" s="11">
        <v>44789</v>
      </c>
      <c r="G3079" s="2">
        <f>VLOOKUP(E3079,Produtos!$A:$E,5,FALSE)</f>
        <v>2</v>
      </c>
      <c r="H3079" s="2">
        <f>VLOOKUP(E3079,Produtos!$A:$E,4,FALSE)</f>
        <v>1</v>
      </c>
      <c r="I3079" s="2">
        <v>30</v>
      </c>
    </row>
    <row r="3080" spans="1:9" x14ac:dyDescent="0.25">
      <c r="A3080" s="2" t="str">
        <f>CONCATENATE(Códigos!S3079,Códigos!T3079,Códigos!U3079)</f>
        <v>svv3078v</v>
      </c>
      <c r="B3080" t="s">
        <v>497</v>
      </c>
      <c r="C3080" t="s">
        <v>403</v>
      </c>
      <c r="D3080" s="2" t="s">
        <v>404</v>
      </c>
      <c r="E3080" t="s">
        <v>348</v>
      </c>
      <c r="F3080" s="11">
        <v>44790</v>
      </c>
      <c r="G3080" s="2">
        <f>VLOOKUP(E3080,Produtos!$A:$E,5,FALSE)</f>
        <v>2</v>
      </c>
      <c r="H3080" s="2">
        <f>VLOOKUP(E3080,Produtos!$A:$E,4,FALSE)</f>
        <v>1</v>
      </c>
      <c r="I3080" s="2">
        <v>30</v>
      </c>
    </row>
    <row r="3081" spans="1:9" x14ac:dyDescent="0.25">
      <c r="A3081" s="2" t="str">
        <f>CONCATENATE(Códigos!S3080,Códigos!T3080,Códigos!U3080)</f>
        <v>svv3079v</v>
      </c>
      <c r="B3081" t="s">
        <v>497</v>
      </c>
      <c r="C3081" t="s">
        <v>403</v>
      </c>
      <c r="D3081" s="2" t="s">
        <v>404</v>
      </c>
      <c r="E3081" t="s">
        <v>348</v>
      </c>
      <c r="F3081" s="11">
        <v>44791</v>
      </c>
      <c r="G3081" s="2">
        <f>VLOOKUP(E3081,Produtos!$A:$E,5,FALSE)</f>
        <v>2</v>
      </c>
      <c r="H3081" s="2">
        <f>VLOOKUP(E3081,Produtos!$A:$E,4,FALSE)</f>
        <v>1</v>
      </c>
      <c r="I3081" s="2">
        <v>30</v>
      </c>
    </row>
    <row r="3082" spans="1:9" x14ac:dyDescent="0.25">
      <c r="A3082" s="2" t="str">
        <f>CONCATENATE(Códigos!S3081,Códigos!T3081,Códigos!U3081)</f>
        <v>svv3080v</v>
      </c>
      <c r="B3082" t="s">
        <v>497</v>
      </c>
      <c r="C3082" t="s">
        <v>503</v>
      </c>
      <c r="D3082" s="2" t="s">
        <v>482</v>
      </c>
      <c r="E3082" t="s">
        <v>348</v>
      </c>
      <c r="F3082" s="11">
        <v>44792</v>
      </c>
      <c r="G3082" s="2">
        <f>VLOOKUP(E3082,Produtos!$A:$E,5,FALSE)</f>
        <v>2</v>
      </c>
      <c r="H3082" s="2">
        <f>VLOOKUP(E3082,Produtos!$A:$E,4,FALSE)</f>
        <v>1</v>
      </c>
      <c r="I3082" s="2">
        <v>30</v>
      </c>
    </row>
    <row r="3083" spans="1:9" x14ac:dyDescent="0.25">
      <c r="A3083" s="2" t="str">
        <f>CONCATENATE(Códigos!S3082,Códigos!T3082,Códigos!U3082)</f>
        <v>svv3081v</v>
      </c>
      <c r="B3083" t="s">
        <v>497</v>
      </c>
      <c r="C3083" t="s">
        <v>503</v>
      </c>
      <c r="D3083" s="2" t="s">
        <v>482</v>
      </c>
      <c r="E3083" t="s">
        <v>348</v>
      </c>
      <c r="F3083" s="11">
        <v>44793</v>
      </c>
      <c r="G3083" s="2">
        <f>VLOOKUP(E3083,Produtos!$A:$E,5,FALSE)</f>
        <v>2</v>
      </c>
      <c r="H3083" s="2">
        <f>VLOOKUP(E3083,Produtos!$A:$E,4,FALSE)</f>
        <v>1</v>
      </c>
      <c r="I3083" s="2">
        <v>30</v>
      </c>
    </row>
    <row r="3084" spans="1:9" x14ac:dyDescent="0.25">
      <c r="A3084" s="2" t="str">
        <f>CONCATENATE(Códigos!S3083,Códigos!T3083,Códigos!U3083)</f>
        <v>svv3082v</v>
      </c>
      <c r="B3084" t="s">
        <v>497</v>
      </c>
      <c r="C3084" t="s">
        <v>503</v>
      </c>
      <c r="D3084" s="2" t="s">
        <v>482</v>
      </c>
      <c r="E3084" t="s">
        <v>348</v>
      </c>
      <c r="F3084" s="11">
        <v>44794</v>
      </c>
      <c r="G3084" s="2">
        <f>VLOOKUP(E3084,Produtos!$A:$E,5,FALSE)</f>
        <v>2</v>
      </c>
      <c r="H3084" s="2">
        <f>VLOOKUP(E3084,Produtos!$A:$E,4,FALSE)</f>
        <v>1</v>
      </c>
      <c r="I3084" s="2">
        <v>30</v>
      </c>
    </row>
    <row r="3085" spans="1:9" x14ac:dyDescent="0.25">
      <c r="A3085" s="2" t="str">
        <f>CONCATENATE(Códigos!S3084,Códigos!T3084,Códigos!U3084)</f>
        <v>svv3083v</v>
      </c>
      <c r="B3085" t="s">
        <v>497</v>
      </c>
      <c r="C3085" t="s">
        <v>503</v>
      </c>
      <c r="D3085" s="2" t="s">
        <v>482</v>
      </c>
      <c r="E3085" t="s">
        <v>348</v>
      </c>
      <c r="F3085" s="11">
        <v>44795</v>
      </c>
      <c r="G3085" s="2">
        <f>VLOOKUP(E3085,Produtos!$A:$E,5,FALSE)</f>
        <v>2</v>
      </c>
      <c r="H3085" s="2">
        <f>VLOOKUP(E3085,Produtos!$A:$E,4,FALSE)</f>
        <v>1</v>
      </c>
      <c r="I3085" s="2">
        <v>30</v>
      </c>
    </row>
    <row r="3086" spans="1:9" x14ac:dyDescent="0.25">
      <c r="A3086" s="2" t="str">
        <f>CONCATENATE(Códigos!S3085,Códigos!T3085,Códigos!U3085)</f>
        <v>svv3084v</v>
      </c>
      <c r="B3086" t="s">
        <v>497</v>
      </c>
      <c r="C3086" t="s">
        <v>503</v>
      </c>
      <c r="D3086" s="2" t="s">
        <v>482</v>
      </c>
      <c r="E3086" t="s">
        <v>348</v>
      </c>
      <c r="F3086" s="11">
        <v>44796</v>
      </c>
      <c r="G3086" s="2">
        <f>VLOOKUP(E3086,Produtos!$A:$E,5,FALSE)</f>
        <v>2</v>
      </c>
      <c r="H3086" s="2">
        <f>VLOOKUP(E3086,Produtos!$A:$E,4,FALSE)</f>
        <v>1</v>
      </c>
      <c r="I3086" s="2">
        <v>30</v>
      </c>
    </row>
    <row r="3087" spans="1:9" x14ac:dyDescent="0.25">
      <c r="A3087" s="2" t="str">
        <f>CONCATENATE(Códigos!S3086,Códigos!T3086,Códigos!U3086)</f>
        <v>svv3085v</v>
      </c>
      <c r="B3087" t="s">
        <v>497</v>
      </c>
      <c r="C3087" t="s">
        <v>503</v>
      </c>
      <c r="D3087" s="2" t="s">
        <v>482</v>
      </c>
      <c r="E3087" t="s">
        <v>348</v>
      </c>
      <c r="F3087" s="11">
        <v>44797</v>
      </c>
      <c r="G3087" s="2">
        <f>VLOOKUP(E3087,Produtos!$A:$E,5,FALSE)</f>
        <v>2</v>
      </c>
      <c r="H3087" s="2">
        <f>VLOOKUP(E3087,Produtos!$A:$E,4,FALSE)</f>
        <v>1</v>
      </c>
      <c r="I3087" s="2">
        <v>30</v>
      </c>
    </row>
    <row r="3088" spans="1:9" x14ac:dyDescent="0.25">
      <c r="A3088" s="2" t="str">
        <f>CONCATENATE(Códigos!S3087,Códigos!T3087,Códigos!U3087)</f>
        <v>svv3086v</v>
      </c>
      <c r="B3088" t="s">
        <v>497</v>
      </c>
      <c r="C3088" t="s">
        <v>503</v>
      </c>
      <c r="D3088" s="2" t="s">
        <v>482</v>
      </c>
      <c r="E3088" t="s">
        <v>348</v>
      </c>
      <c r="F3088" s="11">
        <v>44798</v>
      </c>
      <c r="G3088" s="2">
        <f>VLOOKUP(E3088,Produtos!$A:$E,5,FALSE)</f>
        <v>2</v>
      </c>
      <c r="H3088" s="2">
        <f>VLOOKUP(E3088,Produtos!$A:$E,4,FALSE)</f>
        <v>1</v>
      </c>
      <c r="I3088" s="2">
        <v>30</v>
      </c>
    </row>
    <row r="3089" spans="1:9" x14ac:dyDescent="0.25">
      <c r="A3089" s="2" t="str">
        <f>CONCATENATE(Códigos!S3088,Códigos!T3088,Códigos!U3088)</f>
        <v>svv3087v</v>
      </c>
      <c r="B3089" t="s">
        <v>497</v>
      </c>
      <c r="C3089" t="s">
        <v>503</v>
      </c>
      <c r="D3089" s="2" t="s">
        <v>482</v>
      </c>
      <c r="E3089" t="s">
        <v>348</v>
      </c>
      <c r="F3089" s="11">
        <v>44799</v>
      </c>
      <c r="G3089" s="2">
        <f>VLOOKUP(E3089,Produtos!$A:$E,5,FALSE)</f>
        <v>2</v>
      </c>
      <c r="H3089" s="2">
        <f>VLOOKUP(E3089,Produtos!$A:$E,4,FALSE)</f>
        <v>1</v>
      </c>
      <c r="I3089" s="2">
        <v>30</v>
      </c>
    </row>
    <row r="3090" spans="1:9" x14ac:dyDescent="0.25">
      <c r="A3090" s="2" t="str">
        <f>CONCATENATE(Códigos!S3089,Códigos!T3089,Códigos!U3089)</f>
        <v>svv3088v</v>
      </c>
      <c r="B3090" t="s">
        <v>497</v>
      </c>
      <c r="C3090" t="s">
        <v>503</v>
      </c>
      <c r="D3090" s="2" t="s">
        <v>482</v>
      </c>
      <c r="E3090" t="s">
        <v>348</v>
      </c>
      <c r="F3090" s="11">
        <v>44800</v>
      </c>
      <c r="G3090" s="2">
        <f>VLOOKUP(E3090,Produtos!$A:$E,5,FALSE)</f>
        <v>2</v>
      </c>
      <c r="H3090" s="2">
        <f>VLOOKUP(E3090,Produtos!$A:$E,4,FALSE)</f>
        <v>1</v>
      </c>
      <c r="I3090" s="2">
        <v>30</v>
      </c>
    </row>
    <row r="3091" spans="1:9" x14ac:dyDescent="0.25">
      <c r="A3091" s="2" t="str">
        <f>CONCATENATE(Códigos!S3090,Códigos!T3090,Códigos!U3090)</f>
        <v>svv3089v</v>
      </c>
      <c r="B3091" t="s">
        <v>497</v>
      </c>
      <c r="C3091" t="s">
        <v>503</v>
      </c>
      <c r="D3091" s="2" t="s">
        <v>482</v>
      </c>
      <c r="E3091" t="s">
        <v>348</v>
      </c>
      <c r="F3091" s="11">
        <v>44801</v>
      </c>
      <c r="G3091" s="2">
        <f>VLOOKUP(E3091,Produtos!$A:$E,5,FALSE)</f>
        <v>2</v>
      </c>
      <c r="H3091" s="2">
        <f>VLOOKUP(E3091,Produtos!$A:$E,4,FALSE)</f>
        <v>1</v>
      </c>
      <c r="I3091" s="2">
        <v>30</v>
      </c>
    </row>
    <row r="3092" spans="1:9" x14ac:dyDescent="0.25">
      <c r="A3092" s="2" t="str">
        <f>CONCATENATE(Códigos!S3091,Códigos!T3091,Códigos!U3091)</f>
        <v>svv3090v</v>
      </c>
      <c r="B3092" t="s">
        <v>497</v>
      </c>
      <c r="C3092" t="s">
        <v>503</v>
      </c>
      <c r="D3092" s="2" t="s">
        <v>482</v>
      </c>
      <c r="E3092" t="s">
        <v>348</v>
      </c>
      <c r="F3092" s="11">
        <v>44802</v>
      </c>
      <c r="G3092" s="2">
        <f>VLOOKUP(E3092,Produtos!$A:$E,5,FALSE)</f>
        <v>2</v>
      </c>
      <c r="H3092" s="2">
        <f>VLOOKUP(E3092,Produtos!$A:$E,4,FALSE)</f>
        <v>1</v>
      </c>
      <c r="I3092" s="2">
        <v>30</v>
      </c>
    </row>
    <row r="3093" spans="1:9" x14ac:dyDescent="0.25">
      <c r="A3093" s="2" t="str">
        <f>CONCATENATE(Códigos!S3092,Códigos!T3092,Códigos!U3092)</f>
        <v>svv3091v</v>
      </c>
      <c r="B3093" t="s">
        <v>497</v>
      </c>
      <c r="C3093" t="s">
        <v>503</v>
      </c>
      <c r="D3093" s="2" t="s">
        <v>482</v>
      </c>
      <c r="E3093" t="s">
        <v>348</v>
      </c>
      <c r="F3093" s="11">
        <v>44803</v>
      </c>
      <c r="G3093" s="2">
        <f>VLOOKUP(E3093,Produtos!$A:$E,5,FALSE)</f>
        <v>2</v>
      </c>
      <c r="H3093" s="2">
        <f>VLOOKUP(E3093,Produtos!$A:$E,4,FALSE)</f>
        <v>1</v>
      </c>
      <c r="I3093" s="2">
        <v>30</v>
      </c>
    </row>
    <row r="3094" spans="1:9" x14ac:dyDescent="0.25">
      <c r="A3094" s="2" t="str">
        <f>CONCATENATE(Códigos!S3093,Códigos!T3093,Códigos!U3093)</f>
        <v>svv3092v</v>
      </c>
      <c r="B3094" t="s">
        <v>497</v>
      </c>
      <c r="C3094" t="s">
        <v>503</v>
      </c>
      <c r="D3094" s="2" t="s">
        <v>482</v>
      </c>
      <c r="E3094" t="s">
        <v>348</v>
      </c>
      <c r="F3094" s="11">
        <v>44804</v>
      </c>
      <c r="G3094" s="2">
        <f>VLOOKUP(E3094,Produtos!$A:$E,5,FALSE)</f>
        <v>2</v>
      </c>
      <c r="H3094" s="2">
        <f>VLOOKUP(E3094,Produtos!$A:$E,4,FALSE)</f>
        <v>1</v>
      </c>
      <c r="I3094" s="2">
        <v>30</v>
      </c>
    </row>
    <row r="3095" spans="1:9" x14ac:dyDescent="0.25">
      <c r="A3095" s="2" t="str">
        <f>CONCATENATE(Códigos!S3094,Códigos!T3094,Códigos!U3094)</f>
        <v>svv3093v</v>
      </c>
      <c r="B3095" t="s">
        <v>497</v>
      </c>
      <c r="C3095" t="s">
        <v>503</v>
      </c>
      <c r="D3095" s="2" t="s">
        <v>482</v>
      </c>
      <c r="E3095" t="s">
        <v>348</v>
      </c>
      <c r="F3095" s="11">
        <v>44805</v>
      </c>
      <c r="G3095" s="2">
        <f>VLOOKUP(E3095,Produtos!$A:$E,5,FALSE)</f>
        <v>2</v>
      </c>
      <c r="H3095" s="2">
        <f>VLOOKUP(E3095,Produtos!$A:$E,4,FALSE)</f>
        <v>1</v>
      </c>
      <c r="I3095" s="2">
        <v>30</v>
      </c>
    </row>
    <row r="3096" spans="1:9" x14ac:dyDescent="0.25">
      <c r="A3096" s="2" t="str">
        <f>CONCATENATE(Códigos!S3095,Códigos!T3095,Códigos!U3095)</f>
        <v>svv3094v</v>
      </c>
      <c r="B3096" t="s">
        <v>497</v>
      </c>
      <c r="C3096" t="s">
        <v>503</v>
      </c>
      <c r="D3096" s="2" t="s">
        <v>482</v>
      </c>
      <c r="E3096" t="s">
        <v>348</v>
      </c>
      <c r="F3096" s="11">
        <v>44806</v>
      </c>
      <c r="G3096" s="2">
        <f>VLOOKUP(E3096,Produtos!$A:$E,5,FALSE)</f>
        <v>2</v>
      </c>
      <c r="H3096" s="2">
        <f>VLOOKUP(E3096,Produtos!$A:$E,4,FALSE)</f>
        <v>1</v>
      </c>
      <c r="I3096" s="2">
        <v>30</v>
      </c>
    </row>
    <row r="3097" spans="1:9" x14ac:dyDescent="0.25">
      <c r="A3097" s="2" t="str">
        <f>CONCATENATE(Códigos!S3096,Códigos!T3096,Códigos!U3096)</f>
        <v>svv3095v</v>
      </c>
      <c r="B3097" t="s">
        <v>497</v>
      </c>
      <c r="C3097" t="s">
        <v>503</v>
      </c>
      <c r="D3097" s="2" t="s">
        <v>482</v>
      </c>
      <c r="E3097" t="s">
        <v>348</v>
      </c>
      <c r="F3097" s="11">
        <v>44807</v>
      </c>
      <c r="G3097" s="2">
        <f>VLOOKUP(E3097,Produtos!$A:$E,5,FALSE)</f>
        <v>2</v>
      </c>
      <c r="H3097" s="2">
        <f>VLOOKUP(E3097,Produtos!$A:$E,4,FALSE)</f>
        <v>1</v>
      </c>
      <c r="I3097" s="2">
        <v>30</v>
      </c>
    </row>
    <row r="3098" spans="1:9" x14ac:dyDescent="0.25">
      <c r="A3098" s="2" t="str">
        <f>CONCATENATE(Códigos!S3097,Códigos!T3097,Códigos!U3097)</f>
        <v>svv3096v</v>
      </c>
      <c r="B3098" t="s">
        <v>497</v>
      </c>
      <c r="C3098" t="s">
        <v>503</v>
      </c>
      <c r="D3098" s="2" t="s">
        <v>482</v>
      </c>
      <c r="E3098" t="s">
        <v>348</v>
      </c>
      <c r="F3098" s="11">
        <v>44808</v>
      </c>
      <c r="G3098" s="2">
        <f>VLOOKUP(E3098,Produtos!$A:$E,5,FALSE)</f>
        <v>2</v>
      </c>
      <c r="H3098" s="2">
        <f>VLOOKUP(E3098,Produtos!$A:$E,4,FALSE)</f>
        <v>1</v>
      </c>
      <c r="I3098" s="2">
        <v>30</v>
      </c>
    </row>
    <row r="3099" spans="1:9" x14ac:dyDescent="0.25">
      <c r="A3099" s="2" t="str">
        <f>CONCATENATE(Códigos!S3098,Códigos!T3098,Códigos!U3098)</f>
        <v>svv3097v</v>
      </c>
      <c r="B3099" t="s">
        <v>497</v>
      </c>
      <c r="C3099" t="s">
        <v>503</v>
      </c>
      <c r="D3099" s="2" t="s">
        <v>482</v>
      </c>
      <c r="E3099" t="s">
        <v>348</v>
      </c>
      <c r="F3099" s="11">
        <v>44809</v>
      </c>
      <c r="G3099" s="2">
        <f>VLOOKUP(E3099,Produtos!$A:$E,5,FALSE)</f>
        <v>2</v>
      </c>
      <c r="H3099" s="2">
        <f>VLOOKUP(E3099,Produtos!$A:$E,4,FALSE)</f>
        <v>1</v>
      </c>
      <c r="I3099" s="2">
        <v>30</v>
      </c>
    </row>
    <row r="3100" spans="1:9" x14ac:dyDescent="0.25">
      <c r="A3100" s="2" t="str">
        <f>CONCATENATE(Códigos!S3099,Códigos!T3099,Códigos!U3099)</f>
        <v>svv3098v</v>
      </c>
      <c r="B3100" t="s">
        <v>497</v>
      </c>
      <c r="C3100" t="s">
        <v>503</v>
      </c>
      <c r="D3100" s="2" t="s">
        <v>482</v>
      </c>
      <c r="E3100" t="s">
        <v>348</v>
      </c>
      <c r="F3100" s="11">
        <v>44810</v>
      </c>
      <c r="G3100" s="2">
        <f>VLOOKUP(E3100,Produtos!$A:$E,5,FALSE)</f>
        <v>2</v>
      </c>
      <c r="H3100" s="2">
        <f>VLOOKUP(E3100,Produtos!$A:$E,4,FALSE)</f>
        <v>1</v>
      </c>
      <c r="I3100" s="2">
        <v>30</v>
      </c>
    </row>
    <row r="3101" spans="1:9" x14ac:dyDescent="0.25">
      <c r="A3101" s="2" t="str">
        <f>CONCATENATE(Códigos!S3100,Códigos!T3100,Códigos!U3100)</f>
        <v>svv3099v</v>
      </c>
      <c r="B3101" t="s">
        <v>497</v>
      </c>
      <c r="C3101" t="s">
        <v>503</v>
      </c>
      <c r="D3101" s="2" t="s">
        <v>482</v>
      </c>
      <c r="E3101" t="s">
        <v>348</v>
      </c>
      <c r="F3101" s="11">
        <v>44811</v>
      </c>
      <c r="G3101" s="2">
        <f>VLOOKUP(E3101,Produtos!$A:$E,5,FALSE)</f>
        <v>2</v>
      </c>
      <c r="H3101" s="2">
        <f>VLOOKUP(E3101,Produtos!$A:$E,4,FALSE)</f>
        <v>1</v>
      </c>
      <c r="I3101" s="2">
        <v>30</v>
      </c>
    </row>
    <row r="3102" spans="1:9" x14ac:dyDescent="0.25">
      <c r="A3102" s="2" t="str">
        <f>CONCATENATE(Códigos!S3101,Códigos!T3101,Códigos!U3101)</f>
        <v>svv3100v</v>
      </c>
      <c r="B3102" t="s">
        <v>497</v>
      </c>
      <c r="C3102" t="s">
        <v>351</v>
      </c>
      <c r="D3102" s="2" t="s">
        <v>352</v>
      </c>
      <c r="E3102" t="s">
        <v>348</v>
      </c>
      <c r="F3102" s="11">
        <v>44812</v>
      </c>
      <c r="G3102" s="2">
        <f>VLOOKUP(E3102,Produtos!$A:$E,5,FALSE)</f>
        <v>2</v>
      </c>
      <c r="H3102" s="2">
        <f>VLOOKUP(E3102,Produtos!$A:$E,4,FALSE)</f>
        <v>1</v>
      </c>
      <c r="I3102" s="2">
        <v>30</v>
      </c>
    </row>
    <row r="3103" spans="1:9" x14ac:dyDescent="0.25">
      <c r="A3103" s="2" t="str">
        <f>CONCATENATE(Códigos!S3102,Códigos!T3102,Códigos!U3102)</f>
        <v>svv3101v</v>
      </c>
      <c r="B3103" t="s">
        <v>497</v>
      </c>
      <c r="C3103" t="s">
        <v>351</v>
      </c>
      <c r="D3103" s="2" t="s">
        <v>352</v>
      </c>
      <c r="E3103" t="s">
        <v>348</v>
      </c>
      <c r="F3103" s="11">
        <v>44813</v>
      </c>
      <c r="G3103" s="2">
        <f>VLOOKUP(E3103,Produtos!$A:$E,5,FALSE)</f>
        <v>2</v>
      </c>
      <c r="H3103" s="2">
        <f>VLOOKUP(E3103,Produtos!$A:$E,4,FALSE)</f>
        <v>1</v>
      </c>
      <c r="I3103" s="2">
        <v>30</v>
      </c>
    </row>
    <row r="3104" spans="1:9" x14ac:dyDescent="0.25">
      <c r="A3104" s="2" t="str">
        <f>CONCATENATE(Códigos!S3103,Códigos!T3103,Códigos!U3103)</f>
        <v>svv3102v</v>
      </c>
      <c r="B3104" t="s">
        <v>497</v>
      </c>
      <c r="C3104" t="s">
        <v>351</v>
      </c>
      <c r="D3104" s="2" t="s">
        <v>352</v>
      </c>
      <c r="E3104" t="s">
        <v>502</v>
      </c>
      <c r="F3104" s="11">
        <v>44814</v>
      </c>
      <c r="G3104" s="2">
        <f>VLOOKUP(E3104,Produtos!$A:$E,5,FALSE)</f>
        <v>1</v>
      </c>
      <c r="H3104" s="2">
        <f>VLOOKUP(E3104,Produtos!$A:$E,4,FALSE)</f>
        <v>0.5</v>
      </c>
      <c r="I3104" s="2">
        <v>30</v>
      </c>
    </row>
    <row r="3105" spans="1:9" x14ac:dyDescent="0.25">
      <c r="A3105" s="2" t="str">
        <f>CONCATENATE(Códigos!S3104,Códigos!T3104,Códigos!U3104)</f>
        <v>svv3103v</v>
      </c>
      <c r="B3105" t="s">
        <v>497</v>
      </c>
      <c r="C3105" t="s">
        <v>351</v>
      </c>
      <c r="D3105" s="2" t="s">
        <v>352</v>
      </c>
      <c r="E3105" t="s">
        <v>502</v>
      </c>
      <c r="F3105" s="11">
        <v>44815</v>
      </c>
      <c r="G3105" s="2">
        <f>VLOOKUP(E3105,Produtos!$A:$E,5,FALSE)</f>
        <v>1</v>
      </c>
      <c r="H3105" s="2">
        <f>VLOOKUP(E3105,Produtos!$A:$E,4,FALSE)</f>
        <v>0.5</v>
      </c>
      <c r="I3105" s="2">
        <v>30</v>
      </c>
    </row>
    <row r="3106" spans="1:9" x14ac:dyDescent="0.25">
      <c r="A3106" s="2" t="str">
        <f>CONCATENATE(Códigos!S3105,Códigos!T3105,Códigos!U3105)</f>
        <v>svv3104v</v>
      </c>
      <c r="B3106" t="s">
        <v>497</v>
      </c>
      <c r="C3106" t="s">
        <v>351</v>
      </c>
      <c r="D3106" s="2" t="s">
        <v>352</v>
      </c>
      <c r="E3106" t="s">
        <v>502</v>
      </c>
      <c r="F3106" s="11">
        <v>44816</v>
      </c>
      <c r="G3106" s="2">
        <f>VLOOKUP(E3106,Produtos!$A:$E,5,FALSE)</f>
        <v>1</v>
      </c>
      <c r="H3106" s="2">
        <f>VLOOKUP(E3106,Produtos!$A:$E,4,FALSE)</f>
        <v>0.5</v>
      </c>
      <c r="I3106" s="2">
        <v>30</v>
      </c>
    </row>
    <row r="3107" spans="1:9" x14ac:dyDescent="0.25">
      <c r="A3107" s="2" t="str">
        <f>CONCATENATE(Códigos!S3106,Códigos!T3106,Códigos!U3106)</f>
        <v>svv3105v</v>
      </c>
      <c r="B3107" t="s">
        <v>497</v>
      </c>
      <c r="C3107" t="s">
        <v>351</v>
      </c>
      <c r="D3107" s="2" t="s">
        <v>352</v>
      </c>
      <c r="E3107" t="s">
        <v>502</v>
      </c>
      <c r="F3107" s="11">
        <v>44817</v>
      </c>
      <c r="G3107" s="2">
        <f>VLOOKUP(E3107,Produtos!$A:$E,5,FALSE)</f>
        <v>1</v>
      </c>
      <c r="H3107" s="2">
        <f>VLOOKUP(E3107,Produtos!$A:$E,4,FALSE)</f>
        <v>0.5</v>
      </c>
      <c r="I3107" s="2">
        <v>30</v>
      </c>
    </row>
    <row r="3108" spans="1:9" x14ac:dyDescent="0.25">
      <c r="A3108" s="2" t="str">
        <f>CONCATENATE(Códigos!S3107,Códigos!T3107,Códigos!U3107)</f>
        <v>svv3106v</v>
      </c>
      <c r="B3108" t="s">
        <v>497</v>
      </c>
      <c r="C3108" t="s">
        <v>351</v>
      </c>
      <c r="D3108" s="2" t="s">
        <v>352</v>
      </c>
      <c r="E3108" t="s">
        <v>502</v>
      </c>
      <c r="F3108" s="11">
        <v>44818</v>
      </c>
      <c r="G3108" s="2">
        <f>VLOOKUP(E3108,Produtos!$A:$E,5,FALSE)</f>
        <v>1</v>
      </c>
      <c r="H3108" s="2">
        <f>VLOOKUP(E3108,Produtos!$A:$E,4,FALSE)</f>
        <v>0.5</v>
      </c>
      <c r="I3108" s="2">
        <v>30</v>
      </c>
    </row>
    <row r="3109" spans="1:9" x14ac:dyDescent="0.25">
      <c r="A3109" s="2" t="str">
        <f>CONCATENATE(Códigos!S3108,Códigos!T3108,Códigos!U3108)</f>
        <v>svv3107v</v>
      </c>
      <c r="B3109" t="s">
        <v>497</v>
      </c>
      <c r="C3109" t="s">
        <v>351</v>
      </c>
      <c r="D3109" s="2" t="s">
        <v>352</v>
      </c>
      <c r="E3109" t="s">
        <v>502</v>
      </c>
      <c r="F3109" s="11">
        <v>44819</v>
      </c>
      <c r="G3109" s="2">
        <f>VLOOKUP(E3109,Produtos!$A:$E,5,FALSE)</f>
        <v>1</v>
      </c>
      <c r="H3109" s="2">
        <f>VLOOKUP(E3109,Produtos!$A:$E,4,FALSE)</f>
        <v>0.5</v>
      </c>
      <c r="I3109" s="2">
        <v>30</v>
      </c>
    </row>
    <row r="3110" spans="1:9" x14ac:dyDescent="0.25">
      <c r="A3110" s="2" t="str">
        <f>CONCATENATE(Códigos!S3109,Códigos!T3109,Códigos!U3109)</f>
        <v>svv3108v</v>
      </c>
      <c r="B3110" t="s">
        <v>497</v>
      </c>
      <c r="C3110" t="s">
        <v>351</v>
      </c>
      <c r="D3110" s="2" t="s">
        <v>352</v>
      </c>
      <c r="E3110" t="s">
        <v>502</v>
      </c>
      <c r="F3110" s="11">
        <v>44820</v>
      </c>
      <c r="G3110" s="2">
        <f>VLOOKUP(E3110,Produtos!$A:$E,5,FALSE)</f>
        <v>1</v>
      </c>
      <c r="H3110" s="2">
        <f>VLOOKUP(E3110,Produtos!$A:$E,4,FALSE)</f>
        <v>0.5</v>
      </c>
      <c r="I3110" s="2">
        <v>30</v>
      </c>
    </row>
    <row r="3111" spans="1:9" x14ac:dyDescent="0.25">
      <c r="A3111" s="2" t="str">
        <f>CONCATENATE(Códigos!S3110,Códigos!T3110,Códigos!U3110)</f>
        <v>svv3109v</v>
      </c>
      <c r="B3111" t="s">
        <v>497</v>
      </c>
      <c r="C3111" t="s">
        <v>351</v>
      </c>
      <c r="D3111" s="2" t="s">
        <v>352</v>
      </c>
      <c r="E3111" t="s">
        <v>502</v>
      </c>
      <c r="F3111" s="11">
        <v>44821</v>
      </c>
      <c r="G3111" s="2">
        <f>VLOOKUP(E3111,Produtos!$A:$E,5,FALSE)</f>
        <v>1</v>
      </c>
      <c r="H3111" s="2">
        <f>VLOOKUP(E3111,Produtos!$A:$E,4,FALSE)</f>
        <v>0.5</v>
      </c>
      <c r="I3111" s="2">
        <v>30</v>
      </c>
    </row>
    <row r="3112" spans="1:9" x14ac:dyDescent="0.25">
      <c r="A3112" s="2" t="str">
        <f>CONCATENATE(Códigos!S3111,Códigos!T3111,Códigos!U3111)</f>
        <v>svv3110v</v>
      </c>
      <c r="B3112" t="s">
        <v>497</v>
      </c>
      <c r="C3112" t="s">
        <v>351</v>
      </c>
      <c r="D3112" s="2" t="s">
        <v>352</v>
      </c>
      <c r="E3112" t="s">
        <v>502</v>
      </c>
      <c r="F3112" s="11">
        <v>44822</v>
      </c>
      <c r="G3112" s="2">
        <f>VLOOKUP(E3112,Produtos!$A:$E,5,FALSE)</f>
        <v>1</v>
      </c>
      <c r="H3112" s="2">
        <f>VLOOKUP(E3112,Produtos!$A:$E,4,FALSE)</f>
        <v>0.5</v>
      </c>
      <c r="I3112" s="2">
        <v>30</v>
      </c>
    </row>
    <row r="3113" spans="1:9" x14ac:dyDescent="0.25">
      <c r="A3113" s="2" t="str">
        <f>CONCATENATE(Códigos!S3112,Códigos!T3112,Códigos!U3112)</f>
        <v>svv3111v</v>
      </c>
      <c r="B3113" t="s">
        <v>497</v>
      </c>
      <c r="C3113" t="s">
        <v>351</v>
      </c>
      <c r="D3113" s="2" t="s">
        <v>352</v>
      </c>
      <c r="E3113" t="s">
        <v>502</v>
      </c>
      <c r="F3113" s="11">
        <v>44823</v>
      </c>
      <c r="G3113" s="2">
        <f>VLOOKUP(E3113,Produtos!$A:$E,5,FALSE)</f>
        <v>1</v>
      </c>
      <c r="H3113" s="2">
        <f>VLOOKUP(E3113,Produtos!$A:$E,4,FALSE)</f>
        <v>0.5</v>
      </c>
      <c r="I3113" s="2">
        <v>30</v>
      </c>
    </row>
    <row r="3114" spans="1:9" x14ac:dyDescent="0.25">
      <c r="A3114" s="2" t="str">
        <f>CONCATENATE(Códigos!S3113,Códigos!T3113,Códigos!U3113)</f>
        <v>svv3112v</v>
      </c>
      <c r="B3114" t="s">
        <v>497</v>
      </c>
      <c r="C3114" t="s">
        <v>351</v>
      </c>
      <c r="D3114" s="2" t="s">
        <v>352</v>
      </c>
      <c r="E3114" t="s">
        <v>502</v>
      </c>
      <c r="F3114" s="11">
        <v>44824</v>
      </c>
      <c r="G3114" s="2">
        <f>VLOOKUP(E3114,Produtos!$A:$E,5,FALSE)</f>
        <v>1</v>
      </c>
      <c r="H3114" s="2">
        <f>VLOOKUP(E3114,Produtos!$A:$E,4,FALSE)</f>
        <v>0.5</v>
      </c>
      <c r="I3114" s="2">
        <v>30</v>
      </c>
    </row>
    <row r="3115" spans="1:9" x14ac:dyDescent="0.25">
      <c r="A3115" s="2" t="str">
        <f>CONCATENATE(Códigos!S3114,Códigos!T3114,Códigos!U3114)</f>
        <v>svv3113v</v>
      </c>
      <c r="B3115" t="s">
        <v>497</v>
      </c>
      <c r="C3115" t="s">
        <v>351</v>
      </c>
      <c r="D3115" s="2" t="s">
        <v>352</v>
      </c>
      <c r="E3115" t="s">
        <v>502</v>
      </c>
      <c r="F3115" s="11">
        <v>44825</v>
      </c>
      <c r="G3115" s="2">
        <f>VLOOKUP(E3115,Produtos!$A:$E,5,FALSE)</f>
        <v>1</v>
      </c>
      <c r="H3115" s="2">
        <f>VLOOKUP(E3115,Produtos!$A:$E,4,FALSE)</f>
        <v>0.5</v>
      </c>
      <c r="I3115" s="2">
        <v>30</v>
      </c>
    </row>
    <row r="3116" spans="1:9" x14ac:dyDescent="0.25">
      <c r="A3116" s="2" t="str">
        <f>CONCATENATE(Códigos!S3115,Códigos!T3115,Códigos!U3115)</f>
        <v>svv3114v</v>
      </c>
      <c r="B3116" t="s">
        <v>497</v>
      </c>
      <c r="C3116" t="s">
        <v>351</v>
      </c>
      <c r="D3116" s="2" t="s">
        <v>352</v>
      </c>
      <c r="E3116" t="s">
        <v>502</v>
      </c>
      <c r="F3116" s="11">
        <v>44826</v>
      </c>
      <c r="G3116" s="2">
        <f>VLOOKUP(E3116,Produtos!$A:$E,5,FALSE)</f>
        <v>1</v>
      </c>
      <c r="H3116" s="2">
        <f>VLOOKUP(E3116,Produtos!$A:$E,4,FALSE)</f>
        <v>0.5</v>
      </c>
      <c r="I3116" s="2">
        <v>30</v>
      </c>
    </row>
    <row r="3117" spans="1:9" x14ac:dyDescent="0.25">
      <c r="A3117" s="2" t="str">
        <f>CONCATENATE(Códigos!S3116,Códigos!T3116,Códigos!U3116)</f>
        <v>svv3115v</v>
      </c>
      <c r="B3117" t="s">
        <v>497</v>
      </c>
      <c r="C3117" t="s">
        <v>351</v>
      </c>
      <c r="D3117" s="2" t="s">
        <v>352</v>
      </c>
      <c r="E3117" t="s">
        <v>502</v>
      </c>
      <c r="F3117" s="11">
        <v>44827</v>
      </c>
      <c r="G3117" s="2">
        <f>VLOOKUP(E3117,Produtos!$A:$E,5,FALSE)</f>
        <v>1</v>
      </c>
      <c r="H3117" s="2">
        <f>VLOOKUP(E3117,Produtos!$A:$E,4,FALSE)</f>
        <v>0.5</v>
      </c>
      <c r="I3117" s="2">
        <v>30</v>
      </c>
    </row>
    <row r="3118" spans="1:9" x14ac:dyDescent="0.25">
      <c r="A3118" s="2" t="str">
        <f>CONCATENATE(Códigos!S3117,Códigos!T3117,Códigos!U3117)</f>
        <v>svv3116v</v>
      </c>
      <c r="B3118" t="s">
        <v>497</v>
      </c>
      <c r="C3118" t="s">
        <v>351</v>
      </c>
      <c r="D3118" s="2" t="s">
        <v>352</v>
      </c>
      <c r="E3118" t="s">
        <v>502</v>
      </c>
      <c r="F3118" s="11">
        <v>44828</v>
      </c>
      <c r="G3118" s="2">
        <f>VLOOKUP(E3118,Produtos!$A:$E,5,FALSE)</f>
        <v>1</v>
      </c>
      <c r="H3118" s="2">
        <f>VLOOKUP(E3118,Produtos!$A:$E,4,FALSE)</f>
        <v>0.5</v>
      </c>
      <c r="I3118" s="2">
        <v>30</v>
      </c>
    </row>
    <row r="3119" spans="1:9" x14ac:dyDescent="0.25">
      <c r="A3119" s="2" t="str">
        <f>CONCATENATE(Códigos!S3118,Códigos!T3118,Códigos!U3118)</f>
        <v>svv3117v</v>
      </c>
      <c r="B3119" t="s">
        <v>497</v>
      </c>
      <c r="C3119" t="s">
        <v>351</v>
      </c>
      <c r="D3119" s="2" t="s">
        <v>352</v>
      </c>
      <c r="E3119" t="s">
        <v>502</v>
      </c>
      <c r="F3119" s="11">
        <v>44829</v>
      </c>
      <c r="G3119" s="2">
        <f>VLOOKUP(E3119,Produtos!$A:$E,5,FALSE)</f>
        <v>1</v>
      </c>
      <c r="H3119" s="2">
        <f>VLOOKUP(E3119,Produtos!$A:$E,4,FALSE)</f>
        <v>0.5</v>
      </c>
      <c r="I3119" s="2">
        <v>30</v>
      </c>
    </row>
    <row r="3120" spans="1:9" x14ac:dyDescent="0.25">
      <c r="A3120" s="2" t="str">
        <f>CONCATENATE(Códigos!S3119,Códigos!T3119,Códigos!U3119)</f>
        <v>svv3118v</v>
      </c>
      <c r="B3120" t="s">
        <v>497</v>
      </c>
      <c r="C3120" t="s">
        <v>351</v>
      </c>
      <c r="D3120" s="2" t="s">
        <v>352</v>
      </c>
      <c r="E3120" t="s">
        <v>502</v>
      </c>
      <c r="F3120" s="11">
        <v>44830</v>
      </c>
      <c r="G3120" s="2">
        <f>VLOOKUP(E3120,Produtos!$A:$E,5,FALSE)</f>
        <v>1</v>
      </c>
      <c r="H3120" s="2">
        <f>VLOOKUP(E3120,Produtos!$A:$E,4,FALSE)</f>
        <v>0.5</v>
      </c>
      <c r="I3120" s="2">
        <v>30</v>
      </c>
    </row>
    <row r="3121" spans="1:9" x14ac:dyDescent="0.25">
      <c r="A3121" s="2" t="str">
        <f>CONCATENATE(Códigos!S3120,Códigos!T3120,Códigos!U3120)</f>
        <v>svv3119v</v>
      </c>
      <c r="B3121" t="s">
        <v>497</v>
      </c>
      <c r="C3121" t="s">
        <v>351</v>
      </c>
      <c r="D3121" s="2" t="s">
        <v>352</v>
      </c>
      <c r="E3121" t="s">
        <v>502</v>
      </c>
      <c r="F3121" s="11">
        <v>44831</v>
      </c>
      <c r="G3121" s="2">
        <f>VLOOKUP(E3121,Produtos!$A:$E,5,FALSE)</f>
        <v>1</v>
      </c>
      <c r="H3121" s="2">
        <f>VLOOKUP(E3121,Produtos!$A:$E,4,FALSE)</f>
        <v>0.5</v>
      </c>
      <c r="I3121" s="2">
        <v>30</v>
      </c>
    </row>
    <row r="3122" spans="1:9" x14ac:dyDescent="0.25">
      <c r="A3122" s="2" t="str">
        <f>CONCATENATE(Códigos!S3121,Códigos!T3121,Códigos!U3121)</f>
        <v>svv3120v</v>
      </c>
      <c r="B3122" t="s">
        <v>497</v>
      </c>
      <c r="C3122" t="s">
        <v>351</v>
      </c>
      <c r="D3122" s="2" t="s">
        <v>352</v>
      </c>
      <c r="E3122" t="s">
        <v>502</v>
      </c>
      <c r="F3122" s="11">
        <v>44832</v>
      </c>
      <c r="G3122" s="2">
        <f>VLOOKUP(E3122,Produtos!$A:$E,5,FALSE)</f>
        <v>1</v>
      </c>
      <c r="H3122" s="2">
        <f>VLOOKUP(E3122,Produtos!$A:$E,4,FALSE)</f>
        <v>0.5</v>
      </c>
      <c r="I3122" s="2">
        <v>30</v>
      </c>
    </row>
    <row r="3123" spans="1:9" x14ac:dyDescent="0.25">
      <c r="A3123" s="2" t="str">
        <f>CONCATENATE(Códigos!S3122,Códigos!T3122,Códigos!U3122)</f>
        <v>svv3121v</v>
      </c>
      <c r="B3123" t="s">
        <v>497</v>
      </c>
      <c r="C3123" t="s">
        <v>351</v>
      </c>
      <c r="D3123" s="2" t="s">
        <v>352</v>
      </c>
      <c r="E3123" t="s">
        <v>502</v>
      </c>
      <c r="F3123" s="11">
        <v>44833</v>
      </c>
      <c r="G3123" s="2">
        <f>VLOOKUP(E3123,Produtos!$A:$E,5,FALSE)</f>
        <v>1</v>
      </c>
      <c r="H3123" s="2">
        <f>VLOOKUP(E3123,Produtos!$A:$E,4,FALSE)</f>
        <v>0.5</v>
      </c>
      <c r="I3123" s="2">
        <v>30</v>
      </c>
    </row>
    <row r="3124" spans="1:9" x14ac:dyDescent="0.25">
      <c r="A3124" s="2" t="str">
        <f>CONCATENATE(Códigos!S3123,Códigos!T3123,Códigos!U3123)</f>
        <v>svv3122v</v>
      </c>
      <c r="B3124" t="s">
        <v>497</v>
      </c>
      <c r="C3124" t="s">
        <v>351</v>
      </c>
      <c r="D3124" s="2" t="s">
        <v>352</v>
      </c>
      <c r="E3124" t="s">
        <v>502</v>
      </c>
      <c r="F3124" s="11">
        <v>44834</v>
      </c>
      <c r="G3124" s="2">
        <f>VLOOKUP(E3124,Produtos!$A:$E,5,FALSE)</f>
        <v>1</v>
      </c>
      <c r="H3124" s="2">
        <f>VLOOKUP(E3124,Produtos!$A:$E,4,FALSE)</f>
        <v>0.5</v>
      </c>
      <c r="I3124" s="2">
        <v>30</v>
      </c>
    </row>
    <row r="3125" spans="1:9" x14ac:dyDescent="0.25">
      <c r="A3125" s="2" t="str">
        <f>CONCATENATE(Códigos!S3124,Códigos!T3124,Códigos!U3124)</f>
        <v>svv3123v</v>
      </c>
      <c r="B3125" t="s">
        <v>497</v>
      </c>
      <c r="C3125" t="s">
        <v>351</v>
      </c>
      <c r="D3125" s="2" t="s">
        <v>352</v>
      </c>
      <c r="E3125" t="s">
        <v>502</v>
      </c>
      <c r="F3125" s="11">
        <v>44835</v>
      </c>
      <c r="G3125" s="2">
        <f>VLOOKUP(E3125,Produtos!$A:$E,5,FALSE)</f>
        <v>1</v>
      </c>
      <c r="H3125" s="2">
        <f>VLOOKUP(E3125,Produtos!$A:$E,4,FALSE)</f>
        <v>0.5</v>
      </c>
      <c r="I3125" s="2">
        <v>30</v>
      </c>
    </row>
    <row r="3126" spans="1:9" x14ac:dyDescent="0.25">
      <c r="A3126" s="2" t="str">
        <f>CONCATENATE(Códigos!S3125,Códigos!T3125,Códigos!U3125)</f>
        <v>svv3124v</v>
      </c>
      <c r="B3126" t="s">
        <v>497</v>
      </c>
      <c r="C3126" t="s">
        <v>351</v>
      </c>
      <c r="D3126" s="2" t="s">
        <v>352</v>
      </c>
      <c r="E3126" t="s">
        <v>502</v>
      </c>
      <c r="F3126" s="11">
        <v>44836</v>
      </c>
      <c r="G3126" s="2">
        <f>VLOOKUP(E3126,Produtos!$A:$E,5,FALSE)</f>
        <v>1</v>
      </c>
      <c r="H3126" s="2">
        <f>VLOOKUP(E3126,Produtos!$A:$E,4,FALSE)</f>
        <v>0.5</v>
      </c>
      <c r="I3126" s="2">
        <v>30</v>
      </c>
    </row>
    <row r="3127" spans="1:9" x14ac:dyDescent="0.25">
      <c r="A3127" s="2" t="str">
        <f>CONCATENATE(Códigos!S3126,Códigos!T3126,Códigos!U3126)</f>
        <v>svv3125v</v>
      </c>
      <c r="B3127" t="s">
        <v>497</v>
      </c>
      <c r="C3127" t="s">
        <v>501</v>
      </c>
      <c r="D3127" s="2" t="s">
        <v>400</v>
      </c>
      <c r="E3127" t="s">
        <v>502</v>
      </c>
      <c r="F3127" s="11">
        <v>44837</v>
      </c>
      <c r="G3127" s="2">
        <f>VLOOKUP(E3127,Produtos!$A:$E,5,FALSE)</f>
        <v>1</v>
      </c>
      <c r="H3127" s="2">
        <f>VLOOKUP(E3127,Produtos!$A:$E,4,FALSE)</f>
        <v>0.5</v>
      </c>
      <c r="I3127" s="2">
        <v>30</v>
      </c>
    </row>
    <row r="3128" spans="1:9" x14ac:dyDescent="0.25">
      <c r="A3128" s="2" t="str">
        <f>CONCATENATE(Códigos!S3127,Códigos!T3127,Códigos!U3127)</f>
        <v>svv3126v</v>
      </c>
      <c r="B3128" t="s">
        <v>497</v>
      </c>
      <c r="C3128" t="s">
        <v>501</v>
      </c>
      <c r="D3128" s="2" t="s">
        <v>400</v>
      </c>
      <c r="E3128" t="s">
        <v>502</v>
      </c>
      <c r="F3128" s="11">
        <v>44838</v>
      </c>
      <c r="G3128" s="2">
        <f>VLOOKUP(E3128,Produtos!$A:$E,5,FALSE)</f>
        <v>1</v>
      </c>
      <c r="H3128" s="2">
        <f>VLOOKUP(E3128,Produtos!$A:$E,4,FALSE)</f>
        <v>0.5</v>
      </c>
      <c r="I3128" s="2">
        <v>30</v>
      </c>
    </row>
    <row r="3129" spans="1:9" x14ac:dyDescent="0.25">
      <c r="A3129" s="2" t="str">
        <f>CONCATENATE(Códigos!S3128,Códigos!T3128,Códigos!U3128)</f>
        <v>svv3127v</v>
      </c>
      <c r="B3129" t="s">
        <v>497</v>
      </c>
      <c r="C3129" t="s">
        <v>501</v>
      </c>
      <c r="D3129" s="2" t="s">
        <v>400</v>
      </c>
      <c r="E3129" t="s">
        <v>502</v>
      </c>
      <c r="F3129" s="11">
        <v>44839</v>
      </c>
      <c r="G3129" s="2">
        <f>VLOOKUP(E3129,Produtos!$A:$E,5,FALSE)</f>
        <v>1</v>
      </c>
      <c r="H3129" s="2">
        <f>VLOOKUP(E3129,Produtos!$A:$E,4,FALSE)</f>
        <v>0.5</v>
      </c>
      <c r="I3129" s="2">
        <v>30</v>
      </c>
    </row>
    <row r="3130" spans="1:9" x14ac:dyDescent="0.25">
      <c r="A3130" s="2" t="str">
        <f>CONCATENATE(Códigos!S3129,Códigos!T3129,Códigos!U3129)</f>
        <v>svv3128v</v>
      </c>
      <c r="B3130" t="s">
        <v>497</v>
      </c>
      <c r="C3130" t="s">
        <v>501</v>
      </c>
      <c r="D3130" s="2" t="s">
        <v>400</v>
      </c>
      <c r="E3130" t="s">
        <v>502</v>
      </c>
      <c r="F3130" s="11">
        <v>44840</v>
      </c>
      <c r="G3130" s="2">
        <f>VLOOKUP(E3130,Produtos!$A:$E,5,FALSE)</f>
        <v>1</v>
      </c>
      <c r="H3130" s="2">
        <f>VLOOKUP(E3130,Produtos!$A:$E,4,FALSE)</f>
        <v>0.5</v>
      </c>
      <c r="I3130" s="2">
        <v>30</v>
      </c>
    </row>
    <row r="3131" spans="1:9" x14ac:dyDescent="0.25">
      <c r="A3131" s="2" t="str">
        <f>CONCATENATE(Códigos!S3130,Códigos!T3130,Códigos!U3130)</f>
        <v>svv3129v</v>
      </c>
      <c r="B3131" t="s">
        <v>497</v>
      </c>
      <c r="C3131" t="s">
        <v>501</v>
      </c>
      <c r="D3131" s="2" t="s">
        <v>400</v>
      </c>
      <c r="E3131" t="s">
        <v>502</v>
      </c>
      <c r="F3131" s="11">
        <v>44841</v>
      </c>
      <c r="G3131" s="2">
        <f>VLOOKUP(E3131,Produtos!$A:$E,5,FALSE)</f>
        <v>1</v>
      </c>
      <c r="H3131" s="2">
        <f>VLOOKUP(E3131,Produtos!$A:$E,4,FALSE)</f>
        <v>0.5</v>
      </c>
      <c r="I3131" s="2">
        <v>30</v>
      </c>
    </row>
    <row r="3132" spans="1:9" x14ac:dyDescent="0.25">
      <c r="A3132" s="2" t="str">
        <f>CONCATENATE(Códigos!S3131,Códigos!T3131,Códigos!U3131)</f>
        <v>svv3130v</v>
      </c>
      <c r="B3132" t="s">
        <v>497</v>
      </c>
      <c r="C3132" t="s">
        <v>501</v>
      </c>
      <c r="D3132" s="2" t="s">
        <v>400</v>
      </c>
      <c r="E3132" t="s">
        <v>502</v>
      </c>
      <c r="F3132" s="11">
        <v>44842</v>
      </c>
      <c r="G3132" s="2">
        <f>VLOOKUP(E3132,Produtos!$A:$E,5,FALSE)</f>
        <v>1</v>
      </c>
      <c r="H3132" s="2">
        <f>VLOOKUP(E3132,Produtos!$A:$E,4,FALSE)</f>
        <v>0.5</v>
      </c>
      <c r="I3132" s="2">
        <v>30</v>
      </c>
    </row>
    <row r="3133" spans="1:9" x14ac:dyDescent="0.25">
      <c r="A3133" s="2" t="str">
        <f>CONCATENATE(Códigos!S3132,Códigos!T3132,Códigos!U3132)</f>
        <v>svv3131v</v>
      </c>
      <c r="B3133" t="s">
        <v>497</v>
      </c>
      <c r="C3133" t="s">
        <v>501</v>
      </c>
      <c r="D3133" s="2" t="s">
        <v>400</v>
      </c>
      <c r="E3133" t="s">
        <v>502</v>
      </c>
      <c r="F3133" s="11">
        <v>44843</v>
      </c>
      <c r="G3133" s="2">
        <f>VLOOKUP(E3133,Produtos!$A:$E,5,FALSE)</f>
        <v>1</v>
      </c>
      <c r="H3133" s="2">
        <f>VLOOKUP(E3133,Produtos!$A:$E,4,FALSE)</f>
        <v>0.5</v>
      </c>
      <c r="I3133" s="2">
        <v>30</v>
      </c>
    </row>
    <row r="3134" spans="1:9" x14ac:dyDescent="0.25">
      <c r="A3134" s="2" t="str">
        <f>CONCATENATE(Códigos!S3133,Códigos!T3133,Códigos!U3133)</f>
        <v>svv3132v</v>
      </c>
      <c r="B3134" t="s">
        <v>497</v>
      </c>
      <c r="C3134" t="s">
        <v>501</v>
      </c>
      <c r="D3134" s="2" t="s">
        <v>400</v>
      </c>
      <c r="E3134" t="s">
        <v>502</v>
      </c>
      <c r="F3134" s="11">
        <v>44844</v>
      </c>
      <c r="G3134" s="2">
        <f>VLOOKUP(E3134,Produtos!$A:$E,5,FALSE)</f>
        <v>1</v>
      </c>
      <c r="H3134" s="2">
        <f>VLOOKUP(E3134,Produtos!$A:$E,4,FALSE)</f>
        <v>0.5</v>
      </c>
      <c r="I3134" s="2">
        <v>30</v>
      </c>
    </row>
    <row r="3135" spans="1:9" x14ac:dyDescent="0.25">
      <c r="A3135" s="2" t="str">
        <f>CONCATENATE(Códigos!S3134,Códigos!T3134,Códigos!U3134)</f>
        <v>svv3133v</v>
      </c>
      <c r="B3135" t="s">
        <v>497</v>
      </c>
      <c r="C3135" t="s">
        <v>501</v>
      </c>
      <c r="D3135" s="2" t="s">
        <v>400</v>
      </c>
      <c r="E3135" t="s">
        <v>502</v>
      </c>
      <c r="F3135" s="11">
        <v>44845</v>
      </c>
      <c r="G3135" s="2">
        <f>VLOOKUP(E3135,Produtos!$A:$E,5,FALSE)</f>
        <v>1</v>
      </c>
      <c r="H3135" s="2">
        <f>VLOOKUP(E3135,Produtos!$A:$E,4,FALSE)</f>
        <v>0.5</v>
      </c>
      <c r="I3135" s="2">
        <v>30</v>
      </c>
    </row>
    <row r="3136" spans="1:9" x14ac:dyDescent="0.25">
      <c r="A3136" s="2" t="str">
        <f>CONCATENATE(Códigos!S3135,Códigos!T3135,Códigos!U3135)</f>
        <v>svv3134v</v>
      </c>
      <c r="B3136" t="s">
        <v>497</v>
      </c>
      <c r="C3136" t="s">
        <v>501</v>
      </c>
      <c r="D3136" s="2" t="s">
        <v>400</v>
      </c>
      <c r="E3136" t="s">
        <v>502</v>
      </c>
      <c r="F3136" s="11">
        <v>44846</v>
      </c>
      <c r="G3136" s="2">
        <f>VLOOKUP(E3136,Produtos!$A:$E,5,FALSE)</f>
        <v>1</v>
      </c>
      <c r="H3136" s="2">
        <f>VLOOKUP(E3136,Produtos!$A:$E,4,FALSE)</f>
        <v>0.5</v>
      </c>
      <c r="I3136" s="2">
        <v>30</v>
      </c>
    </row>
    <row r="3137" spans="1:9" x14ac:dyDescent="0.25">
      <c r="A3137" s="2" t="str">
        <f>CONCATENATE(Códigos!S3136,Códigos!T3136,Códigos!U3136)</f>
        <v>svv3135v</v>
      </c>
      <c r="B3137" t="s">
        <v>497</v>
      </c>
      <c r="C3137" t="s">
        <v>501</v>
      </c>
      <c r="D3137" s="2" t="s">
        <v>400</v>
      </c>
      <c r="E3137" t="s">
        <v>502</v>
      </c>
      <c r="F3137" s="11">
        <v>44847</v>
      </c>
      <c r="G3137" s="2">
        <f>VLOOKUP(E3137,Produtos!$A:$E,5,FALSE)</f>
        <v>1</v>
      </c>
      <c r="H3137" s="2">
        <f>VLOOKUP(E3137,Produtos!$A:$E,4,FALSE)</f>
        <v>0.5</v>
      </c>
      <c r="I3137" s="2">
        <v>30</v>
      </c>
    </row>
    <row r="3138" spans="1:9" x14ac:dyDescent="0.25">
      <c r="A3138" s="2" t="str">
        <f>CONCATENATE(Códigos!S3137,Códigos!T3137,Códigos!U3137)</f>
        <v>svv3136v</v>
      </c>
      <c r="B3138" t="s">
        <v>497</v>
      </c>
      <c r="C3138" t="s">
        <v>501</v>
      </c>
      <c r="D3138" s="2" t="s">
        <v>400</v>
      </c>
      <c r="E3138" t="s">
        <v>502</v>
      </c>
      <c r="F3138" s="11">
        <v>44848</v>
      </c>
      <c r="G3138" s="2">
        <f>VLOOKUP(E3138,Produtos!$A:$E,5,FALSE)</f>
        <v>1</v>
      </c>
      <c r="H3138" s="2">
        <f>VLOOKUP(E3138,Produtos!$A:$E,4,FALSE)</f>
        <v>0.5</v>
      </c>
      <c r="I3138" s="2">
        <v>30</v>
      </c>
    </row>
    <row r="3139" spans="1:9" x14ac:dyDescent="0.25">
      <c r="A3139" s="2" t="str">
        <f>CONCATENATE(Códigos!S3138,Códigos!T3138,Códigos!U3138)</f>
        <v>svv3137v</v>
      </c>
      <c r="B3139" t="s">
        <v>497</v>
      </c>
      <c r="C3139" t="s">
        <v>501</v>
      </c>
      <c r="D3139" s="2" t="s">
        <v>400</v>
      </c>
      <c r="E3139" t="s">
        <v>502</v>
      </c>
      <c r="F3139" s="11">
        <v>44849</v>
      </c>
      <c r="G3139" s="2">
        <f>VLOOKUP(E3139,Produtos!$A:$E,5,FALSE)</f>
        <v>1</v>
      </c>
      <c r="H3139" s="2">
        <f>VLOOKUP(E3139,Produtos!$A:$E,4,FALSE)</f>
        <v>0.5</v>
      </c>
      <c r="I3139" s="2">
        <v>30</v>
      </c>
    </row>
    <row r="3140" spans="1:9" x14ac:dyDescent="0.25">
      <c r="A3140" s="2" t="str">
        <f>CONCATENATE(Códigos!S3139,Códigos!T3139,Códigos!U3139)</f>
        <v>svv3138v</v>
      </c>
      <c r="B3140" t="s">
        <v>497</v>
      </c>
      <c r="C3140" t="s">
        <v>501</v>
      </c>
      <c r="D3140" s="2" t="s">
        <v>400</v>
      </c>
      <c r="E3140" t="s">
        <v>502</v>
      </c>
      <c r="F3140" s="11">
        <v>44850</v>
      </c>
      <c r="G3140" s="2">
        <f>VLOOKUP(E3140,Produtos!$A:$E,5,FALSE)</f>
        <v>1</v>
      </c>
      <c r="H3140" s="2">
        <f>VLOOKUP(E3140,Produtos!$A:$E,4,FALSE)</f>
        <v>0.5</v>
      </c>
      <c r="I3140" s="2">
        <v>30</v>
      </c>
    </row>
    <row r="3141" spans="1:9" x14ac:dyDescent="0.25">
      <c r="A3141" s="2" t="str">
        <f>CONCATENATE(Códigos!S3140,Códigos!T3140,Códigos!U3140)</f>
        <v>svv3139v</v>
      </c>
      <c r="B3141" t="s">
        <v>497</v>
      </c>
      <c r="C3141" t="s">
        <v>501</v>
      </c>
      <c r="D3141" s="2" t="s">
        <v>400</v>
      </c>
      <c r="E3141" t="s">
        <v>502</v>
      </c>
      <c r="F3141" s="11">
        <v>44851</v>
      </c>
      <c r="G3141" s="2">
        <f>VLOOKUP(E3141,Produtos!$A:$E,5,FALSE)</f>
        <v>1</v>
      </c>
      <c r="H3141" s="2">
        <f>VLOOKUP(E3141,Produtos!$A:$E,4,FALSE)</f>
        <v>0.5</v>
      </c>
      <c r="I3141" s="2">
        <v>30</v>
      </c>
    </row>
    <row r="3142" spans="1:9" x14ac:dyDescent="0.25">
      <c r="A3142" s="2" t="str">
        <f>CONCATENATE(Códigos!S3141,Códigos!T3141,Códigos!U3141)</f>
        <v>svv3140v</v>
      </c>
      <c r="B3142" t="s">
        <v>497</v>
      </c>
      <c r="C3142" t="s">
        <v>501</v>
      </c>
      <c r="D3142" s="2" t="s">
        <v>400</v>
      </c>
      <c r="E3142" t="s">
        <v>502</v>
      </c>
      <c r="F3142" s="11">
        <v>44852</v>
      </c>
      <c r="G3142" s="2">
        <f>VLOOKUP(E3142,Produtos!$A:$E,5,FALSE)</f>
        <v>1</v>
      </c>
      <c r="H3142" s="2">
        <f>VLOOKUP(E3142,Produtos!$A:$E,4,FALSE)</f>
        <v>0.5</v>
      </c>
      <c r="I3142" s="2">
        <v>30</v>
      </c>
    </row>
    <row r="3143" spans="1:9" x14ac:dyDescent="0.25">
      <c r="A3143" s="2" t="str">
        <f>CONCATENATE(Códigos!S3142,Códigos!T3142,Códigos!U3142)</f>
        <v>svv3141v</v>
      </c>
      <c r="B3143" t="s">
        <v>497</v>
      </c>
      <c r="C3143" t="s">
        <v>501</v>
      </c>
      <c r="D3143" s="2" t="s">
        <v>400</v>
      </c>
      <c r="E3143" t="s">
        <v>502</v>
      </c>
      <c r="F3143" s="11">
        <v>44853</v>
      </c>
      <c r="G3143" s="2">
        <f>VLOOKUP(E3143,Produtos!$A:$E,5,FALSE)</f>
        <v>1</v>
      </c>
      <c r="H3143" s="2">
        <f>VLOOKUP(E3143,Produtos!$A:$E,4,FALSE)</f>
        <v>0.5</v>
      </c>
      <c r="I3143" s="2">
        <v>30</v>
      </c>
    </row>
    <row r="3144" spans="1:9" x14ac:dyDescent="0.25">
      <c r="A3144" s="2" t="str">
        <f>CONCATENATE(Códigos!S3143,Códigos!T3143,Códigos!U3143)</f>
        <v>svv3142v</v>
      </c>
      <c r="B3144" t="s">
        <v>497</v>
      </c>
      <c r="C3144" t="s">
        <v>501</v>
      </c>
      <c r="D3144" s="2" t="s">
        <v>400</v>
      </c>
      <c r="E3144" t="s">
        <v>502</v>
      </c>
      <c r="F3144" s="11">
        <v>44854</v>
      </c>
      <c r="G3144" s="2">
        <f>VLOOKUP(E3144,Produtos!$A:$E,5,FALSE)</f>
        <v>1</v>
      </c>
      <c r="H3144" s="2">
        <f>VLOOKUP(E3144,Produtos!$A:$E,4,FALSE)</f>
        <v>0.5</v>
      </c>
      <c r="I3144" s="2">
        <v>30</v>
      </c>
    </row>
    <row r="3145" spans="1:9" x14ac:dyDescent="0.25">
      <c r="A3145" s="2" t="str">
        <f>CONCATENATE(Códigos!S3144,Códigos!T3144,Códigos!U3144)</f>
        <v>svv3143v</v>
      </c>
      <c r="B3145" t="s">
        <v>497</v>
      </c>
      <c r="C3145" t="s">
        <v>501</v>
      </c>
      <c r="D3145" s="2" t="s">
        <v>400</v>
      </c>
      <c r="E3145" t="s">
        <v>502</v>
      </c>
      <c r="F3145" s="11">
        <v>44855</v>
      </c>
      <c r="G3145" s="2">
        <f>VLOOKUP(E3145,Produtos!$A:$E,5,FALSE)</f>
        <v>1</v>
      </c>
      <c r="H3145" s="2">
        <f>VLOOKUP(E3145,Produtos!$A:$E,4,FALSE)</f>
        <v>0.5</v>
      </c>
      <c r="I3145" s="2">
        <v>30</v>
      </c>
    </row>
    <row r="3146" spans="1:9" x14ac:dyDescent="0.25">
      <c r="A3146" s="2" t="str">
        <f>CONCATENATE(Códigos!S3145,Códigos!T3145,Códigos!U3145)</f>
        <v>svv3144v</v>
      </c>
      <c r="B3146" t="s">
        <v>497</v>
      </c>
      <c r="C3146" t="s">
        <v>501</v>
      </c>
      <c r="D3146" s="2" t="s">
        <v>400</v>
      </c>
      <c r="E3146" t="s">
        <v>502</v>
      </c>
      <c r="F3146" s="11">
        <v>44856</v>
      </c>
      <c r="G3146" s="2">
        <f>VLOOKUP(E3146,Produtos!$A:$E,5,FALSE)</f>
        <v>1</v>
      </c>
      <c r="H3146" s="2">
        <f>VLOOKUP(E3146,Produtos!$A:$E,4,FALSE)</f>
        <v>0.5</v>
      </c>
      <c r="I3146" s="2">
        <v>30</v>
      </c>
    </row>
    <row r="3147" spans="1:9" x14ac:dyDescent="0.25">
      <c r="A3147" s="2" t="str">
        <f>CONCATENATE(Códigos!S3146,Códigos!T3146,Códigos!U3146)</f>
        <v>svv3145v</v>
      </c>
      <c r="B3147" t="s">
        <v>497</v>
      </c>
      <c r="C3147" t="s">
        <v>501</v>
      </c>
      <c r="D3147" s="2" t="s">
        <v>400</v>
      </c>
      <c r="E3147" t="s">
        <v>502</v>
      </c>
      <c r="F3147" s="11">
        <v>44857</v>
      </c>
      <c r="G3147" s="2">
        <f>VLOOKUP(E3147,Produtos!$A:$E,5,FALSE)</f>
        <v>1</v>
      </c>
      <c r="H3147" s="2">
        <f>VLOOKUP(E3147,Produtos!$A:$E,4,FALSE)</f>
        <v>0.5</v>
      </c>
      <c r="I3147" s="2">
        <v>30</v>
      </c>
    </row>
    <row r="3148" spans="1:9" x14ac:dyDescent="0.25">
      <c r="A3148" s="2" t="str">
        <f>CONCATENATE(Códigos!S3147,Códigos!T3147,Códigos!U3147)</f>
        <v>svv3146v</v>
      </c>
      <c r="B3148" t="s">
        <v>497</v>
      </c>
      <c r="C3148" t="s">
        <v>501</v>
      </c>
      <c r="D3148" s="2" t="s">
        <v>400</v>
      </c>
      <c r="E3148" t="s">
        <v>502</v>
      </c>
      <c r="F3148" s="11">
        <v>44858</v>
      </c>
      <c r="G3148" s="2">
        <f>VLOOKUP(E3148,Produtos!$A:$E,5,FALSE)</f>
        <v>1</v>
      </c>
      <c r="H3148" s="2">
        <f>VLOOKUP(E3148,Produtos!$A:$E,4,FALSE)</f>
        <v>0.5</v>
      </c>
      <c r="I3148" s="2">
        <v>30</v>
      </c>
    </row>
    <row r="3149" spans="1:9" x14ac:dyDescent="0.25">
      <c r="A3149" s="2" t="str">
        <f>CONCATENATE(Códigos!S3148,Códigos!T3148,Códigos!U3148)</f>
        <v>svv3147v</v>
      </c>
      <c r="B3149" t="s">
        <v>497</v>
      </c>
      <c r="C3149" t="s">
        <v>501</v>
      </c>
      <c r="D3149" s="2" t="s">
        <v>400</v>
      </c>
      <c r="E3149" t="s">
        <v>502</v>
      </c>
      <c r="F3149" s="11">
        <v>44859</v>
      </c>
      <c r="G3149" s="2">
        <f>VLOOKUP(E3149,Produtos!$A:$E,5,FALSE)</f>
        <v>1</v>
      </c>
      <c r="H3149" s="2">
        <f>VLOOKUP(E3149,Produtos!$A:$E,4,FALSE)</f>
        <v>0.5</v>
      </c>
      <c r="I3149" s="2">
        <v>30</v>
      </c>
    </row>
    <row r="3150" spans="1:9" x14ac:dyDescent="0.25">
      <c r="A3150" s="2" t="str">
        <f>CONCATENATE(Códigos!S3149,Códigos!T3149,Códigos!U3149)</f>
        <v>svv3148v</v>
      </c>
      <c r="B3150" t="s">
        <v>497</v>
      </c>
      <c r="C3150" t="s">
        <v>501</v>
      </c>
      <c r="D3150" s="2" t="s">
        <v>400</v>
      </c>
      <c r="E3150" t="s">
        <v>502</v>
      </c>
      <c r="F3150" s="11">
        <v>44860</v>
      </c>
      <c r="G3150" s="2">
        <f>VLOOKUP(E3150,Produtos!$A:$E,5,FALSE)</f>
        <v>1</v>
      </c>
      <c r="H3150" s="2">
        <f>VLOOKUP(E3150,Produtos!$A:$E,4,FALSE)</f>
        <v>0.5</v>
      </c>
      <c r="I3150" s="2">
        <v>30</v>
      </c>
    </row>
    <row r="3151" spans="1:9" x14ac:dyDescent="0.25">
      <c r="A3151" s="2" t="str">
        <f>CONCATENATE(Códigos!S3150,Códigos!T3150,Códigos!U3150)</f>
        <v>svv3149v</v>
      </c>
      <c r="B3151" t="s">
        <v>497</v>
      </c>
      <c r="C3151" t="s">
        <v>501</v>
      </c>
      <c r="D3151" s="2" t="s">
        <v>400</v>
      </c>
      <c r="E3151" t="s">
        <v>502</v>
      </c>
      <c r="F3151" s="11">
        <v>44861</v>
      </c>
      <c r="G3151" s="2">
        <f>VLOOKUP(E3151,Produtos!$A:$E,5,FALSE)</f>
        <v>1</v>
      </c>
      <c r="H3151" s="2">
        <f>VLOOKUP(E3151,Produtos!$A:$E,4,FALSE)</f>
        <v>0.5</v>
      </c>
      <c r="I3151" s="2">
        <v>30</v>
      </c>
    </row>
    <row r="3152" spans="1:9" x14ac:dyDescent="0.25">
      <c r="A3152" s="2" t="str">
        <f>CONCATENATE(Códigos!S3151,Códigos!T3151,Códigos!U3151)</f>
        <v>svv3150v</v>
      </c>
      <c r="B3152" t="s">
        <v>497</v>
      </c>
      <c r="C3152" t="s">
        <v>501</v>
      </c>
      <c r="D3152" s="2" t="s">
        <v>400</v>
      </c>
      <c r="E3152" t="s">
        <v>502</v>
      </c>
      <c r="F3152" s="11">
        <v>44862</v>
      </c>
      <c r="G3152" s="2">
        <f>VLOOKUP(E3152,Produtos!$A:$E,5,FALSE)</f>
        <v>1</v>
      </c>
      <c r="H3152" s="2">
        <f>VLOOKUP(E3152,Produtos!$A:$E,4,FALSE)</f>
        <v>0.5</v>
      </c>
      <c r="I3152" s="2">
        <v>30</v>
      </c>
    </row>
    <row r="3153" spans="1:9" x14ac:dyDescent="0.25">
      <c r="A3153" s="2" t="str">
        <f>CONCATENATE(Códigos!S3152,Códigos!T3152,Códigos!U3152)</f>
        <v>svv3151v</v>
      </c>
      <c r="B3153" t="s">
        <v>497</v>
      </c>
      <c r="C3153" t="s">
        <v>501</v>
      </c>
      <c r="D3153" s="2" t="s">
        <v>400</v>
      </c>
      <c r="E3153" t="s">
        <v>502</v>
      </c>
      <c r="F3153" s="11">
        <v>44863</v>
      </c>
      <c r="G3153" s="2">
        <f>VLOOKUP(E3153,Produtos!$A:$E,5,FALSE)</f>
        <v>1</v>
      </c>
      <c r="H3153" s="2">
        <f>VLOOKUP(E3153,Produtos!$A:$E,4,FALSE)</f>
        <v>0.5</v>
      </c>
      <c r="I3153" s="2">
        <v>30</v>
      </c>
    </row>
    <row r="3154" spans="1:9" x14ac:dyDescent="0.25">
      <c r="A3154" s="2" t="str">
        <f>CONCATENATE(Códigos!S3153,Códigos!T3153,Códigos!U3153)</f>
        <v>svv3152v</v>
      </c>
      <c r="B3154" t="s">
        <v>336</v>
      </c>
      <c r="C3154" t="s">
        <v>495</v>
      </c>
      <c r="D3154" s="2" t="s">
        <v>363</v>
      </c>
      <c r="E3154" t="s">
        <v>328</v>
      </c>
      <c r="F3154" s="11">
        <v>44864</v>
      </c>
      <c r="G3154" s="2">
        <f>VLOOKUP(E3154,Produtos!$A:$E,5,FALSE)</f>
        <v>900</v>
      </c>
      <c r="H3154" s="2">
        <f>VLOOKUP(E3154,Produtos!$A:$E,4,FALSE)</f>
        <v>500</v>
      </c>
      <c r="I3154" s="2">
        <v>2</v>
      </c>
    </row>
    <row r="3155" spans="1:9" x14ac:dyDescent="0.25">
      <c r="A3155" s="2" t="str">
        <f>CONCATENATE(Códigos!S3154,Códigos!T3154,Códigos!U3154)</f>
        <v>svv3153v</v>
      </c>
      <c r="B3155" t="s">
        <v>336</v>
      </c>
      <c r="C3155" t="s">
        <v>495</v>
      </c>
      <c r="D3155" s="2" t="s">
        <v>363</v>
      </c>
      <c r="E3155" t="s">
        <v>324</v>
      </c>
      <c r="F3155" s="11">
        <v>44865</v>
      </c>
      <c r="G3155" s="2">
        <f>VLOOKUP(E3155,Produtos!$A:$E,5,FALSE)</f>
        <v>2600</v>
      </c>
      <c r="H3155" s="2">
        <f>VLOOKUP(E3155,Produtos!$A:$E,4,FALSE)</f>
        <v>2000</v>
      </c>
      <c r="I3155" s="2">
        <v>2</v>
      </c>
    </row>
    <row r="3156" spans="1:9" x14ac:dyDescent="0.25">
      <c r="A3156" s="2" t="str">
        <f>CONCATENATE(Códigos!S3155,Códigos!T3155,Códigos!U3155)</f>
        <v>svv3154v</v>
      </c>
      <c r="B3156" t="s">
        <v>336</v>
      </c>
      <c r="C3156" t="s">
        <v>495</v>
      </c>
      <c r="D3156" s="2" t="s">
        <v>363</v>
      </c>
      <c r="E3156" t="s">
        <v>324</v>
      </c>
      <c r="F3156" s="11">
        <v>44866</v>
      </c>
      <c r="G3156" s="2">
        <f>VLOOKUP(E3156,Produtos!$A:$E,5,FALSE)</f>
        <v>2600</v>
      </c>
      <c r="H3156" s="2">
        <f>VLOOKUP(E3156,Produtos!$A:$E,4,FALSE)</f>
        <v>2000</v>
      </c>
      <c r="I3156" s="2">
        <v>2</v>
      </c>
    </row>
    <row r="3157" spans="1:9" x14ac:dyDescent="0.25">
      <c r="A3157" s="2" t="str">
        <f>CONCATENATE(Códigos!S3156,Códigos!T3156,Códigos!U3156)</f>
        <v>svv3155v</v>
      </c>
      <c r="B3157" t="s">
        <v>336</v>
      </c>
      <c r="C3157" t="s">
        <v>495</v>
      </c>
      <c r="D3157" s="2" t="s">
        <v>363</v>
      </c>
      <c r="E3157" t="s">
        <v>324</v>
      </c>
      <c r="F3157" s="11">
        <v>44867</v>
      </c>
      <c r="G3157" s="2">
        <f>VLOOKUP(E3157,Produtos!$A:$E,5,FALSE)</f>
        <v>2600</v>
      </c>
      <c r="H3157" s="2">
        <f>VLOOKUP(E3157,Produtos!$A:$E,4,FALSE)</f>
        <v>2000</v>
      </c>
      <c r="I3157" s="2">
        <v>2</v>
      </c>
    </row>
    <row r="3158" spans="1:9" x14ac:dyDescent="0.25">
      <c r="A3158" s="2" t="str">
        <f>CONCATENATE(Códigos!S3157,Códigos!T3157,Códigos!U3157)</f>
        <v>svv3156v</v>
      </c>
      <c r="B3158" t="s">
        <v>336</v>
      </c>
      <c r="C3158" t="s">
        <v>495</v>
      </c>
      <c r="D3158" s="2" t="s">
        <v>363</v>
      </c>
      <c r="E3158" t="s">
        <v>324</v>
      </c>
      <c r="F3158" s="11">
        <v>44868</v>
      </c>
      <c r="G3158" s="2">
        <f>VLOOKUP(E3158,Produtos!$A:$E,5,FALSE)</f>
        <v>2600</v>
      </c>
      <c r="H3158" s="2">
        <f>VLOOKUP(E3158,Produtos!$A:$E,4,FALSE)</f>
        <v>2000</v>
      </c>
      <c r="I3158" s="2">
        <v>2</v>
      </c>
    </row>
    <row r="3159" spans="1:9" x14ac:dyDescent="0.25">
      <c r="A3159" s="2" t="str">
        <f>CONCATENATE(Códigos!S3158,Códigos!T3158,Códigos!U3158)</f>
        <v>svv3157v</v>
      </c>
      <c r="B3159" t="s">
        <v>336</v>
      </c>
      <c r="C3159" t="s">
        <v>495</v>
      </c>
      <c r="D3159" s="2" t="s">
        <v>363</v>
      </c>
      <c r="E3159" t="s">
        <v>324</v>
      </c>
      <c r="F3159" s="11">
        <v>44869</v>
      </c>
      <c r="G3159" s="2">
        <f>VLOOKUP(E3159,Produtos!$A:$E,5,FALSE)</f>
        <v>2600</v>
      </c>
      <c r="H3159" s="2">
        <f>VLOOKUP(E3159,Produtos!$A:$E,4,FALSE)</f>
        <v>2000</v>
      </c>
      <c r="I3159" s="2">
        <v>2</v>
      </c>
    </row>
    <row r="3160" spans="1:9" x14ac:dyDescent="0.25">
      <c r="A3160" s="2" t="str">
        <f>CONCATENATE(Códigos!S3159,Códigos!T3159,Códigos!U3159)</f>
        <v>svv3158v</v>
      </c>
      <c r="B3160" t="s">
        <v>336</v>
      </c>
      <c r="C3160" t="s">
        <v>495</v>
      </c>
      <c r="D3160" s="2" t="s">
        <v>363</v>
      </c>
      <c r="E3160" t="s">
        <v>324</v>
      </c>
      <c r="F3160" s="11">
        <v>44870</v>
      </c>
      <c r="G3160" s="2">
        <f>VLOOKUP(E3160,Produtos!$A:$E,5,FALSE)</f>
        <v>2600</v>
      </c>
      <c r="H3160" s="2">
        <f>VLOOKUP(E3160,Produtos!$A:$E,4,FALSE)</f>
        <v>2000</v>
      </c>
      <c r="I3160" s="2">
        <v>2</v>
      </c>
    </row>
    <row r="3161" spans="1:9" x14ac:dyDescent="0.25">
      <c r="A3161" s="2" t="str">
        <f>CONCATENATE(Códigos!S3160,Códigos!T3160,Códigos!U3160)</f>
        <v>svv3159v</v>
      </c>
      <c r="B3161" t="s">
        <v>336</v>
      </c>
      <c r="C3161" t="s">
        <v>495</v>
      </c>
      <c r="D3161" s="2" t="s">
        <v>363</v>
      </c>
      <c r="E3161" t="s">
        <v>324</v>
      </c>
      <c r="F3161" s="11">
        <v>44871</v>
      </c>
      <c r="G3161" s="2">
        <f>VLOOKUP(E3161,Produtos!$A:$E,5,FALSE)</f>
        <v>2600</v>
      </c>
      <c r="H3161" s="2">
        <f>VLOOKUP(E3161,Produtos!$A:$E,4,FALSE)</f>
        <v>2000</v>
      </c>
      <c r="I3161" s="2">
        <v>2</v>
      </c>
    </row>
    <row r="3162" spans="1:9" x14ac:dyDescent="0.25">
      <c r="A3162" s="2" t="str">
        <f>CONCATENATE(Códigos!S3161,Códigos!T3161,Códigos!U3161)</f>
        <v>svv3160v</v>
      </c>
      <c r="B3162" t="s">
        <v>336</v>
      </c>
      <c r="C3162" t="s">
        <v>495</v>
      </c>
      <c r="D3162" s="2" t="s">
        <v>363</v>
      </c>
      <c r="E3162" t="s">
        <v>324</v>
      </c>
      <c r="F3162" s="11">
        <v>44872</v>
      </c>
      <c r="G3162" s="2">
        <f>VLOOKUP(E3162,Produtos!$A:$E,5,FALSE)</f>
        <v>2600</v>
      </c>
      <c r="H3162" s="2">
        <f>VLOOKUP(E3162,Produtos!$A:$E,4,FALSE)</f>
        <v>2000</v>
      </c>
      <c r="I3162" s="2">
        <v>2</v>
      </c>
    </row>
    <row r="3163" spans="1:9" x14ac:dyDescent="0.25">
      <c r="A3163" s="2" t="str">
        <f>CONCATENATE(Códigos!S3162,Códigos!T3162,Códigos!U3162)</f>
        <v>svv3161v</v>
      </c>
      <c r="B3163" t="s">
        <v>336</v>
      </c>
      <c r="C3163" t="s">
        <v>495</v>
      </c>
      <c r="D3163" s="2" t="s">
        <v>363</v>
      </c>
      <c r="E3163" t="s">
        <v>324</v>
      </c>
      <c r="F3163" s="11">
        <v>44873</v>
      </c>
      <c r="G3163" s="2">
        <f>VLOOKUP(E3163,Produtos!$A:$E,5,FALSE)</f>
        <v>2600</v>
      </c>
      <c r="H3163" s="2">
        <f>VLOOKUP(E3163,Produtos!$A:$E,4,FALSE)</f>
        <v>2000</v>
      </c>
      <c r="I3163" s="2">
        <v>2</v>
      </c>
    </row>
    <row r="3164" spans="1:9" x14ac:dyDescent="0.25">
      <c r="A3164" s="2" t="str">
        <f>CONCATENATE(Códigos!S3163,Códigos!T3163,Códigos!U3163)</f>
        <v>svv3162v</v>
      </c>
      <c r="B3164" t="s">
        <v>336</v>
      </c>
      <c r="C3164" t="s">
        <v>495</v>
      </c>
      <c r="D3164" s="2" t="s">
        <v>363</v>
      </c>
      <c r="E3164" t="s">
        <v>324</v>
      </c>
      <c r="F3164" s="11">
        <v>44874</v>
      </c>
      <c r="G3164" s="2">
        <f>VLOOKUP(E3164,Produtos!$A:$E,5,FALSE)</f>
        <v>2600</v>
      </c>
      <c r="H3164" s="2">
        <f>VLOOKUP(E3164,Produtos!$A:$E,4,FALSE)</f>
        <v>2000</v>
      </c>
      <c r="I3164" s="2">
        <v>2</v>
      </c>
    </row>
    <row r="3165" spans="1:9" x14ac:dyDescent="0.25">
      <c r="A3165" s="2" t="str">
        <f>CONCATENATE(Códigos!S3164,Códigos!T3164,Códigos!U3164)</f>
        <v>svv3163v</v>
      </c>
      <c r="B3165" t="s">
        <v>336</v>
      </c>
      <c r="C3165" t="s">
        <v>495</v>
      </c>
      <c r="D3165" s="2" t="s">
        <v>363</v>
      </c>
      <c r="E3165" t="s">
        <v>324</v>
      </c>
      <c r="F3165" s="11">
        <v>44875</v>
      </c>
      <c r="G3165" s="2">
        <f>VLOOKUP(E3165,Produtos!$A:$E,5,FALSE)</f>
        <v>2600</v>
      </c>
      <c r="H3165" s="2">
        <f>VLOOKUP(E3165,Produtos!$A:$E,4,FALSE)</f>
        <v>2000</v>
      </c>
      <c r="I3165" s="2">
        <v>2</v>
      </c>
    </row>
    <row r="3166" spans="1:9" x14ac:dyDescent="0.25">
      <c r="A3166" s="2" t="str">
        <f>CONCATENATE(Códigos!S3165,Códigos!T3165,Códigos!U3165)</f>
        <v>svv3164v</v>
      </c>
      <c r="B3166" t="s">
        <v>336</v>
      </c>
      <c r="C3166" t="s">
        <v>495</v>
      </c>
      <c r="D3166" s="2" t="s">
        <v>363</v>
      </c>
      <c r="E3166" t="s">
        <v>324</v>
      </c>
      <c r="F3166" s="11">
        <v>44876</v>
      </c>
      <c r="G3166" s="2">
        <f>VLOOKUP(E3166,Produtos!$A:$E,5,FALSE)</f>
        <v>2600</v>
      </c>
      <c r="H3166" s="2">
        <f>VLOOKUP(E3166,Produtos!$A:$E,4,FALSE)</f>
        <v>2000</v>
      </c>
      <c r="I3166" s="2">
        <v>2</v>
      </c>
    </row>
    <row r="3167" spans="1:9" x14ac:dyDescent="0.25">
      <c r="A3167" s="2" t="str">
        <f>CONCATENATE(Códigos!S3166,Códigos!T3166,Códigos!U3166)</f>
        <v>svv3165v</v>
      </c>
      <c r="B3167" t="s">
        <v>336</v>
      </c>
      <c r="C3167" t="s">
        <v>495</v>
      </c>
      <c r="D3167" s="2" t="s">
        <v>363</v>
      </c>
      <c r="E3167" t="s">
        <v>324</v>
      </c>
      <c r="F3167" s="11">
        <v>44877</v>
      </c>
      <c r="G3167" s="2">
        <f>VLOOKUP(E3167,Produtos!$A:$E,5,FALSE)</f>
        <v>2600</v>
      </c>
      <c r="H3167" s="2">
        <f>VLOOKUP(E3167,Produtos!$A:$E,4,FALSE)</f>
        <v>2000</v>
      </c>
      <c r="I3167" s="2">
        <v>2</v>
      </c>
    </row>
    <row r="3168" spans="1:9" x14ac:dyDescent="0.25">
      <c r="A3168" s="2" t="str">
        <f>CONCATENATE(Códigos!S3167,Códigos!T3167,Códigos!U3167)</f>
        <v>svv3166v</v>
      </c>
      <c r="B3168" t="s">
        <v>336</v>
      </c>
      <c r="C3168" t="s">
        <v>495</v>
      </c>
      <c r="D3168" s="2" t="s">
        <v>363</v>
      </c>
      <c r="E3168" t="s">
        <v>324</v>
      </c>
      <c r="F3168" s="11">
        <v>44878</v>
      </c>
      <c r="G3168" s="2">
        <f>VLOOKUP(E3168,Produtos!$A:$E,5,FALSE)</f>
        <v>2600</v>
      </c>
      <c r="H3168" s="2">
        <f>VLOOKUP(E3168,Produtos!$A:$E,4,FALSE)</f>
        <v>2000</v>
      </c>
      <c r="I3168" s="2">
        <v>2</v>
      </c>
    </row>
    <row r="3169" spans="1:9" x14ac:dyDescent="0.25">
      <c r="A3169" s="2" t="str">
        <f>CONCATENATE(Códigos!S3168,Códigos!T3168,Códigos!U3168)</f>
        <v>svv3167v</v>
      </c>
      <c r="B3169" t="s">
        <v>336</v>
      </c>
      <c r="C3169" t="s">
        <v>495</v>
      </c>
      <c r="D3169" s="2" t="s">
        <v>363</v>
      </c>
      <c r="E3169" t="s">
        <v>324</v>
      </c>
      <c r="F3169" s="11">
        <v>44879</v>
      </c>
      <c r="G3169" s="2">
        <f>VLOOKUP(E3169,Produtos!$A:$E,5,FALSE)</f>
        <v>2600</v>
      </c>
      <c r="H3169" s="2">
        <f>VLOOKUP(E3169,Produtos!$A:$E,4,FALSE)</f>
        <v>2000</v>
      </c>
      <c r="I3169" s="2">
        <v>2</v>
      </c>
    </row>
    <row r="3170" spans="1:9" x14ac:dyDescent="0.25">
      <c r="A3170" s="2" t="str">
        <f>CONCATENATE(Códigos!S3169,Códigos!T3169,Códigos!U3169)</f>
        <v>svv3168v</v>
      </c>
      <c r="B3170" t="s">
        <v>336</v>
      </c>
      <c r="C3170" t="s">
        <v>495</v>
      </c>
      <c r="D3170" s="2" t="s">
        <v>363</v>
      </c>
      <c r="E3170" t="s">
        <v>324</v>
      </c>
      <c r="F3170" s="11">
        <v>44880</v>
      </c>
      <c r="G3170" s="2">
        <f>VLOOKUP(E3170,Produtos!$A:$E,5,FALSE)</f>
        <v>2600</v>
      </c>
      <c r="H3170" s="2">
        <f>VLOOKUP(E3170,Produtos!$A:$E,4,FALSE)</f>
        <v>2000</v>
      </c>
      <c r="I3170" s="2">
        <v>2</v>
      </c>
    </row>
    <row r="3171" spans="1:9" x14ac:dyDescent="0.25">
      <c r="A3171" s="2" t="str">
        <f>CONCATENATE(Códigos!S3170,Códigos!T3170,Códigos!U3170)</f>
        <v>svv3169v</v>
      </c>
      <c r="B3171" t="s">
        <v>336</v>
      </c>
      <c r="C3171" t="s">
        <v>495</v>
      </c>
      <c r="D3171" s="2" t="s">
        <v>363</v>
      </c>
      <c r="E3171" t="s">
        <v>324</v>
      </c>
      <c r="F3171" s="11">
        <v>44881</v>
      </c>
      <c r="G3171" s="2">
        <f>VLOOKUP(E3171,Produtos!$A:$E,5,FALSE)</f>
        <v>2600</v>
      </c>
      <c r="H3171" s="2">
        <f>VLOOKUP(E3171,Produtos!$A:$E,4,FALSE)</f>
        <v>2000</v>
      </c>
      <c r="I3171" s="2">
        <v>2</v>
      </c>
    </row>
    <row r="3172" spans="1:9" x14ac:dyDescent="0.25">
      <c r="A3172" s="2" t="str">
        <f>CONCATENATE(Códigos!S3171,Códigos!T3171,Códigos!U3171)</f>
        <v>svv3170v</v>
      </c>
      <c r="B3172" t="s">
        <v>336</v>
      </c>
      <c r="C3172" t="s">
        <v>495</v>
      </c>
      <c r="D3172" s="2" t="s">
        <v>363</v>
      </c>
      <c r="E3172" t="s">
        <v>324</v>
      </c>
      <c r="F3172" s="11">
        <v>44882</v>
      </c>
      <c r="G3172" s="2">
        <f>VLOOKUP(E3172,Produtos!$A:$E,5,FALSE)</f>
        <v>2600</v>
      </c>
      <c r="H3172" s="2">
        <f>VLOOKUP(E3172,Produtos!$A:$E,4,FALSE)</f>
        <v>2000</v>
      </c>
      <c r="I3172" s="2">
        <v>2</v>
      </c>
    </row>
    <row r="3173" spans="1:9" x14ac:dyDescent="0.25">
      <c r="A3173" s="2" t="str">
        <f>CONCATENATE(Códigos!S3172,Códigos!T3172,Códigos!U3172)</f>
        <v>svv3171v</v>
      </c>
      <c r="B3173" t="s">
        <v>336</v>
      </c>
      <c r="C3173" t="s">
        <v>495</v>
      </c>
      <c r="D3173" s="2" t="s">
        <v>363</v>
      </c>
      <c r="E3173" t="s">
        <v>324</v>
      </c>
      <c r="F3173" s="11">
        <v>44883</v>
      </c>
      <c r="G3173" s="2">
        <f>VLOOKUP(E3173,Produtos!$A:$E,5,FALSE)</f>
        <v>2600</v>
      </c>
      <c r="H3173" s="2">
        <f>VLOOKUP(E3173,Produtos!$A:$E,4,FALSE)</f>
        <v>2000</v>
      </c>
      <c r="I3173" s="2">
        <v>2</v>
      </c>
    </row>
    <row r="3174" spans="1:9" x14ac:dyDescent="0.25">
      <c r="A3174" s="2" t="str">
        <f>CONCATENATE(Códigos!S3173,Códigos!T3173,Códigos!U3173)</f>
        <v>svv3172v</v>
      </c>
      <c r="B3174" t="s">
        <v>336</v>
      </c>
      <c r="C3174" t="s">
        <v>495</v>
      </c>
      <c r="D3174" s="2" t="s">
        <v>363</v>
      </c>
      <c r="E3174" t="s">
        <v>324</v>
      </c>
      <c r="F3174" s="11">
        <v>44884</v>
      </c>
      <c r="G3174" s="2">
        <f>VLOOKUP(E3174,Produtos!$A:$E,5,FALSE)</f>
        <v>2600</v>
      </c>
      <c r="H3174" s="2">
        <f>VLOOKUP(E3174,Produtos!$A:$E,4,FALSE)</f>
        <v>2000</v>
      </c>
      <c r="I3174" s="2">
        <v>2</v>
      </c>
    </row>
    <row r="3175" spans="1:9" x14ac:dyDescent="0.25">
      <c r="A3175" s="2" t="str">
        <f>CONCATENATE(Códigos!S3174,Códigos!T3174,Códigos!U3174)</f>
        <v>svv3173v</v>
      </c>
      <c r="B3175" t="s">
        <v>336</v>
      </c>
      <c r="C3175" t="s">
        <v>495</v>
      </c>
      <c r="D3175" s="2" t="s">
        <v>363</v>
      </c>
      <c r="E3175" t="s">
        <v>324</v>
      </c>
      <c r="F3175" s="11">
        <v>44885</v>
      </c>
      <c r="G3175" s="2">
        <f>VLOOKUP(E3175,Produtos!$A:$E,5,FALSE)</f>
        <v>2600</v>
      </c>
      <c r="H3175" s="2">
        <f>VLOOKUP(E3175,Produtos!$A:$E,4,FALSE)</f>
        <v>2000</v>
      </c>
      <c r="I3175" s="2">
        <v>2</v>
      </c>
    </row>
    <row r="3176" spans="1:9" x14ac:dyDescent="0.25">
      <c r="A3176" s="2" t="str">
        <f>CONCATENATE(Códigos!S3175,Códigos!T3175,Códigos!U3175)</f>
        <v>svv3174v</v>
      </c>
      <c r="B3176" t="s">
        <v>336</v>
      </c>
      <c r="C3176" t="s">
        <v>495</v>
      </c>
      <c r="D3176" s="2" t="s">
        <v>363</v>
      </c>
      <c r="E3176" t="s">
        <v>324</v>
      </c>
      <c r="F3176" s="11">
        <v>44886</v>
      </c>
      <c r="G3176" s="2">
        <f>VLOOKUP(E3176,Produtos!$A:$E,5,FALSE)</f>
        <v>2600</v>
      </c>
      <c r="H3176" s="2">
        <f>VLOOKUP(E3176,Produtos!$A:$E,4,FALSE)</f>
        <v>2000</v>
      </c>
      <c r="I3176" s="2">
        <v>2</v>
      </c>
    </row>
    <row r="3177" spans="1:9" x14ac:dyDescent="0.25">
      <c r="A3177" s="2" t="str">
        <f>CONCATENATE(Códigos!S3176,Códigos!T3176,Códigos!U3176)</f>
        <v>svv3175v</v>
      </c>
      <c r="B3177" t="s">
        <v>336</v>
      </c>
      <c r="C3177" t="s">
        <v>495</v>
      </c>
      <c r="D3177" s="2" t="s">
        <v>363</v>
      </c>
      <c r="E3177" t="s">
        <v>324</v>
      </c>
      <c r="F3177" s="11">
        <v>44887</v>
      </c>
      <c r="G3177" s="2">
        <f>VLOOKUP(E3177,Produtos!$A:$E,5,FALSE)</f>
        <v>2600</v>
      </c>
      <c r="H3177" s="2">
        <f>VLOOKUP(E3177,Produtos!$A:$E,4,FALSE)</f>
        <v>2000</v>
      </c>
      <c r="I3177" s="2">
        <v>2</v>
      </c>
    </row>
    <row r="3178" spans="1:9" x14ac:dyDescent="0.25">
      <c r="A3178" s="2" t="str">
        <f>CONCATENATE(Códigos!S3177,Códigos!T3177,Códigos!U3177)</f>
        <v>svv3176v</v>
      </c>
      <c r="B3178" t="s">
        <v>336</v>
      </c>
      <c r="C3178" t="s">
        <v>440</v>
      </c>
      <c r="D3178" s="2" t="s">
        <v>404</v>
      </c>
      <c r="E3178" t="s">
        <v>324</v>
      </c>
      <c r="F3178" s="11">
        <v>44888</v>
      </c>
      <c r="G3178" s="2">
        <f>VLOOKUP(E3178,Produtos!$A:$E,5,FALSE)</f>
        <v>2600</v>
      </c>
      <c r="H3178" s="2">
        <f>VLOOKUP(E3178,Produtos!$A:$E,4,FALSE)</f>
        <v>2000</v>
      </c>
      <c r="I3178" s="2">
        <v>2</v>
      </c>
    </row>
    <row r="3179" spans="1:9" x14ac:dyDescent="0.25">
      <c r="A3179" s="2" t="str">
        <f>CONCATENATE(Códigos!S3178,Códigos!T3178,Códigos!U3178)</f>
        <v>svv3177v</v>
      </c>
      <c r="B3179" t="s">
        <v>336</v>
      </c>
      <c r="C3179" t="s">
        <v>440</v>
      </c>
      <c r="D3179" s="2" t="s">
        <v>404</v>
      </c>
      <c r="E3179" t="s">
        <v>324</v>
      </c>
      <c r="F3179" s="11">
        <v>44889</v>
      </c>
      <c r="G3179" s="2">
        <f>VLOOKUP(E3179,Produtos!$A:$E,5,FALSE)</f>
        <v>2600</v>
      </c>
      <c r="H3179" s="2">
        <f>VLOOKUP(E3179,Produtos!$A:$E,4,FALSE)</f>
        <v>2000</v>
      </c>
      <c r="I3179" s="2">
        <v>2</v>
      </c>
    </row>
    <row r="3180" spans="1:9" x14ac:dyDescent="0.25">
      <c r="A3180" s="2" t="str">
        <f>CONCATENATE(Códigos!S3179,Códigos!T3179,Códigos!U3179)</f>
        <v>svv3178v</v>
      </c>
      <c r="B3180" t="s">
        <v>336</v>
      </c>
      <c r="C3180" t="s">
        <v>440</v>
      </c>
      <c r="D3180" s="2" t="s">
        <v>404</v>
      </c>
      <c r="E3180" t="s">
        <v>326</v>
      </c>
      <c r="F3180" s="11">
        <v>44890</v>
      </c>
      <c r="G3180" s="2">
        <f>VLOOKUP(E3180,Produtos!$A:$E,5,FALSE)</f>
        <v>3300</v>
      </c>
      <c r="H3180" s="2">
        <f>VLOOKUP(E3180,Produtos!$A:$E,4,FALSE)</f>
        <v>2500</v>
      </c>
      <c r="I3180" s="2">
        <v>2</v>
      </c>
    </row>
    <row r="3181" spans="1:9" x14ac:dyDescent="0.25">
      <c r="A3181" s="2" t="str">
        <f>CONCATENATE(Códigos!S3180,Códigos!T3180,Códigos!U3180)</f>
        <v>svv3179v</v>
      </c>
      <c r="B3181" t="s">
        <v>336</v>
      </c>
      <c r="C3181" t="s">
        <v>440</v>
      </c>
      <c r="D3181" s="2" t="s">
        <v>404</v>
      </c>
      <c r="E3181" t="s">
        <v>326</v>
      </c>
      <c r="F3181" s="11">
        <v>44891</v>
      </c>
      <c r="G3181" s="2">
        <f>VLOOKUP(E3181,Produtos!$A:$E,5,FALSE)</f>
        <v>3300</v>
      </c>
      <c r="H3181" s="2">
        <f>VLOOKUP(E3181,Produtos!$A:$E,4,FALSE)</f>
        <v>2500</v>
      </c>
      <c r="I3181" s="2">
        <v>2</v>
      </c>
    </row>
    <row r="3182" spans="1:9" x14ac:dyDescent="0.25">
      <c r="A3182" s="2" t="str">
        <f>CONCATENATE(Códigos!S3181,Códigos!T3181,Códigos!U3181)</f>
        <v>svv3180v</v>
      </c>
      <c r="B3182" t="s">
        <v>336</v>
      </c>
      <c r="C3182" t="s">
        <v>440</v>
      </c>
      <c r="D3182" s="2" t="s">
        <v>404</v>
      </c>
      <c r="E3182" t="s">
        <v>326</v>
      </c>
      <c r="F3182" s="11">
        <v>44892</v>
      </c>
      <c r="G3182" s="2">
        <f>VLOOKUP(E3182,Produtos!$A:$E,5,FALSE)</f>
        <v>3300</v>
      </c>
      <c r="H3182" s="2">
        <f>VLOOKUP(E3182,Produtos!$A:$E,4,FALSE)</f>
        <v>2500</v>
      </c>
      <c r="I3182" s="2">
        <v>2</v>
      </c>
    </row>
    <row r="3183" spans="1:9" x14ac:dyDescent="0.25">
      <c r="A3183" s="2" t="str">
        <f>CONCATENATE(Códigos!S3182,Códigos!T3182,Códigos!U3182)</f>
        <v>svv3181v</v>
      </c>
      <c r="B3183" t="s">
        <v>336</v>
      </c>
      <c r="C3183" t="s">
        <v>440</v>
      </c>
      <c r="D3183" s="2" t="s">
        <v>404</v>
      </c>
      <c r="E3183" t="s">
        <v>326</v>
      </c>
      <c r="F3183" s="11">
        <v>44893</v>
      </c>
      <c r="G3183" s="2">
        <f>VLOOKUP(E3183,Produtos!$A:$E,5,FALSE)</f>
        <v>3300</v>
      </c>
      <c r="H3183" s="2">
        <f>VLOOKUP(E3183,Produtos!$A:$E,4,FALSE)</f>
        <v>2500</v>
      </c>
      <c r="I3183" s="2">
        <v>2</v>
      </c>
    </row>
    <row r="3184" spans="1:9" x14ac:dyDescent="0.25">
      <c r="A3184" s="2" t="str">
        <f>CONCATENATE(Códigos!S3183,Códigos!T3183,Códigos!U3183)</f>
        <v>svv3182v</v>
      </c>
      <c r="B3184" t="s">
        <v>336</v>
      </c>
      <c r="C3184" t="s">
        <v>440</v>
      </c>
      <c r="D3184" s="2" t="s">
        <v>404</v>
      </c>
      <c r="E3184" t="s">
        <v>326</v>
      </c>
      <c r="F3184" s="11">
        <v>44894</v>
      </c>
      <c r="G3184" s="2">
        <f>VLOOKUP(E3184,Produtos!$A:$E,5,FALSE)</f>
        <v>3300</v>
      </c>
      <c r="H3184" s="2">
        <f>VLOOKUP(E3184,Produtos!$A:$E,4,FALSE)</f>
        <v>2500</v>
      </c>
      <c r="I3184" s="2">
        <v>2</v>
      </c>
    </row>
    <row r="3185" spans="1:9" x14ac:dyDescent="0.25">
      <c r="A3185" s="2" t="str">
        <f>CONCATENATE(Códigos!S3184,Códigos!T3184,Códigos!U3184)</f>
        <v>svv3183v</v>
      </c>
      <c r="B3185" t="s">
        <v>336</v>
      </c>
      <c r="C3185" t="s">
        <v>440</v>
      </c>
      <c r="D3185" s="2" t="s">
        <v>404</v>
      </c>
      <c r="E3185" t="s">
        <v>326</v>
      </c>
      <c r="F3185" s="11">
        <v>44895</v>
      </c>
      <c r="G3185" s="2">
        <f>VLOOKUP(E3185,Produtos!$A:$E,5,FALSE)</f>
        <v>3300</v>
      </c>
      <c r="H3185" s="2">
        <f>VLOOKUP(E3185,Produtos!$A:$E,4,FALSE)</f>
        <v>2500</v>
      </c>
      <c r="I3185" s="2">
        <v>2</v>
      </c>
    </row>
    <row r="3186" spans="1:9" x14ac:dyDescent="0.25">
      <c r="A3186" s="2" t="str">
        <f>CONCATENATE(Códigos!S3185,Códigos!T3185,Códigos!U3185)</f>
        <v>svv3184v</v>
      </c>
      <c r="B3186" t="s">
        <v>336</v>
      </c>
      <c r="C3186" t="s">
        <v>440</v>
      </c>
      <c r="D3186" s="2" t="s">
        <v>404</v>
      </c>
      <c r="E3186" t="s">
        <v>326</v>
      </c>
      <c r="F3186" s="11">
        <v>44896</v>
      </c>
      <c r="G3186" s="2">
        <f>VLOOKUP(E3186,Produtos!$A:$E,5,FALSE)</f>
        <v>3300</v>
      </c>
      <c r="H3186" s="2">
        <f>VLOOKUP(E3186,Produtos!$A:$E,4,FALSE)</f>
        <v>2500</v>
      </c>
      <c r="I3186" s="2">
        <v>2</v>
      </c>
    </row>
    <row r="3187" spans="1:9" x14ac:dyDescent="0.25">
      <c r="A3187" s="2" t="str">
        <f>CONCATENATE(Códigos!S3186,Códigos!T3186,Códigos!U3186)</f>
        <v>svv3185v</v>
      </c>
      <c r="B3187" t="s">
        <v>336</v>
      </c>
      <c r="C3187" t="s">
        <v>440</v>
      </c>
      <c r="D3187" s="2" t="s">
        <v>404</v>
      </c>
      <c r="E3187" t="s">
        <v>326</v>
      </c>
      <c r="F3187" s="11">
        <v>44897</v>
      </c>
      <c r="G3187" s="2">
        <f>VLOOKUP(E3187,Produtos!$A:$E,5,FALSE)</f>
        <v>3300</v>
      </c>
      <c r="H3187" s="2">
        <f>VLOOKUP(E3187,Produtos!$A:$E,4,FALSE)</f>
        <v>2500</v>
      </c>
      <c r="I3187" s="2">
        <v>2</v>
      </c>
    </row>
    <row r="3188" spans="1:9" x14ac:dyDescent="0.25">
      <c r="A3188" s="2" t="str">
        <f>CONCATENATE(Códigos!S3187,Códigos!T3187,Códigos!U3187)</f>
        <v>svv3186v</v>
      </c>
      <c r="B3188" t="s">
        <v>336</v>
      </c>
      <c r="C3188" t="s">
        <v>440</v>
      </c>
      <c r="D3188" s="2" t="s">
        <v>404</v>
      </c>
      <c r="E3188" t="s">
        <v>326</v>
      </c>
      <c r="F3188" s="11">
        <v>44898</v>
      </c>
      <c r="G3188" s="2">
        <f>VLOOKUP(E3188,Produtos!$A:$E,5,FALSE)</f>
        <v>3300</v>
      </c>
      <c r="H3188" s="2">
        <f>VLOOKUP(E3188,Produtos!$A:$E,4,FALSE)</f>
        <v>2500</v>
      </c>
      <c r="I3188" s="2">
        <v>2</v>
      </c>
    </row>
    <row r="3189" spans="1:9" x14ac:dyDescent="0.25">
      <c r="A3189" s="2" t="str">
        <f>CONCATENATE(Códigos!S3188,Códigos!T3188,Códigos!U3188)</f>
        <v>svv3187v</v>
      </c>
      <c r="B3189" t="s">
        <v>336</v>
      </c>
      <c r="C3189" t="s">
        <v>440</v>
      </c>
      <c r="D3189" s="2" t="s">
        <v>404</v>
      </c>
      <c r="E3189" t="s">
        <v>326</v>
      </c>
      <c r="F3189" s="11">
        <v>44899</v>
      </c>
      <c r="G3189" s="2">
        <f>VLOOKUP(E3189,Produtos!$A:$E,5,FALSE)</f>
        <v>3300</v>
      </c>
      <c r="H3189" s="2">
        <f>VLOOKUP(E3189,Produtos!$A:$E,4,FALSE)</f>
        <v>2500</v>
      </c>
      <c r="I3189" s="2">
        <v>2</v>
      </c>
    </row>
    <row r="3190" spans="1:9" x14ac:dyDescent="0.25">
      <c r="A3190" s="2" t="str">
        <f>CONCATENATE(Códigos!S3189,Códigos!T3189,Códigos!U3189)</f>
        <v>svv3188v</v>
      </c>
      <c r="B3190" t="s">
        <v>336</v>
      </c>
      <c r="C3190" t="s">
        <v>440</v>
      </c>
      <c r="D3190" s="2" t="s">
        <v>404</v>
      </c>
      <c r="E3190" t="s">
        <v>326</v>
      </c>
      <c r="F3190" s="11">
        <v>44900</v>
      </c>
      <c r="G3190" s="2">
        <f>VLOOKUP(E3190,Produtos!$A:$E,5,FALSE)</f>
        <v>3300</v>
      </c>
      <c r="H3190" s="2">
        <f>VLOOKUP(E3190,Produtos!$A:$E,4,FALSE)</f>
        <v>2500</v>
      </c>
      <c r="I3190" s="2">
        <v>2</v>
      </c>
    </row>
    <row r="3191" spans="1:9" x14ac:dyDescent="0.25">
      <c r="A3191" s="2" t="str">
        <f>CONCATENATE(Códigos!S3190,Códigos!T3190,Códigos!U3190)</f>
        <v>svv3189v</v>
      </c>
      <c r="B3191" t="s">
        <v>336</v>
      </c>
      <c r="C3191" t="s">
        <v>440</v>
      </c>
      <c r="D3191" s="2" t="s">
        <v>404</v>
      </c>
      <c r="E3191" t="s">
        <v>326</v>
      </c>
      <c r="F3191" s="11">
        <v>44901</v>
      </c>
      <c r="G3191" s="2">
        <f>VLOOKUP(E3191,Produtos!$A:$E,5,FALSE)</f>
        <v>3300</v>
      </c>
      <c r="H3191" s="2">
        <f>VLOOKUP(E3191,Produtos!$A:$E,4,FALSE)</f>
        <v>2500</v>
      </c>
      <c r="I3191" s="2">
        <v>2</v>
      </c>
    </row>
    <row r="3192" spans="1:9" x14ac:dyDescent="0.25">
      <c r="A3192" s="2" t="str">
        <f>CONCATENATE(Códigos!S3191,Códigos!T3191,Códigos!U3191)</f>
        <v>svv3190v</v>
      </c>
      <c r="B3192" t="s">
        <v>336</v>
      </c>
      <c r="C3192" t="s">
        <v>440</v>
      </c>
      <c r="D3192" s="2" t="s">
        <v>404</v>
      </c>
      <c r="E3192" t="s">
        <v>326</v>
      </c>
      <c r="F3192" s="11">
        <v>44902</v>
      </c>
      <c r="G3192" s="2">
        <f>VLOOKUP(E3192,Produtos!$A:$E,5,FALSE)</f>
        <v>3300</v>
      </c>
      <c r="H3192" s="2">
        <f>VLOOKUP(E3192,Produtos!$A:$E,4,FALSE)</f>
        <v>2500</v>
      </c>
      <c r="I3192" s="2">
        <v>2</v>
      </c>
    </row>
    <row r="3193" spans="1:9" x14ac:dyDescent="0.25">
      <c r="A3193" s="2" t="str">
        <f>CONCATENATE(Códigos!S3192,Códigos!T3192,Códigos!U3192)</f>
        <v>svv3191v</v>
      </c>
      <c r="B3193" t="s">
        <v>336</v>
      </c>
      <c r="C3193" t="s">
        <v>440</v>
      </c>
      <c r="D3193" s="2" t="s">
        <v>404</v>
      </c>
      <c r="E3193" t="s">
        <v>326</v>
      </c>
      <c r="F3193" s="11">
        <v>44903</v>
      </c>
      <c r="G3193" s="2">
        <f>VLOOKUP(E3193,Produtos!$A:$E,5,FALSE)</f>
        <v>3300</v>
      </c>
      <c r="H3193" s="2">
        <f>VLOOKUP(E3193,Produtos!$A:$E,4,FALSE)</f>
        <v>2500</v>
      </c>
      <c r="I3193" s="2">
        <v>2</v>
      </c>
    </row>
    <row r="3194" spans="1:9" x14ac:dyDescent="0.25">
      <c r="A3194" s="2" t="str">
        <f>CONCATENATE(Códigos!S3193,Códigos!T3193,Códigos!U3193)</f>
        <v>svv3192v</v>
      </c>
      <c r="B3194" t="s">
        <v>336</v>
      </c>
      <c r="C3194" t="s">
        <v>440</v>
      </c>
      <c r="D3194" s="2" t="s">
        <v>404</v>
      </c>
      <c r="E3194" t="s">
        <v>326</v>
      </c>
      <c r="F3194" s="11">
        <v>44904</v>
      </c>
      <c r="G3194" s="2">
        <f>VLOOKUP(E3194,Produtos!$A:$E,5,FALSE)</f>
        <v>3300</v>
      </c>
      <c r="H3194" s="2">
        <f>VLOOKUP(E3194,Produtos!$A:$E,4,FALSE)</f>
        <v>2500</v>
      </c>
      <c r="I3194" s="2">
        <v>2</v>
      </c>
    </row>
    <row r="3195" spans="1:9" x14ac:dyDescent="0.25">
      <c r="A3195" s="2" t="str">
        <f>CONCATENATE(Códigos!S3194,Códigos!T3194,Códigos!U3194)</f>
        <v>svv3193v</v>
      </c>
      <c r="B3195" t="s">
        <v>336</v>
      </c>
      <c r="C3195" t="s">
        <v>440</v>
      </c>
      <c r="D3195" s="2" t="s">
        <v>404</v>
      </c>
      <c r="E3195" t="s">
        <v>326</v>
      </c>
      <c r="F3195" s="11">
        <v>44905</v>
      </c>
      <c r="G3195" s="2">
        <f>VLOOKUP(E3195,Produtos!$A:$E,5,FALSE)</f>
        <v>3300</v>
      </c>
      <c r="H3195" s="2">
        <f>VLOOKUP(E3195,Produtos!$A:$E,4,FALSE)</f>
        <v>2500</v>
      </c>
      <c r="I3195" s="2">
        <v>2</v>
      </c>
    </row>
    <row r="3196" spans="1:9" x14ac:dyDescent="0.25">
      <c r="A3196" s="2" t="str">
        <f>CONCATENATE(Códigos!S3195,Códigos!T3195,Códigos!U3195)</f>
        <v>svv3194v</v>
      </c>
      <c r="B3196" t="s">
        <v>336</v>
      </c>
      <c r="C3196" t="s">
        <v>440</v>
      </c>
      <c r="D3196" s="2" t="s">
        <v>404</v>
      </c>
      <c r="E3196" t="s">
        <v>326</v>
      </c>
      <c r="F3196" s="11">
        <v>44906</v>
      </c>
      <c r="G3196" s="2">
        <f>VLOOKUP(E3196,Produtos!$A:$E,5,FALSE)</f>
        <v>3300</v>
      </c>
      <c r="H3196" s="2">
        <f>VLOOKUP(E3196,Produtos!$A:$E,4,FALSE)</f>
        <v>2500</v>
      </c>
      <c r="I3196" s="2">
        <v>2</v>
      </c>
    </row>
    <row r="3197" spans="1:9" x14ac:dyDescent="0.25">
      <c r="A3197" s="2" t="str">
        <f>CONCATENATE(Códigos!S3196,Códigos!T3196,Códigos!U3196)</f>
        <v>svv3195v</v>
      </c>
      <c r="B3197" t="s">
        <v>336</v>
      </c>
      <c r="C3197" t="s">
        <v>440</v>
      </c>
      <c r="D3197" s="2" t="s">
        <v>404</v>
      </c>
      <c r="E3197" t="s">
        <v>326</v>
      </c>
      <c r="F3197" s="11">
        <v>44907</v>
      </c>
      <c r="G3197" s="2">
        <f>VLOOKUP(E3197,Produtos!$A:$E,5,FALSE)</f>
        <v>3300</v>
      </c>
      <c r="H3197" s="2">
        <f>VLOOKUP(E3197,Produtos!$A:$E,4,FALSE)</f>
        <v>2500</v>
      </c>
      <c r="I3197" s="2">
        <v>2</v>
      </c>
    </row>
    <row r="3198" spans="1:9" x14ac:dyDescent="0.25">
      <c r="A3198" s="2" t="str">
        <f>CONCATENATE(Códigos!S3197,Códigos!T3197,Códigos!U3197)</f>
        <v>svv3196v</v>
      </c>
      <c r="B3198" t="s">
        <v>336</v>
      </c>
      <c r="C3198" t="s">
        <v>440</v>
      </c>
      <c r="D3198" s="2" t="s">
        <v>404</v>
      </c>
      <c r="E3198" t="s">
        <v>326</v>
      </c>
      <c r="F3198" s="11">
        <v>44908</v>
      </c>
      <c r="G3198" s="2">
        <f>VLOOKUP(E3198,Produtos!$A:$E,5,FALSE)</f>
        <v>3300</v>
      </c>
      <c r="H3198" s="2">
        <f>VLOOKUP(E3198,Produtos!$A:$E,4,FALSE)</f>
        <v>2500</v>
      </c>
      <c r="I3198" s="2">
        <v>2</v>
      </c>
    </row>
    <row r="3199" spans="1:9" x14ac:dyDescent="0.25">
      <c r="A3199" s="2" t="str">
        <f>CONCATENATE(Códigos!S3198,Códigos!T3198,Códigos!U3198)</f>
        <v>svv3197v</v>
      </c>
      <c r="B3199" t="s">
        <v>336</v>
      </c>
      <c r="C3199" t="s">
        <v>440</v>
      </c>
      <c r="D3199" s="2" t="s">
        <v>404</v>
      </c>
      <c r="E3199" t="s">
        <v>326</v>
      </c>
      <c r="F3199" s="11">
        <v>44909</v>
      </c>
      <c r="G3199" s="2">
        <f>VLOOKUP(E3199,Produtos!$A:$E,5,FALSE)</f>
        <v>3300</v>
      </c>
      <c r="H3199" s="2">
        <f>VLOOKUP(E3199,Produtos!$A:$E,4,FALSE)</f>
        <v>2500</v>
      </c>
      <c r="I3199" s="2">
        <v>2</v>
      </c>
    </row>
    <row r="3200" spans="1:9" x14ac:dyDescent="0.25">
      <c r="A3200" s="2" t="str">
        <f>CONCATENATE(Códigos!S3199,Códigos!T3199,Códigos!U3199)</f>
        <v>svv3198v</v>
      </c>
      <c r="B3200" t="s">
        <v>336</v>
      </c>
      <c r="C3200" t="s">
        <v>440</v>
      </c>
      <c r="D3200" s="2" t="s">
        <v>404</v>
      </c>
      <c r="E3200" t="s">
        <v>326</v>
      </c>
      <c r="F3200" s="11">
        <v>44910</v>
      </c>
      <c r="G3200" s="2">
        <f>VLOOKUP(E3200,Produtos!$A:$E,5,FALSE)</f>
        <v>3300</v>
      </c>
      <c r="H3200" s="2">
        <f>VLOOKUP(E3200,Produtos!$A:$E,4,FALSE)</f>
        <v>2500</v>
      </c>
      <c r="I3200" s="2">
        <v>2</v>
      </c>
    </row>
    <row r="3201" spans="1:9" x14ac:dyDescent="0.25">
      <c r="A3201" s="2" t="str">
        <f>CONCATENATE(Códigos!S3200,Códigos!T3200,Códigos!U3200)</f>
        <v>svv3199v</v>
      </c>
      <c r="B3201" t="s">
        <v>336</v>
      </c>
      <c r="C3201" t="s">
        <v>493</v>
      </c>
      <c r="D3201" s="2" t="s">
        <v>494</v>
      </c>
      <c r="E3201" t="s">
        <v>326</v>
      </c>
      <c r="F3201" s="11">
        <v>44911</v>
      </c>
      <c r="G3201" s="2">
        <f>VLOOKUP(E3201,Produtos!$A:$E,5,FALSE)</f>
        <v>3300</v>
      </c>
      <c r="H3201" s="2">
        <f>VLOOKUP(E3201,Produtos!$A:$E,4,FALSE)</f>
        <v>2500</v>
      </c>
      <c r="I3201" s="2">
        <v>2</v>
      </c>
    </row>
    <row r="3202" spans="1:9" x14ac:dyDescent="0.25">
      <c r="A3202" s="2" t="str">
        <f>CONCATENATE(Códigos!S3201,Códigos!T3201,Códigos!U3201)</f>
        <v>svv3200v</v>
      </c>
      <c r="B3202" t="s">
        <v>336</v>
      </c>
      <c r="C3202" t="s">
        <v>493</v>
      </c>
      <c r="D3202" s="2" t="s">
        <v>494</v>
      </c>
      <c r="E3202" t="s">
        <v>326</v>
      </c>
      <c r="F3202" s="11">
        <v>44912</v>
      </c>
      <c r="G3202" s="2">
        <f>VLOOKUP(E3202,Produtos!$A:$E,5,FALSE)</f>
        <v>3300</v>
      </c>
      <c r="H3202" s="2">
        <f>VLOOKUP(E3202,Produtos!$A:$E,4,FALSE)</f>
        <v>2500</v>
      </c>
      <c r="I3202" s="2">
        <v>2</v>
      </c>
    </row>
    <row r="3203" spans="1:9" x14ac:dyDescent="0.25">
      <c r="A3203" s="2" t="str">
        <f>CONCATENATE(Códigos!S3202,Códigos!T3202,Códigos!U3202)</f>
        <v>svv3201v</v>
      </c>
      <c r="B3203" t="s">
        <v>336</v>
      </c>
      <c r="C3203" t="s">
        <v>493</v>
      </c>
      <c r="D3203" s="2" t="s">
        <v>494</v>
      </c>
      <c r="E3203" t="s">
        <v>326</v>
      </c>
      <c r="F3203" s="11">
        <v>44913</v>
      </c>
      <c r="G3203" s="2">
        <f>VLOOKUP(E3203,Produtos!$A:$E,5,FALSE)</f>
        <v>3300</v>
      </c>
      <c r="H3203" s="2">
        <f>VLOOKUP(E3203,Produtos!$A:$E,4,FALSE)</f>
        <v>2500</v>
      </c>
      <c r="I3203" s="2">
        <v>2</v>
      </c>
    </row>
    <row r="3204" spans="1:9" x14ac:dyDescent="0.25">
      <c r="A3204" s="2" t="str">
        <f>CONCATENATE(Códigos!S3203,Códigos!T3203,Códigos!U3203)</f>
        <v>svv3202v</v>
      </c>
      <c r="B3204" t="s">
        <v>336</v>
      </c>
      <c r="C3204" t="s">
        <v>493</v>
      </c>
      <c r="D3204" s="2" t="s">
        <v>494</v>
      </c>
      <c r="E3204" t="s">
        <v>326</v>
      </c>
      <c r="F3204" s="11">
        <v>44914</v>
      </c>
      <c r="G3204" s="2">
        <f>VLOOKUP(E3204,Produtos!$A:$E,5,FALSE)</f>
        <v>3300</v>
      </c>
      <c r="H3204" s="2">
        <f>VLOOKUP(E3204,Produtos!$A:$E,4,FALSE)</f>
        <v>2500</v>
      </c>
      <c r="I3204" s="2">
        <v>2</v>
      </c>
    </row>
    <row r="3205" spans="1:9" x14ac:dyDescent="0.25">
      <c r="A3205" s="2" t="str">
        <f>CONCATENATE(Códigos!S3204,Códigos!T3204,Códigos!U3204)</f>
        <v>svv3203v</v>
      </c>
      <c r="B3205" t="s">
        <v>336</v>
      </c>
      <c r="C3205" t="s">
        <v>493</v>
      </c>
      <c r="D3205" s="2" t="s">
        <v>494</v>
      </c>
      <c r="E3205" t="s">
        <v>326</v>
      </c>
      <c r="F3205" s="11">
        <v>44915</v>
      </c>
      <c r="G3205" s="2">
        <f>VLOOKUP(E3205,Produtos!$A:$E,5,FALSE)</f>
        <v>3300</v>
      </c>
      <c r="H3205" s="2">
        <f>VLOOKUP(E3205,Produtos!$A:$E,4,FALSE)</f>
        <v>2500</v>
      </c>
      <c r="I3205" s="2">
        <v>2</v>
      </c>
    </row>
    <row r="3206" spans="1:9" x14ac:dyDescent="0.25">
      <c r="A3206" s="2" t="str">
        <f>CONCATENATE(Códigos!S3205,Códigos!T3205,Códigos!U3205)</f>
        <v>svv3204v</v>
      </c>
      <c r="B3206" t="s">
        <v>336</v>
      </c>
      <c r="C3206" t="s">
        <v>493</v>
      </c>
      <c r="D3206" s="2" t="s">
        <v>494</v>
      </c>
      <c r="E3206" t="s">
        <v>326</v>
      </c>
      <c r="F3206" s="11">
        <v>44916</v>
      </c>
      <c r="G3206" s="2">
        <f>VLOOKUP(E3206,Produtos!$A:$E,5,FALSE)</f>
        <v>3300</v>
      </c>
      <c r="H3206" s="2">
        <f>VLOOKUP(E3206,Produtos!$A:$E,4,FALSE)</f>
        <v>2500</v>
      </c>
      <c r="I3206" s="2">
        <v>2</v>
      </c>
    </row>
    <row r="3207" spans="1:9" x14ac:dyDescent="0.25">
      <c r="A3207" s="2" t="str">
        <f>CONCATENATE(Códigos!S3206,Códigos!T3206,Códigos!U3206)</f>
        <v>svv3205v</v>
      </c>
      <c r="B3207" t="s">
        <v>336</v>
      </c>
      <c r="C3207" t="s">
        <v>493</v>
      </c>
      <c r="D3207" s="2" t="s">
        <v>494</v>
      </c>
      <c r="E3207" t="s">
        <v>326</v>
      </c>
      <c r="F3207" s="11">
        <v>44917</v>
      </c>
      <c r="G3207" s="2">
        <f>VLOOKUP(E3207,Produtos!$A:$E,5,FALSE)</f>
        <v>3300</v>
      </c>
      <c r="H3207" s="2">
        <f>VLOOKUP(E3207,Produtos!$A:$E,4,FALSE)</f>
        <v>2500</v>
      </c>
      <c r="I3207" s="2">
        <v>2</v>
      </c>
    </row>
    <row r="3208" spans="1:9" x14ac:dyDescent="0.25">
      <c r="A3208" s="2" t="str">
        <f>CONCATENATE(Códigos!S3207,Códigos!T3207,Códigos!U3207)</f>
        <v>svv3206v</v>
      </c>
      <c r="B3208" t="s">
        <v>336</v>
      </c>
      <c r="C3208" t="s">
        <v>441</v>
      </c>
      <c r="D3208" s="2" t="s">
        <v>398</v>
      </c>
      <c r="E3208" t="s">
        <v>382</v>
      </c>
      <c r="F3208" s="11">
        <v>44918</v>
      </c>
      <c r="G3208" s="2">
        <f>VLOOKUP(E3208,Produtos!$A:$E,5,FALSE)</f>
        <v>400</v>
      </c>
      <c r="H3208" s="2">
        <f>VLOOKUP(E3208,Produtos!$A:$E,4,FALSE)</f>
        <v>250</v>
      </c>
      <c r="I3208" s="2">
        <v>2</v>
      </c>
    </row>
    <row r="3209" spans="1:9" x14ac:dyDescent="0.25">
      <c r="A3209" s="2" t="str">
        <f>CONCATENATE(Códigos!S3208,Códigos!T3208,Códigos!U3208)</f>
        <v>svv3207v</v>
      </c>
      <c r="B3209" t="s">
        <v>336</v>
      </c>
      <c r="C3209" t="s">
        <v>441</v>
      </c>
      <c r="D3209" s="2" t="s">
        <v>398</v>
      </c>
      <c r="E3209" t="s">
        <v>382</v>
      </c>
      <c r="F3209" s="11">
        <v>44919</v>
      </c>
      <c r="G3209" s="2">
        <f>VLOOKUP(E3209,Produtos!$A:$E,5,FALSE)</f>
        <v>400</v>
      </c>
      <c r="H3209" s="2">
        <f>VLOOKUP(E3209,Produtos!$A:$E,4,FALSE)</f>
        <v>250</v>
      </c>
      <c r="I3209" s="2">
        <v>2</v>
      </c>
    </row>
    <row r="3210" spans="1:9" x14ac:dyDescent="0.25">
      <c r="A3210" s="2" t="str">
        <f>CONCATENATE(Códigos!S3209,Códigos!T3209,Códigos!U3209)</f>
        <v>svv3208v</v>
      </c>
      <c r="B3210" t="s">
        <v>336</v>
      </c>
      <c r="C3210" t="s">
        <v>441</v>
      </c>
      <c r="D3210" s="2" t="s">
        <v>398</v>
      </c>
      <c r="E3210" t="s">
        <v>382</v>
      </c>
      <c r="F3210" s="11">
        <v>44920</v>
      </c>
      <c r="G3210" s="2">
        <f>VLOOKUP(E3210,Produtos!$A:$E,5,FALSE)</f>
        <v>400</v>
      </c>
      <c r="H3210" s="2">
        <f>VLOOKUP(E3210,Produtos!$A:$E,4,FALSE)</f>
        <v>250</v>
      </c>
      <c r="I3210" s="2">
        <v>2</v>
      </c>
    </row>
    <row r="3211" spans="1:9" x14ac:dyDescent="0.25">
      <c r="A3211" s="2" t="str">
        <f>CONCATENATE(Códigos!S3210,Códigos!T3210,Códigos!U3210)</f>
        <v>svv3209v</v>
      </c>
      <c r="B3211" t="s">
        <v>336</v>
      </c>
      <c r="C3211" t="s">
        <v>441</v>
      </c>
      <c r="D3211" s="2" t="s">
        <v>398</v>
      </c>
      <c r="E3211" t="s">
        <v>382</v>
      </c>
      <c r="F3211" s="11">
        <v>44921</v>
      </c>
      <c r="G3211" s="2">
        <f>VLOOKUP(E3211,Produtos!$A:$E,5,FALSE)</f>
        <v>400</v>
      </c>
      <c r="H3211" s="2">
        <f>VLOOKUP(E3211,Produtos!$A:$E,4,FALSE)</f>
        <v>250</v>
      </c>
      <c r="I3211" s="2">
        <v>2</v>
      </c>
    </row>
    <row r="3212" spans="1:9" x14ac:dyDescent="0.25">
      <c r="A3212" s="2" t="str">
        <f>CONCATENATE(Códigos!S3211,Códigos!T3211,Códigos!U3211)</f>
        <v>svv3210v</v>
      </c>
      <c r="B3212" t="s">
        <v>336</v>
      </c>
      <c r="C3212" t="s">
        <v>441</v>
      </c>
      <c r="D3212" s="2" t="s">
        <v>398</v>
      </c>
      <c r="E3212" t="s">
        <v>382</v>
      </c>
      <c r="F3212" s="11">
        <v>44922</v>
      </c>
      <c r="G3212" s="2">
        <f>VLOOKUP(E3212,Produtos!$A:$E,5,FALSE)</f>
        <v>400</v>
      </c>
      <c r="H3212" s="2">
        <f>VLOOKUP(E3212,Produtos!$A:$E,4,FALSE)</f>
        <v>250</v>
      </c>
      <c r="I3212" s="2">
        <v>2</v>
      </c>
    </row>
    <row r="3213" spans="1:9" x14ac:dyDescent="0.25">
      <c r="A3213" s="2" t="str">
        <f>CONCATENATE(Códigos!S3212,Códigos!T3212,Códigos!U3212)</f>
        <v>svv3211v</v>
      </c>
      <c r="B3213" t="s">
        <v>336</v>
      </c>
      <c r="C3213" t="s">
        <v>441</v>
      </c>
      <c r="D3213" s="2" t="s">
        <v>398</v>
      </c>
      <c r="E3213" t="s">
        <v>382</v>
      </c>
      <c r="F3213" s="11">
        <v>44923</v>
      </c>
      <c r="G3213" s="2">
        <f>VLOOKUP(E3213,Produtos!$A:$E,5,FALSE)</f>
        <v>400</v>
      </c>
      <c r="H3213" s="2">
        <f>VLOOKUP(E3213,Produtos!$A:$E,4,FALSE)</f>
        <v>250</v>
      </c>
      <c r="I3213" s="2">
        <v>2</v>
      </c>
    </row>
    <row r="3214" spans="1:9" x14ac:dyDescent="0.25">
      <c r="A3214" s="2" t="str">
        <f>CONCATENATE(Códigos!S3213,Códigos!T3213,Códigos!U3213)</f>
        <v>svv3212v</v>
      </c>
      <c r="B3214" t="s">
        <v>336</v>
      </c>
      <c r="C3214" t="s">
        <v>441</v>
      </c>
      <c r="D3214" s="2" t="s">
        <v>398</v>
      </c>
      <c r="E3214" t="s">
        <v>382</v>
      </c>
      <c r="F3214" s="11">
        <v>44924</v>
      </c>
      <c r="G3214" s="2">
        <f>VLOOKUP(E3214,Produtos!$A:$E,5,FALSE)</f>
        <v>400</v>
      </c>
      <c r="H3214" s="2">
        <f>VLOOKUP(E3214,Produtos!$A:$E,4,FALSE)</f>
        <v>250</v>
      </c>
      <c r="I3214" s="2">
        <v>2</v>
      </c>
    </row>
    <row r="3215" spans="1:9" x14ac:dyDescent="0.25">
      <c r="A3215" s="2" t="str">
        <f>CONCATENATE(Códigos!S3214,Códigos!T3214,Códigos!U3214)</f>
        <v>svv3213v</v>
      </c>
      <c r="B3215" t="s">
        <v>336</v>
      </c>
      <c r="C3215" t="s">
        <v>441</v>
      </c>
      <c r="D3215" s="2" t="s">
        <v>398</v>
      </c>
      <c r="E3215" t="s">
        <v>382</v>
      </c>
      <c r="F3215" s="11">
        <v>44925</v>
      </c>
      <c r="G3215" s="2">
        <f>VLOOKUP(E3215,Produtos!$A:$E,5,FALSE)</f>
        <v>400</v>
      </c>
      <c r="H3215" s="2">
        <f>VLOOKUP(E3215,Produtos!$A:$E,4,FALSE)</f>
        <v>250</v>
      </c>
      <c r="I3215" s="2">
        <v>2</v>
      </c>
    </row>
    <row r="3216" spans="1:9" x14ac:dyDescent="0.25">
      <c r="A3216" s="2" t="str">
        <f>CONCATENATE(Códigos!S3215,Códigos!T3215,Códigos!U3215)</f>
        <v>svv3214v</v>
      </c>
      <c r="B3216" t="s">
        <v>336</v>
      </c>
      <c r="C3216" t="s">
        <v>441</v>
      </c>
      <c r="D3216" s="2" t="s">
        <v>398</v>
      </c>
      <c r="E3216" t="s">
        <v>382</v>
      </c>
      <c r="F3216" s="11">
        <v>44926</v>
      </c>
      <c r="G3216" s="2">
        <f>VLOOKUP(E3216,Produtos!$A:$E,5,FALSE)</f>
        <v>400</v>
      </c>
      <c r="H3216" s="2">
        <f>VLOOKUP(E3216,Produtos!$A:$E,4,FALSE)</f>
        <v>250</v>
      </c>
      <c r="I3216" s="2">
        <v>2</v>
      </c>
    </row>
    <row r="3217" spans="1:9" x14ac:dyDescent="0.25">
      <c r="A3217" s="2" t="str">
        <f>CONCATENATE(Códigos!S3216,Códigos!T3216,Códigos!U3216)</f>
        <v>svv3215v</v>
      </c>
      <c r="B3217" t="s">
        <v>336</v>
      </c>
      <c r="C3217" t="s">
        <v>441</v>
      </c>
      <c r="D3217" s="2" t="s">
        <v>398</v>
      </c>
      <c r="E3217" t="s">
        <v>382</v>
      </c>
      <c r="F3217" s="11">
        <v>44927</v>
      </c>
      <c r="G3217" s="2">
        <f>VLOOKUP(E3217,Produtos!$A:$E,5,FALSE)</f>
        <v>400</v>
      </c>
      <c r="H3217" s="2">
        <f>VLOOKUP(E3217,Produtos!$A:$E,4,FALSE)</f>
        <v>250</v>
      </c>
      <c r="I3217" s="2">
        <v>2</v>
      </c>
    </row>
    <row r="3218" spans="1:9" x14ac:dyDescent="0.25">
      <c r="A3218" s="2" t="str">
        <f>CONCATENATE(Códigos!S3217,Códigos!T3217,Códigos!U3217)</f>
        <v>svv3216v</v>
      </c>
      <c r="B3218" t="s">
        <v>336</v>
      </c>
      <c r="C3218" t="s">
        <v>441</v>
      </c>
      <c r="D3218" s="2" t="s">
        <v>398</v>
      </c>
      <c r="E3218" t="s">
        <v>382</v>
      </c>
      <c r="F3218" s="11">
        <v>44928</v>
      </c>
      <c r="G3218" s="2">
        <f>VLOOKUP(E3218,Produtos!$A:$E,5,FALSE)</f>
        <v>400</v>
      </c>
      <c r="H3218" s="2">
        <f>VLOOKUP(E3218,Produtos!$A:$E,4,FALSE)</f>
        <v>250</v>
      </c>
      <c r="I3218" s="2">
        <v>2</v>
      </c>
    </row>
    <row r="3219" spans="1:9" x14ac:dyDescent="0.25">
      <c r="A3219" s="2" t="str">
        <f>CONCATENATE(Códigos!S3218,Códigos!T3218,Códigos!U3218)</f>
        <v>svv3217v</v>
      </c>
      <c r="B3219" t="s">
        <v>336</v>
      </c>
      <c r="C3219" t="s">
        <v>441</v>
      </c>
      <c r="D3219" s="2" t="s">
        <v>398</v>
      </c>
      <c r="E3219" t="s">
        <v>382</v>
      </c>
      <c r="F3219" s="11">
        <v>44929</v>
      </c>
      <c r="G3219" s="2">
        <f>VLOOKUP(E3219,Produtos!$A:$E,5,FALSE)</f>
        <v>400</v>
      </c>
      <c r="H3219" s="2">
        <f>VLOOKUP(E3219,Produtos!$A:$E,4,FALSE)</f>
        <v>250</v>
      </c>
      <c r="I3219" s="2">
        <v>2</v>
      </c>
    </row>
    <row r="3220" spans="1:9" x14ac:dyDescent="0.25">
      <c r="A3220" s="2" t="str">
        <f>CONCATENATE(Códigos!S3219,Códigos!T3219,Códigos!U3219)</f>
        <v>svv3218v</v>
      </c>
      <c r="B3220" t="s">
        <v>336</v>
      </c>
      <c r="C3220" t="s">
        <v>441</v>
      </c>
      <c r="D3220" s="2" t="s">
        <v>398</v>
      </c>
      <c r="E3220" t="s">
        <v>382</v>
      </c>
      <c r="F3220" s="11">
        <v>44930</v>
      </c>
      <c r="G3220" s="2">
        <f>VLOOKUP(E3220,Produtos!$A:$E,5,FALSE)</f>
        <v>400</v>
      </c>
      <c r="H3220" s="2">
        <f>VLOOKUP(E3220,Produtos!$A:$E,4,FALSE)</f>
        <v>250</v>
      </c>
      <c r="I3220" s="2">
        <v>2</v>
      </c>
    </row>
    <row r="3221" spans="1:9" x14ac:dyDescent="0.25">
      <c r="A3221" s="2" t="str">
        <f>CONCATENATE(Códigos!S3220,Códigos!T3220,Códigos!U3220)</f>
        <v>svv3219v</v>
      </c>
      <c r="B3221" t="s">
        <v>336</v>
      </c>
      <c r="C3221" t="s">
        <v>441</v>
      </c>
      <c r="D3221" s="2" t="s">
        <v>398</v>
      </c>
      <c r="E3221" t="s">
        <v>382</v>
      </c>
      <c r="F3221" s="11">
        <v>44931</v>
      </c>
      <c r="G3221" s="2">
        <f>VLOOKUP(E3221,Produtos!$A:$E,5,FALSE)</f>
        <v>400</v>
      </c>
      <c r="H3221" s="2">
        <f>VLOOKUP(E3221,Produtos!$A:$E,4,FALSE)</f>
        <v>250</v>
      </c>
      <c r="I3221" s="2">
        <v>2</v>
      </c>
    </row>
    <row r="3222" spans="1:9" x14ac:dyDescent="0.25">
      <c r="A3222" s="2" t="str">
        <f>CONCATENATE(Códigos!S3221,Códigos!T3221,Códigos!U3221)</f>
        <v>svv3220v</v>
      </c>
      <c r="B3222" t="s">
        <v>336</v>
      </c>
      <c r="C3222" t="s">
        <v>441</v>
      </c>
      <c r="D3222" s="2" t="s">
        <v>398</v>
      </c>
      <c r="E3222" t="s">
        <v>382</v>
      </c>
      <c r="F3222" s="11">
        <v>44932</v>
      </c>
      <c r="G3222" s="2">
        <f>VLOOKUP(E3222,Produtos!$A:$E,5,FALSE)</f>
        <v>400</v>
      </c>
      <c r="H3222" s="2">
        <f>VLOOKUP(E3222,Produtos!$A:$E,4,FALSE)</f>
        <v>250</v>
      </c>
      <c r="I3222" s="2">
        <v>2</v>
      </c>
    </row>
    <row r="3223" spans="1:9" x14ac:dyDescent="0.25">
      <c r="A3223" s="2" t="str">
        <f>CONCATENATE(Códigos!S3222,Códigos!T3222,Códigos!U3222)</f>
        <v>svv3221v</v>
      </c>
      <c r="B3223" t="s">
        <v>336</v>
      </c>
      <c r="C3223" t="s">
        <v>441</v>
      </c>
      <c r="D3223" s="2" t="s">
        <v>398</v>
      </c>
      <c r="E3223" t="s">
        <v>382</v>
      </c>
      <c r="F3223" s="11">
        <v>44933</v>
      </c>
      <c r="G3223" s="2">
        <f>VLOOKUP(E3223,Produtos!$A:$E,5,FALSE)</f>
        <v>400</v>
      </c>
      <c r="H3223" s="2">
        <f>VLOOKUP(E3223,Produtos!$A:$E,4,FALSE)</f>
        <v>250</v>
      </c>
      <c r="I3223" s="2">
        <v>2</v>
      </c>
    </row>
    <row r="3224" spans="1:9" x14ac:dyDescent="0.25">
      <c r="A3224" s="2" t="str">
        <f>CONCATENATE(Códigos!S3223,Códigos!T3223,Códigos!U3223)</f>
        <v>svv3222v</v>
      </c>
      <c r="B3224" t="s">
        <v>336</v>
      </c>
      <c r="C3224" t="s">
        <v>441</v>
      </c>
      <c r="D3224" s="2" t="s">
        <v>398</v>
      </c>
      <c r="E3224" t="s">
        <v>382</v>
      </c>
      <c r="F3224" s="11">
        <v>44934</v>
      </c>
      <c r="G3224" s="2">
        <f>VLOOKUP(E3224,Produtos!$A:$E,5,FALSE)</f>
        <v>400</v>
      </c>
      <c r="H3224" s="2">
        <f>VLOOKUP(E3224,Produtos!$A:$E,4,FALSE)</f>
        <v>250</v>
      </c>
      <c r="I3224" s="2">
        <v>2</v>
      </c>
    </row>
    <row r="3225" spans="1:9" x14ac:dyDescent="0.25">
      <c r="A3225" s="2" t="str">
        <f>CONCATENATE(Códigos!S3224,Códigos!T3224,Códigos!U3224)</f>
        <v>svv3223v</v>
      </c>
      <c r="B3225" t="s">
        <v>336</v>
      </c>
      <c r="C3225" t="s">
        <v>441</v>
      </c>
      <c r="D3225" s="2" t="s">
        <v>398</v>
      </c>
      <c r="E3225" t="s">
        <v>382</v>
      </c>
      <c r="F3225" s="11">
        <v>44935</v>
      </c>
      <c r="G3225" s="2">
        <f>VLOOKUP(E3225,Produtos!$A:$E,5,FALSE)</f>
        <v>400</v>
      </c>
      <c r="H3225" s="2">
        <f>VLOOKUP(E3225,Produtos!$A:$E,4,FALSE)</f>
        <v>250</v>
      </c>
      <c r="I3225" s="2">
        <v>2</v>
      </c>
    </row>
    <row r="3226" spans="1:9" x14ac:dyDescent="0.25">
      <c r="A3226" s="2" t="str">
        <f>CONCATENATE(Códigos!S3225,Códigos!T3225,Códigos!U3225)</f>
        <v>svv3224v</v>
      </c>
      <c r="B3226" t="s">
        <v>336</v>
      </c>
      <c r="C3226" t="s">
        <v>323</v>
      </c>
      <c r="D3226" s="2" t="s">
        <v>325</v>
      </c>
      <c r="E3226" t="s">
        <v>382</v>
      </c>
      <c r="F3226" s="11">
        <v>44936</v>
      </c>
      <c r="G3226" s="2">
        <f>VLOOKUP(E3226,Produtos!$A:$E,5,FALSE)</f>
        <v>400</v>
      </c>
      <c r="H3226" s="2">
        <f>VLOOKUP(E3226,Produtos!$A:$E,4,FALSE)</f>
        <v>250</v>
      </c>
      <c r="I3226" s="2">
        <v>2</v>
      </c>
    </row>
    <row r="3227" spans="1:9" x14ac:dyDescent="0.25">
      <c r="A3227" s="2" t="str">
        <f>CONCATENATE(Códigos!S3226,Códigos!T3226,Códigos!U3226)</f>
        <v>svv3225v</v>
      </c>
      <c r="B3227" t="s">
        <v>336</v>
      </c>
      <c r="C3227" t="s">
        <v>323</v>
      </c>
      <c r="D3227" s="2" t="s">
        <v>325</v>
      </c>
      <c r="E3227" t="s">
        <v>412</v>
      </c>
      <c r="F3227" s="11">
        <v>44937</v>
      </c>
      <c r="G3227" s="2">
        <f>VLOOKUP(E3227,Produtos!$A:$E,5,FALSE)</f>
        <v>280</v>
      </c>
      <c r="H3227" s="2">
        <f>VLOOKUP(E3227,Produtos!$A:$E,4,FALSE)</f>
        <v>130</v>
      </c>
      <c r="I3227" s="2">
        <v>2</v>
      </c>
    </row>
    <row r="3228" spans="1:9" x14ac:dyDescent="0.25">
      <c r="A3228" s="2" t="str">
        <f>CONCATENATE(Códigos!S3227,Códigos!T3227,Códigos!U3227)</f>
        <v>svv3226v</v>
      </c>
      <c r="B3228" t="s">
        <v>336</v>
      </c>
      <c r="C3228" t="s">
        <v>323</v>
      </c>
      <c r="D3228" s="2" t="s">
        <v>325</v>
      </c>
      <c r="E3228" t="s">
        <v>412</v>
      </c>
      <c r="F3228" s="11">
        <v>44938</v>
      </c>
      <c r="G3228" s="2">
        <f>VLOOKUP(E3228,Produtos!$A:$E,5,FALSE)</f>
        <v>280</v>
      </c>
      <c r="H3228" s="2">
        <f>VLOOKUP(E3228,Produtos!$A:$E,4,FALSE)</f>
        <v>130</v>
      </c>
      <c r="I3228" s="2">
        <v>2</v>
      </c>
    </row>
    <row r="3229" spans="1:9" x14ac:dyDescent="0.25">
      <c r="A3229" s="2" t="str">
        <f>CONCATENATE(Códigos!S3228,Códigos!T3228,Códigos!U3228)</f>
        <v>svv3227v</v>
      </c>
      <c r="B3229" t="s">
        <v>336</v>
      </c>
      <c r="C3229" t="s">
        <v>323</v>
      </c>
      <c r="D3229" s="2" t="s">
        <v>325</v>
      </c>
      <c r="E3229" t="s">
        <v>412</v>
      </c>
      <c r="F3229" s="11">
        <v>44939</v>
      </c>
      <c r="G3229" s="2">
        <f>VLOOKUP(E3229,Produtos!$A:$E,5,FALSE)</f>
        <v>280</v>
      </c>
      <c r="H3229" s="2">
        <f>VLOOKUP(E3229,Produtos!$A:$E,4,FALSE)</f>
        <v>130</v>
      </c>
      <c r="I3229" s="2">
        <v>2</v>
      </c>
    </row>
    <row r="3230" spans="1:9" x14ac:dyDescent="0.25">
      <c r="A3230" s="2" t="str">
        <f>CONCATENATE(Códigos!S3229,Códigos!T3229,Códigos!U3229)</f>
        <v>svv3228v</v>
      </c>
      <c r="B3230" t="s">
        <v>336</v>
      </c>
      <c r="C3230" t="s">
        <v>323</v>
      </c>
      <c r="D3230" s="2" t="s">
        <v>325</v>
      </c>
      <c r="E3230" t="s">
        <v>412</v>
      </c>
      <c r="F3230" s="11">
        <v>44940</v>
      </c>
      <c r="G3230" s="2">
        <f>VLOOKUP(E3230,Produtos!$A:$E,5,FALSE)</f>
        <v>280</v>
      </c>
      <c r="H3230" s="2">
        <f>VLOOKUP(E3230,Produtos!$A:$E,4,FALSE)</f>
        <v>130</v>
      </c>
      <c r="I3230" s="2">
        <v>2</v>
      </c>
    </row>
    <row r="3231" spans="1:9" x14ac:dyDescent="0.25">
      <c r="A3231" s="2" t="str">
        <f>CONCATENATE(Códigos!S3230,Códigos!T3230,Códigos!U3230)</f>
        <v>svv3229v</v>
      </c>
      <c r="B3231" t="s">
        <v>336</v>
      </c>
      <c r="C3231" t="s">
        <v>323</v>
      </c>
      <c r="D3231" s="2" t="s">
        <v>325</v>
      </c>
      <c r="E3231" t="s">
        <v>412</v>
      </c>
      <c r="F3231" s="11">
        <v>44941</v>
      </c>
      <c r="G3231" s="2">
        <f>VLOOKUP(E3231,Produtos!$A:$E,5,FALSE)</f>
        <v>280</v>
      </c>
      <c r="H3231" s="2">
        <f>VLOOKUP(E3231,Produtos!$A:$E,4,FALSE)</f>
        <v>130</v>
      </c>
      <c r="I3231" s="2">
        <v>2</v>
      </c>
    </row>
    <row r="3232" spans="1:9" x14ac:dyDescent="0.25">
      <c r="A3232" s="2" t="str">
        <f>CONCATENATE(Códigos!S3231,Códigos!T3231,Códigos!U3231)</f>
        <v>svv3230v</v>
      </c>
      <c r="B3232" t="s">
        <v>336</v>
      </c>
      <c r="C3232" t="s">
        <v>323</v>
      </c>
      <c r="D3232" s="2" t="s">
        <v>325</v>
      </c>
      <c r="E3232" t="s">
        <v>412</v>
      </c>
      <c r="F3232" s="11">
        <v>44942</v>
      </c>
      <c r="G3232" s="2">
        <f>VLOOKUP(E3232,Produtos!$A:$E,5,FALSE)</f>
        <v>280</v>
      </c>
      <c r="H3232" s="2">
        <f>VLOOKUP(E3232,Produtos!$A:$E,4,FALSE)</f>
        <v>130</v>
      </c>
      <c r="I3232" s="2">
        <v>2</v>
      </c>
    </row>
    <row r="3233" spans="1:9" x14ac:dyDescent="0.25">
      <c r="A3233" s="2" t="str">
        <f>CONCATENATE(Códigos!S3232,Códigos!T3232,Códigos!U3232)</f>
        <v>svv3231v</v>
      </c>
      <c r="B3233" t="s">
        <v>336</v>
      </c>
      <c r="C3233" t="s">
        <v>323</v>
      </c>
      <c r="D3233" s="2" t="s">
        <v>325</v>
      </c>
      <c r="E3233" t="s">
        <v>412</v>
      </c>
      <c r="F3233" s="11">
        <v>44943</v>
      </c>
      <c r="G3233" s="2">
        <f>VLOOKUP(E3233,Produtos!$A:$E,5,FALSE)</f>
        <v>280</v>
      </c>
      <c r="H3233" s="2">
        <f>VLOOKUP(E3233,Produtos!$A:$E,4,FALSE)</f>
        <v>130</v>
      </c>
      <c r="I3233" s="2">
        <v>2</v>
      </c>
    </row>
    <row r="3234" spans="1:9" x14ac:dyDescent="0.25">
      <c r="A3234" s="2" t="str">
        <f>CONCATENATE(Códigos!S3233,Códigos!T3233,Códigos!U3233)</f>
        <v>svv3232v</v>
      </c>
      <c r="B3234" t="s">
        <v>336</v>
      </c>
      <c r="C3234" t="s">
        <v>323</v>
      </c>
      <c r="D3234" s="2" t="s">
        <v>325</v>
      </c>
      <c r="E3234" t="s">
        <v>412</v>
      </c>
      <c r="F3234" s="11">
        <v>44944</v>
      </c>
      <c r="G3234" s="2">
        <f>VLOOKUP(E3234,Produtos!$A:$E,5,FALSE)</f>
        <v>280</v>
      </c>
      <c r="H3234" s="2">
        <f>VLOOKUP(E3234,Produtos!$A:$E,4,FALSE)</f>
        <v>130</v>
      </c>
      <c r="I3234" s="2">
        <v>2</v>
      </c>
    </row>
    <row r="3235" spans="1:9" x14ac:dyDescent="0.25">
      <c r="A3235" s="2" t="str">
        <f>CONCATENATE(Códigos!S3234,Códigos!T3234,Códigos!U3234)</f>
        <v>svv3233v</v>
      </c>
      <c r="B3235" t="s">
        <v>336</v>
      </c>
      <c r="C3235" t="s">
        <v>323</v>
      </c>
      <c r="D3235" s="2" t="s">
        <v>325</v>
      </c>
      <c r="E3235" t="s">
        <v>412</v>
      </c>
      <c r="F3235" s="11">
        <v>44945</v>
      </c>
      <c r="G3235" s="2">
        <f>VLOOKUP(E3235,Produtos!$A:$E,5,FALSE)</f>
        <v>280</v>
      </c>
      <c r="H3235" s="2">
        <f>VLOOKUP(E3235,Produtos!$A:$E,4,FALSE)</f>
        <v>130</v>
      </c>
      <c r="I3235" s="2">
        <v>2</v>
      </c>
    </row>
    <row r="3236" spans="1:9" x14ac:dyDescent="0.25">
      <c r="A3236" s="2" t="str">
        <f>CONCATENATE(Códigos!S3235,Códigos!T3235,Códigos!U3235)</f>
        <v>svv3234v</v>
      </c>
      <c r="B3236" t="s">
        <v>336</v>
      </c>
      <c r="C3236" t="s">
        <v>323</v>
      </c>
      <c r="D3236" s="2" t="s">
        <v>325</v>
      </c>
      <c r="E3236" t="s">
        <v>412</v>
      </c>
      <c r="F3236" s="11">
        <v>44946</v>
      </c>
      <c r="G3236" s="2">
        <f>VLOOKUP(E3236,Produtos!$A:$E,5,FALSE)</f>
        <v>280</v>
      </c>
      <c r="H3236" s="2">
        <f>VLOOKUP(E3236,Produtos!$A:$E,4,FALSE)</f>
        <v>130</v>
      </c>
      <c r="I3236" s="2">
        <v>2</v>
      </c>
    </row>
    <row r="3237" spans="1:9" x14ac:dyDescent="0.25">
      <c r="A3237" s="2" t="str">
        <f>CONCATENATE(Códigos!S3236,Códigos!T3236,Códigos!U3236)</f>
        <v>svv3235v</v>
      </c>
      <c r="B3237" t="s">
        <v>336</v>
      </c>
      <c r="C3237" t="s">
        <v>323</v>
      </c>
      <c r="D3237" s="2" t="s">
        <v>325</v>
      </c>
      <c r="E3237" t="s">
        <v>412</v>
      </c>
      <c r="F3237" s="11">
        <v>44947</v>
      </c>
      <c r="G3237" s="2">
        <f>VLOOKUP(E3237,Produtos!$A:$E,5,FALSE)</f>
        <v>280</v>
      </c>
      <c r="H3237" s="2">
        <f>VLOOKUP(E3237,Produtos!$A:$E,4,FALSE)</f>
        <v>130</v>
      </c>
      <c r="I3237" s="2">
        <v>2</v>
      </c>
    </row>
    <row r="3238" spans="1:9" x14ac:dyDescent="0.25">
      <c r="A3238" s="2" t="str">
        <f>CONCATENATE(Códigos!S3237,Códigos!T3237,Códigos!U3237)</f>
        <v>svv3236v</v>
      </c>
      <c r="B3238" t="s">
        <v>336</v>
      </c>
      <c r="C3238" t="s">
        <v>323</v>
      </c>
      <c r="D3238" s="2" t="s">
        <v>325</v>
      </c>
      <c r="E3238" t="s">
        <v>412</v>
      </c>
      <c r="F3238" s="11">
        <v>44948</v>
      </c>
      <c r="G3238" s="2">
        <f>VLOOKUP(E3238,Produtos!$A:$E,5,FALSE)</f>
        <v>280</v>
      </c>
      <c r="H3238" s="2">
        <f>VLOOKUP(E3238,Produtos!$A:$E,4,FALSE)</f>
        <v>130</v>
      </c>
      <c r="I3238" s="2">
        <v>2</v>
      </c>
    </row>
    <row r="3239" spans="1:9" x14ac:dyDescent="0.25">
      <c r="A3239" s="2" t="str">
        <f>CONCATENATE(Códigos!S3238,Códigos!T3238,Códigos!U3238)</f>
        <v>svv3237v</v>
      </c>
      <c r="B3239" t="s">
        <v>336</v>
      </c>
      <c r="C3239" t="s">
        <v>323</v>
      </c>
      <c r="D3239" s="2" t="s">
        <v>325</v>
      </c>
      <c r="E3239" t="s">
        <v>490</v>
      </c>
      <c r="F3239" s="11">
        <v>44949</v>
      </c>
      <c r="G3239" s="2">
        <f>VLOOKUP(E3239,Produtos!$A:$E,5,FALSE)</f>
        <v>1100</v>
      </c>
      <c r="H3239" s="2">
        <f>VLOOKUP(E3239,Produtos!$A:$E,4,FALSE)</f>
        <v>500</v>
      </c>
      <c r="I3239" s="2">
        <v>2</v>
      </c>
    </row>
    <row r="3240" spans="1:9" x14ac:dyDescent="0.25">
      <c r="A3240" s="2" t="str">
        <f>CONCATENATE(Códigos!S3239,Códigos!T3239,Códigos!U3239)</f>
        <v>svv3238v</v>
      </c>
      <c r="B3240" t="s">
        <v>336</v>
      </c>
      <c r="C3240" t="s">
        <v>323</v>
      </c>
      <c r="D3240" s="2" t="s">
        <v>325</v>
      </c>
      <c r="E3240" t="s">
        <v>490</v>
      </c>
      <c r="F3240" s="11">
        <v>44950</v>
      </c>
      <c r="G3240" s="2">
        <f>VLOOKUP(E3240,Produtos!$A:$E,5,FALSE)</f>
        <v>1100</v>
      </c>
      <c r="H3240" s="2">
        <f>VLOOKUP(E3240,Produtos!$A:$E,4,FALSE)</f>
        <v>500</v>
      </c>
      <c r="I3240" s="2">
        <v>2</v>
      </c>
    </row>
    <row r="3241" spans="1:9" x14ac:dyDescent="0.25">
      <c r="A3241" s="2" t="str">
        <f>CONCATENATE(Códigos!S3240,Códigos!T3240,Códigos!U3240)</f>
        <v>svv3239v</v>
      </c>
      <c r="B3241" t="s">
        <v>336</v>
      </c>
      <c r="C3241" t="s">
        <v>323</v>
      </c>
      <c r="D3241" s="2" t="s">
        <v>325</v>
      </c>
      <c r="E3241" t="s">
        <v>490</v>
      </c>
      <c r="F3241" s="11">
        <v>44951</v>
      </c>
      <c r="G3241" s="2">
        <f>VLOOKUP(E3241,Produtos!$A:$E,5,FALSE)</f>
        <v>1100</v>
      </c>
      <c r="H3241" s="2">
        <f>VLOOKUP(E3241,Produtos!$A:$E,4,FALSE)</f>
        <v>500</v>
      </c>
      <c r="I3241" s="2">
        <v>2</v>
      </c>
    </row>
    <row r="3242" spans="1:9" x14ac:dyDescent="0.25">
      <c r="A3242" s="2" t="str">
        <f>CONCATENATE(Códigos!S3241,Códigos!T3241,Códigos!U3241)</f>
        <v>svv3240v</v>
      </c>
      <c r="B3242" t="s">
        <v>336</v>
      </c>
      <c r="C3242" t="s">
        <v>323</v>
      </c>
      <c r="D3242" s="2" t="s">
        <v>325</v>
      </c>
      <c r="E3242" t="s">
        <v>490</v>
      </c>
      <c r="F3242" s="11">
        <v>44952</v>
      </c>
      <c r="G3242" s="2">
        <f>VLOOKUP(E3242,Produtos!$A:$E,5,FALSE)</f>
        <v>1100</v>
      </c>
      <c r="H3242" s="2">
        <f>VLOOKUP(E3242,Produtos!$A:$E,4,FALSE)</f>
        <v>500</v>
      </c>
      <c r="I3242" s="2">
        <v>2</v>
      </c>
    </row>
    <row r="3243" spans="1:9" x14ac:dyDescent="0.25">
      <c r="A3243" s="2" t="str">
        <f>CONCATENATE(Códigos!S3242,Códigos!T3242,Códigos!U3242)</f>
        <v>svv3241v</v>
      </c>
      <c r="B3243" t="s">
        <v>336</v>
      </c>
      <c r="C3243" t="s">
        <v>323</v>
      </c>
      <c r="D3243" s="2" t="s">
        <v>325</v>
      </c>
      <c r="E3243" t="s">
        <v>490</v>
      </c>
      <c r="F3243" s="11">
        <v>44953</v>
      </c>
      <c r="G3243" s="2">
        <f>VLOOKUP(E3243,Produtos!$A:$E,5,FALSE)</f>
        <v>1100</v>
      </c>
      <c r="H3243" s="2">
        <f>VLOOKUP(E3243,Produtos!$A:$E,4,FALSE)</f>
        <v>500</v>
      </c>
      <c r="I3243" s="2">
        <v>2</v>
      </c>
    </row>
    <row r="3244" spans="1:9" x14ac:dyDescent="0.25">
      <c r="A3244" s="2" t="str">
        <f>CONCATENATE(Códigos!S3243,Códigos!T3243,Códigos!U3243)</f>
        <v>svv3242v</v>
      </c>
      <c r="B3244" t="s">
        <v>336</v>
      </c>
      <c r="C3244" t="s">
        <v>323</v>
      </c>
      <c r="D3244" s="2" t="s">
        <v>325</v>
      </c>
      <c r="E3244" t="s">
        <v>490</v>
      </c>
      <c r="F3244" s="11">
        <v>44954</v>
      </c>
      <c r="G3244" s="2">
        <f>VLOOKUP(E3244,Produtos!$A:$E,5,FALSE)</f>
        <v>1100</v>
      </c>
      <c r="H3244" s="2">
        <f>VLOOKUP(E3244,Produtos!$A:$E,4,FALSE)</f>
        <v>500</v>
      </c>
      <c r="I3244" s="2">
        <v>2</v>
      </c>
    </row>
    <row r="3245" spans="1:9" x14ac:dyDescent="0.25">
      <c r="A3245" s="2" t="str">
        <f>CONCATENATE(Códigos!S3244,Códigos!T3244,Códigos!U3244)</f>
        <v>svv3243v</v>
      </c>
      <c r="B3245" t="s">
        <v>336</v>
      </c>
      <c r="C3245" t="s">
        <v>323</v>
      </c>
      <c r="D3245" s="2" t="s">
        <v>325</v>
      </c>
      <c r="E3245" t="s">
        <v>491</v>
      </c>
      <c r="F3245" s="11">
        <v>44955</v>
      </c>
      <c r="G3245" s="2">
        <f>VLOOKUP(E3245,Produtos!$A:$E,5,FALSE)</f>
        <v>700</v>
      </c>
      <c r="H3245" s="2">
        <f>VLOOKUP(E3245,Produtos!$A:$E,4,FALSE)</f>
        <v>350</v>
      </c>
      <c r="I3245" s="2">
        <v>2</v>
      </c>
    </row>
    <row r="3246" spans="1:9" x14ac:dyDescent="0.25">
      <c r="A3246" s="2" t="str">
        <f>CONCATENATE(Códigos!S3245,Códigos!T3245,Códigos!U3245)</f>
        <v>svv3244v</v>
      </c>
      <c r="B3246" t="s">
        <v>336</v>
      </c>
      <c r="C3246" t="s">
        <v>323</v>
      </c>
      <c r="D3246" s="2" t="s">
        <v>325</v>
      </c>
      <c r="E3246" t="s">
        <v>491</v>
      </c>
      <c r="F3246" s="11">
        <v>44956</v>
      </c>
      <c r="G3246" s="2">
        <f>VLOOKUP(E3246,Produtos!$A:$E,5,FALSE)</f>
        <v>700</v>
      </c>
      <c r="H3246" s="2">
        <f>VLOOKUP(E3246,Produtos!$A:$E,4,FALSE)</f>
        <v>350</v>
      </c>
      <c r="I3246" s="2">
        <v>2</v>
      </c>
    </row>
    <row r="3247" spans="1:9" x14ac:dyDescent="0.25">
      <c r="A3247" s="2" t="str">
        <f>CONCATENATE(Códigos!S3246,Códigos!T3246,Códigos!U3246)</f>
        <v>svv3245v</v>
      </c>
      <c r="B3247" t="s">
        <v>336</v>
      </c>
      <c r="C3247" t="s">
        <v>323</v>
      </c>
      <c r="D3247" s="2" t="s">
        <v>325</v>
      </c>
      <c r="E3247" t="s">
        <v>491</v>
      </c>
      <c r="F3247" s="11">
        <v>44957</v>
      </c>
      <c r="G3247" s="2">
        <f>VLOOKUP(E3247,Produtos!$A:$E,5,FALSE)</f>
        <v>700</v>
      </c>
      <c r="H3247" s="2">
        <f>VLOOKUP(E3247,Produtos!$A:$E,4,FALSE)</f>
        <v>350</v>
      </c>
      <c r="I3247" s="2">
        <v>2</v>
      </c>
    </row>
    <row r="3248" spans="1:9" x14ac:dyDescent="0.25">
      <c r="A3248" s="2" t="str">
        <f>CONCATENATE(Códigos!S3247,Códigos!T3247,Códigos!U3247)</f>
        <v>svv3246v</v>
      </c>
      <c r="B3248" t="s">
        <v>336</v>
      </c>
      <c r="C3248" t="s">
        <v>323</v>
      </c>
      <c r="D3248" s="2" t="s">
        <v>325</v>
      </c>
      <c r="E3248" t="s">
        <v>491</v>
      </c>
      <c r="F3248" s="11">
        <v>44958</v>
      </c>
      <c r="G3248" s="2">
        <f>VLOOKUP(E3248,Produtos!$A:$E,5,FALSE)</f>
        <v>700</v>
      </c>
      <c r="H3248" s="2">
        <f>VLOOKUP(E3248,Produtos!$A:$E,4,FALSE)</f>
        <v>350</v>
      </c>
      <c r="I3248" s="2">
        <v>2</v>
      </c>
    </row>
    <row r="3249" spans="1:9" x14ac:dyDescent="0.25">
      <c r="A3249" s="2" t="str">
        <f>CONCATENATE(Códigos!S3248,Códigos!T3248,Códigos!U3248)</f>
        <v>svv3247v</v>
      </c>
      <c r="B3249" t="s">
        <v>336</v>
      </c>
      <c r="C3249" t="s">
        <v>323</v>
      </c>
      <c r="D3249" s="2" t="s">
        <v>325</v>
      </c>
      <c r="E3249" t="s">
        <v>491</v>
      </c>
      <c r="F3249" s="11">
        <v>44959</v>
      </c>
      <c r="G3249" s="2">
        <f>VLOOKUP(E3249,Produtos!$A:$E,5,FALSE)</f>
        <v>700</v>
      </c>
      <c r="H3249" s="2">
        <f>VLOOKUP(E3249,Produtos!$A:$E,4,FALSE)</f>
        <v>350</v>
      </c>
      <c r="I3249" s="2">
        <v>2</v>
      </c>
    </row>
    <row r="3250" spans="1:9" x14ac:dyDescent="0.25">
      <c r="A3250" s="2" t="str">
        <f>CONCATENATE(Códigos!S3249,Códigos!T3249,Códigos!U3249)</f>
        <v>svv3248v</v>
      </c>
      <c r="B3250" t="s">
        <v>336</v>
      </c>
      <c r="C3250" t="s">
        <v>323</v>
      </c>
      <c r="D3250" s="2" t="s">
        <v>325</v>
      </c>
      <c r="E3250" t="s">
        <v>491</v>
      </c>
      <c r="F3250" s="11">
        <v>44960</v>
      </c>
      <c r="G3250" s="2">
        <f>VLOOKUP(E3250,Produtos!$A:$E,5,FALSE)</f>
        <v>700</v>
      </c>
      <c r="H3250" s="2">
        <f>VLOOKUP(E3250,Produtos!$A:$E,4,FALSE)</f>
        <v>350</v>
      </c>
      <c r="I3250" s="2">
        <v>2</v>
      </c>
    </row>
    <row r="3251" spans="1:9" x14ac:dyDescent="0.25">
      <c r="A3251" s="2" t="str">
        <f>CONCATENATE(Códigos!S3250,Códigos!T3250,Códigos!U3250)</f>
        <v>svv3249v</v>
      </c>
      <c r="B3251" t="s">
        <v>336</v>
      </c>
      <c r="C3251" t="s">
        <v>323</v>
      </c>
      <c r="D3251" s="2" t="s">
        <v>325</v>
      </c>
      <c r="E3251" t="s">
        <v>491</v>
      </c>
      <c r="F3251" s="11">
        <v>44961</v>
      </c>
      <c r="G3251" s="2">
        <f>VLOOKUP(E3251,Produtos!$A:$E,5,FALSE)</f>
        <v>700</v>
      </c>
      <c r="H3251" s="2">
        <f>VLOOKUP(E3251,Produtos!$A:$E,4,FALSE)</f>
        <v>350</v>
      </c>
      <c r="I3251" s="2">
        <v>2</v>
      </c>
    </row>
    <row r="3252" spans="1:9" x14ac:dyDescent="0.25">
      <c r="A3252" s="2" t="str">
        <f>CONCATENATE(Códigos!S3251,Códigos!T3251,Códigos!U3251)</f>
        <v>svv3250v</v>
      </c>
      <c r="B3252" t="s">
        <v>336</v>
      </c>
      <c r="C3252" t="s">
        <v>323</v>
      </c>
      <c r="D3252" s="2" t="s">
        <v>325</v>
      </c>
      <c r="E3252" t="s">
        <v>491</v>
      </c>
      <c r="F3252" s="11">
        <v>44962</v>
      </c>
      <c r="G3252" s="2">
        <f>VLOOKUP(E3252,Produtos!$A:$E,5,FALSE)</f>
        <v>700</v>
      </c>
      <c r="H3252" s="2">
        <f>VLOOKUP(E3252,Produtos!$A:$E,4,FALSE)</f>
        <v>350</v>
      </c>
      <c r="I3252" s="2">
        <v>2</v>
      </c>
    </row>
    <row r="3253" spans="1:9" x14ac:dyDescent="0.25">
      <c r="A3253" s="2" t="str">
        <f>CONCATENATE(Códigos!S3252,Códigos!T3252,Códigos!U3252)</f>
        <v>svv3251v</v>
      </c>
      <c r="B3253" t="s">
        <v>336</v>
      </c>
      <c r="C3253" t="s">
        <v>323</v>
      </c>
      <c r="D3253" s="2" t="s">
        <v>325</v>
      </c>
      <c r="E3253" t="s">
        <v>491</v>
      </c>
      <c r="F3253" s="11">
        <v>44963</v>
      </c>
      <c r="G3253" s="2">
        <f>VLOOKUP(E3253,Produtos!$A:$E,5,FALSE)</f>
        <v>700</v>
      </c>
      <c r="H3253" s="2">
        <f>VLOOKUP(E3253,Produtos!$A:$E,4,FALSE)</f>
        <v>350</v>
      </c>
      <c r="I3253" s="2">
        <v>2</v>
      </c>
    </row>
    <row r="3254" spans="1:9" x14ac:dyDescent="0.25">
      <c r="A3254" s="2" t="str">
        <f>CONCATENATE(Códigos!S3253,Códigos!T3253,Códigos!U3253)</f>
        <v>svv3252v</v>
      </c>
      <c r="B3254" t="s">
        <v>336</v>
      </c>
      <c r="C3254" t="s">
        <v>323</v>
      </c>
      <c r="D3254" s="2" t="s">
        <v>325</v>
      </c>
      <c r="E3254" t="s">
        <v>491</v>
      </c>
      <c r="F3254" s="11">
        <v>44964</v>
      </c>
      <c r="G3254" s="2">
        <f>VLOOKUP(E3254,Produtos!$A:$E,5,FALSE)</f>
        <v>700</v>
      </c>
      <c r="H3254" s="2">
        <f>VLOOKUP(E3254,Produtos!$A:$E,4,FALSE)</f>
        <v>350</v>
      </c>
      <c r="I3254" s="2">
        <v>2</v>
      </c>
    </row>
    <row r="3255" spans="1:9" x14ac:dyDescent="0.25">
      <c r="A3255" s="2" t="str">
        <f>CONCATENATE(Códigos!S3254,Códigos!T3254,Códigos!U3254)</f>
        <v>svv3253v</v>
      </c>
      <c r="B3255" t="s">
        <v>336</v>
      </c>
      <c r="C3255" t="s">
        <v>323</v>
      </c>
      <c r="D3255" s="2" t="s">
        <v>325</v>
      </c>
      <c r="E3255" t="s">
        <v>491</v>
      </c>
      <c r="F3255" s="11">
        <v>44965</v>
      </c>
      <c r="G3255" s="2">
        <f>VLOOKUP(E3255,Produtos!$A:$E,5,FALSE)</f>
        <v>700</v>
      </c>
      <c r="H3255" s="2">
        <f>VLOOKUP(E3255,Produtos!$A:$E,4,FALSE)</f>
        <v>350</v>
      </c>
      <c r="I3255" s="2">
        <v>2</v>
      </c>
    </row>
    <row r="3256" spans="1:9" x14ac:dyDescent="0.25">
      <c r="A3256" s="2" t="str">
        <f>CONCATENATE(Códigos!S3255,Códigos!T3255,Códigos!U3255)</f>
        <v>svv3254v</v>
      </c>
      <c r="B3256" t="s">
        <v>336</v>
      </c>
      <c r="C3256" t="s">
        <v>323</v>
      </c>
      <c r="D3256" s="2" t="s">
        <v>325</v>
      </c>
      <c r="E3256" t="s">
        <v>491</v>
      </c>
      <c r="F3256" s="11">
        <v>44966</v>
      </c>
      <c r="G3256" s="2">
        <f>VLOOKUP(E3256,Produtos!$A:$E,5,FALSE)</f>
        <v>700</v>
      </c>
      <c r="H3256" s="2">
        <f>VLOOKUP(E3256,Produtos!$A:$E,4,FALSE)</f>
        <v>350</v>
      </c>
      <c r="I3256" s="2">
        <v>2</v>
      </c>
    </row>
    <row r="3257" spans="1:9" x14ac:dyDescent="0.25">
      <c r="A3257" s="2" t="str">
        <f>CONCATENATE(Códigos!S3256,Códigos!T3256,Códigos!U3256)</f>
        <v>svv3255v</v>
      </c>
      <c r="B3257" t="s">
        <v>336</v>
      </c>
      <c r="C3257" t="s">
        <v>323</v>
      </c>
      <c r="D3257" s="2" t="s">
        <v>325</v>
      </c>
      <c r="E3257" t="s">
        <v>491</v>
      </c>
      <c r="F3257" s="11">
        <v>44967</v>
      </c>
      <c r="G3257" s="2">
        <f>VLOOKUP(E3257,Produtos!$A:$E,5,FALSE)</f>
        <v>700</v>
      </c>
      <c r="H3257" s="2">
        <f>VLOOKUP(E3257,Produtos!$A:$E,4,FALSE)</f>
        <v>350</v>
      </c>
      <c r="I3257" s="2">
        <v>2</v>
      </c>
    </row>
    <row r="3258" spans="1:9" x14ac:dyDescent="0.25">
      <c r="A3258" s="2" t="str">
        <f>CONCATENATE(Códigos!S3257,Códigos!T3257,Códigos!U3257)</f>
        <v>svv3256v</v>
      </c>
      <c r="B3258" t="s">
        <v>336</v>
      </c>
      <c r="C3258" t="s">
        <v>323</v>
      </c>
      <c r="D3258" s="2" t="s">
        <v>325</v>
      </c>
      <c r="E3258" t="s">
        <v>491</v>
      </c>
      <c r="F3258" s="11">
        <v>44968</v>
      </c>
      <c r="G3258" s="2">
        <f>VLOOKUP(E3258,Produtos!$A:$E,5,FALSE)</f>
        <v>700</v>
      </c>
      <c r="H3258" s="2">
        <f>VLOOKUP(E3258,Produtos!$A:$E,4,FALSE)</f>
        <v>350</v>
      </c>
      <c r="I3258" s="2">
        <v>2</v>
      </c>
    </row>
    <row r="3259" spans="1:9" x14ac:dyDescent="0.25">
      <c r="A3259" s="2" t="str">
        <f>CONCATENATE(Códigos!S3258,Códigos!T3258,Códigos!U3258)</f>
        <v>svv3257v</v>
      </c>
      <c r="B3259" t="s">
        <v>336</v>
      </c>
      <c r="C3259" t="s">
        <v>323</v>
      </c>
      <c r="D3259" s="2" t="s">
        <v>325</v>
      </c>
      <c r="E3259" t="s">
        <v>491</v>
      </c>
      <c r="F3259" s="11">
        <v>44969</v>
      </c>
      <c r="G3259" s="2">
        <f>VLOOKUP(E3259,Produtos!$A:$E,5,FALSE)</f>
        <v>700</v>
      </c>
      <c r="H3259" s="2">
        <f>VLOOKUP(E3259,Produtos!$A:$E,4,FALSE)</f>
        <v>350</v>
      </c>
      <c r="I3259" s="2">
        <v>2</v>
      </c>
    </row>
    <row r="3260" spans="1:9" x14ac:dyDescent="0.25">
      <c r="A3260" s="2" t="str">
        <f>CONCATENATE(Códigos!S3259,Códigos!T3259,Códigos!U3259)</f>
        <v>svv3258v</v>
      </c>
      <c r="B3260" t="s">
        <v>336</v>
      </c>
      <c r="C3260" t="s">
        <v>323</v>
      </c>
      <c r="D3260" s="2" t="s">
        <v>325</v>
      </c>
      <c r="E3260" t="s">
        <v>491</v>
      </c>
      <c r="F3260" s="11">
        <v>44970</v>
      </c>
      <c r="G3260" s="2">
        <f>VLOOKUP(E3260,Produtos!$A:$E,5,FALSE)</f>
        <v>700</v>
      </c>
      <c r="H3260" s="2">
        <f>VLOOKUP(E3260,Produtos!$A:$E,4,FALSE)</f>
        <v>350</v>
      </c>
      <c r="I3260" s="2">
        <v>2</v>
      </c>
    </row>
    <row r="3261" spans="1:9" x14ac:dyDescent="0.25">
      <c r="A3261" s="2" t="str">
        <f>CONCATENATE(Códigos!S3260,Códigos!T3260,Códigos!U3260)</f>
        <v>svv3259v</v>
      </c>
      <c r="B3261" t="s">
        <v>336</v>
      </c>
      <c r="C3261" t="s">
        <v>323</v>
      </c>
      <c r="D3261" s="2" t="s">
        <v>325</v>
      </c>
      <c r="E3261" t="s">
        <v>491</v>
      </c>
      <c r="F3261" s="11">
        <v>44971</v>
      </c>
      <c r="G3261" s="2">
        <f>VLOOKUP(E3261,Produtos!$A:$E,5,FALSE)</f>
        <v>700</v>
      </c>
      <c r="H3261" s="2">
        <f>VLOOKUP(E3261,Produtos!$A:$E,4,FALSE)</f>
        <v>350</v>
      </c>
      <c r="I3261" s="2">
        <v>2</v>
      </c>
    </row>
    <row r="3262" spans="1:9" x14ac:dyDescent="0.25">
      <c r="A3262" s="2" t="str">
        <f>CONCATENATE(Códigos!S3261,Códigos!T3261,Códigos!U3261)</f>
        <v>svv3260v</v>
      </c>
      <c r="B3262" t="s">
        <v>336</v>
      </c>
      <c r="C3262" t="s">
        <v>323</v>
      </c>
      <c r="D3262" s="2" t="s">
        <v>325</v>
      </c>
      <c r="E3262" t="s">
        <v>491</v>
      </c>
      <c r="F3262" s="11">
        <v>44972</v>
      </c>
      <c r="G3262" s="2">
        <f>VLOOKUP(E3262,Produtos!$A:$E,5,FALSE)</f>
        <v>700</v>
      </c>
      <c r="H3262" s="2">
        <f>VLOOKUP(E3262,Produtos!$A:$E,4,FALSE)</f>
        <v>350</v>
      </c>
      <c r="I3262" s="2">
        <v>2</v>
      </c>
    </row>
    <row r="3263" spans="1:9" x14ac:dyDescent="0.25">
      <c r="A3263" s="2" t="str">
        <f>CONCATENATE(Códigos!S3262,Códigos!T3262,Códigos!U3262)</f>
        <v>svv3261v</v>
      </c>
      <c r="B3263" t="s">
        <v>336</v>
      </c>
      <c r="C3263" t="s">
        <v>323</v>
      </c>
      <c r="D3263" s="2" t="s">
        <v>325</v>
      </c>
      <c r="E3263" t="s">
        <v>491</v>
      </c>
      <c r="F3263" s="11">
        <v>44973</v>
      </c>
      <c r="G3263" s="2">
        <f>VLOOKUP(E3263,Produtos!$A:$E,5,FALSE)</f>
        <v>700</v>
      </c>
      <c r="H3263" s="2">
        <f>VLOOKUP(E3263,Produtos!$A:$E,4,FALSE)</f>
        <v>350</v>
      </c>
      <c r="I3263" s="2">
        <v>2</v>
      </c>
    </row>
    <row r="3264" spans="1:9" x14ac:dyDescent="0.25">
      <c r="A3264" s="2" t="str">
        <f>CONCATENATE(Códigos!S3263,Códigos!T3263,Códigos!U3263)</f>
        <v>svv3262v</v>
      </c>
      <c r="B3264" t="s">
        <v>336</v>
      </c>
      <c r="C3264" t="s">
        <v>323</v>
      </c>
      <c r="D3264" s="2" t="s">
        <v>325</v>
      </c>
      <c r="E3264" t="s">
        <v>492</v>
      </c>
      <c r="F3264" s="11">
        <v>44974</v>
      </c>
      <c r="G3264" s="2">
        <f>VLOOKUP(E3264,Produtos!$A:$E,5,FALSE)</f>
        <v>350</v>
      </c>
      <c r="H3264" s="2">
        <f>VLOOKUP(E3264,Produtos!$A:$E,4,FALSE)</f>
        <v>200</v>
      </c>
      <c r="I3264" s="2">
        <v>2</v>
      </c>
    </row>
    <row r="3265" spans="1:9" x14ac:dyDescent="0.25">
      <c r="A3265" s="2" t="str">
        <f>CONCATENATE(Códigos!S3264,Códigos!T3264,Códigos!U3264)</f>
        <v>svv3263v</v>
      </c>
      <c r="B3265" t="s">
        <v>336</v>
      </c>
      <c r="C3265" t="s">
        <v>323</v>
      </c>
      <c r="D3265" s="2" t="s">
        <v>325</v>
      </c>
      <c r="E3265" t="s">
        <v>492</v>
      </c>
      <c r="F3265" s="11">
        <v>44975</v>
      </c>
      <c r="G3265" s="2">
        <f>VLOOKUP(E3265,Produtos!$A:$E,5,FALSE)</f>
        <v>350</v>
      </c>
      <c r="H3265" s="2">
        <f>VLOOKUP(E3265,Produtos!$A:$E,4,FALSE)</f>
        <v>200</v>
      </c>
      <c r="I3265" s="2">
        <v>2</v>
      </c>
    </row>
    <row r="3266" spans="1:9" x14ac:dyDescent="0.25">
      <c r="A3266" s="2" t="str">
        <f>CONCATENATE(Códigos!S3265,Códigos!T3265,Códigos!U3265)</f>
        <v>svv3264v</v>
      </c>
      <c r="B3266" t="s">
        <v>336</v>
      </c>
      <c r="C3266" t="s">
        <v>323</v>
      </c>
      <c r="D3266" s="2" t="s">
        <v>325</v>
      </c>
      <c r="E3266" t="s">
        <v>492</v>
      </c>
      <c r="F3266" s="11">
        <v>44976</v>
      </c>
      <c r="G3266" s="2">
        <f>VLOOKUP(E3266,Produtos!$A:$E,5,FALSE)</f>
        <v>350</v>
      </c>
      <c r="H3266" s="2">
        <f>VLOOKUP(E3266,Produtos!$A:$E,4,FALSE)</f>
        <v>200</v>
      </c>
      <c r="I3266" s="2">
        <v>2</v>
      </c>
    </row>
    <row r="3267" spans="1:9" x14ac:dyDescent="0.25">
      <c r="A3267" s="2" t="str">
        <f>CONCATENATE(Códigos!S3266,Códigos!T3266,Códigos!U3266)</f>
        <v>svv3265v</v>
      </c>
      <c r="B3267" t="s">
        <v>336</v>
      </c>
      <c r="C3267" t="s">
        <v>323</v>
      </c>
      <c r="D3267" s="2" t="s">
        <v>325</v>
      </c>
      <c r="E3267" t="s">
        <v>492</v>
      </c>
      <c r="F3267" s="11">
        <v>44977</v>
      </c>
      <c r="G3267" s="2">
        <f>VLOOKUP(E3267,Produtos!$A:$E,5,FALSE)</f>
        <v>350</v>
      </c>
      <c r="H3267" s="2">
        <f>VLOOKUP(E3267,Produtos!$A:$E,4,FALSE)</f>
        <v>200</v>
      </c>
      <c r="I3267" s="2">
        <v>2</v>
      </c>
    </row>
    <row r="3268" spans="1:9" x14ac:dyDescent="0.25">
      <c r="A3268" s="2" t="str">
        <f>CONCATENATE(Códigos!S3267,Códigos!T3267,Códigos!U3267)</f>
        <v>svv3266v</v>
      </c>
      <c r="B3268" t="s">
        <v>336</v>
      </c>
      <c r="C3268" t="s">
        <v>323</v>
      </c>
      <c r="D3268" s="2" t="s">
        <v>325</v>
      </c>
      <c r="E3268" t="s">
        <v>492</v>
      </c>
      <c r="F3268" s="11">
        <v>44978</v>
      </c>
      <c r="G3268" s="2">
        <f>VLOOKUP(E3268,Produtos!$A:$E,5,FALSE)</f>
        <v>350</v>
      </c>
      <c r="H3268" s="2">
        <f>VLOOKUP(E3268,Produtos!$A:$E,4,FALSE)</f>
        <v>200</v>
      </c>
      <c r="I3268" s="2">
        <v>2</v>
      </c>
    </row>
    <row r="3269" spans="1:9" x14ac:dyDescent="0.25">
      <c r="A3269" s="2" t="str">
        <f>CONCATENATE(Códigos!S3268,Códigos!T3268,Códigos!U3268)</f>
        <v>svv3267v</v>
      </c>
      <c r="B3269" t="s">
        <v>336</v>
      </c>
      <c r="C3269" t="s">
        <v>323</v>
      </c>
      <c r="D3269" s="2" t="s">
        <v>325</v>
      </c>
      <c r="E3269" t="s">
        <v>492</v>
      </c>
      <c r="F3269" s="11">
        <v>44979</v>
      </c>
      <c r="G3269" s="2">
        <f>VLOOKUP(E3269,Produtos!$A:$E,5,FALSE)</f>
        <v>350</v>
      </c>
      <c r="H3269" s="2">
        <f>VLOOKUP(E3269,Produtos!$A:$E,4,FALSE)</f>
        <v>200</v>
      </c>
      <c r="I3269" s="2">
        <v>2</v>
      </c>
    </row>
    <row r="3270" spans="1:9" x14ac:dyDescent="0.25">
      <c r="A3270" s="2" t="str">
        <f>CONCATENATE(Códigos!S3269,Códigos!T3269,Códigos!U3269)</f>
        <v>svv3268v</v>
      </c>
      <c r="B3270" t="s">
        <v>336</v>
      </c>
      <c r="C3270" t="s">
        <v>323</v>
      </c>
      <c r="D3270" s="2" t="s">
        <v>325</v>
      </c>
      <c r="E3270" t="s">
        <v>492</v>
      </c>
      <c r="F3270" s="11">
        <v>44980</v>
      </c>
      <c r="G3270" s="2">
        <f>VLOOKUP(E3270,Produtos!$A:$E,5,FALSE)</f>
        <v>350</v>
      </c>
      <c r="H3270" s="2">
        <f>VLOOKUP(E3270,Produtos!$A:$E,4,FALSE)</f>
        <v>200</v>
      </c>
      <c r="I3270" s="2">
        <v>2</v>
      </c>
    </row>
    <row r="3271" spans="1:9" x14ac:dyDescent="0.25">
      <c r="A3271" s="2" t="str">
        <f>CONCATENATE(Códigos!S3270,Códigos!T3270,Códigos!U3270)</f>
        <v>svv3269v</v>
      </c>
      <c r="B3271" t="s">
        <v>336</v>
      </c>
      <c r="C3271" t="s">
        <v>323</v>
      </c>
      <c r="D3271" s="2" t="s">
        <v>325</v>
      </c>
      <c r="E3271" t="s">
        <v>492</v>
      </c>
      <c r="F3271" s="11">
        <v>44981</v>
      </c>
      <c r="G3271" s="2">
        <f>VLOOKUP(E3271,Produtos!$A:$E,5,FALSE)</f>
        <v>350</v>
      </c>
      <c r="H3271" s="2">
        <f>VLOOKUP(E3271,Produtos!$A:$E,4,FALSE)</f>
        <v>200</v>
      </c>
      <c r="I3271" s="2">
        <v>2</v>
      </c>
    </row>
    <row r="3272" spans="1:9" x14ac:dyDescent="0.25">
      <c r="A3272" s="2" t="str">
        <f>CONCATENATE(Códigos!S3271,Códigos!T3271,Códigos!U3271)</f>
        <v>svv3270v</v>
      </c>
      <c r="B3272" t="s">
        <v>336</v>
      </c>
      <c r="C3272" t="s">
        <v>323</v>
      </c>
      <c r="D3272" s="2" t="s">
        <v>325</v>
      </c>
      <c r="E3272" t="s">
        <v>492</v>
      </c>
      <c r="F3272" s="11">
        <v>44982</v>
      </c>
      <c r="G3272" s="2">
        <f>VLOOKUP(E3272,Produtos!$A:$E,5,FALSE)</f>
        <v>350</v>
      </c>
      <c r="H3272" s="2">
        <f>VLOOKUP(E3272,Produtos!$A:$E,4,FALSE)</f>
        <v>200</v>
      </c>
      <c r="I3272" s="2">
        <v>2</v>
      </c>
    </row>
    <row r="3273" spans="1:9" x14ac:dyDescent="0.25">
      <c r="A3273" s="2" t="str">
        <f>CONCATENATE(Códigos!S3272,Códigos!T3272,Códigos!U3272)</f>
        <v>svv3271v</v>
      </c>
      <c r="B3273" t="s">
        <v>336</v>
      </c>
      <c r="C3273" t="s">
        <v>323</v>
      </c>
      <c r="D3273" s="2" t="s">
        <v>325</v>
      </c>
      <c r="E3273" t="s">
        <v>492</v>
      </c>
      <c r="F3273" s="11">
        <v>44983</v>
      </c>
      <c r="G3273" s="2">
        <f>VLOOKUP(E3273,Produtos!$A:$E,5,FALSE)</f>
        <v>350</v>
      </c>
      <c r="H3273" s="2">
        <f>VLOOKUP(E3273,Produtos!$A:$E,4,FALSE)</f>
        <v>200</v>
      </c>
      <c r="I3273" s="2">
        <v>2</v>
      </c>
    </row>
    <row r="3274" spans="1:9" x14ac:dyDescent="0.25">
      <c r="A3274" s="2" t="str">
        <f>CONCATENATE(Códigos!S3273,Códigos!T3273,Códigos!U3273)</f>
        <v>svv3272v</v>
      </c>
      <c r="B3274" t="s">
        <v>336</v>
      </c>
      <c r="C3274" t="s">
        <v>323</v>
      </c>
      <c r="D3274" s="2" t="s">
        <v>325</v>
      </c>
      <c r="E3274" t="s">
        <v>492</v>
      </c>
      <c r="F3274" s="11">
        <v>44984</v>
      </c>
      <c r="G3274" s="2">
        <f>VLOOKUP(E3274,Produtos!$A:$E,5,FALSE)</f>
        <v>350</v>
      </c>
      <c r="H3274" s="2">
        <f>VLOOKUP(E3274,Produtos!$A:$E,4,FALSE)</f>
        <v>200</v>
      </c>
      <c r="I3274" s="2">
        <v>2</v>
      </c>
    </row>
    <row r="3275" spans="1:9" x14ac:dyDescent="0.25">
      <c r="A3275" s="2" t="str">
        <f>CONCATENATE(Códigos!S3274,Códigos!T3274,Códigos!U3274)</f>
        <v>svv3273v</v>
      </c>
      <c r="B3275" t="s">
        <v>336</v>
      </c>
      <c r="C3275" t="s">
        <v>323</v>
      </c>
      <c r="D3275" s="2" t="s">
        <v>325</v>
      </c>
      <c r="E3275" t="s">
        <v>492</v>
      </c>
      <c r="F3275" s="11">
        <v>44985</v>
      </c>
      <c r="G3275" s="2">
        <f>VLOOKUP(E3275,Produtos!$A:$E,5,FALSE)</f>
        <v>350</v>
      </c>
      <c r="H3275" s="2">
        <f>VLOOKUP(E3275,Produtos!$A:$E,4,FALSE)</f>
        <v>200</v>
      </c>
      <c r="I3275" s="2">
        <v>2</v>
      </c>
    </row>
    <row r="3276" spans="1:9" x14ac:dyDescent="0.25">
      <c r="A3276" s="2" t="str">
        <f>CONCATENATE(Códigos!S3275,Códigos!T3275,Códigos!U3275)</f>
        <v>svv3274v</v>
      </c>
      <c r="B3276" t="s">
        <v>336</v>
      </c>
      <c r="C3276" t="s">
        <v>323</v>
      </c>
      <c r="D3276" s="2" t="s">
        <v>325</v>
      </c>
      <c r="E3276" t="s">
        <v>492</v>
      </c>
      <c r="F3276" s="11">
        <v>44986</v>
      </c>
      <c r="G3276" s="2">
        <f>VLOOKUP(E3276,Produtos!$A:$E,5,FALSE)</f>
        <v>350</v>
      </c>
      <c r="H3276" s="2">
        <f>VLOOKUP(E3276,Produtos!$A:$E,4,FALSE)</f>
        <v>200</v>
      </c>
      <c r="I3276" s="2">
        <v>2</v>
      </c>
    </row>
    <row r="3277" spans="1:9" x14ac:dyDescent="0.25">
      <c r="A3277" s="2" t="str">
        <f>CONCATENATE(Códigos!S3276,Códigos!T3276,Códigos!U3276)</f>
        <v>svv3275v</v>
      </c>
      <c r="B3277" t="s">
        <v>336</v>
      </c>
      <c r="C3277" t="s">
        <v>323</v>
      </c>
      <c r="D3277" s="2" t="s">
        <v>325</v>
      </c>
      <c r="E3277" t="s">
        <v>492</v>
      </c>
      <c r="F3277" s="11">
        <v>44987</v>
      </c>
      <c r="G3277" s="2">
        <f>VLOOKUP(E3277,Produtos!$A:$E,5,FALSE)</f>
        <v>350</v>
      </c>
      <c r="H3277" s="2">
        <f>VLOOKUP(E3277,Produtos!$A:$E,4,FALSE)</f>
        <v>200</v>
      </c>
      <c r="I3277" s="2">
        <v>2</v>
      </c>
    </row>
    <row r="3278" spans="1:9" x14ac:dyDescent="0.25">
      <c r="A3278" s="2" t="str">
        <f>CONCATENATE(Códigos!S3277,Códigos!T3277,Códigos!U3277)</f>
        <v>svv3276v</v>
      </c>
      <c r="B3278" t="s">
        <v>336</v>
      </c>
      <c r="C3278" t="s">
        <v>323</v>
      </c>
      <c r="D3278" s="2" t="s">
        <v>325</v>
      </c>
      <c r="E3278" t="s">
        <v>492</v>
      </c>
      <c r="F3278" s="11">
        <v>44988</v>
      </c>
      <c r="G3278" s="2">
        <f>VLOOKUP(E3278,Produtos!$A:$E,5,FALSE)</f>
        <v>350</v>
      </c>
      <c r="H3278" s="2">
        <f>VLOOKUP(E3278,Produtos!$A:$E,4,FALSE)</f>
        <v>200</v>
      </c>
      <c r="I3278" s="2">
        <v>2</v>
      </c>
    </row>
    <row r="3279" spans="1:9" x14ac:dyDescent="0.25">
      <c r="A3279" s="2" t="str">
        <f>CONCATENATE(Códigos!S3278,Códigos!T3278,Códigos!U3278)</f>
        <v>svv3277v</v>
      </c>
      <c r="B3279" t="s">
        <v>336</v>
      </c>
      <c r="C3279" t="s">
        <v>323</v>
      </c>
      <c r="D3279" s="2" t="s">
        <v>325</v>
      </c>
      <c r="E3279" t="s">
        <v>492</v>
      </c>
      <c r="F3279" s="11">
        <v>44989</v>
      </c>
      <c r="G3279" s="2">
        <f>VLOOKUP(E3279,Produtos!$A:$E,5,FALSE)</f>
        <v>350</v>
      </c>
      <c r="H3279" s="2">
        <f>VLOOKUP(E3279,Produtos!$A:$E,4,FALSE)</f>
        <v>200</v>
      </c>
      <c r="I3279" s="2">
        <v>2</v>
      </c>
    </row>
    <row r="3280" spans="1:9" x14ac:dyDescent="0.25">
      <c r="A3280" s="2" t="str">
        <f>CONCATENATE(Códigos!S3279,Códigos!T3279,Códigos!U3279)</f>
        <v>svv3278v</v>
      </c>
      <c r="B3280" t="s">
        <v>336</v>
      </c>
      <c r="C3280" t="s">
        <v>323</v>
      </c>
      <c r="D3280" s="2" t="s">
        <v>325</v>
      </c>
      <c r="E3280" t="s">
        <v>492</v>
      </c>
      <c r="F3280" s="11">
        <v>44990</v>
      </c>
      <c r="G3280" s="2">
        <f>VLOOKUP(E3280,Produtos!$A:$E,5,FALSE)</f>
        <v>350</v>
      </c>
      <c r="H3280" s="2">
        <f>VLOOKUP(E3280,Produtos!$A:$E,4,FALSE)</f>
        <v>200</v>
      </c>
      <c r="I3280" s="2">
        <v>2</v>
      </c>
    </row>
    <row r="3281" spans="1:9" x14ac:dyDescent="0.25">
      <c r="A3281" s="2" t="str">
        <f>CONCATENATE(Códigos!S3280,Códigos!T3280,Códigos!U3280)</f>
        <v>svv3279v</v>
      </c>
      <c r="B3281" t="s">
        <v>336</v>
      </c>
      <c r="C3281" t="s">
        <v>323</v>
      </c>
      <c r="D3281" s="2" t="s">
        <v>325</v>
      </c>
      <c r="E3281" t="s">
        <v>492</v>
      </c>
      <c r="F3281" s="11">
        <v>44991</v>
      </c>
      <c r="G3281" s="2">
        <f>VLOOKUP(E3281,Produtos!$A:$E,5,FALSE)</f>
        <v>350</v>
      </c>
      <c r="H3281" s="2">
        <f>VLOOKUP(E3281,Produtos!$A:$E,4,FALSE)</f>
        <v>200</v>
      </c>
      <c r="I3281" s="2">
        <v>2</v>
      </c>
    </row>
    <row r="3282" spans="1:9" x14ac:dyDescent="0.25">
      <c r="A3282" s="2" t="str">
        <f>CONCATENATE(Códigos!S3281,Códigos!T3281,Códigos!U3281)</f>
        <v>svv3280v</v>
      </c>
      <c r="B3282" t="s">
        <v>336</v>
      </c>
      <c r="C3282" t="s">
        <v>323</v>
      </c>
      <c r="D3282" s="2" t="s">
        <v>325</v>
      </c>
      <c r="E3282" t="s">
        <v>492</v>
      </c>
      <c r="F3282" s="11">
        <v>44992</v>
      </c>
      <c r="G3282" s="2">
        <f>VLOOKUP(E3282,Produtos!$A:$E,5,FALSE)</f>
        <v>350</v>
      </c>
      <c r="H3282" s="2">
        <f>VLOOKUP(E3282,Produtos!$A:$E,4,FALSE)</f>
        <v>200</v>
      </c>
      <c r="I3282" s="2">
        <v>2</v>
      </c>
    </row>
    <row r="3283" spans="1:9" x14ac:dyDescent="0.25">
      <c r="A3283" s="2" t="str">
        <f>CONCATENATE(Códigos!S3282,Códigos!T3282,Códigos!U3282)</f>
        <v>svv3281v</v>
      </c>
      <c r="B3283" t="s">
        <v>336</v>
      </c>
      <c r="C3283" t="s">
        <v>323</v>
      </c>
      <c r="D3283" s="2" t="s">
        <v>325</v>
      </c>
      <c r="E3283" t="s">
        <v>492</v>
      </c>
      <c r="F3283" s="11">
        <v>44993</v>
      </c>
      <c r="G3283" s="2">
        <f>VLOOKUP(E3283,Produtos!$A:$E,5,FALSE)</f>
        <v>350</v>
      </c>
      <c r="H3283" s="2">
        <f>VLOOKUP(E3283,Produtos!$A:$E,4,FALSE)</f>
        <v>200</v>
      </c>
      <c r="I3283" s="2">
        <v>2</v>
      </c>
    </row>
    <row r="3284" spans="1:9" x14ac:dyDescent="0.25">
      <c r="A3284" s="2" t="str">
        <f>CONCATENATE(Códigos!S3283,Códigos!T3283,Códigos!U3283)</f>
        <v>svv3282v</v>
      </c>
      <c r="B3284" t="s">
        <v>336</v>
      </c>
      <c r="C3284" t="s">
        <v>323</v>
      </c>
      <c r="D3284" s="2" t="s">
        <v>325</v>
      </c>
      <c r="E3284" t="s">
        <v>492</v>
      </c>
      <c r="F3284" s="11">
        <v>44994</v>
      </c>
      <c r="G3284" s="2">
        <f>VLOOKUP(E3284,Produtos!$A:$E,5,FALSE)</f>
        <v>350</v>
      </c>
      <c r="H3284" s="2">
        <f>VLOOKUP(E3284,Produtos!$A:$E,4,FALSE)</f>
        <v>200</v>
      </c>
      <c r="I3284" s="2">
        <v>2</v>
      </c>
    </row>
    <row r="3285" spans="1:9" x14ac:dyDescent="0.25">
      <c r="A3285" s="2" t="str">
        <f>CONCATENATE(Códigos!S3284,Códigos!T3284,Códigos!U3284)</f>
        <v>svv3283v</v>
      </c>
      <c r="B3285" t="s">
        <v>336</v>
      </c>
      <c r="C3285" t="s">
        <v>323</v>
      </c>
      <c r="D3285" s="2" t="s">
        <v>325</v>
      </c>
      <c r="E3285" t="s">
        <v>492</v>
      </c>
      <c r="F3285" s="11">
        <v>44995</v>
      </c>
      <c r="G3285" s="2">
        <f>VLOOKUP(E3285,Produtos!$A:$E,5,FALSE)</f>
        <v>350</v>
      </c>
      <c r="H3285" s="2">
        <f>VLOOKUP(E3285,Produtos!$A:$E,4,FALSE)</f>
        <v>200</v>
      </c>
      <c r="I3285" s="2">
        <v>2</v>
      </c>
    </row>
    <row r="3286" spans="1:9" x14ac:dyDescent="0.25">
      <c r="A3286" s="2" t="str">
        <f>CONCATENATE(Códigos!S3285,Códigos!T3285,Códigos!U3285)</f>
        <v>svv3284v</v>
      </c>
      <c r="B3286" t="s">
        <v>336</v>
      </c>
      <c r="C3286" t="s">
        <v>323</v>
      </c>
      <c r="D3286" s="2" t="s">
        <v>325</v>
      </c>
      <c r="E3286" t="s">
        <v>492</v>
      </c>
      <c r="F3286" s="11">
        <v>44996</v>
      </c>
      <c r="G3286" s="2">
        <f>VLOOKUP(E3286,Produtos!$A:$E,5,FALSE)</f>
        <v>350</v>
      </c>
      <c r="H3286" s="2">
        <f>VLOOKUP(E3286,Produtos!$A:$E,4,FALSE)</f>
        <v>200</v>
      </c>
      <c r="I3286" s="2">
        <v>2</v>
      </c>
    </row>
    <row r="3287" spans="1:9" x14ac:dyDescent="0.25">
      <c r="A3287" s="2" t="str">
        <f>CONCATENATE(Códigos!S3286,Códigos!T3286,Códigos!U3286)</f>
        <v>svv3285v</v>
      </c>
      <c r="B3287" t="s">
        <v>336</v>
      </c>
      <c r="C3287" t="s">
        <v>323</v>
      </c>
      <c r="D3287" s="2" t="s">
        <v>325</v>
      </c>
      <c r="E3287" t="s">
        <v>492</v>
      </c>
      <c r="F3287" s="11">
        <v>44997</v>
      </c>
      <c r="G3287" s="2">
        <f>VLOOKUP(E3287,Produtos!$A:$E,5,FALSE)</f>
        <v>350</v>
      </c>
      <c r="H3287" s="2">
        <f>VLOOKUP(E3287,Produtos!$A:$E,4,FALSE)</f>
        <v>200</v>
      </c>
      <c r="I3287" s="2">
        <v>2</v>
      </c>
    </row>
    <row r="3288" spans="1:9" x14ac:dyDescent="0.25">
      <c r="A3288" s="2" t="str">
        <f>CONCATENATE(Códigos!S3287,Códigos!T3287,Códigos!U3287)</f>
        <v>svv3286v</v>
      </c>
      <c r="B3288" t="s">
        <v>336</v>
      </c>
      <c r="C3288" t="s">
        <v>323</v>
      </c>
      <c r="D3288" s="2" t="s">
        <v>325</v>
      </c>
      <c r="E3288" t="s">
        <v>492</v>
      </c>
      <c r="F3288" s="11">
        <v>44998</v>
      </c>
      <c r="G3288" s="2">
        <f>VLOOKUP(E3288,Produtos!$A:$E,5,FALSE)</f>
        <v>350</v>
      </c>
      <c r="H3288" s="2">
        <f>VLOOKUP(E3288,Produtos!$A:$E,4,FALSE)</f>
        <v>200</v>
      </c>
      <c r="I3288" s="2">
        <v>2</v>
      </c>
    </row>
    <row r="3289" spans="1:9" x14ac:dyDescent="0.25">
      <c r="A3289" s="2" t="str">
        <f>CONCATENATE(Códigos!S3288,Códigos!T3288,Códigos!U3288)</f>
        <v>svv3287v</v>
      </c>
      <c r="B3289" t="s">
        <v>336</v>
      </c>
      <c r="C3289" t="s">
        <v>323</v>
      </c>
      <c r="D3289" s="2" t="s">
        <v>325</v>
      </c>
      <c r="E3289" t="s">
        <v>492</v>
      </c>
      <c r="F3289" s="11">
        <v>44999</v>
      </c>
      <c r="G3289" s="2">
        <f>VLOOKUP(E3289,Produtos!$A:$E,5,FALSE)</f>
        <v>350</v>
      </c>
      <c r="H3289" s="2">
        <f>VLOOKUP(E3289,Produtos!$A:$E,4,FALSE)</f>
        <v>200</v>
      </c>
      <c r="I3289" s="2">
        <v>2</v>
      </c>
    </row>
    <row r="3290" spans="1:9" x14ac:dyDescent="0.25">
      <c r="A3290" s="2" t="str">
        <f>CONCATENATE(Códigos!S3289,Códigos!T3289,Códigos!U3289)</f>
        <v>svv3288v</v>
      </c>
      <c r="B3290" t="s">
        <v>336</v>
      </c>
      <c r="C3290" t="s">
        <v>323</v>
      </c>
      <c r="D3290" s="2" t="s">
        <v>325</v>
      </c>
      <c r="E3290" t="s">
        <v>492</v>
      </c>
      <c r="F3290" s="11">
        <v>45000</v>
      </c>
      <c r="G3290" s="2">
        <f>VLOOKUP(E3290,Produtos!$A:$E,5,FALSE)</f>
        <v>350</v>
      </c>
      <c r="H3290" s="2">
        <f>VLOOKUP(E3290,Produtos!$A:$E,4,FALSE)</f>
        <v>200</v>
      </c>
      <c r="I3290" s="2">
        <v>2</v>
      </c>
    </row>
    <row r="3291" spans="1:9" x14ac:dyDescent="0.25">
      <c r="A3291" s="2" t="str">
        <f>CONCATENATE(Códigos!S3290,Códigos!T3290,Códigos!U3290)</f>
        <v>svv3289v</v>
      </c>
      <c r="B3291" t="s">
        <v>336</v>
      </c>
      <c r="C3291" t="s">
        <v>323</v>
      </c>
      <c r="D3291" s="2" t="s">
        <v>325</v>
      </c>
      <c r="E3291" t="s">
        <v>492</v>
      </c>
      <c r="F3291" s="11">
        <v>45001</v>
      </c>
      <c r="G3291" s="2">
        <f>VLOOKUP(E3291,Produtos!$A:$E,5,FALSE)</f>
        <v>350</v>
      </c>
      <c r="H3291" s="2">
        <f>VLOOKUP(E3291,Produtos!$A:$E,4,FALSE)</f>
        <v>200</v>
      </c>
      <c r="I3291" s="2">
        <v>2</v>
      </c>
    </row>
    <row r="3292" spans="1:9" x14ac:dyDescent="0.25">
      <c r="A3292" s="2" t="str">
        <f>CONCATENATE(Códigos!S3291,Códigos!T3291,Códigos!U3291)</f>
        <v>svv3290v</v>
      </c>
      <c r="B3292" t="s">
        <v>336</v>
      </c>
      <c r="C3292" t="s">
        <v>323</v>
      </c>
      <c r="D3292" s="2" t="s">
        <v>325</v>
      </c>
      <c r="E3292" t="s">
        <v>492</v>
      </c>
      <c r="F3292" s="11">
        <v>45002</v>
      </c>
      <c r="G3292" s="2">
        <f>VLOOKUP(E3292,Produtos!$A:$E,5,FALSE)</f>
        <v>350</v>
      </c>
      <c r="H3292" s="2">
        <f>VLOOKUP(E3292,Produtos!$A:$E,4,FALSE)</f>
        <v>200</v>
      </c>
      <c r="I3292" s="2">
        <v>2</v>
      </c>
    </row>
    <row r="3293" spans="1:9" x14ac:dyDescent="0.25">
      <c r="A3293" s="2" t="str">
        <f>CONCATENATE(Códigos!S3292,Códigos!T3292,Códigos!U3292)</f>
        <v>svv3291v</v>
      </c>
      <c r="B3293" t="s">
        <v>336</v>
      </c>
      <c r="C3293" t="s">
        <v>323</v>
      </c>
      <c r="D3293" s="2" t="s">
        <v>325</v>
      </c>
      <c r="E3293" t="s">
        <v>492</v>
      </c>
      <c r="F3293" s="11">
        <v>45003</v>
      </c>
      <c r="G3293" s="2">
        <f>VLOOKUP(E3293,Produtos!$A:$E,5,FALSE)</f>
        <v>350</v>
      </c>
      <c r="H3293" s="2">
        <f>VLOOKUP(E3293,Produtos!$A:$E,4,FALSE)</f>
        <v>200</v>
      </c>
      <c r="I3293" s="2">
        <v>2</v>
      </c>
    </row>
    <row r="3294" spans="1:9" x14ac:dyDescent="0.25">
      <c r="A3294" s="2" t="str">
        <f>CONCATENATE(Códigos!S3293,Códigos!T3293,Códigos!U3293)</f>
        <v>svv3292v</v>
      </c>
      <c r="B3294" t="s">
        <v>371</v>
      </c>
      <c r="C3294" t="s">
        <v>458</v>
      </c>
      <c r="D3294" s="2" t="s">
        <v>459</v>
      </c>
      <c r="E3294" t="s">
        <v>492</v>
      </c>
      <c r="F3294" s="11">
        <v>45004</v>
      </c>
      <c r="G3294" s="2">
        <f>VLOOKUP(E3294,Produtos!$A:$E,5,FALSE)</f>
        <v>350</v>
      </c>
      <c r="H3294" s="2">
        <f>VLOOKUP(E3294,Produtos!$A:$E,4,FALSE)</f>
        <v>200</v>
      </c>
      <c r="I3294" s="2">
        <v>2</v>
      </c>
    </row>
    <row r="3295" spans="1:9" x14ac:dyDescent="0.25">
      <c r="A3295" s="2" t="str">
        <f>CONCATENATE(Códigos!S3294,Códigos!T3294,Códigos!U3294)</f>
        <v>svv3293v</v>
      </c>
      <c r="B3295" t="s">
        <v>371</v>
      </c>
      <c r="C3295" t="s">
        <v>458</v>
      </c>
      <c r="D3295" s="2" t="s">
        <v>459</v>
      </c>
      <c r="E3295" t="s">
        <v>492</v>
      </c>
      <c r="F3295" s="11">
        <v>45005</v>
      </c>
      <c r="G3295" s="2">
        <f>VLOOKUP(E3295,Produtos!$A:$E,5,FALSE)</f>
        <v>350</v>
      </c>
      <c r="H3295" s="2">
        <f>VLOOKUP(E3295,Produtos!$A:$E,4,FALSE)</f>
        <v>200</v>
      </c>
      <c r="I3295" s="2">
        <v>2</v>
      </c>
    </row>
    <row r="3296" spans="1:9" x14ac:dyDescent="0.25">
      <c r="A3296" s="2" t="str">
        <f>CONCATENATE(Códigos!S3295,Códigos!T3295,Códigos!U3295)</f>
        <v>svv3294v</v>
      </c>
      <c r="B3296" t="s">
        <v>371</v>
      </c>
      <c r="C3296" t="s">
        <v>458</v>
      </c>
      <c r="D3296" s="2" t="s">
        <v>459</v>
      </c>
      <c r="E3296" t="s">
        <v>492</v>
      </c>
      <c r="F3296" s="11">
        <v>45006</v>
      </c>
      <c r="G3296" s="2">
        <f>VLOOKUP(E3296,Produtos!$A:$E,5,FALSE)</f>
        <v>350</v>
      </c>
      <c r="H3296" s="2">
        <f>VLOOKUP(E3296,Produtos!$A:$E,4,FALSE)</f>
        <v>200</v>
      </c>
      <c r="I3296" s="2">
        <v>2</v>
      </c>
    </row>
    <row r="3297" spans="1:9" x14ac:dyDescent="0.25">
      <c r="A3297" s="2" t="str">
        <f>CONCATENATE(Códigos!S3296,Códigos!T3296,Códigos!U3296)</f>
        <v>svv3295v</v>
      </c>
      <c r="B3297" t="s">
        <v>371</v>
      </c>
      <c r="C3297" t="s">
        <v>458</v>
      </c>
      <c r="D3297" s="2" t="s">
        <v>459</v>
      </c>
      <c r="E3297" t="s">
        <v>492</v>
      </c>
      <c r="F3297" s="11">
        <v>45007</v>
      </c>
      <c r="G3297" s="2">
        <f>VLOOKUP(E3297,Produtos!$A:$E,5,FALSE)</f>
        <v>350</v>
      </c>
      <c r="H3297" s="2">
        <f>VLOOKUP(E3297,Produtos!$A:$E,4,FALSE)</f>
        <v>200</v>
      </c>
      <c r="I3297" s="2">
        <v>2</v>
      </c>
    </row>
    <row r="3298" spans="1:9" x14ac:dyDescent="0.25">
      <c r="A3298" s="2" t="str">
        <f>CONCATENATE(Códigos!S3297,Códigos!T3297,Códigos!U3297)</f>
        <v>svv3296v</v>
      </c>
      <c r="B3298" t="s">
        <v>371</v>
      </c>
      <c r="C3298" t="s">
        <v>458</v>
      </c>
      <c r="D3298" s="2" t="s">
        <v>459</v>
      </c>
      <c r="E3298" t="s">
        <v>492</v>
      </c>
      <c r="F3298" s="11">
        <v>45008</v>
      </c>
      <c r="G3298" s="2">
        <f>VLOOKUP(E3298,Produtos!$A:$E,5,FALSE)</f>
        <v>350</v>
      </c>
      <c r="H3298" s="2">
        <f>VLOOKUP(E3298,Produtos!$A:$E,4,FALSE)</f>
        <v>200</v>
      </c>
      <c r="I3298" s="2">
        <v>2</v>
      </c>
    </row>
    <row r="3299" spans="1:9" x14ac:dyDescent="0.25">
      <c r="A3299" s="2" t="str">
        <f>CONCATENATE(Códigos!S3298,Códigos!T3298,Códigos!U3298)</f>
        <v>svv3297v</v>
      </c>
      <c r="B3299" t="s">
        <v>371</v>
      </c>
      <c r="C3299" t="s">
        <v>458</v>
      </c>
      <c r="D3299" s="2" t="s">
        <v>459</v>
      </c>
      <c r="E3299" t="s">
        <v>492</v>
      </c>
      <c r="F3299" s="11">
        <v>45009</v>
      </c>
      <c r="G3299" s="2">
        <f>VLOOKUP(E3299,Produtos!$A:$E,5,FALSE)</f>
        <v>350</v>
      </c>
      <c r="H3299" s="2">
        <f>VLOOKUP(E3299,Produtos!$A:$E,4,FALSE)</f>
        <v>200</v>
      </c>
      <c r="I3299" s="2">
        <v>2</v>
      </c>
    </row>
    <row r="3300" spans="1:9" x14ac:dyDescent="0.25">
      <c r="A3300" s="2" t="str">
        <f>CONCATENATE(Códigos!S3299,Códigos!T3299,Códigos!U3299)</f>
        <v>svv3298v</v>
      </c>
      <c r="B3300" t="s">
        <v>371</v>
      </c>
      <c r="C3300" t="s">
        <v>458</v>
      </c>
      <c r="D3300" s="2" t="s">
        <v>459</v>
      </c>
      <c r="E3300" t="s">
        <v>492</v>
      </c>
      <c r="F3300" s="11">
        <v>45010</v>
      </c>
      <c r="G3300" s="2">
        <f>VLOOKUP(E3300,Produtos!$A:$E,5,FALSE)</f>
        <v>350</v>
      </c>
      <c r="H3300" s="2">
        <f>VLOOKUP(E3300,Produtos!$A:$E,4,FALSE)</f>
        <v>200</v>
      </c>
      <c r="I3300" s="2">
        <v>2</v>
      </c>
    </row>
    <row r="3301" spans="1:9" x14ac:dyDescent="0.25">
      <c r="A3301" s="2" t="str">
        <f>CONCATENATE(Códigos!S3300,Códigos!T3300,Códigos!U3300)</f>
        <v>svv3299v</v>
      </c>
      <c r="B3301" t="s">
        <v>371</v>
      </c>
      <c r="C3301" t="s">
        <v>414</v>
      </c>
      <c r="D3301" s="2" t="s">
        <v>415</v>
      </c>
      <c r="E3301" t="s">
        <v>491</v>
      </c>
      <c r="F3301" s="11">
        <v>45011</v>
      </c>
      <c r="G3301" s="2">
        <f>VLOOKUP(E3301,Produtos!$A:$E,5,FALSE)</f>
        <v>700</v>
      </c>
      <c r="H3301" s="2">
        <f>VLOOKUP(E3301,Produtos!$A:$E,4,FALSE)</f>
        <v>350</v>
      </c>
      <c r="I3301" s="2">
        <v>2</v>
      </c>
    </row>
    <row r="3302" spans="1:9" x14ac:dyDescent="0.25">
      <c r="A3302" s="2" t="str">
        <f>CONCATENATE(Códigos!S3301,Códigos!T3301,Códigos!U3301)</f>
        <v>svv3300v</v>
      </c>
      <c r="B3302" t="s">
        <v>371</v>
      </c>
      <c r="C3302" t="s">
        <v>414</v>
      </c>
      <c r="D3302" s="2" t="s">
        <v>415</v>
      </c>
      <c r="E3302" t="s">
        <v>491</v>
      </c>
      <c r="F3302" s="11">
        <v>45012</v>
      </c>
      <c r="G3302" s="2">
        <f>VLOOKUP(E3302,Produtos!$A:$E,5,FALSE)</f>
        <v>700</v>
      </c>
      <c r="H3302" s="2">
        <f>VLOOKUP(E3302,Produtos!$A:$E,4,FALSE)</f>
        <v>350</v>
      </c>
      <c r="I3302" s="2">
        <v>2</v>
      </c>
    </row>
    <row r="3303" spans="1:9" x14ac:dyDescent="0.25">
      <c r="A3303" s="2" t="str">
        <f>CONCATENATE(Códigos!S3302,Códigos!T3302,Códigos!U3302)</f>
        <v>svv3301v</v>
      </c>
      <c r="B3303" t="s">
        <v>371</v>
      </c>
      <c r="C3303" t="s">
        <v>414</v>
      </c>
      <c r="D3303" s="2" t="s">
        <v>415</v>
      </c>
      <c r="E3303" t="s">
        <v>491</v>
      </c>
      <c r="F3303" s="11">
        <v>45013</v>
      </c>
      <c r="G3303" s="2">
        <f>VLOOKUP(E3303,Produtos!$A:$E,5,FALSE)</f>
        <v>700</v>
      </c>
      <c r="H3303" s="2">
        <f>VLOOKUP(E3303,Produtos!$A:$E,4,FALSE)</f>
        <v>350</v>
      </c>
      <c r="I3303" s="2">
        <v>2</v>
      </c>
    </row>
    <row r="3304" spans="1:9" x14ac:dyDescent="0.25">
      <c r="A3304" s="2" t="str">
        <f>CONCATENATE(Códigos!S3303,Códigos!T3303,Códigos!U3303)</f>
        <v>svv3302v</v>
      </c>
      <c r="B3304" t="s">
        <v>371</v>
      </c>
      <c r="C3304" t="s">
        <v>414</v>
      </c>
      <c r="D3304" s="2" t="s">
        <v>415</v>
      </c>
      <c r="E3304" t="s">
        <v>491</v>
      </c>
      <c r="F3304" s="11">
        <v>45014</v>
      </c>
      <c r="G3304" s="2">
        <f>VLOOKUP(E3304,Produtos!$A:$E,5,FALSE)</f>
        <v>700</v>
      </c>
      <c r="H3304" s="2">
        <f>VLOOKUP(E3304,Produtos!$A:$E,4,FALSE)</f>
        <v>350</v>
      </c>
      <c r="I3304" s="2">
        <v>2</v>
      </c>
    </row>
    <row r="3305" spans="1:9" x14ac:dyDescent="0.25">
      <c r="A3305" s="2" t="str">
        <f>CONCATENATE(Códigos!S3304,Códigos!T3304,Códigos!U3304)</f>
        <v>svv3303v</v>
      </c>
      <c r="B3305" t="s">
        <v>371</v>
      </c>
      <c r="C3305" t="s">
        <v>414</v>
      </c>
      <c r="D3305" s="2" t="s">
        <v>415</v>
      </c>
      <c r="E3305" t="s">
        <v>491</v>
      </c>
      <c r="F3305" s="11">
        <v>45015</v>
      </c>
      <c r="G3305" s="2">
        <f>VLOOKUP(E3305,Produtos!$A:$E,5,FALSE)</f>
        <v>700</v>
      </c>
      <c r="H3305" s="2">
        <f>VLOOKUP(E3305,Produtos!$A:$E,4,FALSE)</f>
        <v>350</v>
      </c>
      <c r="I3305" s="2">
        <v>2</v>
      </c>
    </row>
    <row r="3306" spans="1:9" x14ac:dyDescent="0.25">
      <c r="A3306" s="2" t="str">
        <f>CONCATENATE(Códigos!S3305,Códigos!T3305,Códigos!U3305)</f>
        <v>svv3304v</v>
      </c>
      <c r="B3306" t="s">
        <v>371</v>
      </c>
      <c r="C3306" t="s">
        <v>414</v>
      </c>
      <c r="D3306" s="2" t="s">
        <v>415</v>
      </c>
      <c r="E3306" t="s">
        <v>491</v>
      </c>
      <c r="F3306" s="11">
        <v>45016</v>
      </c>
      <c r="G3306" s="2">
        <f>VLOOKUP(E3306,Produtos!$A:$E,5,FALSE)</f>
        <v>700</v>
      </c>
      <c r="H3306" s="2">
        <f>VLOOKUP(E3306,Produtos!$A:$E,4,FALSE)</f>
        <v>350</v>
      </c>
      <c r="I3306" s="2">
        <v>2</v>
      </c>
    </row>
    <row r="3307" spans="1:9" x14ac:dyDescent="0.25">
      <c r="A3307" s="2" t="str">
        <f>CONCATENATE(Códigos!S3306,Códigos!T3306,Códigos!U3306)</f>
        <v>svv3305v</v>
      </c>
      <c r="B3307" t="s">
        <v>371</v>
      </c>
      <c r="C3307" t="s">
        <v>414</v>
      </c>
      <c r="D3307" s="2" t="s">
        <v>415</v>
      </c>
      <c r="E3307" t="s">
        <v>491</v>
      </c>
      <c r="F3307" s="11">
        <v>45017</v>
      </c>
      <c r="G3307" s="2">
        <f>VLOOKUP(E3307,Produtos!$A:$E,5,FALSE)</f>
        <v>700</v>
      </c>
      <c r="H3307" s="2">
        <f>VLOOKUP(E3307,Produtos!$A:$E,4,FALSE)</f>
        <v>350</v>
      </c>
      <c r="I3307" s="2">
        <v>2</v>
      </c>
    </row>
    <row r="3308" spans="1:9" x14ac:dyDescent="0.25">
      <c r="A3308" s="2" t="str">
        <f>CONCATENATE(Códigos!S3307,Códigos!T3307,Códigos!U3307)</f>
        <v>svv3306v</v>
      </c>
      <c r="B3308" t="s">
        <v>371</v>
      </c>
      <c r="C3308" t="s">
        <v>414</v>
      </c>
      <c r="D3308" s="2" t="s">
        <v>415</v>
      </c>
      <c r="E3308" t="s">
        <v>491</v>
      </c>
      <c r="F3308" s="11">
        <v>45018</v>
      </c>
      <c r="G3308" s="2">
        <f>VLOOKUP(E3308,Produtos!$A:$E,5,FALSE)</f>
        <v>700</v>
      </c>
      <c r="H3308" s="2">
        <f>VLOOKUP(E3308,Produtos!$A:$E,4,FALSE)</f>
        <v>350</v>
      </c>
      <c r="I3308" s="2">
        <v>2</v>
      </c>
    </row>
    <row r="3309" spans="1:9" x14ac:dyDescent="0.25">
      <c r="A3309" s="2" t="str">
        <f>CONCATENATE(Códigos!S3308,Códigos!T3308,Códigos!U3308)</f>
        <v>svv3307v</v>
      </c>
      <c r="B3309" t="s">
        <v>371</v>
      </c>
      <c r="C3309" t="s">
        <v>414</v>
      </c>
      <c r="D3309" s="2" t="s">
        <v>415</v>
      </c>
      <c r="E3309" t="s">
        <v>491</v>
      </c>
      <c r="F3309" s="11">
        <v>45019</v>
      </c>
      <c r="G3309" s="2">
        <f>VLOOKUP(E3309,Produtos!$A:$E,5,FALSE)</f>
        <v>700</v>
      </c>
      <c r="H3309" s="2">
        <f>VLOOKUP(E3309,Produtos!$A:$E,4,FALSE)</f>
        <v>350</v>
      </c>
      <c r="I3309" s="2">
        <v>2</v>
      </c>
    </row>
    <row r="3310" spans="1:9" x14ac:dyDescent="0.25">
      <c r="A3310" s="2" t="str">
        <f>CONCATENATE(Códigos!S3309,Códigos!T3309,Códigos!U3309)</f>
        <v>svv3308v</v>
      </c>
      <c r="B3310" t="s">
        <v>371</v>
      </c>
      <c r="C3310" t="s">
        <v>414</v>
      </c>
      <c r="D3310" s="2" t="s">
        <v>415</v>
      </c>
      <c r="E3310" t="s">
        <v>491</v>
      </c>
      <c r="F3310" s="11">
        <v>45020</v>
      </c>
      <c r="G3310" s="2">
        <f>VLOOKUP(E3310,Produtos!$A:$E,5,FALSE)</f>
        <v>700</v>
      </c>
      <c r="H3310" s="2">
        <f>VLOOKUP(E3310,Produtos!$A:$E,4,FALSE)</f>
        <v>350</v>
      </c>
      <c r="I3310" s="2">
        <v>2</v>
      </c>
    </row>
    <row r="3311" spans="1:9" x14ac:dyDescent="0.25">
      <c r="A3311" s="2" t="str">
        <f>CONCATENATE(Códigos!S3310,Códigos!T3310,Códigos!U3310)</f>
        <v>svv3309v</v>
      </c>
      <c r="B3311" t="s">
        <v>371</v>
      </c>
      <c r="C3311" t="s">
        <v>414</v>
      </c>
      <c r="D3311" s="2" t="s">
        <v>415</v>
      </c>
      <c r="E3311" t="s">
        <v>491</v>
      </c>
      <c r="F3311" s="11">
        <v>45021</v>
      </c>
      <c r="G3311" s="2">
        <f>VLOOKUP(E3311,Produtos!$A:$E,5,FALSE)</f>
        <v>700</v>
      </c>
      <c r="H3311" s="2">
        <f>VLOOKUP(E3311,Produtos!$A:$E,4,FALSE)</f>
        <v>350</v>
      </c>
      <c r="I3311" s="2">
        <v>2</v>
      </c>
    </row>
    <row r="3312" spans="1:9" x14ac:dyDescent="0.25">
      <c r="A3312" s="2" t="str">
        <f>CONCATENATE(Códigos!S3311,Códigos!T3311,Códigos!U3311)</f>
        <v>svv3310v</v>
      </c>
      <c r="B3312" t="s">
        <v>371</v>
      </c>
      <c r="C3312" t="s">
        <v>414</v>
      </c>
      <c r="D3312" s="2" t="s">
        <v>415</v>
      </c>
      <c r="E3312" t="s">
        <v>491</v>
      </c>
      <c r="F3312" s="11">
        <v>45022</v>
      </c>
      <c r="G3312" s="2">
        <f>VLOOKUP(E3312,Produtos!$A:$E,5,FALSE)</f>
        <v>700</v>
      </c>
      <c r="H3312" s="2">
        <f>VLOOKUP(E3312,Produtos!$A:$E,4,FALSE)</f>
        <v>350</v>
      </c>
      <c r="I3312" s="2">
        <v>2</v>
      </c>
    </row>
    <row r="3313" spans="1:9" x14ac:dyDescent="0.25">
      <c r="A3313" s="2" t="str">
        <f>CONCATENATE(Códigos!S3312,Códigos!T3312,Códigos!U3312)</f>
        <v>svv3311v</v>
      </c>
      <c r="B3313" t="s">
        <v>371</v>
      </c>
      <c r="C3313" t="s">
        <v>414</v>
      </c>
      <c r="D3313" s="2" t="s">
        <v>415</v>
      </c>
      <c r="E3313" t="s">
        <v>491</v>
      </c>
      <c r="F3313" s="11">
        <v>45023</v>
      </c>
      <c r="G3313" s="2">
        <f>VLOOKUP(E3313,Produtos!$A:$E,5,FALSE)</f>
        <v>700</v>
      </c>
      <c r="H3313" s="2">
        <f>VLOOKUP(E3313,Produtos!$A:$E,4,FALSE)</f>
        <v>350</v>
      </c>
      <c r="I3313" s="2">
        <v>2</v>
      </c>
    </row>
    <row r="3314" spans="1:9" x14ac:dyDescent="0.25">
      <c r="A3314" s="2" t="str">
        <f>CONCATENATE(Códigos!S3313,Códigos!T3313,Códigos!U3313)</f>
        <v>svv3312v</v>
      </c>
      <c r="B3314" t="s">
        <v>371</v>
      </c>
      <c r="C3314" t="s">
        <v>414</v>
      </c>
      <c r="D3314" s="2" t="s">
        <v>415</v>
      </c>
      <c r="E3314" t="s">
        <v>491</v>
      </c>
      <c r="F3314" s="11">
        <v>45024</v>
      </c>
      <c r="G3314" s="2">
        <f>VLOOKUP(E3314,Produtos!$A:$E,5,FALSE)</f>
        <v>700</v>
      </c>
      <c r="H3314" s="2">
        <f>VLOOKUP(E3314,Produtos!$A:$E,4,FALSE)</f>
        <v>350</v>
      </c>
      <c r="I3314" s="2">
        <v>2</v>
      </c>
    </row>
    <row r="3315" spans="1:9" x14ac:dyDescent="0.25">
      <c r="A3315" s="2" t="str">
        <f>CONCATENATE(Códigos!S3314,Códigos!T3314,Códigos!U3314)</f>
        <v>svv3313v</v>
      </c>
      <c r="B3315" t="s">
        <v>371</v>
      </c>
      <c r="C3315" t="s">
        <v>414</v>
      </c>
      <c r="D3315" s="2" t="s">
        <v>415</v>
      </c>
      <c r="E3315" t="s">
        <v>491</v>
      </c>
      <c r="F3315" s="11">
        <v>45025</v>
      </c>
      <c r="G3315" s="2">
        <f>VLOOKUP(E3315,Produtos!$A:$E,5,FALSE)</f>
        <v>700</v>
      </c>
      <c r="H3315" s="2">
        <f>VLOOKUP(E3315,Produtos!$A:$E,4,FALSE)</f>
        <v>350</v>
      </c>
      <c r="I3315" s="2">
        <v>2</v>
      </c>
    </row>
    <row r="3316" spans="1:9" x14ac:dyDescent="0.25">
      <c r="A3316" s="2" t="str">
        <f>CONCATENATE(Códigos!S3315,Códigos!T3315,Códigos!U3315)</f>
        <v>svv3314v</v>
      </c>
      <c r="B3316" t="s">
        <v>371</v>
      </c>
      <c r="C3316" t="s">
        <v>414</v>
      </c>
      <c r="D3316" s="2" t="s">
        <v>415</v>
      </c>
      <c r="E3316" t="s">
        <v>491</v>
      </c>
      <c r="F3316" s="11">
        <v>45026</v>
      </c>
      <c r="G3316" s="2">
        <f>VLOOKUP(E3316,Produtos!$A:$E,5,FALSE)</f>
        <v>700</v>
      </c>
      <c r="H3316" s="2">
        <f>VLOOKUP(E3316,Produtos!$A:$E,4,FALSE)</f>
        <v>350</v>
      </c>
      <c r="I3316" s="2">
        <v>2</v>
      </c>
    </row>
    <row r="3317" spans="1:9" x14ac:dyDescent="0.25">
      <c r="A3317" s="2" t="str">
        <f>CONCATENATE(Códigos!S3316,Códigos!T3316,Códigos!U3316)</f>
        <v>svv3315v</v>
      </c>
      <c r="B3317" t="s">
        <v>371</v>
      </c>
      <c r="C3317" t="s">
        <v>414</v>
      </c>
      <c r="D3317" s="2" t="s">
        <v>415</v>
      </c>
      <c r="E3317" t="s">
        <v>491</v>
      </c>
      <c r="F3317" s="11">
        <v>45027</v>
      </c>
      <c r="G3317" s="2">
        <f>VLOOKUP(E3317,Produtos!$A:$E,5,FALSE)</f>
        <v>700</v>
      </c>
      <c r="H3317" s="2">
        <f>VLOOKUP(E3317,Produtos!$A:$E,4,FALSE)</f>
        <v>350</v>
      </c>
      <c r="I3317" s="2">
        <v>2</v>
      </c>
    </row>
    <row r="3318" spans="1:9" x14ac:dyDescent="0.25">
      <c r="A3318" s="2" t="str">
        <f>CONCATENATE(Códigos!S3317,Códigos!T3317,Códigos!U3317)</f>
        <v>svv3316v</v>
      </c>
      <c r="B3318" t="s">
        <v>371</v>
      </c>
      <c r="C3318" t="s">
        <v>414</v>
      </c>
      <c r="D3318" s="2" t="s">
        <v>415</v>
      </c>
      <c r="E3318" t="s">
        <v>491</v>
      </c>
      <c r="F3318" s="11">
        <v>45028</v>
      </c>
      <c r="G3318" s="2">
        <f>VLOOKUP(E3318,Produtos!$A:$E,5,FALSE)</f>
        <v>700</v>
      </c>
      <c r="H3318" s="2">
        <f>VLOOKUP(E3318,Produtos!$A:$E,4,FALSE)</f>
        <v>350</v>
      </c>
      <c r="I3318" s="2">
        <v>2</v>
      </c>
    </row>
    <row r="3319" spans="1:9" x14ac:dyDescent="0.25">
      <c r="A3319" s="2" t="str">
        <f>CONCATENATE(Códigos!S3318,Códigos!T3318,Códigos!U3318)</f>
        <v>svv3317v</v>
      </c>
      <c r="B3319" t="s">
        <v>371</v>
      </c>
      <c r="C3319" t="s">
        <v>414</v>
      </c>
      <c r="D3319" s="2" t="s">
        <v>415</v>
      </c>
      <c r="E3319" t="s">
        <v>491</v>
      </c>
      <c r="F3319" s="11">
        <v>45029</v>
      </c>
      <c r="G3319" s="2">
        <f>VLOOKUP(E3319,Produtos!$A:$E,5,FALSE)</f>
        <v>700</v>
      </c>
      <c r="H3319" s="2">
        <f>VLOOKUP(E3319,Produtos!$A:$E,4,FALSE)</f>
        <v>350</v>
      </c>
      <c r="I3319" s="2">
        <v>2</v>
      </c>
    </row>
    <row r="3320" spans="1:9" x14ac:dyDescent="0.25">
      <c r="A3320" s="2" t="str">
        <f>CONCATENATE(Códigos!S3319,Códigos!T3319,Códigos!U3319)</f>
        <v>svv3318v</v>
      </c>
      <c r="B3320" t="s">
        <v>371</v>
      </c>
      <c r="C3320" t="s">
        <v>414</v>
      </c>
      <c r="D3320" s="2" t="s">
        <v>415</v>
      </c>
      <c r="E3320" t="s">
        <v>491</v>
      </c>
      <c r="F3320" s="11">
        <v>45030</v>
      </c>
      <c r="G3320" s="2">
        <f>VLOOKUP(E3320,Produtos!$A:$E,5,FALSE)</f>
        <v>700</v>
      </c>
      <c r="H3320" s="2">
        <f>VLOOKUP(E3320,Produtos!$A:$E,4,FALSE)</f>
        <v>350</v>
      </c>
      <c r="I3320" s="2">
        <v>2</v>
      </c>
    </row>
    <row r="3321" spans="1:9" x14ac:dyDescent="0.25">
      <c r="A3321" s="2" t="str">
        <f>CONCATENATE(Códigos!S3320,Códigos!T3320,Códigos!U3320)</f>
        <v>svv3319v</v>
      </c>
      <c r="B3321" t="s">
        <v>371</v>
      </c>
      <c r="C3321" t="s">
        <v>414</v>
      </c>
      <c r="D3321" s="2" t="s">
        <v>415</v>
      </c>
      <c r="E3321" t="s">
        <v>491</v>
      </c>
      <c r="F3321" s="11">
        <v>45031</v>
      </c>
      <c r="G3321" s="2">
        <f>VLOOKUP(E3321,Produtos!$A:$E,5,FALSE)</f>
        <v>700</v>
      </c>
      <c r="H3321" s="2">
        <f>VLOOKUP(E3321,Produtos!$A:$E,4,FALSE)</f>
        <v>350</v>
      </c>
      <c r="I3321" s="2">
        <v>2</v>
      </c>
    </row>
    <row r="3322" spans="1:9" x14ac:dyDescent="0.25">
      <c r="A3322" s="2" t="str">
        <f>CONCATENATE(Códigos!S3321,Códigos!T3321,Códigos!U3321)</f>
        <v>svv3320v</v>
      </c>
      <c r="B3322" t="s">
        <v>371</v>
      </c>
      <c r="C3322" t="s">
        <v>414</v>
      </c>
      <c r="D3322" s="2" t="s">
        <v>415</v>
      </c>
      <c r="E3322" t="s">
        <v>491</v>
      </c>
      <c r="F3322" s="11">
        <v>45032</v>
      </c>
      <c r="G3322" s="2">
        <f>VLOOKUP(E3322,Produtos!$A:$E,5,FALSE)</f>
        <v>700</v>
      </c>
      <c r="H3322" s="2">
        <f>VLOOKUP(E3322,Produtos!$A:$E,4,FALSE)</f>
        <v>350</v>
      </c>
      <c r="I3322" s="2">
        <v>2</v>
      </c>
    </row>
    <row r="3323" spans="1:9" x14ac:dyDescent="0.25">
      <c r="A3323" s="2" t="str">
        <f>CONCATENATE(Códigos!S3322,Códigos!T3322,Códigos!U3322)</f>
        <v>svv3321v</v>
      </c>
      <c r="B3323" t="s">
        <v>371</v>
      </c>
      <c r="C3323" t="s">
        <v>414</v>
      </c>
      <c r="D3323" s="2" t="s">
        <v>415</v>
      </c>
      <c r="E3323" t="s">
        <v>491</v>
      </c>
      <c r="F3323" s="11">
        <v>45033</v>
      </c>
      <c r="G3323" s="2">
        <f>VLOOKUP(E3323,Produtos!$A:$E,5,FALSE)</f>
        <v>700</v>
      </c>
      <c r="H3323" s="2">
        <f>VLOOKUP(E3323,Produtos!$A:$E,4,FALSE)</f>
        <v>350</v>
      </c>
      <c r="I3323" s="2">
        <v>3</v>
      </c>
    </row>
    <row r="3324" spans="1:9" x14ac:dyDescent="0.25">
      <c r="A3324" s="2" t="str">
        <f>CONCATENATE(Códigos!S3323,Códigos!T3323,Códigos!U3323)</f>
        <v>svv3322v</v>
      </c>
      <c r="B3324" t="s">
        <v>371</v>
      </c>
      <c r="C3324" t="s">
        <v>414</v>
      </c>
      <c r="D3324" s="2" t="s">
        <v>415</v>
      </c>
      <c r="E3324" t="s">
        <v>491</v>
      </c>
      <c r="F3324" s="11">
        <v>45034</v>
      </c>
      <c r="G3324" s="2">
        <f>VLOOKUP(E3324,Produtos!$A:$E,5,FALSE)</f>
        <v>700</v>
      </c>
      <c r="H3324" s="2">
        <f>VLOOKUP(E3324,Produtos!$A:$E,4,FALSE)</f>
        <v>350</v>
      </c>
      <c r="I3324" s="2">
        <v>3</v>
      </c>
    </row>
    <row r="3325" spans="1:9" x14ac:dyDescent="0.25">
      <c r="A3325" s="2" t="str">
        <f>CONCATENATE(Códigos!S3324,Códigos!T3324,Códigos!U3324)</f>
        <v>svv3323v</v>
      </c>
      <c r="B3325" t="s">
        <v>371</v>
      </c>
      <c r="C3325" t="s">
        <v>414</v>
      </c>
      <c r="D3325" s="2" t="s">
        <v>415</v>
      </c>
      <c r="E3325" t="s">
        <v>491</v>
      </c>
      <c r="F3325" s="11">
        <v>45035</v>
      </c>
      <c r="G3325" s="2">
        <f>VLOOKUP(E3325,Produtos!$A:$E,5,FALSE)</f>
        <v>700</v>
      </c>
      <c r="H3325" s="2">
        <f>VLOOKUP(E3325,Produtos!$A:$E,4,FALSE)</f>
        <v>350</v>
      </c>
      <c r="I3325" s="2">
        <v>3</v>
      </c>
    </row>
    <row r="3326" spans="1:9" x14ac:dyDescent="0.25">
      <c r="A3326" s="2" t="str">
        <f>CONCATENATE(Códigos!S3325,Códigos!T3325,Códigos!U3325)</f>
        <v>svv3324v</v>
      </c>
      <c r="B3326" t="s">
        <v>371</v>
      </c>
      <c r="C3326" t="s">
        <v>414</v>
      </c>
      <c r="D3326" s="2" t="s">
        <v>415</v>
      </c>
      <c r="E3326" t="s">
        <v>491</v>
      </c>
      <c r="F3326" s="11">
        <v>45036</v>
      </c>
      <c r="G3326" s="2">
        <f>VLOOKUP(E3326,Produtos!$A:$E,5,FALSE)</f>
        <v>700</v>
      </c>
      <c r="H3326" s="2">
        <f>VLOOKUP(E3326,Produtos!$A:$E,4,FALSE)</f>
        <v>350</v>
      </c>
      <c r="I3326" s="2">
        <v>3</v>
      </c>
    </row>
    <row r="3327" spans="1:9" x14ac:dyDescent="0.25">
      <c r="A3327" s="2" t="str">
        <f>CONCATENATE(Códigos!S3326,Códigos!T3326,Códigos!U3326)</f>
        <v>svv3325v</v>
      </c>
      <c r="B3327" t="s">
        <v>371</v>
      </c>
      <c r="C3327" t="s">
        <v>414</v>
      </c>
      <c r="D3327" s="2" t="s">
        <v>415</v>
      </c>
      <c r="E3327" t="s">
        <v>491</v>
      </c>
      <c r="F3327" s="11">
        <v>45037</v>
      </c>
      <c r="G3327" s="2">
        <f>VLOOKUP(E3327,Produtos!$A:$E,5,FALSE)</f>
        <v>700</v>
      </c>
      <c r="H3327" s="2">
        <f>VLOOKUP(E3327,Produtos!$A:$E,4,FALSE)</f>
        <v>350</v>
      </c>
      <c r="I3327" s="2">
        <v>3</v>
      </c>
    </row>
    <row r="3328" spans="1:9" x14ac:dyDescent="0.25">
      <c r="A3328" s="2" t="str">
        <f>CONCATENATE(Códigos!S3327,Códigos!T3327,Códigos!U3327)</f>
        <v>svv3326v</v>
      </c>
      <c r="B3328" t="s">
        <v>371</v>
      </c>
      <c r="C3328" t="s">
        <v>414</v>
      </c>
      <c r="D3328" s="2" t="s">
        <v>415</v>
      </c>
      <c r="E3328" t="s">
        <v>492</v>
      </c>
      <c r="F3328" s="11">
        <v>45038</v>
      </c>
      <c r="G3328" s="2">
        <f>VLOOKUP(E3328,Produtos!$A:$E,5,FALSE)</f>
        <v>350</v>
      </c>
      <c r="H3328" s="2">
        <f>VLOOKUP(E3328,Produtos!$A:$E,4,FALSE)</f>
        <v>200</v>
      </c>
      <c r="I3328" s="2">
        <v>3</v>
      </c>
    </row>
    <row r="3329" spans="1:9" x14ac:dyDescent="0.25">
      <c r="A3329" s="2" t="str">
        <f>CONCATENATE(Códigos!S3328,Códigos!T3328,Códigos!U3328)</f>
        <v>svv3327v</v>
      </c>
      <c r="B3329" t="s">
        <v>371</v>
      </c>
      <c r="C3329" t="s">
        <v>414</v>
      </c>
      <c r="D3329" s="2" t="s">
        <v>415</v>
      </c>
      <c r="E3329" t="s">
        <v>492</v>
      </c>
      <c r="F3329" s="11">
        <v>45039</v>
      </c>
      <c r="G3329" s="2">
        <f>VLOOKUP(E3329,Produtos!$A:$E,5,FALSE)</f>
        <v>350</v>
      </c>
      <c r="H3329" s="2">
        <f>VLOOKUP(E3329,Produtos!$A:$E,4,FALSE)</f>
        <v>200</v>
      </c>
      <c r="I3329" s="2">
        <v>3</v>
      </c>
    </row>
    <row r="3330" spans="1:9" x14ac:dyDescent="0.25">
      <c r="A3330" s="2" t="str">
        <f>CONCATENATE(Códigos!S3329,Códigos!T3329,Códigos!U3329)</f>
        <v>svv3328v</v>
      </c>
      <c r="B3330" t="s">
        <v>371</v>
      </c>
      <c r="C3330" t="s">
        <v>414</v>
      </c>
      <c r="D3330" s="2" t="s">
        <v>415</v>
      </c>
      <c r="E3330" t="s">
        <v>492</v>
      </c>
      <c r="F3330" s="11">
        <v>45040</v>
      </c>
      <c r="G3330" s="2">
        <f>VLOOKUP(E3330,Produtos!$A:$E,5,FALSE)</f>
        <v>350</v>
      </c>
      <c r="H3330" s="2">
        <f>VLOOKUP(E3330,Produtos!$A:$E,4,FALSE)</f>
        <v>200</v>
      </c>
      <c r="I3330" s="2">
        <v>3</v>
      </c>
    </row>
    <row r="3331" spans="1:9" x14ac:dyDescent="0.25">
      <c r="A3331" s="2" t="str">
        <f>CONCATENATE(Códigos!S3330,Códigos!T3330,Códigos!U3330)</f>
        <v>svv3329v</v>
      </c>
      <c r="B3331" t="s">
        <v>371</v>
      </c>
      <c r="C3331" t="s">
        <v>414</v>
      </c>
      <c r="D3331" s="2" t="s">
        <v>415</v>
      </c>
      <c r="E3331" t="s">
        <v>492</v>
      </c>
      <c r="F3331" s="11">
        <v>45041</v>
      </c>
      <c r="G3331" s="2">
        <f>VLOOKUP(E3331,Produtos!$A:$E,5,FALSE)</f>
        <v>350</v>
      </c>
      <c r="H3331" s="2">
        <f>VLOOKUP(E3331,Produtos!$A:$E,4,FALSE)</f>
        <v>200</v>
      </c>
      <c r="I3331" s="2">
        <v>3</v>
      </c>
    </row>
    <row r="3332" spans="1:9" x14ac:dyDescent="0.25">
      <c r="A3332" s="2" t="str">
        <f>CONCATENATE(Códigos!S3331,Códigos!T3331,Códigos!U3331)</f>
        <v>svv3330v</v>
      </c>
      <c r="B3332" t="s">
        <v>371</v>
      </c>
      <c r="C3332" t="s">
        <v>414</v>
      </c>
      <c r="D3332" s="2" t="s">
        <v>415</v>
      </c>
      <c r="E3332" t="s">
        <v>492</v>
      </c>
      <c r="F3332" s="11">
        <v>45042</v>
      </c>
      <c r="G3332" s="2">
        <f>VLOOKUP(E3332,Produtos!$A:$E,5,FALSE)</f>
        <v>350</v>
      </c>
      <c r="H3332" s="2">
        <f>VLOOKUP(E3332,Produtos!$A:$E,4,FALSE)</f>
        <v>200</v>
      </c>
      <c r="I3332" s="2">
        <v>3</v>
      </c>
    </row>
    <row r="3333" spans="1:9" x14ac:dyDescent="0.25">
      <c r="A3333" s="2" t="str">
        <f>CONCATENATE(Códigos!S3332,Códigos!T3332,Códigos!U3332)</f>
        <v>svv3331v</v>
      </c>
      <c r="B3333" t="s">
        <v>371</v>
      </c>
      <c r="C3333" t="s">
        <v>414</v>
      </c>
      <c r="D3333" s="2" t="s">
        <v>415</v>
      </c>
      <c r="E3333" t="s">
        <v>492</v>
      </c>
      <c r="F3333" s="11">
        <v>45043</v>
      </c>
      <c r="G3333" s="2">
        <f>VLOOKUP(E3333,Produtos!$A:$E,5,FALSE)</f>
        <v>350</v>
      </c>
      <c r="H3333" s="2">
        <f>VLOOKUP(E3333,Produtos!$A:$E,4,FALSE)</f>
        <v>200</v>
      </c>
      <c r="I3333" s="2">
        <v>3</v>
      </c>
    </row>
    <row r="3334" spans="1:9" x14ac:dyDescent="0.25">
      <c r="A3334" s="2" t="str">
        <f>CONCATENATE(Códigos!S3333,Códigos!T3333,Códigos!U3333)</f>
        <v>svv3332v</v>
      </c>
      <c r="B3334" t="s">
        <v>371</v>
      </c>
      <c r="C3334" t="s">
        <v>414</v>
      </c>
      <c r="D3334" s="2" t="s">
        <v>415</v>
      </c>
      <c r="E3334" t="s">
        <v>492</v>
      </c>
      <c r="F3334" s="11">
        <v>45044</v>
      </c>
      <c r="G3334" s="2">
        <f>VLOOKUP(E3334,Produtos!$A:$E,5,FALSE)</f>
        <v>350</v>
      </c>
      <c r="H3334" s="2">
        <f>VLOOKUP(E3334,Produtos!$A:$E,4,FALSE)</f>
        <v>200</v>
      </c>
      <c r="I3334" s="2">
        <v>3</v>
      </c>
    </row>
    <row r="3335" spans="1:9" x14ac:dyDescent="0.25">
      <c r="A3335" s="2" t="str">
        <f>CONCATENATE(Códigos!S3334,Códigos!T3334,Códigos!U3334)</f>
        <v>svv3333v</v>
      </c>
      <c r="B3335" t="s">
        <v>371</v>
      </c>
      <c r="C3335" t="s">
        <v>414</v>
      </c>
      <c r="D3335" s="2" t="s">
        <v>415</v>
      </c>
      <c r="E3335" t="s">
        <v>492</v>
      </c>
      <c r="F3335" s="11">
        <v>45045</v>
      </c>
      <c r="G3335" s="2">
        <f>VLOOKUP(E3335,Produtos!$A:$E,5,FALSE)</f>
        <v>350</v>
      </c>
      <c r="H3335" s="2">
        <f>VLOOKUP(E3335,Produtos!$A:$E,4,FALSE)</f>
        <v>200</v>
      </c>
      <c r="I3335" s="2">
        <v>3</v>
      </c>
    </row>
    <row r="3336" spans="1:9" x14ac:dyDescent="0.25">
      <c r="A3336" s="2" t="str">
        <f>CONCATENATE(Códigos!S3335,Códigos!T3335,Códigos!U3335)</f>
        <v>svv3334v</v>
      </c>
      <c r="B3336" t="s">
        <v>371</v>
      </c>
      <c r="C3336" t="s">
        <v>414</v>
      </c>
      <c r="D3336" s="2" t="s">
        <v>415</v>
      </c>
      <c r="E3336" t="s">
        <v>492</v>
      </c>
      <c r="F3336" s="11">
        <v>45046</v>
      </c>
      <c r="G3336" s="2">
        <f>VLOOKUP(E3336,Produtos!$A:$E,5,FALSE)</f>
        <v>350</v>
      </c>
      <c r="H3336" s="2">
        <f>VLOOKUP(E3336,Produtos!$A:$E,4,FALSE)</f>
        <v>200</v>
      </c>
      <c r="I3336" s="2">
        <v>3</v>
      </c>
    </row>
    <row r="3337" spans="1:9" x14ac:dyDescent="0.25">
      <c r="A3337" s="2" t="str">
        <f>CONCATENATE(Códigos!S3336,Códigos!T3336,Códigos!U3336)</f>
        <v>svv3335v</v>
      </c>
      <c r="B3337" t="s">
        <v>371</v>
      </c>
      <c r="C3337" t="s">
        <v>414</v>
      </c>
      <c r="D3337" s="2" t="s">
        <v>415</v>
      </c>
      <c r="E3337" t="s">
        <v>492</v>
      </c>
      <c r="F3337" s="11">
        <v>45047</v>
      </c>
      <c r="G3337" s="2">
        <f>VLOOKUP(E3337,Produtos!$A:$E,5,FALSE)</f>
        <v>350</v>
      </c>
      <c r="H3337" s="2">
        <f>VLOOKUP(E3337,Produtos!$A:$E,4,FALSE)</f>
        <v>200</v>
      </c>
      <c r="I3337" s="2">
        <v>3</v>
      </c>
    </row>
    <row r="3338" spans="1:9" x14ac:dyDescent="0.25">
      <c r="A3338" s="2" t="str">
        <f>CONCATENATE(Códigos!S3337,Códigos!T3337,Códigos!U3337)</f>
        <v>svv3336v</v>
      </c>
      <c r="B3338" t="s">
        <v>371</v>
      </c>
      <c r="C3338" t="s">
        <v>414</v>
      </c>
      <c r="D3338" s="2" t="s">
        <v>415</v>
      </c>
      <c r="E3338" t="s">
        <v>492</v>
      </c>
      <c r="F3338" s="11">
        <v>45048</v>
      </c>
      <c r="G3338" s="2">
        <f>VLOOKUP(E3338,Produtos!$A:$E,5,FALSE)</f>
        <v>350</v>
      </c>
      <c r="H3338" s="2">
        <f>VLOOKUP(E3338,Produtos!$A:$E,4,FALSE)</f>
        <v>200</v>
      </c>
      <c r="I3338" s="2">
        <v>3</v>
      </c>
    </row>
    <row r="3339" spans="1:9" x14ac:dyDescent="0.25">
      <c r="A3339" s="2" t="str">
        <f>CONCATENATE(Códigos!S3338,Códigos!T3338,Códigos!U3338)</f>
        <v>svv3337v</v>
      </c>
      <c r="B3339" t="s">
        <v>371</v>
      </c>
      <c r="C3339" t="s">
        <v>414</v>
      </c>
      <c r="D3339" s="2" t="s">
        <v>415</v>
      </c>
      <c r="E3339" t="s">
        <v>492</v>
      </c>
      <c r="F3339" s="11">
        <v>45049</v>
      </c>
      <c r="G3339" s="2">
        <f>VLOOKUP(E3339,Produtos!$A:$E,5,FALSE)</f>
        <v>350</v>
      </c>
      <c r="H3339" s="2">
        <f>VLOOKUP(E3339,Produtos!$A:$E,4,FALSE)</f>
        <v>200</v>
      </c>
      <c r="I3339" s="2">
        <v>3</v>
      </c>
    </row>
    <row r="3340" spans="1:9" x14ac:dyDescent="0.25">
      <c r="A3340" s="2" t="str">
        <f>CONCATENATE(Códigos!S3339,Códigos!T3339,Códigos!U3339)</f>
        <v>svv3338v</v>
      </c>
      <c r="B3340" t="s">
        <v>371</v>
      </c>
      <c r="C3340" t="s">
        <v>414</v>
      </c>
      <c r="D3340" s="2" t="s">
        <v>415</v>
      </c>
      <c r="E3340" t="s">
        <v>492</v>
      </c>
      <c r="F3340" s="11">
        <v>45050</v>
      </c>
      <c r="G3340" s="2">
        <f>VLOOKUP(E3340,Produtos!$A:$E,5,FALSE)</f>
        <v>350</v>
      </c>
      <c r="H3340" s="2">
        <f>VLOOKUP(E3340,Produtos!$A:$E,4,FALSE)</f>
        <v>200</v>
      </c>
      <c r="I3340" s="2">
        <v>3</v>
      </c>
    </row>
    <row r="3341" spans="1:9" x14ac:dyDescent="0.25">
      <c r="A3341" s="2" t="str">
        <f>CONCATENATE(Códigos!S3340,Códigos!T3340,Códigos!U3340)</f>
        <v>svv3339v</v>
      </c>
      <c r="B3341" t="s">
        <v>371</v>
      </c>
      <c r="C3341" t="s">
        <v>414</v>
      </c>
      <c r="D3341" s="2" t="s">
        <v>415</v>
      </c>
      <c r="E3341" t="s">
        <v>492</v>
      </c>
      <c r="F3341" s="11">
        <v>45051</v>
      </c>
      <c r="G3341" s="2">
        <f>VLOOKUP(E3341,Produtos!$A:$E,5,FALSE)</f>
        <v>350</v>
      </c>
      <c r="H3341" s="2">
        <f>VLOOKUP(E3341,Produtos!$A:$E,4,FALSE)</f>
        <v>200</v>
      </c>
      <c r="I3341" s="2">
        <v>3</v>
      </c>
    </row>
    <row r="3342" spans="1:9" x14ac:dyDescent="0.25">
      <c r="A3342" s="2" t="str">
        <f>CONCATENATE(Códigos!S3341,Códigos!T3341,Códigos!U3341)</f>
        <v>svv3340v</v>
      </c>
      <c r="B3342" t="s">
        <v>371</v>
      </c>
      <c r="C3342" t="s">
        <v>414</v>
      </c>
      <c r="D3342" s="2" t="s">
        <v>415</v>
      </c>
      <c r="E3342" t="s">
        <v>492</v>
      </c>
      <c r="F3342" s="11">
        <v>45052</v>
      </c>
      <c r="G3342" s="2">
        <f>VLOOKUP(E3342,Produtos!$A:$E,5,FALSE)</f>
        <v>350</v>
      </c>
      <c r="H3342" s="2">
        <f>VLOOKUP(E3342,Produtos!$A:$E,4,FALSE)</f>
        <v>200</v>
      </c>
      <c r="I3342" s="2">
        <v>3</v>
      </c>
    </row>
    <row r="3343" spans="1:9" x14ac:dyDescent="0.25">
      <c r="A3343" s="2" t="str">
        <f>CONCATENATE(Códigos!S3342,Códigos!T3342,Códigos!U3342)</f>
        <v>svv3341v</v>
      </c>
      <c r="B3343" t="s">
        <v>371</v>
      </c>
      <c r="C3343" t="s">
        <v>414</v>
      </c>
      <c r="D3343" s="2" t="s">
        <v>415</v>
      </c>
      <c r="E3343" t="s">
        <v>492</v>
      </c>
      <c r="F3343" s="11">
        <v>45053</v>
      </c>
      <c r="G3343" s="2">
        <f>VLOOKUP(E3343,Produtos!$A:$E,5,FALSE)</f>
        <v>350</v>
      </c>
      <c r="H3343" s="2">
        <f>VLOOKUP(E3343,Produtos!$A:$E,4,FALSE)</f>
        <v>200</v>
      </c>
      <c r="I3343" s="2">
        <v>3</v>
      </c>
    </row>
    <row r="3344" spans="1:9" x14ac:dyDescent="0.25">
      <c r="A3344" s="2" t="str">
        <f>CONCATENATE(Códigos!S3343,Códigos!T3343,Códigos!U3343)</f>
        <v>svv3342v</v>
      </c>
      <c r="B3344" t="s">
        <v>371</v>
      </c>
      <c r="C3344" t="s">
        <v>414</v>
      </c>
      <c r="D3344" s="2" t="s">
        <v>415</v>
      </c>
      <c r="E3344" t="s">
        <v>492</v>
      </c>
      <c r="F3344" s="11">
        <v>45054</v>
      </c>
      <c r="G3344" s="2">
        <f>VLOOKUP(E3344,Produtos!$A:$E,5,FALSE)</f>
        <v>350</v>
      </c>
      <c r="H3344" s="2">
        <f>VLOOKUP(E3344,Produtos!$A:$E,4,FALSE)</f>
        <v>200</v>
      </c>
      <c r="I3344" s="2">
        <v>3</v>
      </c>
    </row>
    <row r="3345" spans="1:9" x14ac:dyDescent="0.25">
      <c r="A3345" s="2" t="str">
        <f>CONCATENATE(Códigos!S3344,Códigos!T3344,Códigos!U3344)</f>
        <v>svv3343v</v>
      </c>
      <c r="B3345" t="s">
        <v>371</v>
      </c>
      <c r="C3345" t="s">
        <v>414</v>
      </c>
      <c r="D3345" s="2" t="s">
        <v>415</v>
      </c>
      <c r="E3345" t="s">
        <v>492</v>
      </c>
      <c r="F3345" s="11">
        <v>45055</v>
      </c>
      <c r="G3345" s="2">
        <f>VLOOKUP(E3345,Produtos!$A:$E,5,FALSE)</f>
        <v>350</v>
      </c>
      <c r="H3345" s="2">
        <f>VLOOKUP(E3345,Produtos!$A:$E,4,FALSE)</f>
        <v>200</v>
      </c>
      <c r="I3345" s="2">
        <v>3</v>
      </c>
    </row>
    <row r="3346" spans="1:9" x14ac:dyDescent="0.25">
      <c r="A3346" s="2" t="str">
        <f>CONCATENATE(Códigos!S3345,Códigos!T3345,Códigos!U3345)</f>
        <v>svv3344v</v>
      </c>
      <c r="B3346" t="s">
        <v>371</v>
      </c>
      <c r="C3346" t="s">
        <v>414</v>
      </c>
      <c r="D3346" s="2" t="s">
        <v>415</v>
      </c>
      <c r="E3346" t="s">
        <v>492</v>
      </c>
      <c r="F3346" s="11">
        <v>45056</v>
      </c>
      <c r="G3346" s="2">
        <f>VLOOKUP(E3346,Produtos!$A:$E,5,FALSE)</f>
        <v>350</v>
      </c>
      <c r="H3346" s="2">
        <f>VLOOKUP(E3346,Produtos!$A:$E,4,FALSE)</f>
        <v>200</v>
      </c>
      <c r="I3346" s="2">
        <v>3</v>
      </c>
    </row>
    <row r="3347" spans="1:9" x14ac:dyDescent="0.25">
      <c r="A3347" s="2" t="str">
        <f>CONCATENATE(Códigos!S3346,Códigos!T3346,Códigos!U3346)</f>
        <v>svv3345v</v>
      </c>
      <c r="B3347" t="s">
        <v>371</v>
      </c>
      <c r="C3347" t="s">
        <v>414</v>
      </c>
      <c r="D3347" s="2" t="s">
        <v>415</v>
      </c>
      <c r="E3347" t="s">
        <v>492</v>
      </c>
      <c r="F3347" s="11">
        <v>45057</v>
      </c>
      <c r="G3347" s="2">
        <f>VLOOKUP(E3347,Produtos!$A:$E,5,FALSE)</f>
        <v>350</v>
      </c>
      <c r="H3347" s="2">
        <f>VLOOKUP(E3347,Produtos!$A:$E,4,FALSE)</f>
        <v>200</v>
      </c>
      <c r="I3347" s="2">
        <v>3</v>
      </c>
    </row>
    <row r="3348" spans="1:9" x14ac:dyDescent="0.25">
      <c r="A3348" s="2" t="str">
        <f>CONCATENATE(Códigos!S3347,Códigos!T3347,Códigos!U3347)</f>
        <v>svv3346v</v>
      </c>
      <c r="B3348" t="s">
        <v>371</v>
      </c>
      <c r="C3348" t="s">
        <v>414</v>
      </c>
      <c r="D3348" s="2" t="s">
        <v>415</v>
      </c>
      <c r="E3348" t="s">
        <v>492</v>
      </c>
      <c r="F3348" s="11">
        <v>45058</v>
      </c>
      <c r="G3348" s="2">
        <f>VLOOKUP(E3348,Produtos!$A:$E,5,FALSE)</f>
        <v>350</v>
      </c>
      <c r="H3348" s="2">
        <f>VLOOKUP(E3348,Produtos!$A:$E,4,FALSE)</f>
        <v>200</v>
      </c>
      <c r="I3348" s="2">
        <v>3</v>
      </c>
    </row>
    <row r="3349" spans="1:9" x14ac:dyDescent="0.25">
      <c r="A3349" s="2" t="str">
        <f>CONCATENATE(Códigos!S3348,Códigos!T3348,Códigos!U3348)</f>
        <v>svv3347v</v>
      </c>
      <c r="B3349" t="s">
        <v>371</v>
      </c>
      <c r="C3349" t="s">
        <v>414</v>
      </c>
      <c r="D3349" s="2" t="s">
        <v>415</v>
      </c>
      <c r="E3349" t="s">
        <v>492</v>
      </c>
      <c r="F3349" s="11">
        <v>45059</v>
      </c>
      <c r="G3349" s="2">
        <f>VLOOKUP(E3349,Produtos!$A:$E,5,FALSE)</f>
        <v>350</v>
      </c>
      <c r="H3349" s="2">
        <f>VLOOKUP(E3349,Produtos!$A:$E,4,FALSE)</f>
        <v>200</v>
      </c>
      <c r="I3349" s="2">
        <v>3</v>
      </c>
    </row>
    <row r="3350" spans="1:9" x14ac:dyDescent="0.25">
      <c r="A3350" s="2" t="str">
        <f>CONCATENATE(Códigos!S3349,Códigos!T3349,Códigos!U3349)</f>
        <v>svv3348v</v>
      </c>
      <c r="B3350" t="s">
        <v>371</v>
      </c>
      <c r="C3350" t="s">
        <v>414</v>
      </c>
      <c r="D3350" s="2" t="s">
        <v>415</v>
      </c>
      <c r="E3350" t="s">
        <v>492</v>
      </c>
      <c r="F3350" s="11">
        <v>45060</v>
      </c>
      <c r="G3350" s="2">
        <f>VLOOKUP(E3350,Produtos!$A:$E,5,FALSE)</f>
        <v>350</v>
      </c>
      <c r="H3350" s="2">
        <f>VLOOKUP(E3350,Produtos!$A:$E,4,FALSE)</f>
        <v>200</v>
      </c>
      <c r="I3350" s="2">
        <v>3</v>
      </c>
    </row>
    <row r="3351" spans="1:9" x14ac:dyDescent="0.25">
      <c r="A3351" s="2" t="str">
        <f>CONCATENATE(Códigos!S3350,Códigos!T3350,Códigos!U3350)</f>
        <v>svv3349v</v>
      </c>
      <c r="B3351" t="s">
        <v>371</v>
      </c>
      <c r="C3351" t="s">
        <v>362</v>
      </c>
      <c r="D3351" s="2" t="s">
        <v>363</v>
      </c>
      <c r="E3351" t="s">
        <v>492</v>
      </c>
      <c r="F3351" s="11">
        <v>45061</v>
      </c>
      <c r="G3351" s="2">
        <f>VLOOKUP(E3351,Produtos!$A:$E,5,FALSE)</f>
        <v>350</v>
      </c>
      <c r="H3351" s="2">
        <f>VLOOKUP(E3351,Produtos!$A:$E,4,FALSE)</f>
        <v>200</v>
      </c>
      <c r="I3351" s="2">
        <v>3</v>
      </c>
    </row>
    <row r="3352" spans="1:9" x14ac:dyDescent="0.25">
      <c r="A3352" s="2" t="str">
        <f>CONCATENATE(Códigos!S3351,Códigos!T3351,Códigos!U3351)</f>
        <v>svv3350v</v>
      </c>
      <c r="B3352" t="s">
        <v>371</v>
      </c>
      <c r="C3352" t="s">
        <v>362</v>
      </c>
      <c r="D3352" s="2" t="s">
        <v>363</v>
      </c>
      <c r="E3352" t="s">
        <v>492</v>
      </c>
      <c r="F3352" s="11">
        <v>45062</v>
      </c>
      <c r="G3352" s="2">
        <f>VLOOKUP(E3352,Produtos!$A:$E,5,FALSE)</f>
        <v>350</v>
      </c>
      <c r="H3352" s="2">
        <f>VLOOKUP(E3352,Produtos!$A:$E,4,FALSE)</f>
        <v>200</v>
      </c>
      <c r="I3352" s="2">
        <v>3</v>
      </c>
    </row>
    <row r="3353" spans="1:9" x14ac:dyDescent="0.25">
      <c r="A3353" s="2" t="str">
        <f>CONCATENATE(Códigos!S3352,Códigos!T3352,Códigos!U3352)</f>
        <v>svv3351v</v>
      </c>
      <c r="B3353" t="s">
        <v>371</v>
      </c>
      <c r="C3353" t="s">
        <v>362</v>
      </c>
      <c r="D3353" s="2" t="s">
        <v>363</v>
      </c>
      <c r="E3353" t="s">
        <v>492</v>
      </c>
      <c r="F3353" s="11">
        <v>45063</v>
      </c>
      <c r="G3353" s="2">
        <f>VLOOKUP(E3353,Produtos!$A:$E,5,FALSE)</f>
        <v>350</v>
      </c>
      <c r="H3353" s="2">
        <f>VLOOKUP(E3353,Produtos!$A:$E,4,FALSE)</f>
        <v>200</v>
      </c>
      <c r="I3353" s="2">
        <v>3</v>
      </c>
    </row>
    <row r="3354" spans="1:9" x14ac:dyDescent="0.25">
      <c r="A3354" s="2" t="str">
        <f>CONCATENATE(Códigos!S3353,Códigos!T3353,Códigos!U3353)</f>
        <v>svv3352v</v>
      </c>
      <c r="B3354" t="s">
        <v>371</v>
      </c>
      <c r="C3354" t="s">
        <v>362</v>
      </c>
      <c r="D3354" s="2" t="s">
        <v>363</v>
      </c>
      <c r="E3354" t="s">
        <v>492</v>
      </c>
      <c r="F3354" s="11">
        <v>45064</v>
      </c>
      <c r="G3354" s="2">
        <f>VLOOKUP(E3354,Produtos!$A:$E,5,FALSE)</f>
        <v>350</v>
      </c>
      <c r="H3354" s="2">
        <f>VLOOKUP(E3354,Produtos!$A:$E,4,FALSE)</f>
        <v>200</v>
      </c>
      <c r="I3354" s="2">
        <v>3</v>
      </c>
    </row>
    <row r="3355" spans="1:9" x14ac:dyDescent="0.25">
      <c r="A3355" s="2" t="str">
        <f>CONCATENATE(Códigos!S3354,Códigos!T3354,Códigos!U3354)</f>
        <v>svv3353v</v>
      </c>
      <c r="B3355" t="s">
        <v>371</v>
      </c>
      <c r="C3355" t="s">
        <v>388</v>
      </c>
      <c r="D3355" s="2" t="s">
        <v>389</v>
      </c>
      <c r="E3355" t="s">
        <v>492</v>
      </c>
      <c r="F3355" s="11">
        <v>45065</v>
      </c>
      <c r="G3355" s="2">
        <f>VLOOKUP(E3355,Produtos!$A:$E,5,FALSE)</f>
        <v>350</v>
      </c>
      <c r="H3355" s="2">
        <f>VLOOKUP(E3355,Produtos!$A:$E,4,FALSE)</f>
        <v>200</v>
      </c>
      <c r="I3355" s="2">
        <v>3</v>
      </c>
    </row>
    <row r="3356" spans="1:9" x14ac:dyDescent="0.25">
      <c r="A3356" s="2" t="str">
        <f>CONCATENATE(Códigos!S3355,Códigos!T3355,Códigos!U3355)</f>
        <v>svv3354v</v>
      </c>
      <c r="B3356" t="s">
        <v>371</v>
      </c>
      <c r="C3356" t="s">
        <v>388</v>
      </c>
      <c r="D3356" s="2" t="s">
        <v>389</v>
      </c>
      <c r="E3356" t="s">
        <v>492</v>
      </c>
      <c r="F3356" s="11">
        <v>45066</v>
      </c>
      <c r="G3356" s="2">
        <f>VLOOKUP(E3356,Produtos!$A:$E,5,FALSE)</f>
        <v>350</v>
      </c>
      <c r="H3356" s="2">
        <f>VLOOKUP(E3356,Produtos!$A:$E,4,FALSE)</f>
        <v>200</v>
      </c>
      <c r="I3356" s="2">
        <v>3</v>
      </c>
    </row>
    <row r="3357" spans="1:9" x14ac:dyDescent="0.25">
      <c r="A3357" s="2" t="str">
        <f>CONCATENATE(Códigos!S3356,Códigos!T3356,Códigos!U3356)</f>
        <v>svv3355v</v>
      </c>
      <c r="B3357" t="s">
        <v>371</v>
      </c>
      <c r="C3357" t="s">
        <v>388</v>
      </c>
      <c r="D3357" s="2" t="s">
        <v>389</v>
      </c>
      <c r="E3357" t="s">
        <v>492</v>
      </c>
      <c r="F3357" s="11">
        <v>45067</v>
      </c>
      <c r="G3357" s="2">
        <f>VLOOKUP(E3357,Produtos!$A:$E,5,FALSE)</f>
        <v>350</v>
      </c>
      <c r="H3357" s="2">
        <f>VLOOKUP(E3357,Produtos!$A:$E,4,FALSE)</f>
        <v>200</v>
      </c>
      <c r="I3357" s="2">
        <v>3</v>
      </c>
    </row>
    <row r="3358" spans="1:9" x14ac:dyDescent="0.25">
      <c r="A3358" s="2" t="str">
        <f>CONCATENATE(Códigos!S3357,Códigos!T3357,Códigos!U3357)</f>
        <v>svv3356v</v>
      </c>
      <c r="B3358" t="s">
        <v>371</v>
      </c>
      <c r="C3358" t="s">
        <v>388</v>
      </c>
      <c r="D3358" s="2" t="s">
        <v>389</v>
      </c>
      <c r="E3358" t="s">
        <v>492</v>
      </c>
      <c r="F3358" s="11">
        <v>45068</v>
      </c>
      <c r="G3358" s="2">
        <f>VLOOKUP(E3358,Produtos!$A:$E,5,FALSE)</f>
        <v>350</v>
      </c>
      <c r="H3358" s="2">
        <f>VLOOKUP(E3358,Produtos!$A:$E,4,FALSE)</f>
        <v>200</v>
      </c>
      <c r="I3358" s="2">
        <v>3</v>
      </c>
    </row>
    <row r="3359" spans="1:9" x14ac:dyDescent="0.25">
      <c r="A3359" s="2" t="str">
        <f>CONCATENATE(Códigos!S3358,Códigos!T3358,Códigos!U3358)</f>
        <v>svv3357v</v>
      </c>
      <c r="B3359" t="s">
        <v>371</v>
      </c>
      <c r="C3359" t="s">
        <v>388</v>
      </c>
      <c r="D3359" s="2" t="s">
        <v>389</v>
      </c>
      <c r="E3359" t="s">
        <v>492</v>
      </c>
      <c r="F3359" s="11">
        <v>45069</v>
      </c>
      <c r="G3359" s="2">
        <f>VLOOKUP(E3359,Produtos!$A:$E,5,FALSE)</f>
        <v>350</v>
      </c>
      <c r="H3359" s="2">
        <f>VLOOKUP(E3359,Produtos!$A:$E,4,FALSE)</f>
        <v>200</v>
      </c>
      <c r="I3359" s="2">
        <v>3</v>
      </c>
    </row>
    <row r="3360" spans="1:9" x14ac:dyDescent="0.25">
      <c r="A3360" s="2" t="str">
        <f>CONCATENATE(Códigos!S3359,Códigos!T3359,Códigos!U3359)</f>
        <v>svv3358v</v>
      </c>
      <c r="B3360" t="s">
        <v>371</v>
      </c>
      <c r="C3360" t="s">
        <v>388</v>
      </c>
      <c r="D3360" s="2" t="s">
        <v>389</v>
      </c>
      <c r="E3360" t="s">
        <v>492</v>
      </c>
      <c r="F3360" s="11">
        <v>45070</v>
      </c>
      <c r="G3360" s="2">
        <f>VLOOKUP(E3360,Produtos!$A:$E,5,FALSE)</f>
        <v>350</v>
      </c>
      <c r="H3360" s="2">
        <f>VLOOKUP(E3360,Produtos!$A:$E,4,FALSE)</f>
        <v>200</v>
      </c>
      <c r="I3360" s="2">
        <v>3</v>
      </c>
    </row>
    <row r="3361" spans="1:9" x14ac:dyDescent="0.25">
      <c r="A3361" s="2" t="str">
        <f>CONCATENATE(Códigos!S3360,Códigos!T3360,Códigos!U3360)</f>
        <v>svv3359v</v>
      </c>
      <c r="B3361" t="s">
        <v>371</v>
      </c>
      <c r="C3361" t="s">
        <v>388</v>
      </c>
      <c r="D3361" s="2" t="s">
        <v>389</v>
      </c>
      <c r="E3361" t="s">
        <v>492</v>
      </c>
      <c r="F3361" s="11">
        <v>45071</v>
      </c>
      <c r="G3361" s="2">
        <f>VLOOKUP(E3361,Produtos!$A:$E,5,FALSE)</f>
        <v>350</v>
      </c>
      <c r="H3361" s="2">
        <f>VLOOKUP(E3361,Produtos!$A:$E,4,FALSE)</f>
        <v>200</v>
      </c>
      <c r="I3361" s="2">
        <v>3</v>
      </c>
    </row>
    <row r="3362" spans="1:9" x14ac:dyDescent="0.25">
      <c r="A3362" s="2" t="str">
        <f>CONCATENATE(Códigos!S3361,Códigos!T3361,Códigos!U3361)</f>
        <v>svv3360v</v>
      </c>
      <c r="B3362" t="s">
        <v>371</v>
      </c>
      <c r="C3362" t="s">
        <v>388</v>
      </c>
      <c r="D3362" s="2" t="s">
        <v>389</v>
      </c>
      <c r="E3362" t="s">
        <v>492</v>
      </c>
      <c r="F3362" s="11">
        <v>45072</v>
      </c>
      <c r="G3362" s="2">
        <f>VLOOKUP(E3362,Produtos!$A:$E,5,FALSE)</f>
        <v>350</v>
      </c>
      <c r="H3362" s="2">
        <f>VLOOKUP(E3362,Produtos!$A:$E,4,FALSE)</f>
        <v>200</v>
      </c>
      <c r="I3362" s="2">
        <v>3</v>
      </c>
    </row>
    <row r="3363" spans="1:9" x14ac:dyDescent="0.25">
      <c r="A3363" s="2" t="str">
        <f>CONCATENATE(Códigos!S3362,Códigos!T3362,Códigos!U3362)</f>
        <v>svv3361v</v>
      </c>
      <c r="B3363" t="s">
        <v>371</v>
      </c>
      <c r="C3363" t="s">
        <v>388</v>
      </c>
      <c r="D3363" s="2" t="s">
        <v>389</v>
      </c>
      <c r="E3363" t="s">
        <v>492</v>
      </c>
      <c r="F3363" s="11">
        <v>45073</v>
      </c>
      <c r="G3363" s="2">
        <f>VLOOKUP(E3363,Produtos!$A:$E,5,FALSE)</f>
        <v>350</v>
      </c>
      <c r="H3363" s="2">
        <f>VLOOKUP(E3363,Produtos!$A:$E,4,FALSE)</f>
        <v>200</v>
      </c>
      <c r="I3363" s="2">
        <v>3</v>
      </c>
    </row>
    <row r="3364" spans="1:9" x14ac:dyDescent="0.25">
      <c r="A3364" s="2" t="str">
        <f>CONCATENATE(Códigos!S3363,Códigos!T3363,Códigos!U3363)</f>
        <v>svv3362v</v>
      </c>
      <c r="B3364" t="s">
        <v>371</v>
      </c>
      <c r="C3364" t="s">
        <v>388</v>
      </c>
      <c r="D3364" s="2" t="s">
        <v>389</v>
      </c>
      <c r="E3364" t="s">
        <v>492</v>
      </c>
      <c r="F3364" s="11">
        <v>45074</v>
      </c>
      <c r="G3364" s="2">
        <f>VLOOKUP(E3364,Produtos!$A:$E,5,FALSE)</f>
        <v>350</v>
      </c>
      <c r="H3364" s="2">
        <f>VLOOKUP(E3364,Produtos!$A:$E,4,FALSE)</f>
        <v>200</v>
      </c>
      <c r="I3364" s="2">
        <v>3</v>
      </c>
    </row>
    <row r="3365" spans="1:9" x14ac:dyDescent="0.25">
      <c r="A3365" s="2" t="str">
        <f>CONCATENATE(Códigos!S3364,Códigos!T3364,Códigos!U3364)</f>
        <v>svv3363v</v>
      </c>
      <c r="B3365" t="s">
        <v>371</v>
      </c>
      <c r="C3365" t="s">
        <v>388</v>
      </c>
      <c r="D3365" s="2" t="s">
        <v>389</v>
      </c>
      <c r="E3365" t="s">
        <v>492</v>
      </c>
      <c r="F3365" s="11">
        <v>45075</v>
      </c>
      <c r="G3365" s="2">
        <f>VLOOKUP(E3365,Produtos!$A:$E,5,FALSE)</f>
        <v>350</v>
      </c>
      <c r="H3365" s="2">
        <f>VLOOKUP(E3365,Produtos!$A:$E,4,FALSE)</f>
        <v>200</v>
      </c>
      <c r="I3365" s="2">
        <v>2</v>
      </c>
    </row>
    <row r="3366" spans="1:9" x14ac:dyDescent="0.25">
      <c r="A3366" s="2" t="str">
        <f>CONCATENATE(Códigos!S3365,Códigos!T3365,Códigos!U3365)</f>
        <v>svv3364v</v>
      </c>
      <c r="B3366" t="s">
        <v>371</v>
      </c>
      <c r="C3366" t="s">
        <v>388</v>
      </c>
      <c r="D3366" s="2" t="s">
        <v>389</v>
      </c>
      <c r="E3366" t="s">
        <v>492</v>
      </c>
      <c r="F3366" s="11">
        <v>45076</v>
      </c>
      <c r="G3366" s="2">
        <f>VLOOKUP(E3366,Produtos!$A:$E,5,FALSE)</f>
        <v>350</v>
      </c>
      <c r="H3366" s="2">
        <f>VLOOKUP(E3366,Produtos!$A:$E,4,FALSE)</f>
        <v>200</v>
      </c>
      <c r="I3366" s="2">
        <v>2</v>
      </c>
    </row>
    <row r="3367" spans="1:9" x14ac:dyDescent="0.25">
      <c r="A3367" s="2" t="str">
        <f>CONCATENATE(Códigos!S3366,Códigos!T3366,Códigos!U3366)</f>
        <v>svv3365v</v>
      </c>
      <c r="B3367" t="s">
        <v>371</v>
      </c>
      <c r="C3367" t="s">
        <v>388</v>
      </c>
      <c r="D3367" s="2" t="s">
        <v>389</v>
      </c>
      <c r="E3367" t="s">
        <v>492</v>
      </c>
      <c r="F3367" s="11">
        <v>45077</v>
      </c>
      <c r="G3367" s="2">
        <f>VLOOKUP(E3367,Produtos!$A:$E,5,FALSE)</f>
        <v>350</v>
      </c>
      <c r="H3367" s="2">
        <f>VLOOKUP(E3367,Produtos!$A:$E,4,FALSE)</f>
        <v>200</v>
      </c>
      <c r="I3367" s="2">
        <v>2</v>
      </c>
    </row>
    <row r="3368" spans="1:9" x14ac:dyDescent="0.25">
      <c r="A3368" s="2" t="str">
        <f>CONCATENATE(Códigos!S3367,Códigos!T3367,Códigos!U3367)</f>
        <v>svv3366v</v>
      </c>
      <c r="B3368" t="s">
        <v>456</v>
      </c>
      <c r="C3368" t="s">
        <v>388</v>
      </c>
      <c r="D3368" s="2" t="s">
        <v>389</v>
      </c>
      <c r="E3368" t="s">
        <v>492</v>
      </c>
      <c r="F3368" s="11">
        <v>45078</v>
      </c>
      <c r="G3368" s="2">
        <f>VLOOKUP(E3368,Produtos!$A:$E,5,FALSE)</f>
        <v>350</v>
      </c>
      <c r="H3368" s="2">
        <f>VLOOKUP(E3368,Produtos!$A:$E,4,FALSE)</f>
        <v>200</v>
      </c>
      <c r="I3368" s="2">
        <v>2</v>
      </c>
    </row>
    <row r="3369" spans="1:9" x14ac:dyDescent="0.25">
      <c r="A3369" s="2" t="str">
        <f>CONCATENATE(Códigos!S3368,Códigos!T3368,Códigos!U3368)</f>
        <v>svv3367v</v>
      </c>
      <c r="B3369" t="s">
        <v>456</v>
      </c>
      <c r="C3369" t="s">
        <v>388</v>
      </c>
      <c r="D3369" s="2" t="s">
        <v>389</v>
      </c>
      <c r="E3369" t="s">
        <v>492</v>
      </c>
      <c r="F3369" s="11">
        <v>45079</v>
      </c>
      <c r="G3369" s="2">
        <f>VLOOKUP(E3369,Produtos!$A:$E,5,FALSE)</f>
        <v>350</v>
      </c>
      <c r="H3369" s="2">
        <f>VLOOKUP(E3369,Produtos!$A:$E,4,FALSE)</f>
        <v>200</v>
      </c>
      <c r="I3369" s="2">
        <v>2</v>
      </c>
    </row>
    <row r="3370" spans="1:9" x14ac:dyDescent="0.25">
      <c r="A3370" s="2" t="str">
        <f>CONCATENATE(Códigos!S3369,Códigos!T3369,Códigos!U3369)</f>
        <v>svv3368v</v>
      </c>
      <c r="B3370" t="s">
        <v>456</v>
      </c>
      <c r="C3370" t="s">
        <v>388</v>
      </c>
      <c r="D3370" s="2" t="s">
        <v>389</v>
      </c>
      <c r="E3370" t="s">
        <v>492</v>
      </c>
      <c r="F3370" s="11">
        <v>45080</v>
      </c>
      <c r="G3370" s="2">
        <f>VLOOKUP(E3370,Produtos!$A:$E,5,FALSE)</f>
        <v>350</v>
      </c>
      <c r="H3370" s="2">
        <f>VLOOKUP(E3370,Produtos!$A:$E,4,FALSE)</f>
        <v>200</v>
      </c>
      <c r="I3370" s="2">
        <v>2</v>
      </c>
    </row>
    <row r="3371" spans="1:9" x14ac:dyDescent="0.25">
      <c r="A3371" s="2" t="str">
        <f>CONCATENATE(Códigos!S3370,Códigos!T3370,Códigos!U3370)</f>
        <v>svv3369v</v>
      </c>
      <c r="B3371" t="s">
        <v>456</v>
      </c>
      <c r="C3371" t="s">
        <v>388</v>
      </c>
      <c r="D3371" s="2" t="s">
        <v>389</v>
      </c>
      <c r="E3371" t="s">
        <v>492</v>
      </c>
      <c r="F3371" s="11">
        <v>45081</v>
      </c>
      <c r="G3371" s="2">
        <f>VLOOKUP(E3371,Produtos!$A:$E,5,FALSE)</f>
        <v>350</v>
      </c>
      <c r="H3371" s="2">
        <f>VLOOKUP(E3371,Produtos!$A:$E,4,FALSE)</f>
        <v>200</v>
      </c>
      <c r="I3371" s="2">
        <v>2</v>
      </c>
    </row>
    <row r="3372" spans="1:9" x14ac:dyDescent="0.25">
      <c r="A3372" s="2" t="str">
        <f>CONCATENATE(Códigos!S3371,Códigos!T3371,Códigos!U3371)</f>
        <v>svv3370v</v>
      </c>
      <c r="B3372" t="s">
        <v>456</v>
      </c>
      <c r="C3372" t="s">
        <v>388</v>
      </c>
      <c r="D3372" s="2" t="s">
        <v>389</v>
      </c>
      <c r="E3372" t="s">
        <v>492</v>
      </c>
      <c r="F3372" s="11">
        <v>45082</v>
      </c>
      <c r="G3372" s="2">
        <f>VLOOKUP(E3372,Produtos!$A:$E,5,FALSE)</f>
        <v>350</v>
      </c>
      <c r="H3372" s="2">
        <f>VLOOKUP(E3372,Produtos!$A:$E,4,FALSE)</f>
        <v>200</v>
      </c>
      <c r="I3372" s="2">
        <v>2</v>
      </c>
    </row>
    <row r="3373" spans="1:9" x14ac:dyDescent="0.25">
      <c r="A3373" s="2" t="str">
        <f>CONCATENATE(Códigos!S3372,Códigos!T3372,Códigos!U3372)</f>
        <v>svv3371v</v>
      </c>
      <c r="B3373" t="s">
        <v>456</v>
      </c>
      <c r="C3373" t="s">
        <v>388</v>
      </c>
      <c r="D3373" s="2" t="s">
        <v>389</v>
      </c>
      <c r="E3373" t="s">
        <v>492</v>
      </c>
      <c r="F3373" s="11">
        <v>45083</v>
      </c>
      <c r="G3373" s="2">
        <f>VLOOKUP(E3373,Produtos!$A:$E,5,FALSE)</f>
        <v>350</v>
      </c>
      <c r="H3373" s="2">
        <f>VLOOKUP(E3373,Produtos!$A:$E,4,FALSE)</f>
        <v>200</v>
      </c>
      <c r="I3373" s="2">
        <v>2</v>
      </c>
    </row>
    <row r="3374" spans="1:9" x14ac:dyDescent="0.25">
      <c r="A3374" s="2" t="str">
        <f>CONCATENATE(Códigos!S3373,Códigos!T3373,Códigos!U3373)</f>
        <v>svv3372v</v>
      </c>
      <c r="B3374" t="s">
        <v>456</v>
      </c>
      <c r="C3374" t="s">
        <v>388</v>
      </c>
      <c r="D3374" s="2" t="s">
        <v>389</v>
      </c>
      <c r="E3374" t="s">
        <v>492</v>
      </c>
      <c r="F3374" s="11">
        <v>45084</v>
      </c>
      <c r="G3374" s="2">
        <f>VLOOKUP(E3374,Produtos!$A:$E,5,FALSE)</f>
        <v>350</v>
      </c>
      <c r="H3374" s="2">
        <f>VLOOKUP(E3374,Produtos!$A:$E,4,FALSE)</f>
        <v>200</v>
      </c>
      <c r="I3374" s="2">
        <v>2</v>
      </c>
    </row>
    <row r="3375" spans="1:9" x14ac:dyDescent="0.25">
      <c r="A3375" s="2" t="str">
        <f>CONCATENATE(Códigos!S3374,Códigos!T3374,Códigos!U3374)</f>
        <v>svv3373v</v>
      </c>
      <c r="B3375" t="s">
        <v>456</v>
      </c>
      <c r="C3375" t="s">
        <v>388</v>
      </c>
      <c r="D3375" s="2" t="s">
        <v>389</v>
      </c>
      <c r="E3375" t="s">
        <v>492</v>
      </c>
      <c r="F3375" s="11">
        <v>45085</v>
      </c>
      <c r="G3375" s="2">
        <f>VLOOKUP(E3375,Produtos!$A:$E,5,FALSE)</f>
        <v>350</v>
      </c>
      <c r="H3375" s="2">
        <f>VLOOKUP(E3375,Produtos!$A:$E,4,FALSE)</f>
        <v>200</v>
      </c>
      <c r="I3375" s="2">
        <v>2</v>
      </c>
    </row>
    <row r="3376" spans="1:9" x14ac:dyDescent="0.25">
      <c r="A3376" s="2" t="str">
        <f>CONCATENATE(Códigos!S3375,Códigos!T3375,Códigos!U3375)</f>
        <v>svv3374v</v>
      </c>
      <c r="B3376" t="s">
        <v>456</v>
      </c>
      <c r="C3376" t="s">
        <v>388</v>
      </c>
      <c r="D3376" s="2" t="s">
        <v>389</v>
      </c>
      <c r="E3376" t="s">
        <v>492</v>
      </c>
      <c r="F3376" s="11">
        <v>45086</v>
      </c>
      <c r="G3376" s="2">
        <f>VLOOKUP(E3376,Produtos!$A:$E,5,FALSE)</f>
        <v>350</v>
      </c>
      <c r="H3376" s="2">
        <f>VLOOKUP(E3376,Produtos!$A:$E,4,FALSE)</f>
        <v>200</v>
      </c>
      <c r="I3376" s="2">
        <v>2</v>
      </c>
    </row>
    <row r="3377" spans="1:9" x14ac:dyDescent="0.25">
      <c r="A3377" s="2" t="str">
        <f>CONCATENATE(Códigos!S3376,Códigos!T3376,Códigos!U3376)</f>
        <v>svv3375v</v>
      </c>
      <c r="B3377" t="s">
        <v>456</v>
      </c>
      <c r="C3377" t="s">
        <v>388</v>
      </c>
      <c r="D3377" s="2" t="s">
        <v>389</v>
      </c>
      <c r="E3377" t="s">
        <v>492</v>
      </c>
      <c r="F3377" s="11">
        <v>45087</v>
      </c>
      <c r="G3377" s="2">
        <f>VLOOKUP(E3377,Produtos!$A:$E,5,FALSE)</f>
        <v>350</v>
      </c>
      <c r="H3377" s="2">
        <f>VLOOKUP(E3377,Produtos!$A:$E,4,FALSE)</f>
        <v>200</v>
      </c>
      <c r="I3377" s="2">
        <v>2</v>
      </c>
    </row>
    <row r="3378" spans="1:9" x14ac:dyDescent="0.25">
      <c r="A3378" s="2" t="str">
        <f>CONCATENATE(Códigos!S3377,Códigos!T3377,Códigos!U3377)</f>
        <v>svv3376v</v>
      </c>
      <c r="B3378" t="s">
        <v>456</v>
      </c>
      <c r="C3378" t="s">
        <v>388</v>
      </c>
      <c r="D3378" s="2" t="s">
        <v>389</v>
      </c>
      <c r="E3378" t="s">
        <v>492</v>
      </c>
      <c r="F3378" s="11">
        <v>45088</v>
      </c>
      <c r="G3378" s="2">
        <f>VLOOKUP(E3378,Produtos!$A:$E,5,FALSE)</f>
        <v>350</v>
      </c>
      <c r="H3378" s="2">
        <f>VLOOKUP(E3378,Produtos!$A:$E,4,FALSE)</f>
        <v>200</v>
      </c>
      <c r="I3378" s="2">
        <v>2</v>
      </c>
    </row>
    <row r="3379" spans="1:9" x14ac:dyDescent="0.25">
      <c r="A3379" s="2" t="str">
        <f>CONCATENATE(Códigos!S3378,Códigos!T3378,Códigos!U3378)</f>
        <v>svv3377v</v>
      </c>
      <c r="B3379" t="s">
        <v>456</v>
      </c>
      <c r="C3379" t="s">
        <v>388</v>
      </c>
      <c r="D3379" s="2" t="s">
        <v>389</v>
      </c>
      <c r="E3379" t="s">
        <v>492</v>
      </c>
      <c r="F3379" s="11">
        <v>45089</v>
      </c>
      <c r="G3379" s="2">
        <f>VLOOKUP(E3379,Produtos!$A:$E,5,FALSE)</f>
        <v>350</v>
      </c>
      <c r="H3379" s="2">
        <f>VLOOKUP(E3379,Produtos!$A:$E,4,FALSE)</f>
        <v>200</v>
      </c>
      <c r="I3379" s="2">
        <v>2</v>
      </c>
    </row>
    <row r="3380" spans="1:9" x14ac:dyDescent="0.25">
      <c r="A3380" s="2" t="str">
        <f>CONCATENATE(Códigos!S3379,Códigos!T3379,Códigos!U3379)</f>
        <v>svv3378v</v>
      </c>
      <c r="B3380" t="s">
        <v>456</v>
      </c>
      <c r="C3380" t="s">
        <v>388</v>
      </c>
      <c r="D3380" s="2" t="s">
        <v>389</v>
      </c>
      <c r="E3380" t="s">
        <v>492</v>
      </c>
      <c r="F3380" s="11">
        <v>45090</v>
      </c>
      <c r="G3380" s="2">
        <f>VLOOKUP(E3380,Produtos!$A:$E,5,FALSE)</f>
        <v>350</v>
      </c>
      <c r="H3380" s="2">
        <f>VLOOKUP(E3380,Produtos!$A:$E,4,FALSE)</f>
        <v>200</v>
      </c>
      <c r="I3380" s="2">
        <v>2</v>
      </c>
    </row>
    <row r="3381" spans="1:9" x14ac:dyDescent="0.25">
      <c r="A3381" s="2" t="str">
        <f>CONCATENATE(Códigos!S3380,Códigos!T3380,Códigos!U3380)</f>
        <v>svv3379v</v>
      </c>
      <c r="B3381" t="s">
        <v>456</v>
      </c>
      <c r="C3381" t="s">
        <v>388</v>
      </c>
      <c r="D3381" s="2" t="s">
        <v>389</v>
      </c>
      <c r="E3381" t="s">
        <v>492</v>
      </c>
      <c r="F3381" s="11">
        <v>45091</v>
      </c>
      <c r="G3381" s="2">
        <f>VLOOKUP(E3381,Produtos!$A:$E,5,FALSE)</f>
        <v>350</v>
      </c>
      <c r="H3381" s="2">
        <f>VLOOKUP(E3381,Produtos!$A:$E,4,FALSE)</f>
        <v>200</v>
      </c>
      <c r="I3381" s="2">
        <v>2</v>
      </c>
    </row>
    <row r="3382" spans="1:9" x14ac:dyDescent="0.25">
      <c r="A3382" s="2" t="str">
        <f>CONCATENATE(Códigos!S3381,Códigos!T3381,Códigos!U3381)</f>
        <v>svv3380v</v>
      </c>
      <c r="B3382" t="s">
        <v>456</v>
      </c>
      <c r="C3382" t="s">
        <v>388</v>
      </c>
      <c r="D3382" s="2" t="s">
        <v>389</v>
      </c>
      <c r="E3382" t="s">
        <v>492</v>
      </c>
      <c r="F3382" s="11">
        <v>45092</v>
      </c>
      <c r="G3382" s="2">
        <f>VLOOKUP(E3382,Produtos!$A:$E,5,FALSE)</f>
        <v>350</v>
      </c>
      <c r="H3382" s="2">
        <f>VLOOKUP(E3382,Produtos!$A:$E,4,FALSE)</f>
        <v>200</v>
      </c>
      <c r="I3382" s="2">
        <v>2</v>
      </c>
    </row>
    <row r="3383" spans="1:9" x14ac:dyDescent="0.25">
      <c r="A3383" s="2" t="str">
        <f>CONCATENATE(Códigos!S3382,Códigos!T3382,Códigos!U3382)</f>
        <v>svv3381v</v>
      </c>
      <c r="B3383" t="s">
        <v>456</v>
      </c>
      <c r="C3383" t="s">
        <v>388</v>
      </c>
      <c r="D3383" s="2" t="s">
        <v>389</v>
      </c>
      <c r="E3383" t="s">
        <v>492</v>
      </c>
      <c r="F3383" s="11">
        <v>45093</v>
      </c>
      <c r="G3383" s="2">
        <f>VLOOKUP(E3383,Produtos!$A:$E,5,FALSE)</f>
        <v>350</v>
      </c>
      <c r="H3383" s="2">
        <f>VLOOKUP(E3383,Produtos!$A:$E,4,FALSE)</f>
        <v>200</v>
      </c>
      <c r="I3383" s="2">
        <v>2</v>
      </c>
    </row>
    <row r="3384" spans="1:9" x14ac:dyDescent="0.25">
      <c r="A3384" s="2" t="str">
        <f>CONCATENATE(Códigos!S3383,Códigos!T3383,Códigos!U3383)</f>
        <v>svv3382v</v>
      </c>
      <c r="B3384" t="s">
        <v>456</v>
      </c>
      <c r="C3384" t="s">
        <v>388</v>
      </c>
      <c r="D3384" s="2" t="s">
        <v>389</v>
      </c>
      <c r="E3384" t="s">
        <v>492</v>
      </c>
      <c r="F3384" s="11">
        <v>45094</v>
      </c>
      <c r="G3384" s="2">
        <f>VLOOKUP(E3384,Produtos!$A:$E,5,FALSE)</f>
        <v>350</v>
      </c>
      <c r="H3384" s="2">
        <f>VLOOKUP(E3384,Produtos!$A:$E,4,FALSE)</f>
        <v>200</v>
      </c>
      <c r="I3384" s="2">
        <v>2</v>
      </c>
    </row>
    <row r="3385" spans="1:9" x14ac:dyDescent="0.25">
      <c r="A3385" s="2" t="str">
        <f>CONCATENATE(Códigos!S3384,Códigos!T3384,Códigos!U3384)</f>
        <v>svv3383v</v>
      </c>
      <c r="B3385" t="s">
        <v>456</v>
      </c>
      <c r="C3385" t="s">
        <v>388</v>
      </c>
      <c r="D3385" s="2" t="s">
        <v>389</v>
      </c>
      <c r="E3385" t="s">
        <v>492</v>
      </c>
      <c r="F3385" s="11">
        <v>45095</v>
      </c>
      <c r="G3385" s="2">
        <f>VLOOKUP(E3385,Produtos!$A:$E,5,FALSE)</f>
        <v>350</v>
      </c>
      <c r="H3385" s="2">
        <f>VLOOKUP(E3385,Produtos!$A:$E,4,FALSE)</f>
        <v>200</v>
      </c>
      <c r="I3385" s="2">
        <v>2</v>
      </c>
    </row>
    <row r="3386" spans="1:9" x14ac:dyDescent="0.25">
      <c r="A3386" s="2" t="str">
        <f>CONCATENATE(Códigos!S3385,Códigos!T3385,Códigos!U3385)</f>
        <v>svv3384v</v>
      </c>
      <c r="B3386" t="s">
        <v>456</v>
      </c>
      <c r="C3386" t="s">
        <v>388</v>
      </c>
      <c r="D3386" s="2" t="s">
        <v>389</v>
      </c>
      <c r="E3386" t="s">
        <v>492</v>
      </c>
      <c r="F3386" s="11">
        <v>45096</v>
      </c>
      <c r="G3386" s="2">
        <f>VLOOKUP(E3386,Produtos!$A:$E,5,FALSE)</f>
        <v>350</v>
      </c>
      <c r="H3386" s="2">
        <f>VLOOKUP(E3386,Produtos!$A:$E,4,FALSE)</f>
        <v>200</v>
      </c>
      <c r="I3386" s="2">
        <v>2</v>
      </c>
    </row>
    <row r="3387" spans="1:9" x14ac:dyDescent="0.25">
      <c r="A3387" s="2" t="str">
        <f>CONCATENATE(Códigos!S3386,Códigos!T3386,Códigos!U3386)</f>
        <v>svv3385v</v>
      </c>
      <c r="B3387" t="s">
        <v>456</v>
      </c>
      <c r="C3387" t="s">
        <v>388</v>
      </c>
      <c r="D3387" s="2" t="s">
        <v>389</v>
      </c>
      <c r="E3387" t="s">
        <v>492</v>
      </c>
      <c r="F3387" s="11">
        <v>45097</v>
      </c>
      <c r="G3387" s="2">
        <f>VLOOKUP(E3387,Produtos!$A:$E,5,FALSE)</f>
        <v>350</v>
      </c>
      <c r="H3387" s="2">
        <f>VLOOKUP(E3387,Produtos!$A:$E,4,FALSE)</f>
        <v>200</v>
      </c>
      <c r="I3387" s="2">
        <v>2</v>
      </c>
    </row>
    <row r="3388" spans="1:9" x14ac:dyDescent="0.25">
      <c r="A3388" s="2" t="str">
        <f>CONCATENATE(Códigos!S3387,Códigos!T3387,Códigos!U3387)</f>
        <v>svv3386v</v>
      </c>
      <c r="B3388" t="s">
        <v>456</v>
      </c>
      <c r="C3388" t="s">
        <v>388</v>
      </c>
      <c r="D3388" s="2" t="s">
        <v>389</v>
      </c>
      <c r="E3388" t="s">
        <v>492</v>
      </c>
      <c r="F3388" s="11">
        <v>45098</v>
      </c>
      <c r="G3388" s="2">
        <f>VLOOKUP(E3388,Produtos!$A:$E,5,FALSE)</f>
        <v>350</v>
      </c>
      <c r="H3388" s="2">
        <f>VLOOKUP(E3388,Produtos!$A:$E,4,FALSE)</f>
        <v>200</v>
      </c>
      <c r="I3388" s="2">
        <v>2</v>
      </c>
    </row>
    <row r="3389" spans="1:9" x14ac:dyDescent="0.25">
      <c r="A3389" s="2" t="str">
        <f>CONCATENATE(Códigos!S3388,Códigos!T3388,Códigos!U3388)</f>
        <v>svv3387v</v>
      </c>
      <c r="B3389" t="s">
        <v>456</v>
      </c>
      <c r="C3389" t="s">
        <v>388</v>
      </c>
      <c r="D3389" s="2" t="s">
        <v>389</v>
      </c>
      <c r="E3389" t="s">
        <v>491</v>
      </c>
      <c r="F3389" s="11">
        <v>45099</v>
      </c>
      <c r="G3389" s="2">
        <f>VLOOKUP(E3389,Produtos!$A:$E,5,FALSE)</f>
        <v>700</v>
      </c>
      <c r="H3389" s="2">
        <f>VLOOKUP(E3389,Produtos!$A:$E,4,FALSE)</f>
        <v>350</v>
      </c>
      <c r="I3389" s="2">
        <v>2</v>
      </c>
    </row>
    <row r="3390" spans="1:9" x14ac:dyDescent="0.25">
      <c r="A3390" s="2" t="str">
        <f>CONCATENATE(Códigos!S3389,Códigos!T3389,Códigos!U3389)</f>
        <v>svv3388v</v>
      </c>
      <c r="B3390" t="s">
        <v>456</v>
      </c>
      <c r="C3390" t="s">
        <v>388</v>
      </c>
      <c r="D3390" s="2" t="s">
        <v>389</v>
      </c>
      <c r="E3390" t="s">
        <v>491</v>
      </c>
      <c r="F3390" s="11">
        <v>45100</v>
      </c>
      <c r="G3390" s="2">
        <f>VLOOKUP(E3390,Produtos!$A:$E,5,FALSE)</f>
        <v>700</v>
      </c>
      <c r="H3390" s="2">
        <f>VLOOKUP(E3390,Produtos!$A:$E,4,FALSE)</f>
        <v>350</v>
      </c>
      <c r="I3390" s="2">
        <v>2</v>
      </c>
    </row>
    <row r="3391" spans="1:9" x14ac:dyDescent="0.25">
      <c r="A3391" s="2" t="str">
        <f>CONCATENATE(Códigos!S3390,Códigos!T3390,Códigos!U3390)</f>
        <v>svv3389v</v>
      </c>
      <c r="B3391" t="s">
        <v>456</v>
      </c>
      <c r="C3391" t="s">
        <v>388</v>
      </c>
      <c r="D3391" s="2" t="s">
        <v>389</v>
      </c>
      <c r="E3391" t="s">
        <v>491</v>
      </c>
      <c r="F3391" s="11">
        <v>45101</v>
      </c>
      <c r="G3391" s="2">
        <f>VLOOKUP(E3391,Produtos!$A:$E,5,FALSE)</f>
        <v>700</v>
      </c>
      <c r="H3391" s="2">
        <f>VLOOKUP(E3391,Produtos!$A:$E,4,FALSE)</f>
        <v>350</v>
      </c>
      <c r="I3391" s="2">
        <v>2</v>
      </c>
    </row>
    <row r="3392" spans="1:9" x14ac:dyDescent="0.25">
      <c r="A3392" s="2" t="str">
        <f>CONCATENATE(Códigos!S3391,Códigos!T3391,Códigos!U3391)</f>
        <v>svv3390v</v>
      </c>
      <c r="B3392" t="s">
        <v>456</v>
      </c>
      <c r="C3392" t="s">
        <v>388</v>
      </c>
      <c r="D3392" s="2" t="s">
        <v>389</v>
      </c>
      <c r="E3392" t="s">
        <v>491</v>
      </c>
      <c r="F3392" s="11">
        <v>45102</v>
      </c>
      <c r="G3392" s="2">
        <f>VLOOKUP(E3392,Produtos!$A:$E,5,FALSE)</f>
        <v>700</v>
      </c>
      <c r="H3392" s="2">
        <f>VLOOKUP(E3392,Produtos!$A:$E,4,FALSE)</f>
        <v>350</v>
      </c>
      <c r="I3392" s="2">
        <v>2</v>
      </c>
    </row>
    <row r="3393" spans="1:9" x14ac:dyDescent="0.25">
      <c r="A3393" s="2" t="str">
        <f>CONCATENATE(Códigos!S3392,Códigos!T3392,Códigos!U3392)</f>
        <v>svv3391v</v>
      </c>
      <c r="B3393" t="s">
        <v>456</v>
      </c>
      <c r="C3393" t="s">
        <v>388</v>
      </c>
      <c r="D3393" s="2" t="s">
        <v>389</v>
      </c>
      <c r="E3393" t="s">
        <v>491</v>
      </c>
      <c r="F3393" s="11">
        <v>45103</v>
      </c>
      <c r="G3393" s="2">
        <f>VLOOKUP(E3393,Produtos!$A:$E,5,FALSE)</f>
        <v>700</v>
      </c>
      <c r="H3393" s="2">
        <f>VLOOKUP(E3393,Produtos!$A:$E,4,FALSE)</f>
        <v>350</v>
      </c>
      <c r="I3393" s="2">
        <v>2</v>
      </c>
    </row>
    <row r="3394" spans="1:9" x14ac:dyDescent="0.25">
      <c r="A3394" s="2" t="str">
        <f>CONCATENATE(Códigos!S3393,Códigos!T3393,Códigos!U3393)</f>
        <v>svv3392v</v>
      </c>
      <c r="B3394" t="s">
        <v>456</v>
      </c>
      <c r="C3394" t="s">
        <v>388</v>
      </c>
      <c r="D3394" s="2" t="s">
        <v>389</v>
      </c>
      <c r="E3394" t="s">
        <v>491</v>
      </c>
      <c r="F3394" s="11">
        <v>45104</v>
      </c>
      <c r="G3394" s="2">
        <f>VLOOKUP(E3394,Produtos!$A:$E,5,FALSE)</f>
        <v>700</v>
      </c>
      <c r="H3394" s="2">
        <f>VLOOKUP(E3394,Produtos!$A:$E,4,FALSE)</f>
        <v>350</v>
      </c>
      <c r="I3394" s="2">
        <v>2</v>
      </c>
    </row>
    <row r="3395" spans="1:9" x14ac:dyDescent="0.25">
      <c r="A3395" s="2" t="str">
        <f>CONCATENATE(Códigos!S3394,Códigos!T3394,Códigos!U3394)</f>
        <v>svv3393v</v>
      </c>
      <c r="B3395" t="s">
        <v>456</v>
      </c>
      <c r="C3395" t="s">
        <v>388</v>
      </c>
      <c r="D3395" s="2" t="s">
        <v>389</v>
      </c>
      <c r="E3395" t="s">
        <v>491</v>
      </c>
      <c r="F3395" s="11">
        <v>45105</v>
      </c>
      <c r="G3395" s="2">
        <f>VLOOKUP(E3395,Produtos!$A:$E,5,FALSE)</f>
        <v>700</v>
      </c>
      <c r="H3395" s="2">
        <f>VLOOKUP(E3395,Produtos!$A:$E,4,FALSE)</f>
        <v>350</v>
      </c>
      <c r="I3395" s="2">
        <v>2</v>
      </c>
    </row>
    <row r="3396" spans="1:9" x14ac:dyDescent="0.25">
      <c r="A3396" s="2" t="str">
        <f>CONCATENATE(Códigos!S3395,Códigos!T3395,Códigos!U3395)</f>
        <v>svv3394v</v>
      </c>
      <c r="B3396" t="s">
        <v>456</v>
      </c>
      <c r="C3396" t="s">
        <v>388</v>
      </c>
      <c r="D3396" s="2" t="s">
        <v>389</v>
      </c>
      <c r="E3396" t="s">
        <v>491</v>
      </c>
      <c r="F3396" s="11">
        <v>45106</v>
      </c>
      <c r="G3396" s="2">
        <f>VLOOKUP(E3396,Produtos!$A:$E,5,FALSE)</f>
        <v>700</v>
      </c>
      <c r="H3396" s="2">
        <f>VLOOKUP(E3396,Produtos!$A:$E,4,FALSE)</f>
        <v>350</v>
      </c>
      <c r="I3396" s="2">
        <v>2</v>
      </c>
    </row>
    <row r="3397" spans="1:9" x14ac:dyDescent="0.25">
      <c r="A3397" s="2" t="str">
        <f>CONCATENATE(Códigos!S3396,Códigos!T3396,Códigos!U3396)</f>
        <v>svv3395v</v>
      </c>
      <c r="B3397" t="s">
        <v>456</v>
      </c>
      <c r="C3397" t="s">
        <v>388</v>
      </c>
      <c r="D3397" s="2" t="s">
        <v>389</v>
      </c>
      <c r="E3397" t="s">
        <v>491</v>
      </c>
      <c r="F3397" s="11">
        <v>45107</v>
      </c>
      <c r="G3397" s="2">
        <f>VLOOKUP(E3397,Produtos!$A:$E,5,FALSE)</f>
        <v>700</v>
      </c>
      <c r="H3397" s="2">
        <f>VLOOKUP(E3397,Produtos!$A:$E,4,FALSE)</f>
        <v>350</v>
      </c>
      <c r="I3397" s="2">
        <v>2</v>
      </c>
    </row>
    <row r="3398" spans="1:9" x14ac:dyDescent="0.25">
      <c r="A3398" s="2" t="str">
        <f>CONCATENATE(Códigos!S3397,Códigos!T3397,Códigos!U3397)</f>
        <v>svv3396v</v>
      </c>
      <c r="B3398" t="s">
        <v>456</v>
      </c>
      <c r="C3398" t="s">
        <v>388</v>
      </c>
      <c r="D3398" s="2" t="s">
        <v>389</v>
      </c>
      <c r="E3398" t="s">
        <v>491</v>
      </c>
      <c r="F3398" s="11">
        <v>45108</v>
      </c>
      <c r="G3398" s="2">
        <f>VLOOKUP(E3398,Produtos!$A:$E,5,FALSE)</f>
        <v>700</v>
      </c>
      <c r="H3398" s="2">
        <f>VLOOKUP(E3398,Produtos!$A:$E,4,FALSE)</f>
        <v>350</v>
      </c>
      <c r="I3398" s="2">
        <v>2</v>
      </c>
    </row>
    <row r="3399" spans="1:9" x14ac:dyDescent="0.25">
      <c r="A3399" s="2" t="str">
        <f>CONCATENATE(Códigos!S3398,Códigos!T3398,Códigos!U3398)</f>
        <v>svv3397v</v>
      </c>
      <c r="B3399" t="s">
        <v>456</v>
      </c>
      <c r="C3399" t="s">
        <v>388</v>
      </c>
      <c r="D3399" s="2" t="s">
        <v>389</v>
      </c>
      <c r="E3399" t="s">
        <v>491</v>
      </c>
      <c r="F3399" s="11">
        <v>45109</v>
      </c>
      <c r="G3399" s="2">
        <f>VLOOKUP(E3399,Produtos!$A:$E,5,FALSE)</f>
        <v>700</v>
      </c>
      <c r="H3399" s="2">
        <f>VLOOKUP(E3399,Produtos!$A:$E,4,FALSE)</f>
        <v>350</v>
      </c>
      <c r="I3399" s="2">
        <v>2</v>
      </c>
    </row>
    <row r="3400" spans="1:9" x14ac:dyDescent="0.25">
      <c r="A3400" s="2" t="str">
        <f>CONCATENATE(Códigos!S3399,Códigos!T3399,Códigos!U3399)</f>
        <v>svv3398v</v>
      </c>
      <c r="B3400" t="s">
        <v>456</v>
      </c>
      <c r="C3400" t="s">
        <v>388</v>
      </c>
      <c r="D3400" s="2" t="s">
        <v>389</v>
      </c>
      <c r="E3400" t="s">
        <v>491</v>
      </c>
      <c r="F3400" s="11">
        <v>45110</v>
      </c>
      <c r="G3400" s="2">
        <f>VLOOKUP(E3400,Produtos!$A:$E,5,FALSE)</f>
        <v>700</v>
      </c>
      <c r="H3400" s="2">
        <f>VLOOKUP(E3400,Produtos!$A:$E,4,FALSE)</f>
        <v>350</v>
      </c>
      <c r="I3400" s="2">
        <v>2</v>
      </c>
    </row>
    <row r="3401" spans="1:9" x14ac:dyDescent="0.25">
      <c r="A3401" s="2" t="str">
        <f>CONCATENATE(Códigos!S3400,Códigos!T3400,Códigos!U3400)</f>
        <v>svv3399v</v>
      </c>
      <c r="B3401" t="s">
        <v>456</v>
      </c>
      <c r="C3401" t="s">
        <v>388</v>
      </c>
      <c r="D3401" s="2" t="s">
        <v>389</v>
      </c>
      <c r="E3401" t="s">
        <v>491</v>
      </c>
      <c r="F3401" s="11">
        <v>45111</v>
      </c>
      <c r="G3401" s="2">
        <f>VLOOKUP(E3401,Produtos!$A:$E,5,FALSE)</f>
        <v>700</v>
      </c>
      <c r="H3401" s="2">
        <f>VLOOKUP(E3401,Produtos!$A:$E,4,FALSE)</f>
        <v>350</v>
      </c>
      <c r="I3401" s="2">
        <v>2</v>
      </c>
    </row>
    <row r="3402" spans="1:9" x14ac:dyDescent="0.25">
      <c r="A3402" s="2" t="str">
        <f>CONCATENATE(Códigos!S3401,Códigos!T3401,Códigos!U3401)</f>
        <v>svv3400v</v>
      </c>
      <c r="B3402" t="s">
        <v>456</v>
      </c>
      <c r="C3402" t="s">
        <v>388</v>
      </c>
      <c r="D3402" s="2" t="s">
        <v>389</v>
      </c>
      <c r="E3402" t="s">
        <v>491</v>
      </c>
      <c r="F3402" s="11">
        <v>45112</v>
      </c>
      <c r="G3402" s="2">
        <f>VLOOKUP(E3402,Produtos!$A:$E,5,FALSE)</f>
        <v>700</v>
      </c>
      <c r="H3402" s="2">
        <f>VLOOKUP(E3402,Produtos!$A:$E,4,FALSE)</f>
        <v>350</v>
      </c>
      <c r="I3402" s="2">
        <v>2</v>
      </c>
    </row>
    <row r="3403" spans="1:9" x14ac:dyDescent="0.25">
      <c r="A3403" s="2" t="str">
        <f>CONCATENATE(Códigos!S3402,Códigos!T3402,Códigos!U3402)</f>
        <v>svv3401v</v>
      </c>
      <c r="B3403" t="s">
        <v>456</v>
      </c>
      <c r="C3403" t="s">
        <v>388</v>
      </c>
      <c r="D3403" s="2" t="s">
        <v>389</v>
      </c>
      <c r="E3403" t="s">
        <v>491</v>
      </c>
      <c r="F3403" s="11">
        <v>45113</v>
      </c>
      <c r="G3403" s="2">
        <f>VLOOKUP(E3403,Produtos!$A:$E,5,FALSE)</f>
        <v>700</v>
      </c>
      <c r="H3403" s="2">
        <f>VLOOKUP(E3403,Produtos!$A:$E,4,FALSE)</f>
        <v>350</v>
      </c>
      <c r="I3403" s="2">
        <v>2</v>
      </c>
    </row>
    <row r="3404" spans="1:9" x14ac:dyDescent="0.25">
      <c r="A3404" s="2" t="str">
        <f>CONCATENATE(Códigos!S3403,Códigos!T3403,Códigos!U3403)</f>
        <v>svv3402v</v>
      </c>
      <c r="B3404" t="s">
        <v>456</v>
      </c>
      <c r="C3404" t="s">
        <v>388</v>
      </c>
      <c r="D3404" s="2" t="s">
        <v>389</v>
      </c>
      <c r="E3404" t="s">
        <v>491</v>
      </c>
      <c r="F3404" s="11">
        <v>45114</v>
      </c>
      <c r="G3404" s="2">
        <f>VLOOKUP(E3404,Produtos!$A:$E,5,FALSE)</f>
        <v>700</v>
      </c>
      <c r="H3404" s="2">
        <f>VLOOKUP(E3404,Produtos!$A:$E,4,FALSE)</f>
        <v>350</v>
      </c>
      <c r="I3404" s="2">
        <v>2</v>
      </c>
    </row>
    <row r="3405" spans="1:9" x14ac:dyDescent="0.25">
      <c r="A3405" s="2" t="str">
        <f>CONCATENATE(Códigos!S3404,Códigos!T3404,Códigos!U3404)</f>
        <v>svv3403v</v>
      </c>
      <c r="B3405" t="s">
        <v>456</v>
      </c>
      <c r="C3405" t="s">
        <v>388</v>
      </c>
      <c r="D3405" s="2" t="s">
        <v>389</v>
      </c>
      <c r="E3405" t="s">
        <v>491</v>
      </c>
      <c r="F3405" s="11">
        <v>45115</v>
      </c>
      <c r="G3405" s="2">
        <f>VLOOKUP(E3405,Produtos!$A:$E,5,FALSE)</f>
        <v>700</v>
      </c>
      <c r="H3405" s="2">
        <f>VLOOKUP(E3405,Produtos!$A:$E,4,FALSE)</f>
        <v>350</v>
      </c>
      <c r="I3405" s="2">
        <v>2</v>
      </c>
    </row>
    <row r="3406" spans="1:9" x14ac:dyDescent="0.25">
      <c r="A3406" s="2" t="str">
        <f>CONCATENATE(Códigos!S3405,Códigos!T3405,Códigos!U3405)</f>
        <v>svv3404v</v>
      </c>
      <c r="B3406" t="s">
        <v>456</v>
      </c>
      <c r="C3406" t="s">
        <v>388</v>
      </c>
      <c r="D3406" s="2" t="s">
        <v>389</v>
      </c>
      <c r="E3406" t="s">
        <v>491</v>
      </c>
      <c r="F3406" s="11">
        <v>45116</v>
      </c>
      <c r="G3406" s="2">
        <f>VLOOKUP(E3406,Produtos!$A:$E,5,FALSE)</f>
        <v>700</v>
      </c>
      <c r="H3406" s="2">
        <f>VLOOKUP(E3406,Produtos!$A:$E,4,FALSE)</f>
        <v>350</v>
      </c>
      <c r="I3406" s="2">
        <v>2</v>
      </c>
    </row>
    <row r="3407" spans="1:9" x14ac:dyDescent="0.25">
      <c r="A3407" s="2" t="str">
        <f>CONCATENATE(Códigos!S3406,Códigos!T3406,Códigos!U3406)</f>
        <v>svv3405v</v>
      </c>
      <c r="B3407" t="s">
        <v>456</v>
      </c>
      <c r="C3407" t="s">
        <v>388</v>
      </c>
      <c r="D3407" s="2" t="s">
        <v>389</v>
      </c>
      <c r="E3407" t="s">
        <v>490</v>
      </c>
      <c r="F3407" s="11">
        <v>45117</v>
      </c>
      <c r="G3407" s="2">
        <f>VLOOKUP(E3407,Produtos!$A:$E,5,FALSE)</f>
        <v>1100</v>
      </c>
      <c r="H3407" s="2">
        <f>VLOOKUP(E3407,Produtos!$A:$E,4,FALSE)</f>
        <v>500</v>
      </c>
      <c r="I3407" s="2">
        <v>2</v>
      </c>
    </row>
    <row r="3408" spans="1:9" x14ac:dyDescent="0.25">
      <c r="A3408" s="2" t="str">
        <f>CONCATENATE(Códigos!S3407,Códigos!T3407,Códigos!U3407)</f>
        <v>svv3406v</v>
      </c>
      <c r="B3408" t="s">
        <v>456</v>
      </c>
      <c r="C3408" t="s">
        <v>388</v>
      </c>
      <c r="D3408" s="2" t="s">
        <v>389</v>
      </c>
      <c r="E3408" t="s">
        <v>490</v>
      </c>
      <c r="F3408" s="11">
        <v>45118</v>
      </c>
      <c r="G3408" s="2">
        <f>VLOOKUP(E3408,Produtos!$A:$E,5,FALSE)</f>
        <v>1100</v>
      </c>
      <c r="H3408" s="2">
        <f>VLOOKUP(E3408,Produtos!$A:$E,4,FALSE)</f>
        <v>500</v>
      </c>
      <c r="I3408" s="2">
        <v>2</v>
      </c>
    </row>
    <row r="3409" spans="1:9" x14ac:dyDescent="0.25">
      <c r="A3409" s="2" t="str">
        <f>CONCATENATE(Códigos!S3408,Códigos!T3408,Códigos!U3408)</f>
        <v>svv3407v</v>
      </c>
      <c r="B3409" t="s">
        <v>456</v>
      </c>
      <c r="C3409" t="s">
        <v>388</v>
      </c>
      <c r="D3409" s="2" t="s">
        <v>389</v>
      </c>
      <c r="E3409" t="s">
        <v>490</v>
      </c>
      <c r="F3409" s="11">
        <v>45119</v>
      </c>
      <c r="G3409" s="2">
        <f>VLOOKUP(E3409,Produtos!$A:$E,5,FALSE)</f>
        <v>1100</v>
      </c>
      <c r="H3409" s="2">
        <f>VLOOKUP(E3409,Produtos!$A:$E,4,FALSE)</f>
        <v>500</v>
      </c>
      <c r="I3409" s="2">
        <v>2</v>
      </c>
    </row>
    <row r="3410" spans="1:9" x14ac:dyDescent="0.25">
      <c r="A3410" s="2" t="str">
        <f>CONCATENATE(Códigos!S3409,Códigos!T3409,Códigos!U3409)</f>
        <v>svv3408v</v>
      </c>
      <c r="B3410" t="s">
        <v>456</v>
      </c>
      <c r="C3410" t="s">
        <v>388</v>
      </c>
      <c r="D3410" s="2" t="s">
        <v>389</v>
      </c>
      <c r="E3410" t="s">
        <v>490</v>
      </c>
      <c r="F3410" s="11">
        <v>45120</v>
      </c>
      <c r="G3410" s="2">
        <f>VLOOKUP(E3410,Produtos!$A:$E,5,FALSE)</f>
        <v>1100</v>
      </c>
      <c r="H3410" s="2">
        <f>VLOOKUP(E3410,Produtos!$A:$E,4,FALSE)</f>
        <v>500</v>
      </c>
      <c r="I3410" s="2">
        <v>2</v>
      </c>
    </row>
    <row r="3411" spans="1:9" x14ac:dyDescent="0.25">
      <c r="A3411" s="2" t="str">
        <f>CONCATENATE(Códigos!S3410,Códigos!T3410,Códigos!U3410)</f>
        <v>svv3409v</v>
      </c>
      <c r="B3411" t="s">
        <v>456</v>
      </c>
      <c r="C3411" t="s">
        <v>388</v>
      </c>
      <c r="D3411" s="2" t="s">
        <v>389</v>
      </c>
      <c r="E3411" t="s">
        <v>490</v>
      </c>
      <c r="F3411" s="11">
        <v>45121</v>
      </c>
      <c r="G3411" s="2">
        <f>VLOOKUP(E3411,Produtos!$A:$E,5,FALSE)</f>
        <v>1100</v>
      </c>
      <c r="H3411" s="2">
        <f>VLOOKUP(E3411,Produtos!$A:$E,4,FALSE)</f>
        <v>500</v>
      </c>
      <c r="I3411" s="2">
        <v>2</v>
      </c>
    </row>
    <row r="3412" spans="1:9" x14ac:dyDescent="0.25">
      <c r="A3412" s="2" t="str">
        <f>CONCATENATE(Códigos!S3411,Códigos!T3411,Códigos!U3411)</f>
        <v>svv3410v</v>
      </c>
      <c r="B3412" t="s">
        <v>456</v>
      </c>
      <c r="C3412" t="s">
        <v>388</v>
      </c>
      <c r="D3412" s="2" t="s">
        <v>389</v>
      </c>
      <c r="E3412" t="s">
        <v>490</v>
      </c>
      <c r="F3412" s="11">
        <v>45122</v>
      </c>
      <c r="G3412" s="2">
        <f>VLOOKUP(E3412,Produtos!$A:$E,5,FALSE)</f>
        <v>1100</v>
      </c>
      <c r="H3412" s="2">
        <f>VLOOKUP(E3412,Produtos!$A:$E,4,FALSE)</f>
        <v>500</v>
      </c>
      <c r="I3412" s="2">
        <v>2</v>
      </c>
    </row>
    <row r="3413" spans="1:9" x14ac:dyDescent="0.25">
      <c r="A3413" s="2" t="str">
        <f>CONCATENATE(Códigos!S3412,Códigos!T3412,Códigos!U3412)</f>
        <v>svv3411v</v>
      </c>
      <c r="B3413" t="s">
        <v>456</v>
      </c>
      <c r="C3413" t="s">
        <v>388</v>
      </c>
      <c r="D3413" s="2" t="s">
        <v>389</v>
      </c>
      <c r="E3413" t="s">
        <v>490</v>
      </c>
      <c r="F3413" s="11">
        <v>45123</v>
      </c>
      <c r="G3413" s="2">
        <f>VLOOKUP(E3413,Produtos!$A:$E,5,FALSE)</f>
        <v>1100</v>
      </c>
      <c r="H3413" s="2">
        <f>VLOOKUP(E3413,Produtos!$A:$E,4,FALSE)</f>
        <v>500</v>
      </c>
      <c r="I3413" s="2">
        <v>2</v>
      </c>
    </row>
    <row r="3414" spans="1:9" x14ac:dyDescent="0.25">
      <c r="A3414" s="2" t="str">
        <f>CONCATENATE(Códigos!S3413,Códigos!T3413,Códigos!U3413)</f>
        <v>svv3412v</v>
      </c>
      <c r="B3414" t="s">
        <v>456</v>
      </c>
      <c r="C3414" t="s">
        <v>388</v>
      </c>
      <c r="D3414" s="2" t="s">
        <v>389</v>
      </c>
      <c r="E3414" t="s">
        <v>490</v>
      </c>
      <c r="F3414" s="11">
        <v>45124</v>
      </c>
      <c r="G3414" s="2">
        <f>VLOOKUP(E3414,Produtos!$A:$E,5,FALSE)</f>
        <v>1100</v>
      </c>
      <c r="H3414" s="2">
        <f>VLOOKUP(E3414,Produtos!$A:$E,4,FALSE)</f>
        <v>500</v>
      </c>
      <c r="I3414" s="2">
        <v>2</v>
      </c>
    </row>
    <row r="3415" spans="1:9" x14ac:dyDescent="0.25">
      <c r="A3415" s="2" t="str">
        <f>CONCATENATE(Códigos!S3414,Códigos!T3414,Códigos!U3414)</f>
        <v>svv3413v</v>
      </c>
      <c r="B3415" t="s">
        <v>456</v>
      </c>
      <c r="C3415" t="s">
        <v>388</v>
      </c>
      <c r="D3415" s="2" t="s">
        <v>389</v>
      </c>
      <c r="E3415" t="s">
        <v>490</v>
      </c>
      <c r="F3415" s="11">
        <v>45125</v>
      </c>
      <c r="G3415" s="2">
        <f>VLOOKUP(E3415,Produtos!$A:$E,5,FALSE)</f>
        <v>1100</v>
      </c>
      <c r="H3415" s="2">
        <f>VLOOKUP(E3415,Produtos!$A:$E,4,FALSE)</f>
        <v>500</v>
      </c>
      <c r="I3415" s="2">
        <v>2</v>
      </c>
    </row>
    <row r="3416" spans="1:9" x14ac:dyDescent="0.25">
      <c r="A3416" s="2" t="str">
        <f>CONCATENATE(Códigos!S3415,Códigos!T3415,Códigos!U3415)</f>
        <v>svv3414v</v>
      </c>
      <c r="B3416" t="s">
        <v>456</v>
      </c>
      <c r="C3416" t="s">
        <v>388</v>
      </c>
      <c r="D3416" s="2" t="s">
        <v>389</v>
      </c>
      <c r="E3416" t="s">
        <v>490</v>
      </c>
      <c r="F3416" s="11">
        <v>45126</v>
      </c>
      <c r="G3416" s="2">
        <f>VLOOKUP(E3416,Produtos!$A:$E,5,FALSE)</f>
        <v>1100</v>
      </c>
      <c r="H3416" s="2">
        <f>VLOOKUP(E3416,Produtos!$A:$E,4,FALSE)</f>
        <v>500</v>
      </c>
      <c r="I3416" s="2">
        <v>2</v>
      </c>
    </row>
    <row r="3417" spans="1:9" x14ac:dyDescent="0.25">
      <c r="A3417" s="2" t="str">
        <f>CONCATENATE(Códigos!S3416,Códigos!T3416,Códigos!U3416)</f>
        <v>svv3415v</v>
      </c>
      <c r="B3417" t="s">
        <v>456</v>
      </c>
      <c r="C3417" t="s">
        <v>388</v>
      </c>
      <c r="D3417" s="2" t="s">
        <v>389</v>
      </c>
      <c r="E3417" t="s">
        <v>490</v>
      </c>
      <c r="F3417" s="11">
        <v>45127</v>
      </c>
      <c r="G3417" s="2">
        <f>VLOOKUP(E3417,Produtos!$A:$E,5,FALSE)</f>
        <v>1100</v>
      </c>
      <c r="H3417" s="2">
        <f>VLOOKUP(E3417,Produtos!$A:$E,4,FALSE)</f>
        <v>500</v>
      </c>
      <c r="I3417" s="2">
        <v>2</v>
      </c>
    </row>
    <row r="3418" spans="1:9" x14ac:dyDescent="0.25">
      <c r="A3418" s="2" t="str">
        <f>CONCATENATE(Códigos!S3417,Códigos!T3417,Códigos!U3417)</f>
        <v>svv3416v</v>
      </c>
      <c r="B3418" t="s">
        <v>456</v>
      </c>
      <c r="C3418" t="s">
        <v>388</v>
      </c>
      <c r="D3418" s="2" t="s">
        <v>389</v>
      </c>
      <c r="E3418" t="s">
        <v>490</v>
      </c>
      <c r="F3418" s="11">
        <v>45128</v>
      </c>
      <c r="G3418" s="2">
        <f>VLOOKUP(E3418,Produtos!$A:$E,5,FALSE)</f>
        <v>1100</v>
      </c>
      <c r="H3418" s="2">
        <f>VLOOKUP(E3418,Produtos!$A:$E,4,FALSE)</f>
        <v>500</v>
      </c>
      <c r="I3418" s="2">
        <v>2</v>
      </c>
    </row>
    <row r="3419" spans="1:9" x14ac:dyDescent="0.25">
      <c r="A3419" s="2" t="str">
        <f>CONCATENATE(Códigos!S3418,Códigos!T3418,Códigos!U3418)</f>
        <v>svv3417v</v>
      </c>
      <c r="B3419" t="s">
        <v>341</v>
      </c>
      <c r="C3419" t="s">
        <v>362</v>
      </c>
      <c r="D3419" s="2" t="s">
        <v>363</v>
      </c>
      <c r="E3419" t="s">
        <v>474</v>
      </c>
      <c r="F3419" s="11">
        <v>45129</v>
      </c>
      <c r="G3419" s="2">
        <f>VLOOKUP(E3419,Produtos!$A:$E,5,FALSE)</f>
        <v>1800</v>
      </c>
      <c r="H3419" s="2">
        <f>VLOOKUP(E3419,Produtos!$A:$E,4,FALSE)</f>
        <v>800</v>
      </c>
      <c r="I3419" s="2">
        <v>2</v>
      </c>
    </row>
    <row r="3420" spans="1:9" x14ac:dyDescent="0.25">
      <c r="A3420" s="2" t="str">
        <f>CONCATENATE(Códigos!S3419,Códigos!T3419,Códigos!U3419)</f>
        <v>svv3418v</v>
      </c>
      <c r="B3420" t="s">
        <v>341</v>
      </c>
      <c r="C3420" t="s">
        <v>362</v>
      </c>
      <c r="D3420" s="2" t="s">
        <v>363</v>
      </c>
      <c r="E3420" t="s">
        <v>474</v>
      </c>
      <c r="F3420" s="11">
        <v>45130</v>
      </c>
      <c r="G3420" s="2">
        <f>VLOOKUP(E3420,Produtos!$A:$E,5,FALSE)</f>
        <v>1800</v>
      </c>
      <c r="H3420" s="2">
        <f>VLOOKUP(E3420,Produtos!$A:$E,4,FALSE)</f>
        <v>800</v>
      </c>
      <c r="I3420" s="2">
        <v>2</v>
      </c>
    </row>
    <row r="3421" spans="1:9" x14ac:dyDescent="0.25">
      <c r="A3421" s="2" t="str">
        <f>CONCATENATE(Códigos!S3420,Códigos!T3420,Códigos!U3420)</f>
        <v>svv3419v</v>
      </c>
      <c r="B3421" t="s">
        <v>341</v>
      </c>
      <c r="C3421" t="s">
        <v>362</v>
      </c>
      <c r="D3421" s="2" t="s">
        <v>363</v>
      </c>
      <c r="E3421" t="s">
        <v>474</v>
      </c>
      <c r="F3421" s="11">
        <v>45131</v>
      </c>
      <c r="G3421" s="2">
        <f>VLOOKUP(E3421,Produtos!$A:$E,5,FALSE)</f>
        <v>1800</v>
      </c>
      <c r="H3421" s="2">
        <f>VLOOKUP(E3421,Produtos!$A:$E,4,FALSE)</f>
        <v>800</v>
      </c>
      <c r="I3421" s="2">
        <v>2</v>
      </c>
    </row>
    <row r="3422" spans="1:9" x14ac:dyDescent="0.25">
      <c r="A3422" s="2" t="str">
        <f>CONCATENATE(Códigos!S3421,Códigos!T3421,Códigos!U3421)</f>
        <v>svv3420v</v>
      </c>
      <c r="B3422" t="s">
        <v>341</v>
      </c>
      <c r="C3422" t="s">
        <v>362</v>
      </c>
      <c r="D3422" s="2" t="s">
        <v>363</v>
      </c>
      <c r="E3422" t="s">
        <v>474</v>
      </c>
      <c r="F3422" s="11">
        <v>45132</v>
      </c>
      <c r="G3422" s="2">
        <f>VLOOKUP(E3422,Produtos!$A:$E,5,FALSE)</f>
        <v>1800</v>
      </c>
      <c r="H3422" s="2">
        <f>VLOOKUP(E3422,Produtos!$A:$E,4,FALSE)</f>
        <v>800</v>
      </c>
      <c r="I3422" s="2">
        <v>2</v>
      </c>
    </row>
    <row r="3423" spans="1:9" x14ac:dyDescent="0.25">
      <c r="A3423" s="2" t="str">
        <f>CONCATENATE(Códigos!S3422,Códigos!T3422,Códigos!U3422)</f>
        <v>svv3421v</v>
      </c>
      <c r="B3423" t="s">
        <v>341</v>
      </c>
      <c r="C3423" t="s">
        <v>362</v>
      </c>
      <c r="D3423" s="2" t="s">
        <v>363</v>
      </c>
      <c r="E3423" t="s">
        <v>474</v>
      </c>
      <c r="F3423" s="11">
        <v>45133</v>
      </c>
      <c r="G3423" s="2">
        <f>VLOOKUP(E3423,Produtos!$A:$E,5,FALSE)</f>
        <v>1800</v>
      </c>
      <c r="H3423" s="2">
        <f>VLOOKUP(E3423,Produtos!$A:$E,4,FALSE)</f>
        <v>800</v>
      </c>
      <c r="I3423" s="2">
        <v>2</v>
      </c>
    </row>
    <row r="3424" spans="1:9" x14ac:dyDescent="0.25">
      <c r="A3424" s="2" t="str">
        <f>CONCATENATE(Códigos!S3423,Códigos!T3423,Códigos!U3423)</f>
        <v>svv3422v</v>
      </c>
      <c r="B3424" t="s">
        <v>341</v>
      </c>
      <c r="C3424" t="s">
        <v>362</v>
      </c>
      <c r="D3424" s="2" t="s">
        <v>363</v>
      </c>
      <c r="E3424" t="s">
        <v>474</v>
      </c>
      <c r="F3424" s="11">
        <v>45134</v>
      </c>
      <c r="G3424" s="2">
        <f>VLOOKUP(E3424,Produtos!$A:$E,5,FALSE)</f>
        <v>1800</v>
      </c>
      <c r="H3424" s="2">
        <f>VLOOKUP(E3424,Produtos!$A:$E,4,FALSE)</f>
        <v>800</v>
      </c>
      <c r="I3424" s="2">
        <v>2</v>
      </c>
    </row>
    <row r="3425" spans="1:9" x14ac:dyDescent="0.25">
      <c r="A3425" s="2" t="str">
        <f>CONCATENATE(Códigos!S3424,Códigos!T3424,Códigos!U3424)</f>
        <v>svv3423v</v>
      </c>
      <c r="B3425" t="s">
        <v>341</v>
      </c>
      <c r="C3425" t="s">
        <v>362</v>
      </c>
      <c r="D3425" s="2" t="s">
        <v>363</v>
      </c>
      <c r="E3425" t="s">
        <v>474</v>
      </c>
      <c r="F3425" s="11">
        <v>45135</v>
      </c>
      <c r="G3425" s="2">
        <f>VLOOKUP(E3425,Produtos!$A:$E,5,FALSE)</f>
        <v>1800</v>
      </c>
      <c r="H3425" s="2">
        <f>VLOOKUP(E3425,Produtos!$A:$E,4,FALSE)</f>
        <v>800</v>
      </c>
      <c r="I3425" s="2">
        <v>2</v>
      </c>
    </row>
    <row r="3426" spans="1:9" x14ac:dyDescent="0.25">
      <c r="A3426" s="2" t="str">
        <f>CONCATENATE(Códigos!S3425,Códigos!T3425,Códigos!U3425)</f>
        <v>svv3424v</v>
      </c>
      <c r="B3426" t="s">
        <v>341</v>
      </c>
      <c r="C3426" t="s">
        <v>362</v>
      </c>
      <c r="D3426" s="2" t="s">
        <v>363</v>
      </c>
      <c r="E3426" t="s">
        <v>474</v>
      </c>
      <c r="F3426" s="11">
        <v>45136</v>
      </c>
      <c r="G3426" s="2">
        <f>VLOOKUP(E3426,Produtos!$A:$E,5,FALSE)</f>
        <v>1800</v>
      </c>
      <c r="H3426" s="2">
        <f>VLOOKUP(E3426,Produtos!$A:$E,4,FALSE)</f>
        <v>800</v>
      </c>
      <c r="I3426" s="2">
        <v>2</v>
      </c>
    </row>
    <row r="3427" spans="1:9" x14ac:dyDescent="0.25">
      <c r="A3427" s="2" t="str">
        <f>CONCATENATE(Códigos!S3426,Códigos!T3426,Códigos!U3426)</f>
        <v>svv3425v</v>
      </c>
      <c r="B3427" t="s">
        <v>341</v>
      </c>
      <c r="C3427" t="s">
        <v>362</v>
      </c>
      <c r="D3427" s="2" t="s">
        <v>363</v>
      </c>
      <c r="E3427" t="s">
        <v>468</v>
      </c>
      <c r="F3427" s="11">
        <v>45137</v>
      </c>
      <c r="G3427" s="2">
        <f>VLOOKUP(E3427,Produtos!$A:$E,5,FALSE)</f>
        <v>3000</v>
      </c>
      <c r="H3427" s="2">
        <f>VLOOKUP(E3427,Produtos!$A:$E,4,FALSE)</f>
        <v>1000</v>
      </c>
      <c r="I3427" s="2">
        <v>2</v>
      </c>
    </row>
    <row r="3428" spans="1:9" x14ac:dyDescent="0.25">
      <c r="A3428" s="2" t="str">
        <f>CONCATENATE(Códigos!S3427,Códigos!T3427,Códigos!U3427)</f>
        <v>svv3426v</v>
      </c>
      <c r="B3428" t="s">
        <v>341</v>
      </c>
      <c r="C3428" t="s">
        <v>362</v>
      </c>
      <c r="D3428" s="2" t="s">
        <v>363</v>
      </c>
      <c r="E3428" t="s">
        <v>468</v>
      </c>
      <c r="F3428" s="11">
        <v>45138</v>
      </c>
      <c r="G3428" s="2">
        <f>VLOOKUP(E3428,Produtos!$A:$E,5,FALSE)</f>
        <v>3000</v>
      </c>
      <c r="H3428" s="2">
        <f>VLOOKUP(E3428,Produtos!$A:$E,4,FALSE)</f>
        <v>1000</v>
      </c>
      <c r="I3428" s="2">
        <v>2</v>
      </c>
    </row>
    <row r="3429" spans="1:9" x14ac:dyDescent="0.25">
      <c r="A3429" s="2" t="str">
        <f>CONCATENATE(Códigos!S3428,Códigos!T3428,Códigos!U3428)</f>
        <v>svv3427v</v>
      </c>
      <c r="B3429" t="s">
        <v>341</v>
      </c>
      <c r="C3429" t="s">
        <v>362</v>
      </c>
      <c r="D3429" s="2" t="s">
        <v>363</v>
      </c>
      <c r="E3429" t="s">
        <v>468</v>
      </c>
      <c r="F3429" s="11">
        <v>45139</v>
      </c>
      <c r="G3429" s="2">
        <f>VLOOKUP(E3429,Produtos!$A:$E,5,FALSE)</f>
        <v>3000</v>
      </c>
      <c r="H3429" s="2">
        <f>VLOOKUP(E3429,Produtos!$A:$E,4,FALSE)</f>
        <v>1000</v>
      </c>
      <c r="I3429" s="2">
        <v>2</v>
      </c>
    </row>
    <row r="3430" spans="1:9" x14ac:dyDescent="0.25">
      <c r="A3430" s="2" t="str">
        <f>CONCATENATE(Códigos!S3429,Códigos!T3429,Códigos!U3429)</f>
        <v>svv3428v</v>
      </c>
      <c r="B3430" t="s">
        <v>341</v>
      </c>
      <c r="C3430" t="s">
        <v>362</v>
      </c>
      <c r="D3430" s="2" t="s">
        <v>363</v>
      </c>
      <c r="E3430" t="s">
        <v>468</v>
      </c>
      <c r="F3430" s="11">
        <v>45140</v>
      </c>
      <c r="G3430" s="2">
        <f>VLOOKUP(E3430,Produtos!$A:$E,5,FALSE)</f>
        <v>3000</v>
      </c>
      <c r="H3430" s="2">
        <f>VLOOKUP(E3430,Produtos!$A:$E,4,FALSE)</f>
        <v>1000</v>
      </c>
      <c r="I3430" s="2">
        <v>2</v>
      </c>
    </row>
    <row r="3431" spans="1:9" x14ac:dyDescent="0.25">
      <c r="A3431" s="2" t="str">
        <f>CONCATENATE(Códigos!S3430,Códigos!T3430,Códigos!U3430)</f>
        <v>svv3429v</v>
      </c>
      <c r="B3431" t="s">
        <v>341</v>
      </c>
      <c r="C3431" t="s">
        <v>362</v>
      </c>
      <c r="D3431" s="2" t="s">
        <v>363</v>
      </c>
      <c r="E3431" t="s">
        <v>468</v>
      </c>
      <c r="F3431" s="11">
        <v>45141</v>
      </c>
      <c r="G3431" s="2">
        <f>VLOOKUP(E3431,Produtos!$A:$E,5,FALSE)</f>
        <v>3000</v>
      </c>
      <c r="H3431" s="2">
        <f>VLOOKUP(E3431,Produtos!$A:$E,4,FALSE)</f>
        <v>1000</v>
      </c>
      <c r="I3431" s="2">
        <v>2</v>
      </c>
    </row>
    <row r="3432" spans="1:9" x14ac:dyDescent="0.25">
      <c r="A3432" s="2" t="str">
        <f>CONCATENATE(Códigos!S3431,Códigos!T3431,Códigos!U3431)</f>
        <v>svv3430v</v>
      </c>
      <c r="B3432" t="s">
        <v>341</v>
      </c>
      <c r="C3432" t="s">
        <v>362</v>
      </c>
      <c r="D3432" s="2" t="s">
        <v>363</v>
      </c>
      <c r="E3432" t="s">
        <v>468</v>
      </c>
      <c r="F3432" s="11">
        <v>45142</v>
      </c>
      <c r="G3432" s="2">
        <f>VLOOKUP(E3432,Produtos!$A:$E,5,FALSE)</f>
        <v>3000</v>
      </c>
      <c r="H3432" s="2">
        <f>VLOOKUP(E3432,Produtos!$A:$E,4,FALSE)</f>
        <v>1000</v>
      </c>
      <c r="I3432" s="2">
        <v>2</v>
      </c>
    </row>
    <row r="3433" spans="1:9" x14ac:dyDescent="0.25">
      <c r="A3433" s="2" t="str">
        <f>CONCATENATE(Códigos!S3432,Códigos!T3432,Códigos!U3432)</f>
        <v>svv3431v</v>
      </c>
      <c r="B3433" t="s">
        <v>341</v>
      </c>
      <c r="C3433" t="s">
        <v>362</v>
      </c>
      <c r="D3433" s="2" t="s">
        <v>363</v>
      </c>
      <c r="E3433" t="s">
        <v>468</v>
      </c>
      <c r="F3433" s="11">
        <v>45143</v>
      </c>
      <c r="G3433" s="2">
        <f>VLOOKUP(E3433,Produtos!$A:$E,5,FALSE)</f>
        <v>3000</v>
      </c>
      <c r="H3433" s="2">
        <f>VLOOKUP(E3433,Produtos!$A:$E,4,FALSE)</f>
        <v>1000</v>
      </c>
      <c r="I3433" s="2">
        <v>2</v>
      </c>
    </row>
    <row r="3434" spans="1:9" x14ac:dyDescent="0.25">
      <c r="A3434" s="2" t="str">
        <f>CONCATENATE(Códigos!S3433,Códigos!T3433,Códigos!U3433)</f>
        <v>svv3432v</v>
      </c>
      <c r="B3434" t="s">
        <v>341</v>
      </c>
      <c r="C3434" t="s">
        <v>362</v>
      </c>
      <c r="D3434" s="2" t="s">
        <v>363</v>
      </c>
      <c r="E3434" t="s">
        <v>468</v>
      </c>
      <c r="F3434" s="11">
        <v>45144</v>
      </c>
      <c r="G3434" s="2">
        <f>VLOOKUP(E3434,Produtos!$A:$E,5,FALSE)</f>
        <v>3000</v>
      </c>
      <c r="H3434" s="2">
        <f>VLOOKUP(E3434,Produtos!$A:$E,4,FALSE)</f>
        <v>1000</v>
      </c>
      <c r="I3434" s="2">
        <v>2</v>
      </c>
    </row>
    <row r="3435" spans="1:9" x14ac:dyDescent="0.25">
      <c r="A3435" s="2" t="str">
        <f>CONCATENATE(Códigos!S3434,Códigos!T3434,Códigos!U3434)</f>
        <v>svv3433v</v>
      </c>
      <c r="B3435" t="s">
        <v>341</v>
      </c>
      <c r="C3435" t="s">
        <v>362</v>
      </c>
      <c r="D3435" s="2" t="s">
        <v>363</v>
      </c>
      <c r="E3435" t="s">
        <v>468</v>
      </c>
      <c r="F3435" s="11">
        <v>45145</v>
      </c>
      <c r="G3435" s="2">
        <f>VLOOKUP(E3435,Produtos!$A:$E,5,FALSE)</f>
        <v>3000</v>
      </c>
      <c r="H3435" s="2">
        <f>VLOOKUP(E3435,Produtos!$A:$E,4,FALSE)</f>
        <v>1000</v>
      </c>
      <c r="I3435" s="2">
        <v>2</v>
      </c>
    </row>
    <row r="3436" spans="1:9" x14ac:dyDescent="0.25">
      <c r="A3436" s="2" t="str">
        <f>CONCATENATE(Códigos!S3435,Códigos!T3435,Códigos!U3435)</f>
        <v>svv3434v</v>
      </c>
      <c r="B3436" t="s">
        <v>341</v>
      </c>
      <c r="C3436" t="s">
        <v>362</v>
      </c>
      <c r="D3436" s="2" t="s">
        <v>363</v>
      </c>
      <c r="E3436" t="s">
        <v>468</v>
      </c>
      <c r="F3436" s="11">
        <v>45146</v>
      </c>
      <c r="G3436" s="2">
        <f>VLOOKUP(E3436,Produtos!$A:$E,5,FALSE)</f>
        <v>3000</v>
      </c>
      <c r="H3436" s="2">
        <f>VLOOKUP(E3436,Produtos!$A:$E,4,FALSE)</f>
        <v>1000</v>
      </c>
      <c r="I3436" s="2">
        <v>2</v>
      </c>
    </row>
    <row r="3437" spans="1:9" x14ac:dyDescent="0.25">
      <c r="A3437" s="2" t="str">
        <f>CONCATENATE(Códigos!S3436,Códigos!T3436,Códigos!U3436)</f>
        <v>svv3435v</v>
      </c>
      <c r="B3437" t="s">
        <v>341</v>
      </c>
      <c r="C3437" t="s">
        <v>362</v>
      </c>
      <c r="D3437" s="2" t="s">
        <v>363</v>
      </c>
      <c r="E3437" t="s">
        <v>468</v>
      </c>
      <c r="F3437" s="11">
        <v>43141</v>
      </c>
      <c r="G3437" s="2">
        <f>VLOOKUP(E3437,Produtos!$A:$E,5,FALSE)</f>
        <v>3000</v>
      </c>
      <c r="H3437" s="2">
        <f>VLOOKUP(E3437,Produtos!$A:$E,4,FALSE)</f>
        <v>1000</v>
      </c>
      <c r="I3437" s="2">
        <v>2</v>
      </c>
    </row>
    <row r="3438" spans="1:9" x14ac:dyDescent="0.25">
      <c r="A3438" s="2" t="str">
        <f>CONCATENATE(Códigos!S3437,Códigos!T3437,Códigos!U3437)</f>
        <v>svv3436v</v>
      </c>
      <c r="B3438" t="s">
        <v>341</v>
      </c>
      <c r="C3438" t="s">
        <v>368</v>
      </c>
      <c r="D3438" s="2" t="s">
        <v>331</v>
      </c>
      <c r="E3438" t="s">
        <v>468</v>
      </c>
      <c r="F3438" s="11">
        <v>43142</v>
      </c>
      <c r="G3438" s="2">
        <f>VLOOKUP(E3438,Produtos!$A:$E,5,FALSE)</f>
        <v>3000</v>
      </c>
      <c r="H3438" s="2">
        <f>VLOOKUP(E3438,Produtos!$A:$E,4,FALSE)</f>
        <v>1000</v>
      </c>
      <c r="I3438" s="2">
        <v>2</v>
      </c>
    </row>
    <row r="3439" spans="1:9" x14ac:dyDescent="0.25">
      <c r="A3439" s="2" t="str">
        <f>CONCATENATE(Códigos!S3438,Códigos!T3438,Códigos!U3438)</f>
        <v>svv3437v</v>
      </c>
      <c r="B3439" t="s">
        <v>341</v>
      </c>
      <c r="C3439" t="s">
        <v>368</v>
      </c>
      <c r="D3439" s="2" t="s">
        <v>331</v>
      </c>
      <c r="E3439" t="s">
        <v>468</v>
      </c>
      <c r="F3439" s="11">
        <v>43143</v>
      </c>
      <c r="G3439" s="2">
        <f>VLOOKUP(E3439,Produtos!$A:$E,5,FALSE)</f>
        <v>3000</v>
      </c>
      <c r="H3439" s="2">
        <f>VLOOKUP(E3439,Produtos!$A:$E,4,FALSE)</f>
        <v>1000</v>
      </c>
      <c r="I3439" s="2">
        <v>2</v>
      </c>
    </row>
    <row r="3440" spans="1:9" x14ac:dyDescent="0.25">
      <c r="A3440" s="2" t="str">
        <f>CONCATENATE(Códigos!S3439,Códigos!T3439,Códigos!U3439)</f>
        <v>svv3438v</v>
      </c>
      <c r="B3440" t="s">
        <v>341</v>
      </c>
      <c r="C3440" t="s">
        <v>368</v>
      </c>
      <c r="D3440" s="2" t="s">
        <v>331</v>
      </c>
      <c r="E3440" t="s">
        <v>468</v>
      </c>
      <c r="F3440" s="11">
        <v>43144</v>
      </c>
      <c r="G3440" s="2">
        <f>VLOOKUP(E3440,Produtos!$A:$E,5,FALSE)</f>
        <v>3000</v>
      </c>
      <c r="H3440" s="2">
        <f>VLOOKUP(E3440,Produtos!$A:$E,4,FALSE)</f>
        <v>1000</v>
      </c>
      <c r="I3440" s="2">
        <v>2</v>
      </c>
    </row>
    <row r="3441" spans="1:9" x14ac:dyDescent="0.25">
      <c r="A3441" s="2" t="str">
        <f>CONCATENATE(Códigos!S3440,Códigos!T3440,Códigos!U3440)</f>
        <v>svv3439v</v>
      </c>
      <c r="B3441" t="s">
        <v>341</v>
      </c>
      <c r="C3441" t="s">
        <v>368</v>
      </c>
      <c r="D3441" s="2" t="s">
        <v>331</v>
      </c>
      <c r="E3441" t="s">
        <v>473</v>
      </c>
      <c r="F3441" s="11">
        <v>43145</v>
      </c>
      <c r="G3441" s="2">
        <f>VLOOKUP(E3441,Produtos!$A:$E,5,FALSE)</f>
        <v>3200</v>
      </c>
      <c r="H3441" s="2">
        <f>VLOOKUP(E3441,Produtos!$A:$E,4,FALSE)</f>
        <v>1200</v>
      </c>
      <c r="I3441" s="2">
        <v>2</v>
      </c>
    </row>
    <row r="3442" spans="1:9" x14ac:dyDescent="0.25">
      <c r="A3442" s="2" t="str">
        <f>CONCATENATE(Códigos!S3441,Códigos!T3441,Códigos!U3441)</f>
        <v>svv3440v</v>
      </c>
      <c r="B3442" t="s">
        <v>341</v>
      </c>
      <c r="C3442" t="s">
        <v>368</v>
      </c>
      <c r="D3442" s="2" t="s">
        <v>331</v>
      </c>
      <c r="E3442" t="s">
        <v>473</v>
      </c>
      <c r="F3442" s="11">
        <v>43146</v>
      </c>
      <c r="G3442" s="2">
        <f>VLOOKUP(E3442,Produtos!$A:$E,5,FALSE)</f>
        <v>3200</v>
      </c>
      <c r="H3442" s="2">
        <f>VLOOKUP(E3442,Produtos!$A:$E,4,FALSE)</f>
        <v>1200</v>
      </c>
      <c r="I3442" s="2">
        <v>2</v>
      </c>
    </row>
    <row r="3443" spans="1:9" x14ac:dyDescent="0.25">
      <c r="A3443" s="2" t="str">
        <f>CONCATENATE(Códigos!S3442,Códigos!T3442,Códigos!U3442)</f>
        <v>svv3441v</v>
      </c>
      <c r="B3443" t="s">
        <v>341</v>
      </c>
      <c r="C3443" t="s">
        <v>368</v>
      </c>
      <c r="D3443" s="2" t="s">
        <v>331</v>
      </c>
      <c r="E3443" t="s">
        <v>473</v>
      </c>
      <c r="F3443" s="11">
        <v>43147</v>
      </c>
      <c r="G3443" s="2">
        <f>VLOOKUP(E3443,Produtos!$A:$E,5,FALSE)</f>
        <v>3200</v>
      </c>
      <c r="H3443" s="2">
        <f>VLOOKUP(E3443,Produtos!$A:$E,4,FALSE)</f>
        <v>1200</v>
      </c>
      <c r="I3443" s="2">
        <v>2</v>
      </c>
    </row>
    <row r="3444" spans="1:9" x14ac:dyDescent="0.25">
      <c r="A3444" s="2" t="str">
        <f>CONCATENATE(Códigos!S3443,Códigos!T3443,Códigos!U3443)</f>
        <v>svv3442v</v>
      </c>
      <c r="B3444" t="s">
        <v>341</v>
      </c>
      <c r="C3444" t="s">
        <v>368</v>
      </c>
      <c r="D3444" s="2" t="s">
        <v>331</v>
      </c>
      <c r="E3444" t="s">
        <v>473</v>
      </c>
      <c r="F3444" s="11">
        <v>43148</v>
      </c>
      <c r="G3444" s="2">
        <f>VLOOKUP(E3444,Produtos!$A:$E,5,FALSE)</f>
        <v>3200</v>
      </c>
      <c r="H3444" s="2">
        <f>VLOOKUP(E3444,Produtos!$A:$E,4,FALSE)</f>
        <v>1200</v>
      </c>
      <c r="I3444" s="2">
        <v>2</v>
      </c>
    </row>
    <row r="3445" spans="1:9" x14ac:dyDescent="0.25">
      <c r="A3445" s="2" t="str">
        <f>CONCATENATE(Códigos!S3444,Códigos!T3444,Códigos!U3444)</f>
        <v>svv3443v</v>
      </c>
      <c r="B3445" t="s">
        <v>341</v>
      </c>
      <c r="C3445" t="s">
        <v>368</v>
      </c>
      <c r="D3445" s="2" t="s">
        <v>331</v>
      </c>
      <c r="E3445" t="s">
        <v>473</v>
      </c>
      <c r="F3445" s="11">
        <v>43149</v>
      </c>
      <c r="G3445" s="2">
        <f>VLOOKUP(E3445,Produtos!$A:$E,5,FALSE)</f>
        <v>3200</v>
      </c>
      <c r="H3445" s="2">
        <f>VLOOKUP(E3445,Produtos!$A:$E,4,FALSE)</f>
        <v>1200</v>
      </c>
      <c r="I3445" s="2">
        <v>2</v>
      </c>
    </row>
    <row r="3446" spans="1:9" x14ac:dyDescent="0.25">
      <c r="A3446" s="2" t="str">
        <f>CONCATENATE(Códigos!S3445,Códigos!T3445,Códigos!U3445)</f>
        <v>svv3444v</v>
      </c>
      <c r="B3446" t="s">
        <v>341</v>
      </c>
      <c r="C3446" t="s">
        <v>368</v>
      </c>
      <c r="D3446" s="2" t="s">
        <v>331</v>
      </c>
      <c r="E3446" t="s">
        <v>473</v>
      </c>
      <c r="F3446" s="11">
        <v>43150</v>
      </c>
      <c r="G3446" s="2">
        <f>VLOOKUP(E3446,Produtos!$A:$E,5,FALSE)</f>
        <v>3200</v>
      </c>
      <c r="H3446" s="2">
        <f>VLOOKUP(E3446,Produtos!$A:$E,4,FALSE)</f>
        <v>1200</v>
      </c>
      <c r="I3446" s="2">
        <v>2</v>
      </c>
    </row>
    <row r="3447" spans="1:9" x14ac:dyDescent="0.25">
      <c r="A3447" s="2" t="str">
        <f>CONCATENATE(Códigos!S3446,Códigos!T3446,Códigos!U3446)</f>
        <v>svv3445v</v>
      </c>
      <c r="B3447" t="s">
        <v>341</v>
      </c>
      <c r="C3447" t="s">
        <v>368</v>
      </c>
      <c r="D3447" s="2" t="s">
        <v>331</v>
      </c>
      <c r="E3447" t="s">
        <v>473</v>
      </c>
      <c r="F3447" s="11">
        <v>43151</v>
      </c>
      <c r="G3447" s="2">
        <f>VLOOKUP(E3447,Produtos!$A:$E,5,FALSE)</f>
        <v>3200</v>
      </c>
      <c r="H3447" s="2">
        <f>VLOOKUP(E3447,Produtos!$A:$E,4,FALSE)</f>
        <v>1200</v>
      </c>
      <c r="I3447" s="2">
        <v>2</v>
      </c>
    </row>
    <row r="3448" spans="1:9" x14ac:dyDescent="0.25">
      <c r="A3448" s="2" t="str">
        <f>CONCATENATE(Códigos!S3447,Códigos!T3447,Códigos!U3447)</f>
        <v>svv3446v</v>
      </c>
      <c r="B3448" t="s">
        <v>341</v>
      </c>
      <c r="C3448" t="s">
        <v>368</v>
      </c>
      <c r="D3448" s="2" t="s">
        <v>331</v>
      </c>
      <c r="E3448" t="s">
        <v>473</v>
      </c>
      <c r="F3448" s="11">
        <v>43152</v>
      </c>
      <c r="G3448" s="2">
        <f>VLOOKUP(E3448,Produtos!$A:$E,5,FALSE)</f>
        <v>3200</v>
      </c>
      <c r="H3448" s="2">
        <f>VLOOKUP(E3448,Produtos!$A:$E,4,FALSE)</f>
        <v>1200</v>
      </c>
      <c r="I3448" s="2">
        <v>2</v>
      </c>
    </row>
    <row r="3449" spans="1:9" x14ac:dyDescent="0.25">
      <c r="A3449" s="2" t="str">
        <f>CONCATENATE(Códigos!S3448,Códigos!T3448,Códigos!U3448)</f>
        <v>svv3447v</v>
      </c>
      <c r="B3449" t="s">
        <v>341</v>
      </c>
      <c r="C3449" t="s">
        <v>368</v>
      </c>
      <c r="D3449" s="2" t="s">
        <v>331</v>
      </c>
      <c r="E3449" t="s">
        <v>473</v>
      </c>
      <c r="F3449" s="11">
        <v>43153</v>
      </c>
      <c r="G3449" s="2">
        <f>VLOOKUP(E3449,Produtos!$A:$E,5,FALSE)</f>
        <v>3200</v>
      </c>
      <c r="H3449" s="2">
        <f>VLOOKUP(E3449,Produtos!$A:$E,4,FALSE)</f>
        <v>1200</v>
      </c>
      <c r="I3449" s="2">
        <v>2</v>
      </c>
    </row>
    <row r="3450" spans="1:9" x14ac:dyDescent="0.25">
      <c r="A3450" s="2" t="str">
        <f>CONCATENATE(Códigos!S3449,Códigos!T3449,Códigos!U3449)</f>
        <v>svv3448v</v>
      </c>
      <c r="B3450" t="s">
        <v>341</v>
      </c>
      <c r="C3450" t="s">
        <v>368</v>
      </c>
      <c r="D3450" s="2" t="s">
        <v>331</v>
      </c>
      <c r="E3450" t="s">
        <v>473</v>
      </c>
      <c r="F3450" s="11">
        <v>43154</v>
      </c>
      <c r="G3450" s="2">
        <f>VLOOKUP(E3450,Produtos!$A:$E,5,FALSE)</f>
        <v>3200</v>
      </c>
      <c r="H3450" s="2">
        <f>VLOOKUP(E3450,Produtos!$A:$E,4,FALSE)</f>
        <v>1200</v>
      </c>
      <c r="I3450" s="2">
        <v>2</v>
      </c>
    </row>
    <row r="3451" spans="1:9" x14ac:dyDescent="0.25">
      <c r="A3451" s="2" t="str">
        <f>CONCATENATE(Códigos!S3450,Códigos!T3450,Códigos!U3450)</f>
        <v>svv3449v</v>
      </c>
      <c r="B3451" t="s">
        <v>341</v>
      </c>
      <c r="C3451" t="s">
        <v>368</v>
      </c>
      <c r="D3451" s="2" t="s">
        <v>331</v>
      </c>
      <c r="E3451" t="s">
        <v>473</v>
      </c>
      <c r="F3451" s="11">
        <v>43155</v>
      </c>
      <c r="G3451" s="2">
        <f>VLOOKUP(E3451,Produtos!$A:$E,5,FALSE)</f>
        <v>3200</v>
      </c>
      <c r="H3451" s="2">
        <f>VLOOKUP(E3451,Produtos!$A:$E,4,FALSE)</f>
        <v>1200</v>
      </c>
      <c r="I3451" s="2">
        <v>2</v>
      </c>
    </row>
    <row r="3452" spans="1:9" x14ac:dyDescent="0.25">
      <c r="A3452" s="2" t="str">
        <f>CONCATENATE(Códigos!S3451,Códigos!T3451,Códigos!U3451)</f>
        <v>svv3450v</v>
      </c>
      <c r="B3452" t="s">
        <v>341</v>
      </c>
      <c r="C3452" t="s">
        <v>368</v>
      </c>
      <c r="D3452" s="2" t="s">
        <v>331</v>
      </c>
      <c r="E3452" t="s">
        <v>473</v>
      </c>
      <c r="F3452" s="11">
        <v>43156</v>
      </c>
      <c r="G3452" s="2">
        <f>VLOOKUP(E3452,Produtos!$A:$E,5,FALSE)</f>
        <v>3200</v>
      </c>
      <c r="H3452" s="2">
        <f>VLOOKUP(E3452,Produtos!$A:$E,4,FALSE)</f>
        <v>1200</v>
      </c>
      <c r="I3452" s="2">
        <v>2</v>
      </c>
    </row>
    <row r="3453" spans="1:9" x14ac:dyDescent="0.25">
      <c r="A3453" s="2" t="str">
        <f>CONCATENATE(Códigos!S3452,Códigos!T3452,Códigos!U3452)</f>
        <v>svv3451v</v>
      </c>
      <c r="B3453" t="s">
        <v>341</v>
      </c>
      <c r="C3453" t="s">
        <v>368</v>
      </c>
      <c r="D3453" s="2" t="s">
        <v>331</v>
      </c>
      <c r="E3453" t="s">
        <v>473</v>
      </c>
      <c r="F3453" s="11">
        <v>43157</v>
      </c>
      <c r="G3453" s="2">
        <f>VLOOKUP(E3453,Produtos!$A:$E,5,FALSE)</f>
        <v>3200</v>
      </c>
      <c r="H3453" s="2">
        <f>VLOOKUP(E3453,Produtos!$A:$E,4,FALSE)</f>
        <v>1200</v>
      </c>
      <c r="I3453" s="2">
        <v>2</v>
      </c>
    </row>
    <row r="3454" spans="1:9" x14ac:dyDescent="0.25">
      <c r="A3454" s="2" t="str">
        <f>CONCATENATE(Códigos!S3453,Códigos!T3453,Códigos!U3453)</f>
        <v>svv3452v</v>
      </c>
      <c r="B3454" t="s">
        <v>341</v>
      </c>
      <c r="C3454" t="s">
        <v>368</v>
      </c>
      <c r="D3454" s="2" t="s">
        <v>331</v>
      </c>
      <c r="E3454" t="s">
        <v>473</v>
      </c>
      <c r="F3454" s="11">
        <v>43158</v>
      </c>
      <c r="G3454" s="2">
        <f>VLOOKUP(E3454,Produtos!$A:$E,5,FALSE)</f>
        <v>3200</v>
      </c>
      <c r="H3454" s="2">
        <f>VLOOKUP(E3454,Produtos!$A:$E,4,FALSE)</f>
        <v>1200</v>
      </c>
      <c r="I3454" s="2">
        <v>2</v>
      </c>
    </row>
    <row r="3455" spans="1:9" x14ac:dyDescent="0.25">
      <c r="A3455" s="2" t="str">
        <f>CONCATENATE(Códigos!S3454,Códigos!T3454,Códigos!U3454)</f>
        <v>svv3453v</v>
      </c>
      <c r="B3455" t="s">
        <v>341</v>
      </c>
      <c r="C3455" t="s">
        <v>368</v>
      </c>
      <c r="D3455" s="2" t="s">
        <v>331</v>
      </c>
      <c r="E3455" t="s">
        <v>473</v>
      </c>
      <c r="F3455" s="11">
        <v>43159</v>
      </c>
      <c r="G3455" s="2">
        <f>VLOOKUP(E3455,Produtos!$A:$E,5,FALSE)</f>
        <v>3200</v>
      </c>
      <c r="H3455" s="2">
        <f>VLOOKUP(E3455,Produtos!$A:$E,4,FALSE)</f>
        <v>1200</v>
      </c>
      <c r="I3455" s="2">
        <v>2</v>
      </c>
    </row>
    <row r="3456" spans="1:9" x14ac:dyDescent="0.25">
      <c r="A3456" s="2" t="str">
        <f>CONCATENATE(Códigos!S3455,Códigos!T3455,Códigos!U3455)</f>
        <v>svv3454v</v>
      </c>
      <c r="B3456" t="s">
        <v>341</v>
      </c>
      <c r="C3456" t="s">
        <v>368</v>
      </c>
      <c r="D3456" s="2" t="s">
        <v>331</v>
      </c>
      <c r="E3456" t="s">
        <v>473</v>
      </c>
      <c r="F3456" s="11">
        <v>43160</v>
      </c>
      <c r="G3456" s="2">
        <f>VLOOKUP(E3456,Produtos!$A:$E,5,FALSE)</f>
        <v>3200</v>
      </c>
      <c r="H3456" s="2">
        <f>VLOOKUP(E3456,Produtos!$A:$E,4,FALSE)</f>
        <v>1200</v>
      </c>
      <c r="I3456" s="2">
        <v>2</v>
      </c>
    </row>
    <row r="3457" spans="1:9" x14ac:dyDescent="0.25">
      <c r="A3457" s="2" t="str">
        <f>CONCATENATE(Códigos!S3456,Códigos!T3456,Códigos!U3456)</f>
        <v>svv3455v</v>
      </c>
      <c r="B3457" t="s">
        <v>341</v>
      </c>
      <c r="C3457" t="s">
        <v>388</v>
      </c>
      <c r="D3457" s="2" t="s">
        <v>389</v>
      </c>
      <c r="E3457" t="s">
        <v>473</v>
      </c>
      <c r="F3457" s="11">
        <v>43161</v>
      </c>
      <c r="G3457" s="2">
        <f>VLOOKUP(E3457,Produtos!$A:$E,5,FALSE)</f>
        <v>3200</v>
      </c>
      <c r="H3457" s="2">
        <f>VLOOKUP(E3457,Produtos!$A:$E,4,FALSE)</f>
        <v>1200</v>
      </c>
      <c r="I3457" s="2">
        <v>2</v>
      </c>
    </row>
    <row r="3458" spans="1:9" x14ac:dyDescent="0.25">
      <c r="A3458" s="2" t="str">
        <f>CONCATENATE(Códigos!S3457,Códigos!T3457,Códigos!U3457)</f>
        <v>svv3456v</v>
      </c>
      <c r="B3458" t="s">
        <v>341</v>
      </c>
      <c r="C3458" t="s">
        <v>388</v>
      </c>
      <c r="D3458" s="2" t="s">
        <v>389</v>
      </c>
      <c r="E3458" t="s">
        <v>473</v>
      </c>
      <c r="F3458" s="11">
        <v>43162</v>
      </c>
      <c r="G3458" s="2">
        <f>VLOOKUP(E3458,Produtos!$A:$E,5,FALSE)</f>
        <v>3200</v>
      </c>
      <c r="H3458" s="2">
        <f>VLOOKUP(E3458,Produtos!$A:$E,4,FALSE)</f>
        <v>1200</v>
      </c>
      <c r="I3458" s="2">
        <v>2</v>
      </c>
    </row>
    <row r="3459" spans="1:9" x14ac:dyDescent="0.25">
      <c r="A3459" s="2" t="str">
        <f>CONCATENATE(Códigos!S3458,Códigos!T3458,Códigos!U3458)</f>
        <v>svv3457v</v>
      </c>
      <c r="B3459" t="s">
        <v>341</v>
      </c>
      <c r="C3459" t="s">
        <v>388</v>
      </c>
      <c r="D3459" s="2" t="s">
        <v>389</v>
      </c>
      <c r="E3459" t="s">
        <v>476</v>
      </c>
      <c r="F3459" s="11">
        <v>43163</v>
      </c>
      <c r="G3459" s="2">
        <f>VLOOKUP(E3459,Produtos!$A:$E,5,FALSE)</f>
        <v>4000</v>
      </c>
      <c r="H3459" s="2">
        <f>VLOOKUP(E3459,Produtos!$A:$E,4,FALSE)</f>
        <v>1500</v>
      </c>
      <c r="I3459" s="2">
        <v>2</v>
      </c>
    </row>
    <row r="3460" spans="1:9" x14ac:dyDescent="0.25">
      <c r="A3460" s="2" t="str">
        <f>CONCATENATE(Códigos!S3459,Códigos!T3459,Códigos!U3459)</f>
        <v>svv3458v</v>
      </c>
      <c r="B3460" t="s">
        <v>341</v>
      </c>
      <c r="C3460" t="s">
        <v>388</v>
      </c>
      <c r="D3460" s="2" t="s">
        <v>389</v>
      </c>
      <c r="E3460" t="s">
        <v>476</v>
      </c>
      <c r="F3460" s="11">
        <v>43164</v>
      </c>
      <c r="G3460" s="2">
        <f>VLOOKUP(E3460,Produtos!$A:$E,5,FALSE)</f>
        <v>4000</v>
      </c>
      <c r="H3460" s="2">
        <f>VLOOKUP(E3460,Produtos!$A:$E,4,FALSE)</f>
        <v>1500</v>
      </c>
      <c r="I3460" s="2">
        <v>2</v>
      </c>
    </row>
    <row r="3461" spans="1:9" x14ac:dyDescent="0.25">
      <c r="A3461" s="2" t="str">
        <f>CONCATENATE(Códigos!S3460,Códigos!T3460,Códigos!U3460)</f>
        <v>svv3459v</v>
      </c>
      <c r="B3461" t="s">
        <v>341</v>
      </c>
      <c r="C3461" t="s">
        <v>388</v>
      </c>
      <c r="D3461" s="2" t="s">
        <v>389</v>
      </c>
      <c r="E3461" t="s">
        <v>476</v>
      </c>
      <c r="F3461" s="11">
        <v>43165</v>
      </c>
      <c r="G3461" s="2">
        <f>VLOOKUP(E3461,Produtos!$A:$E,5,FALSE)</f>
        <v>4000</v>
      </c>
      <c r="H3461" s="2">
        <f>VLOOKUP(E3461,Produtos!$A:$E,4,FALSE)</f>
        <v>1500</v>
      </c>
      <c r="I3461" s="2">
        <v>2</v>
      </c>
    </row>
    <row r="3462" spans="1:9" x14ac:dyDescent="0.25">
      <c r="A3462" s="2" t="str">
        <f>CONCATENATE(Códigos!S3461,Códigos!T3461,Códigos!U3461)</f>
        <v>svv3460v</v>
      </c>
      <c r="B3462" t="s">
        <v>341</v>
      </c>
      <c r="C3462" t="s">
        <v>388</v>
      </c>
      <c r="D3462" s="2" t="s">
        <v>389</v>
      </c>
      <c r="E3462" t="s">
        <v>476</v>
      </c>
      <c r="F3462" s="11">
        <v>43166</v>
      </c>
      <c r="G3462" s="2">
        <f>VLOOKUP(E3462,Produtos!$A:$E,5,FALSE)</f>
        <v>4000</v>
      </c>
      <c r="H3462" s="2">
        <f>VLOOKUP(E3462,Produtos!$A:$E,4,FALSE)</f>
        <v>1500</v>
      </c>
      <c r="I3462" s="2">
        <v>2</v>
      </c>
    </row>
    <row r="3463" spans="1:9" x14ac:dyDescent="0.25">
      <c r="A3463" s="2" t="str">
        <f>CONCATENATE(Códigos!S3462,Códigos!T3462,Códigos!U3462)</f>
        <v>svv3461v</v>
      </c>
      <c r="B3463" t="s">
        <v>341</v>
      </c>
      <c r="C3463" t="s">
        <v>388</v>
      </c>
      <c r="D3463" s="2" t="s">
        <v>389</v>
      </c>
      <c r="E3463" t="s">
        <v>476</v>
      </c>
      <c r="F3463" s="11">
        <v>43167</v>
      </c>
      <c r="G3463" s="2">
        <f>VLOOKUP(E3463,Produtos!$A:$E,5,FALSE)</f>
        <v>4000</v>
      </c>
      <c r="H3463" s="2">
        <f>VLOOKUP(E3463,Produtos!$A:$E,4,FALSE)</f>
        <v>1500</v>
      </c>
      <c r="I3463" s="2">
        <v>2</v>
      </c>
    </row>
    <row r="3464" spans="1:9" x14ac:dyDescent="0.25">
      <c r="A3464" s="2" t="str">
        <f>CONCATENATE(Códigos!S3463,Códigos!T3463,Códigos!U3463)</f>
        <v>svv3462v</v>
      </c>
      <c r="B3464" t="s">
        <v>341</v>
      </c>
      <c r="C3464" t="s">
        <v>388</v>
      </c>
      <c r="D3464" s="2" t="s">
        <v>389</v>
      </c>
      <c r="E3464" t="s">
        <v>476</v>
      </c>
      <c r="F3464" s="11">
        <v>43168</v>
      </c>
      <c r="G3464" s="2">
        <f>VLOOKUP(E3464,Produtos!$A:$E,5,FALSE)</f>
        <v>4000</v>
      </c>
      <c r="H3464" s="2">
        <f>VLOOKUP(E3464,Produtos!$A:$E,4,FALSE)</f>
        <v>1500</v>
      </c>
      <c r="I3464" s="2">
        <v>2</v>
      </c>
    </row>
    <row r="3465" spans="1:9" x14ac:dyDescent="0.25">
      <c r="A3465" s="2" t="str">
        <f>CONCATENATE(Códigos!S3464,Códigos!T3464,Códigos!U3464)</f>
        <v>svv3463v</v>
      </c>
      <c r="B3465" t="s">
        <v>341</v>
      </c>
      <c r="C3465" t="s">
        <v>388</v>
      </c>
      <c r="D3465" s="2" t="s">
        <v>389</v>
      </c>
      <c r="E3465" t="s">
        <v>476</v>
      </c>
      <c r="F3465" s="11">
        <v>43169</v>
      </c>
      <c r="G3465" s="2">
        <f>VLOOKUP(E3465,Produtos!$A:$E,5,FALSE)</f>
        <v>4000</v>
      </c>
      <c r="H3465" s="2">
        <f>VLOOKUP(E3465,Produtos!$A:$E,4,FALSE)</f>
        <v>1500</v>
      </c>
      <c r="I3465" s="2">
        <v>2</v>
      </c>
    </row>
    <row r="3466" spans="1:9" x14ac:dyDescent="0.25">
      <c r="A3466" s="2" t="str">
        <f>CONCATENATE(Códigos!S3465,Códigos!T3465,Códigos!U3465)</f>
        <v>svv3464v</v>
      </c>
      <c r="B3466" t="s">
        <v>341</v>
      </c>
      <c r="C3466" t="s">
        <v>388</v>
      </c>
      <c r="D3466" s="2" t="s">
        <v>389</v>
      </c>
      <c r="E3466" t="s">
        <v>476</v>
      </c>
      <c r="F3466" s="11">
        <v>43170</v>
      </c>
      <c r="G3466" s="2">
        <f>VLOOKUP(E3466,Produtos!$A:$E,5,FALSE)</f>
        <v>4000</v>
      </c>
      <c r="H3466" s="2">
        <f>VLOOKUP(E3466,Produtos!$A:$E,4,FALSE)</f>
        <v>1500</v>
      </c>
      <c r="I3466" s="2">
        <v>2</v>
      </c>
    </row>
    <row r="3467" spans="1:9" x14ac:dyDescent="0.25">
      <c r="A3467" s="2" t="str">
        <f>CONCATENATE(Códigos!S3466,Códigos!T3466,Códigos!U3466)</f>
        <v>svv3465v</v>
      </c>
      <c r="B3467" t="s">
        <v>341</v>
      </c>
      <c r="C3467" t="s">
        <v>388</v>
      </c>
      <c r="D3467" s="2" t="s">
        <v>389</v>
      </c>
      <c r="E3467" t="s">
        <v>476</v>
      </c>
      <c r="F3467" s="11">
        <v>43171</v>
      </c>
      <c r="G3467" s="2">
        <f>VLOOKUP(E3467,Produtos!$A:$E,5,FALSE)</f>
        <v>4000</v>
      </c>
      <c r="H3467" s="2">
        <f>VLOOKUP(E3467,Produtos!$A:$E,4,FALSE)</f>
        <v>1500</v>
      </c>
      <c r="I3467" s="2">
        <v>2</v>
      </c>
    </row>
    <row r="3468" spans="1:9" x14ac:dyDescent="0.25">
      <c r="A3468" s="2" t="str">
        <f>CONCATENATE(Códigos!S3467,Códigos!T3467,Códigos!U3467)</f>
        <v>svv3466v</v>
      </c>
      <c r="B3468" t="s">
        <v>341</v>
      </c>
      <c r="C3468" t="s">
        <v>388</v>
      </c>
      <c r="D3468" s="2" t="s">
        <v>389</v>
      </c>
      <c r="E3468" t="s">
        <v>476</v>
      </c>
      <c r="F3468" s="11">
        <v>43172</v>
      </c>
      <c r="G3468" s="2">
        <f>VLOOKUP(E3468,Produtos!$A:$E,5,FALSE)</f>
        <v>4000</v>
      </c>
      <c r="H3468" s="2">
        <f>VLOOKUP(E3468,Produtos!$A:$E,4,FALSE)</f>
        <v>1500</v>
      </c>
      <c r="I3468" s="2">
        <v>2</v>
      </c>
    </row>
    <row r="3469" spans="1:9" x14ac:dyDescent="0.25">
      <c r="A3469" s="2" t="str">
        <f>CONCATENATE(Códigos!S3468,Códigos!T3468,Códigos!U3468)</f>
        <v>svv3467v</v>
      </c>
      <c r="B3469" t="s">
        <v>341</v>
      </c>
      <c r="C3469" t="s">
        <v>388</v>
      </c>
      <c r="D3469" s="2" t="s">
        <v>389</v>
      </c>
      <c r="E3469" t="s">
        <v>476</v>
      </c>
      <c r="F3469" s="11">
        <v>43173</v>
      </c>
      <c r="G3469" s="2">
        <f>VLOOKUP(E3469,Produtos!$A:$E,5,FALSE)</f>
        <v>4000</v>
      </c>
      <c r="H3469" s="2">
        <f>VLOOKUP(E3469,Produtos!$A:$E,4,FALSE)</f>
        <v>1500</v>
      </c>
      <c r="I3469" s="2">
        <v>2</v>
      </c>
    </row>
    <row r="3470" spans="1:9" x14ac:dyDescent="0.25">
      <c r="A3470" s="2" t="str">
        <f>CONCATENATE(Códigos!S3469,Códigos!T3469,Códigos!U3469)</f>
        <v>svv3468v</v>
      </c>
      <c r="B3470" t="s">
        <v>341</v>
      </c>
      <c r="C3470" t="s">
        <v>388</v>
      </c>
      <c r="D3470" s="2" t="s">
        <v>389</v>
      </c>
      <c r="E3470" t="s">
        <v>476</v>
      </c>
      <c r="F3470" s="11">
        <v>43174</v>
      </c>
      <c r="G3470" s="2">
        <f>VLOOKUP(E3470,Produtos!$A:$E,5,FALSE)</f>
        <v>4000</v>
      </c>
      <c r="H3470" s="2">
        <f>VLOOKUP(E3470,Produtos!$A:$E,4,FALSE)</f>
        <v>1500</v>
      </c>
      <c r="I3470" s="2">
        <v>2</v>
      </c>
    </row>
    <row r="3471" spans="1:9" x14ac:dyDescent="0.25">
      <c r="A3471" s="2" t="str">
        <f>CONCATENATE(Códigos!S3470,Códigos!T3470,Códigos!U3470)</f>
        <v>svv3469v</v>
      </c>
      <c r="B3471" t="s">
        <v>341</v>
      </c>
      <c r="C3471" t="s">
        <v>388</v>
      </c>
      <c r="D3471" s="2" t="s">
        <v>389</v>
      </c>
      <c r="E3471" t="s">
        <v>476</v>
      </c>
      <c r="F3471" s="11">
        <v>43175</v>
      </c>
      <c r="G3471" s="2">
        <f>VLOOKUP(E3471,Produtos!$A:$E,5,FALSE)</f>
        <v>4000</v>
      </c>
      <c r="H3471" s="2">
        <f>VLOOKUP(E3471,Produtos!$A:$E,4,FALSE)</f>
        <v>1500</v>
      </c>
      <c r="I3471" s="2">
        <v>2</v>
      </c>
    </row>
    <row r="3472" spans="1:9" x14ac:dyDescent="0.25">
      <c r="A3472" s="2" t="str">
        <f>CONCATENATE(Códigos!S3471,Códigos!T3471,Códigos!U3471)</f>
        <v>svv3470v</v>
      </c>
      <c r="B3472" t="s">
        <v>341</v>
      </c>
      <c r="C3472" t="s">
        <v>388</v>
      </c>
      <c r="D3472" s="2" t="s">
        <v>389</v>
      </c>
      <c r="E3472" t="s">
        <v>476</v>
      </c>
      <c r="F3472" s="11">
        <v>43176</v>
      </c>
      <c r="G3472" s="2">
        <f>VLOOKUP(E3472,Produtos!$A:$E,5,FALSE)</f>
        <v>4000</v>
      </c>
      <c r="H3472" s="2">
        <f>VLOOKUP(E3472,Produtos!$A:$E,4,FALSE)</f>
        <v>1500</v>
      </c>
      <c r="I3472" s="2">
        <v>2</v>
      </c>
    </row>
    <row r="3473" spans="1:9" x14ac:dyDescent="0.25">
      <c r="A3473" s="2" t="str">
        <f>CONCATENATE(Códigos!S3472,Códigos!T3472,Códigos!U3472)</f>
        <v>svv3471v</v>
      </c>
      <c r="B3473" t="s">
        <v>341</v>
      </c>
      <c r="C3473" t="s">
        <v>388</v>
      </c>
      <c r="D3473" s="2" t="s">
        <v>389</v>
      </c>
      <c r="E3473" t="s">
        <v>476</v>
      </c>
      <c r="F3473" s="11">
        <v>43177</v>
      </c>
      <c r="G3473" s="2">
        <f>VLOOKUP(E3473,Produtos!$A:$E,5,FALSE)</f>
        <v>4000</v>
      </c>
      <c r="H3473" s="2">
        <f>VLOOKUP(E3473,Produtos!$A:$E,4,FALSE)</f>
        <v>1500</v>
      </c>
      <c r="I3473" s="2">
        <v>2</v>
      </c>
    </row>
    <row r="3474" spans="1:9" x14ac:dyDescent="0.25">
      <c r="A3474" s="2" t="str">
        <f>CONCATENATE(Códigos!S3473,Códigos!T3473,Códigos!U3473)</f>
        <v>svv3472v</v>
      </c>
      <c r="B3474" t="s">
        <v>341</v>
      </c>
      <c r="C3474" t="s">
        <v>388</v>
      </c>
      <c r="D3474" s="2" t="s">
        <v>389</v>
      </c>
      <c r="E3474" t="s">
        <v>476</v>
      </c>
      <c r="F3474" s="11">
        <v>43178</v>
      </c>
      <c r="G3474" s="2">
        <f>VLOOKUP(E3474,Produtos!$A:$E,5,FALSE)</f>
        <v>4000</v>
      </c>
      <c r="H3474" s="2">
        <f>VLOOKUP(E3474,Produtos!$A:$E,4,FALSE)</f>
        <v>1500</v>
      </c>
      <c r="I3474" s="2">
        <v>2</v>
      </c>
    </row>
    <row r="3475" spans="1:9" x14ac:dyDescent="0.25">
      <c r="A3475" s="2" t="str">
        <f>CONCATENATE(Códigos!S3474,Códigos!T3474,Códigos!U3474)</f>
        <v>svv3473v</v>
      </c>
      <c r="B3475" t="s">
        <v>341</v>
      </c>
      <c r="C3475" t="s">
        <v>388</v>
      </c>
      <c r="D3475" s="2" t="s">
        <v>389</v>
      </c>
      <c r="E3475" t="s">
        <v>476</v>
      </c>
      <c r="F3475" s="11">
        <v>43179</v>
      </c>
      <c r="G3475" s="2">
        <f>VLOOKUP(E3475,Produtos!$A:$E,5,FALSE)</f>
        <v>4000</v>
      </c>
      <c r="H3475" s="2">
        <f>VLOOKUP(E3475,Produtos!$A:$E,4,FALSE)</f>
        <v>1500</v>
      </c>
      <c r="I3475" s="2">
        <v>2</v>
      </c>
    </row>
    <row r="3476" spans="1:9" x14ac:dyDescent="0.25">
      <c r="A3476" s="2" t="str">
        <f>CONCATENATE(Códigos!S3475,Códigos!T3475,Códigos!U3475)</f>
        <v>svv3474v</v>
      </c>
      <c r="B3476" t="s">
        <v>341</v>
      </c>
      <c r="C3476" t="s">
        <v>388</v>
      </c>
      <c r="D3476" s="2" t="s">
        <v>389</v>
      </c>
      <c r="E3476" t="s">
        <v>476</v>
      </c>
      <c r="F3476" s="11">
        <v>43180</v>
      </c>
      <c r="G3476" s="2">
        <f>VLOOKUP(E3476,Produtos!$A:$E,5,FALSE)</f>
        <v>4000</v>
      </c>
      <c r="H3476" s="2">
        <f>VLOOKUP(E3476,Produtos!$A:$E,4,FALSE)</f>
        <v>1500</v>
      </c>
      <c r="I3476" s="2">
        <v>2</v>
      </c>
    </row>
    <row r="3477" spans="1:9" x14ac:dyDescent="0.25">
      <c r="A3477" s="2" t="str">
        <f>CONCATENATE(Códigos!S3476,Códigos!T3476,Códigos!U3476)</f>
        <v>svv3475v</v>
      </c>
      <c r="B3477" t="s">
        <v>341</v>
      </c>
      <c r="C3477" t="s">
        <v>388</v>
      </c>
      <c r="D3477" s="2" t="s">
        <v>389</v>
      </c>
      <c r="E3477" t="s">
        <v>476</v>
      </c>
      <c r="F3477" s="11">
        <v>43181</v>
      </c>
      <c r="G3477" s="2">
        <f>VLOOKUP(E3477,Produtos!$A:$E,5,FALSE)</f>
        <v>4000</v>
      </c>
      <c r="H3477" s="2">
        <f>VLOOKUP(E3477,Produtos!$A:$E,4,FALSE)</f>
        <v>1500</v>
      </c>
      <c r="I3477" s="2">
        <v>2</v>
      </c>
    </row>
    <row r="3478" spans="1:9" x14ac:dyDescent="0.25">
      <c r="A3478" s="2" t="str">
        <f>CONCATENATE(Códigos!S3477,Códigos!T3477,Códigos!U3477)</f>
        <v>svv3476v</v>
      </c>
      <c r="B3478" t="s">
        <v>341</v>
      </c>
      <c r="C3478" t="s">
        <v>388</v>
      </c>
      <c r="D3478" s="2" t="s">
        <v>389</v>
      </c>
      <c r="E3478" t="s">
        <v>476</v>
      </c>
      <c r="F3478" s="11">
        <v>43182</v>
      </c>
      <c r="G3478" s="2">
        <f>VLOOKUP(E3478,Produtos!$A:$E,5,FALSE)</f>
        <v>4000</v>
      </c>
      <c r="H3478" s="2">
        <f>VLOOKUP(E3478,Produtos!$A:$E,4,FALSE)</f>
        <v>1500</v>
      </c>
      <c r="I3478" s="2">
        <v>2</v>
      </c>
    </row>
    <row r="3479" spans="1:9" x14ac:dyDescent="0.25">
      <c r="A3479" s="2" t="str">
        <f>CONCATENATE(Códigos!S3478,Códigos!T3478,Códigos!U3478)</f>
        <v>svv3477v</v>
      </c>
      <c r="B3479" t="s">
        <v>341</v>
      </c>
      <c r="C3479" t="s">
        <v>388</v>
      </c>
      <c r="D3479" s="2" t="s">
        <v>389</v>
      </c>
      <c r="E3479" t="s">
        <v>486</v>
      </c>
      <c r="F3479" s="11">
        <v>43183</v>
      </c>
      <c r="G3479" s="2">
        <f>VLOOKUP(E3479,Produtos!$A:$E,5,FALSE)</f>
        <v>4000</v>
      </c>
      <c r="H3479" s="2">
        <f>VLOOKUP(E3479,Produtos!$A:$E,4,FALSE)</f>
        <v>2000</v>
      </c>
      <c r="I3479" s="2">
        <v>2</v>
      </c>
    </row>
    <row r="3480" spans="1:9" x14ac:dyDescent="0.25">
      <c r="A3480" s="2" t="str">
        <f>CONCATENATE(Códigos!S3479,Códigos!T3479,Códigos!U3479)</f>
        <v>svv3478v</v>
      </c>
      <c r="B3480" t="s">
        <v>341</v>
      </c>
      <c r="C3480" t="s">
        <v>388</v>
      </c>
      <c r="D3480" s="2" t="s">
        <v>389</v>
      </c>
      <c r="E3480" t="s">
        <v>486</v>
      </c>
      <c r="F3480" s="11">
        <v>43184</v>
      </c>
      <c r="G3480" s="2">
        <f>VLOOKUP(E3480,Produtos!$A:$E,5,FALSE)</f>
        <v>4000</v>
      </c>
      <c r="H3480" s="2">
        <f>VLOOKUP(E3480,Produtos!$A:$E,4,FALSE)</f>
        <v>2000</v>
      </c>
      <c r="I3480" s="2">
        <v>2</v>
      </c>
    </row>
    <row r="3481" spans="1:9" x14ac:dyDescent="0.25">
      <c r="A3481" s="2" t="str">
        <f>CONCATENATE(Códigos!S3480,Códigos!T3480,Códigos!U3480)</f>
        <v>svv3479v</v>
      </c>
      <c r="B3481" t="s">
        <v>341</v>
      </c>
      <c r="C3481" t="s">
        <v>388</v>
      </c>
      <c r="D3481" s="2" t="s">
        <v>389</v>
      </c>
      <c r="E3481" t="s">
        <v>486</v>
      </c>
      <c r="F3481" s="11">
        <v>43185</v>
      </c>
      <c r="G3481" s="2">
        <f>VLOOKUP(E3481,Produtos!$A:$E,5,FALSE)</f>
        <v>4000</v>
      </c>
      <c r="H3481" s="2">
        <f>VLOOKUP(E3481,Produtos!$A:$E,4,FALSE)</f>
        <v>2000</v>
      </c>
      <c r="I3481" s="2">
        <v>2</v>
      </c>
    </row>
    <row r="3482" spans="1:9" x14ac:dyDescent="0.25">
      <c r="A3482" s="2" t="str">
        <f>CONCATENATE(Códigos!S3481,Códigos!T3481,Códigos!U3481)</f>
        <v>svv3480v</v>
      </c>
      <c r="B3482" t="s">
        <v>341</v>
      </c>
      <c r="C3482" t="s">
        <v>388</v>
      </c>
      <c r="D3482" s="2" t="s">
        <v>389</v>
      </c>
      <c r="E3482" t="s">
        <v>486</v>
      </c>
      <c r="F3482" s="11">
        <v>43186</v>
      </c>
      <c r="G3482" s="2">
        <f>VLOOKUP(E3482,Produtos!$A:$E,5,FALSE)</f>
        <v>4000</v>
      </c>
      <c r="H3482" s="2">
        <f>VLOOKUP(E3482,Produtos!$A:$E,4,FALSE)</f>
        <v>2000</v>
      </c>
      <c r="I3482" s="2">
        <v>2</v>
      </c>
    </row>
    <row r="3483" spans="1:9" x14ac:dyDescent="0.25">
      <c r="A3483" s="2" t="str">
        <f>CONCATENATE(Códigos!S3482,Códigos!T3482,Códigos!U3482)</f>
        <v>svv3481v</v>
      </c>
      <c r="B3483" t="s">
        <v>341</v>
      </c>
      <c r="C3483" t="s">
        <v>388</v>
      </c>
      <c r="D3483" s="2" t="s">
        <v>389</v>
      </c>
      <c r="E3483" t="s">
        <v>486</v>
      </c>
      <c r="F3483" s="11">
        <v>43187</v>
      </c>
      <c r="G3483" s="2">
        <f>VLOOKUP(E3483,Produtos!$A:$E,5,FALSE)</f>
        <v>4000</v>
      </c>
      <c r="H3483" s="2">
        <f>VLOOKUP(E3483,Produtos!$A:$E,4,FALSE)</f>
        <v>2000</v>
      </c>
      <c r="I3483" s="2">
        <v>2</v>
      </c>
    </row>
    <row r="3484" spans="1:9" x14ac:dyDescent="0.25">
      <c r="A3484" s="2" t="str">
        <f>CONCATENATE(Códigos!S3483,Códigos!T3483,Códigos!U3483)</f>
        <v>svv3482v</v>
      </c>
      <c r="B3484" t="s">
        <v>341</v>
      </c>
      <c r="C3484" t="s">
        <v>388</v>
      </c>
      <c r="D3484" s="2" t="s">
        <v>389</v>
      </c>
      <c r="E3484" t="s">
        <v>486</v>
      </c>
      <c r="F3484" s="11">
        <v>43188</v>
      </c>
      <c r="G3484" s="2">
        <f>VLOOKUP(E3484,Produtos!$A:$E,5,FALSE)</f>
        <v>4000</v>
      </c>
      <c r="H3484" s="2">
        <f>VLOOKUP(E3484,Produtos!$A:$E,4,FALSE)</f>
        <v>2000</v>
      </c>
      <c r="I3484" s="2">
        <v>2</v>
      </c>
    </row>
    <row r="3485" spans="1:9" x14ac:dyDescent="0.25">
      <c r="A3485" s="2" t="str">
        <f>CONCATENATE(Códigos!S3484,Códigos!T3484,Códigos!U3484)</f>
        <v>svv3483v</v>
      </c>
      <c r="B3485" t="s">
        <v>341</v>
      </c>
      <c r="C3485" t="s">
        <v>388</v>
      </c>
      <c r="D3485" s="2" t="s">
        <v>389</v>
      </c>
      <c r="E3485" t="s">
        <v>486</v>
      </c>
      <c r="F3485" s="11">
        <v>43189</v>
      </c>
      <c r="G3485" s="2">
        <f>VLOOKUP(E3485,Produtos!$A:$E,5,FALSE)</f>
        <v>4000</v>
      </c>
      <c r="H3485" s="2">
        <f>VLOOKUP(E3485,Produtos!$A:$E,4,FALSE)</f>
        <v>2000</v>
      </c>
      <c r="I3485" s="2">
        <v>2</v>
      </c>
    </row>
    <row r="3486" spans="1:9" x14ac:dyDescent="0.25">
      <c r="A3486" s="2" t="str">
        <f>CONCATENATE(Códigos!S3485,Códigos!T3485,Códigos!U3485)</f>
        <v>svv3484v</v>
      </c>
      <c r="B3486" t="s">
        <v>341</v>
      </c>
      <c r="C3486" t="s">
        <v>388</v>
      </c>
      <c r="D3486" s="2" t="s">
        <v>389</v>
      </c>
      <c r="E3486" t="s">
        <v>486</v>
      </c>
      <c r="F3486" s="11">
        <v>43190</v>
      </c>
      <c r="G3486" s="2">
        <f>VLOOKUP(E3486,Produtos!$A:$E,5,FALSE)</f>
        <v>4000</v>
      </c>
      <c r="H3486" s="2">
        <f>VLOOKUP(E3486,Produtos!$A:$E,4,FALSE)</f>
        <v>2000</v>
      </c>
      <c r="I3486" s="2">
        <v>2</v>
      </c>
    </row>
    <row r="3487" spans="1:9" x14ac:dyDescent="0.25">
      <c r="A3487" s="2" t="str">
        <f>CONCATENATE(Códigos!S3486,Códigos!T3486,Códigos!U3486)</f>
        <v>svv3485v</v>
      </c>
      <c r="B3487" t="s">
        <v>341</v>
      </c>
      <c r="C3487" t="s">
        <v>388</v>
      </c>
      <c r="D3487" s="2" t="s">
        <v>389</v>
      </c>
      <c r="E3487" t="s">
        <v>486</v>
      </c>
      <c r="F3487" s="11">
        <v>43191</v>
      </c>
      <c r="G3487" s="2">
        <f>VLOOKUP(E3487,Produtos!$A:$E,5,FALSE)</f>
        <v>4000</v>
      </c>
      <c r="H3487" s="2">
        <f>VLOOKUP(E3487,Produtos!$A:$E,4,FALSE)</f>
        <v>2000</v>
      </c>
      <c r="I3487" s="2">
        <v>2</v>
      </c>
    </row>
    <row r="3488" spans="1:9" x14ac:dyDescent="0.25">
      <c r="A3488" s="2" t="str">
        <f>CONCATENATE(Códigos!S3487,Códigos!T3487,Códigos!U3487)</f>
        <v>svv3486v</v>
      </c>
      <c r="B3488" t="s">
        <v>341</v>
      </c>
      <c r="C3488" t="s">
        <v>388</v>
      </c>
      <c r="D3488" s="2" t="s">
        <v>389</v>
      </c>
      <c r="E3488" t="s">
        <v>486</v>
      </c>
      <c r="F3488" s="11">
        <v>43192</v>
      </c>
      <c r="G3488" s="2">
        <f>VLOOKUP(E3488,Produtos!$A:$E,5,FALSE)</f>
        <v>4000</v>
      </c>
      <c r="H3488" s="2">
        <f>VLOOKUP(E3488,Produtos!$A:$E,4,FALSE)</f>
        <v>2000</v>
      </c>
      <c r="I3488" s="2">
        <v>2</v>
      </c>
    </row>
    <row r="3489" spans="1:9" x14ac:dyDescent="0.25">
      <c r="A3489" s="2" t="str">
        <f>CONCATENATE(Códigos!S3488,Códigos!T3488,Códigos!U3488)</f>
        <v>svv3487v</v>
      </c>
      <c r="B3489" t="s">
        <v>341</v>
      </c>
      <c r="C3489" t="s">
        <v>388</v>
      </c>
      <c r="D3489" s="2" t="s">
        <v>389</v>
      </c>
      <c r="E3489" t="s">
        <v>486</v>
      </c>
      <c r="F3489" s="11">
        <v>43193</v>
      </c>
      <c r="G3489" s="2">
        <f>VLOOKUP(E3489,Produtos!$A:$E,5,FALSE)</f>
        <v>4000</v>
      </c>
      <c r="H3489" s="2">
        <f>VLOOKUP(E3489,Produtos!$A:$E,4,FALSE)</f>
        <v>2000</v>
      </c>
      <c r="I3489" s="2">
        <v>2</v>
      </c>
    </row>
    <row r="3490" spans="1:9" x14ac:dyDescent="0.25">
      <c r="A3490" s="2" t="str">
        <f>CONCATENATE(Códigos!S3489,Códigos!T3489,Códigos!U3489)</f>
        <v>svv3488v</v>
      </c>
      <c r="B3490" t="s">
        <v>341</v>
      </c>
      <c r="C3490" t="s">
        <v>388</v>
      </c>
      <c r="D3490" s="2" t="s">
        <v>389</v>
      </c>
      <c r="E3490" t="s">
        <v>486</v>
      </c>
      <c r="F3490" s="11">
        <v>43194</v>
      </c>
      <c r="G3490" s="2">
        <f>VLOOKUP(E3490,Produtos!$A:$E,5,FALSE)</f>
        <v>4000</v>
      </c>
      <c r="H3490" s="2">
        <f>VLOOKUP(E3490,Produtos!$A:$E,4,FALSE)</f>
        <v>2000</v>
      </c>
      <c r="I3490" s="2">
        <v>2</v>
      </c>
    </row>
    <row r="3491" spans="1:9" x14ac:dyDescent="0.25">
      <c r="A3491" s="2" t="str">
        <f>CONCATENATE(Códigos!S3490,Códigos!T3490,Códigos!U3490)</f>
        <v>svv3489v</v>
      </c>
      <c r="B3491" t="s">
        <v>341</v>
      </c>
      <c r="C3491" t="s">
        <v>388</v>
      </c>
      <c r="D3491" s="2" t="s">
        <v>389</v>
      </c>
      <c r="E3491" t="s">
        <v>486</v>
      </c>
      <c r="F3491" s="11">
        <v>43195</v>
      </c>
      <c r="G3491" s="2">
        <f>VLOOKUP(E3491,Produtos!$A:$E,5,FALSE)</f>
        <v>4000</v>
      </c>
      <c r="H3491" s="2">
        <f>VLOOKUP(E3491,Produtos!$A:$E,4,FALSE)</f>
        <v>2000</v>
      </c>
      <c r="I3491" s="2">
        <v>2</v>
      </c>
    </row>
    <row r="3492" spans="1:9" x14ac:dyDescent="0.25">
      <c r="A3492" s="2" t="str">
        <f>CONCATENATE(Códigos!S3491,Códigos!T3491,Códigos!U3491)</f>
        <v>svv3490v</v>
      </c>
      <c r="B3492" t="s">
        <v>341</v>
      </c>
      <c r="C3492" t="s">
        <v>388</v>
      </c>
      <c r="D3492" s="2" t="s">
        <v>389</v>
      </c>
      <c r="E3492" t="s">
        <v>486</v>
      </c>
      <c r="F3492" s="11">
        <v>43196</v>
      </c>
      <c r="G3492" s="2">
        <f>VLOOKUP(E3492,Produtos!$A:$E,5,FALSE)</f>
        <v>4000</v>
      </c>
      <c r="H3492" s="2">
        <f>VLOOKUP(E3492,Produtos!$A:$E,4,FALSE)</f>
        <v>2000</v>
      </c>
      <c r="I3492" s="2">
        <v>2</v>
      </c>
    </row>
    <row r="3493" spans="1:9" x14ac:dyDescent="0.25">
      <c r="A3493" s="2" t="str">
        <f>CONCATENATE(Códigos!S3492,Códigos!T3492,Códigos!U3492)</f>
        <v>svv3491v</v>
      </c>
      <c r="B3493" t="s">
        <v>341</v>
      </c>
      <c r="C3493" t="s">
        <v>388</v>
      </c>
      <c r="D3493" s="2" t="s">
        <v>389</v>
      </c>
      <c r="E3493" t="s">
        <v>486</v>
      </c>
      <c r="F3493" s="11">
        <v>43197</v>
      </c>
      <c r="G3493" s="2">
        <f>VLOOKUP(E3493,Produtos!$A:$E,5,FALSE)</f>
        <v>4000</v>
      </c>
      <c r="H3493" s="2">
        <f>VLOOKUP(E3493,Produtos!$A:$E,4,FALSE)</f>
        <v>2000</v>
      </c>
      <c r="I3493" s="2">
        <v>2</v>
      </c>
    </row>
    <row r="3494" spans="1:9" x14ac:dyDescent="0.25">
      <c r="A3494" s="2" t="str">
        <f>CONCATENATE(Códigos!S3493,Códigos!T3493,Códigos!U3493)</f>
        <v>svv3492v</v>
      </c>
      <c r="B3494" t="s">
        <v>341</v>
      </c>
      <c r="C3494" t="s">
        <v>388</v>
      </c>
      <c r="D3494" s="2" t="s">
        <v>389</v>
      </c>
      <c r="E3494" t="s">
        <v>486</v>
      </c>
      <c r="F3494" s="11">
        <v>43198</v>
      </c>
      <c r="G3494" s="2">
        <f>VLOOKUP(E3494,Produtos!$A:$E,5,FALSE)</f>
        <v>4000</v>
      </c>
      <c r="H3494" s="2">
        <f>VLOOKUP(E3494,Produtos!$A:$E,4,FALSE)</f>
        <v>2000</v>
      </c>
      <c r="I3494" s="2">
        <v>2</v>
      </c>
    </row>
    <row r="3495" spans="1:9" x14ac:dyDescent="0.25">
      <c r="A3495" s="2" t="str">
        <f>CONCATENATE(Códigos!S3494,Códigos!T3494,Códigos!U3494)</f>
        <v>svv3493v</v>
      </c>
      <c r="B3495" t="s">
        <v>341</v>
      </c>
      <c r="C3495" t="s">
        <v>388</v>
      </c>
      <c r="D3495" s="2" t="s">
        <v>389</v>
      </c>
      <c r="E3495" t="s">
        <v>486</v>
      </c>
      <c r="F3495" s="11">
        <v>43199</v>
      </c>
      <c r="G3495" s="2">
        <f>VLOOKUP(E3495,Produtos!$A:$E,5,FALSE)</f>
        <v>4000</v>
      </c>
      <c r="H3495" s="2">
        <f>VLOOKUP(E3495,Produtos!$A:$E,4,FALSE)</f>
        <v>2000</v>
      </c>
      <c r="I3495" s="2">
        <v>3</v>
      </c>
    </row>
    <row r="3496" spans="1:9" x14ac:dyDescent="0.25">
      <c r="A3496" s="2" t="str">
        <f>CONCATENATE(Códigos!S3495,Códigos!T3495,Códigos!U3495)</f>
        <v>svv3494v</v>
      </c>
      <c r="B3496" t="s">
        <v>341</v>
      </c>
      <c r="C3496" t="s">
        <v>388</v>
      </c>
      <c r="D3496" s="2" t="s">
        <v>389</v>
      </c>
      <c r="E3496" t="s">
        <v>486</v>
      </c>
      <c r="F3496" s="11">
        <v>43200</v>
      </c>
      <c r="G3496" s="2">
        <f>VLOOKUP(E3496,Produtos!$A:$E,5,FALSE)</f>
        <v>4000</v>
      </c>
      <c r="H3496" s="2">
        <f>VLOOKUP(E3496,Produtos!$A:$E,4,FALSE)</f>
        <v>2000</v>
      </c>
      <c r="I3496" s="2">
        <v>3</v>
      </c>
    </row>
    <row r="3497" spans="1:9" x14ac:dyDescent="0.25">
      <c r="A3497" s="2" t="str">
        <f>CONCATENATE(Códigos!S3496,Códigos!T3496,Códigos!U3496)</f>
        <v>svv3495v</v>
      </c>
      <c r="B3497" t="s">
        <v>341</v>
      </c>
      <c r="C3497" t="s">
        <v>388</v>
      </c>
      <c r="D3497" s="2" t="s">
        <v>389</v>
      </c>
      <c r="E3497" t="s">
        <v>485</v>
      </c>
      <c r="F3497" s="11">
        <v>43201</v>
      </c>
      <c r="G3497" s="2">
        <f>VLOOKUP(E3497,Produtos!$A:$E,5,FALSE)</f>
        <v>6000</v>
      </c>
      <c r="H3497" s="2">
        <f>VLOOKUP(E3497,Produtos!$A:$E,4,FALSE)</f>
        <v>2500</v>
      </c>
      <c r="I3497" s="2">
        <v>3</v>
      </c>
    </row>
    <row r="3498" spans="1:9" x14ac:dyDescent="0.25">
      <c r="A3498" s="2" t="str">
        <f>CONCATENATE(Códigos!S3497,Códigos!T3497,Códigos!U3497)</f>
        <v>svv3496v</v>
      </c>
      <c r="B3498" t="s">
        <v>341</v>
      </c>
      <c r="C3498" t="s">
        <v>388</v>
      </c>
      <c r="D3498" s="2" t="s">
        <v>389</v>
      </c>
      <c r="E3498" t="s">
        <v>485</v>
      </c>
      <c r="F3498" s="11">
        <v>43202</v>
      </c>
      <c r="G3498" s="2">
        <f>VLOOKUP(E3498,Produtos!$A:$E,5,FALSE)</f>
        <v>6000</v>
      </c>
      <c r="H3498" s="2">
        <f>VLOOKUP(E3498,Produtos!$A:$E,4,FALSE)</f>
        <v>2500</v>
      </c>
      <c r="I3498" s="2">
        <v>3</v>
      </c>
    </row>
    <row r="3499" spans="1:9" x14ac:dyDescent="0.25">
      <c r="A3499" s="2" t="str">
        <f>CONCATENATE(Códigos!S3498,Códigos!T3498,Códigos!U3498)</f>
        <v>svv3497v</v>
      </c>
      <c r="B3499" t="s">
        <v>341</v>
      </c>
      <c r="C3499" t="s">
        <v>388</v>
      </c>
      <c r="D3499" s="2" t="s">
        <v>389</v>
      </c>
      <c r="E3499" t="s">
        <v>485</v>
      </c>
      <c r="F3499" s="11">
        <v>43203</v>
      </c>
      <c r="G3499" s="2">
        <f>VLOOKUP(E3499,Produtos!$A:$E,5,FALSE)</f>
        <v>6000</v>
      </c>
      <c r="H3499" s="2">
        <f>VLOOKUP(E3499,Produtos!$A:$E,4,FALSE)</f>
        <v>2500</v>
      </c>
      <c r="I3499" s="2">
        <v>3</v>
      </c>
    </row>
    <row r="3500" spans="1:9" x14ac:dyDescent="0.25">
      <c r="A3500" s="2" t="str">
        <f>CONCATENATE(Códigos!S3499,Códigos!T3499,Códigos!U3499)</f>
        <v>svv3498v</v>
      </c>
      <c r="B3500" t="s">
        <v>341</v>
      </c>
      <c r="C3500" t="s">
        <v>388</v>
      </c>
      <c r="D3500" s="2" t="s">
        <v>389</v>
      </c>
      <c r="E3500" t="s">
        <v>485</v>
      </c>
      <c r="F3500" s="11">
        <v>43204</v>
      </c>
      <c r="G3500" s="2">
        <f>VLOOKUP(E3500,Produtos!$A:$E,5,FALSE)</f>
        <v>6000</v>
      </c>
      <c r="H3500" s="2">
        <f>VLOOKUP(E3500,Produtos!$A:$E,4,FALSE)</f>
        <v>2500</v>
      </c>
      <c r="I3500" s="2">
        <v>3</v>
      </c>
    </row>
    <row r="3501" spans="1:9" x14ac:dyDescent="0.25">
      <c r="A3501" s="2" t="str">
        <f>CONCATENATE(Códigos!S3500,Códigos!T3500,Códigos!U3500)</f>
        <v>svv3499v</v>
      </c>
      <c r="B3501" t="s">
        <v>341</v>
      </c>
      <c r="C3501" t="s">
        <v>388</v>
      </c>
      <c r="D3501" s="2" t="s">
        <v>389</v>
      </c>
      <c r="E3501" t="s">
        <v>485</v>
      </c>
      <c r="F3501" s="11">
        <v>43205</v>
      </c>
      <c r="G3501" s="2">
        <f>VLOOKUP(E3501,Produtos!$A:$E,5,FALSE)</f>
        <v>6000</v>
      </c>
      <c r="H3501" s="2">
        <f>VLOOKUP(E3501,Produtos!$A:$E,4,FALSE)</f>
        <v>2500</v>
      </c>
      <c r="I3501" s="2">
        <v>3</v>
      </c>
    </row>
    <row r="3502" spans="1:9" x14ac:dyDescent="0.25">
      <c r="A3502" s="2" t="str">
        <f>CONCATENATE(Códigos!S3501,Códigos!T3501,Códigos!U3501)</f>
        <v>svv3500v</v>
      </c>
      <c r="B3502" t="s">
        <v>341</v>
      </c>
      <c r="C3502" t="s">
        <v>388</v>
      </c>
      <c r="D3502" s="2" t="s">
        <v>389</v>
      </c>
      <c r="E3502" t="s">
        <v>485</v>
      </c>
      <c r="F3502" s="11">
        <v>43206</v>
      </c>
      <c r="G3502" s="2">
        <f>VLOOKUP(E3502,Produtos!$A:$E,5,FALSE)</f>
        <v>6000</v>
      </c>
      <c r="H3502" s="2">
        <f>VLOOKUP(E3502,Produtos!$A:$E,4,FALSE)</f>
        <v>2500</v>
      </c>
      <c r="I3502" s="2">
        <v>3</v>
      </c>
    </row>
    <row r="3503" spans="1:9" x14ac:dyDescent="0.25">
      <c r="A3503" s="2" t="str">
        <f>CONCATENATE(Códigos!S3502,Códigos!T3502,Códigos!U3502)</f>
        <v>svv3501v</v>
      </c>
      <c r="B3503" t="s">
        <v>341</v>
      </c>
      <c r="C3503" t="s">
        <v>388</v>
      </c>
      <c r="D3503" s="2" t="s">
        <v>389</v>
      </c>
      <c r="E3503" t="s">
        <v>485</v>
      </c>
      <c r="F3503" s="11">
        <v>43207</v>
      </c>
      <c r="G3503" s="2">
        <f>VLOOKUP(E3503,Produtos!$A:$E,5,FALSE)</f>
        <v>6000</v>
      </c>
      <c r="H3503" s="2">
        <f>VLOOKUP(E3503,Produtos!$A:$E,4,FALSE)</f>
        <v>2500</v>
      </c>
      <c r="I3503" s="2">
        <v>3</v>
      </c>
    </row>
    <row r="3504" spans="1:9" x14ac:dyDescent="0.25">
      <c r="A3504" s="2" t="str">
        <f>CONCATENATE(Códigos!S3503,Códigos!T3503,Códigos!U3503)</f>
        <v>svv3502v</v>
      </c>
      <c r="B3504" t="s">
        <v>341</v>
      </c>
      <c r="C3504" t="s">
        <v>388</v>
      </c>
      <c r="D3504" s="2" t="s">
        <v>389</v>
      </c>
      <c r="E3504" t="s">
        <v>485</v>
      </c>
      <c r="F3504" s="11">
        <v>43208</v>
      </c>
      <c r="G3504" s="2">
        <f>VLOOKUP(E3504,Produtos!$A:$E,5,FALSE)</f>
        <v>6000</v>
      </c>
      <c r="H3504" s="2">
        <f>VLOOKUP(E3504,Produtos!$A:$E,4,FALSE)</f>
        <v>2500</v>
      </c>
      <c r="I3504" s="2">
        <v>3</v>
      </c>
    </row>
    <row r="3505" spans="1:9" x14ac:dyDescent="0.25">
      <c r="A3505" s="2" t="str">
        <f>CONCATENATE(Códigos!S3504,Códigos!T3504,Códigos!U3504)</f>
        <v>svv3503v</v>
      </c>
      <c r="B3505" t="s">
        <v>341</v>
      </c>
      <c r="C3505" t="s">
        <v>388</v>
      </c>
      <c r="D3505" s="2" t="s">
        <v>389</v>
      </c>
      <c r="E3505" t="s">
        <v>485</v>
      </c>
      <c r="F3505" s="11">
        <v>43209</v>
      </c>
      <c r="G3505" s="2">
        <f>VLOOKUP(E3505,Produtos!$A:$E,5,FALSE)</f>
        <v>6000</v>
      </c>
      <c r="H3505" s="2">
        <f>VLOOKUP(E3505,Produtos!$A:$E,4,FALSE)</f>
        <v>2500</v>
      </c>
      <c r="I3505" s="2">
        <v>3</v>
      </c>
    </row>
    <row r="3506" spans="1:9" x14ac:dyDescent="0.25">
      <c r="A3506" s="2" t="str">
        <f>CONCATENATE(Códigos!S3505,Códigos!T3505,Códigos!U3505)</f>
        <v>svv3504v</v>
      </c>
      <c r="B3506" t="s">
        <v>341</v>
      </c>
      <c r="C3506" t="s">
        <v>388</v>
      </c>
      <c r="D3506" s="2" t="s">
        <v>389</v>
      </c>
      <c r="E3506" t="s">
        <v>485</v>
      </c>
      <c r="F3506" s="11">
        <v>43210</v>
      </c>
      <c r="G3506" s="2">
        <f>VLOOKUP(E3506,Produtos!$A:$E,5,FALSE)</f>
        <v>6000</v>
      </c>
      <c r="H3506" s="2">
        <f>VLOOKUP(E3506,Produtos!$A:$E,4,FALSE)</f>
        <v>2500</v>
      </c>
      <c r="I3506" s="2">
        <v>3</v>
      </c>
    </row>
    <row r="3507" spans="1:9" x14ac:dyDescent="0.25">
      <c r="A3507" s="2" t="str">
        <f>CONCATENATE(Códigos!S3506,Códigos!T3506,Códigos!U3506)</f>
        <v>svv3505v</v>
      </c>
      <c r="B3507" t="s">
        <v>341</v>
      </c>
      <c r="C3507" t="s">
        <v>388</v>
      </c>
      <c r="D3507" s="2" t="s">
        <v>389</v>
      </c>
      <c r="E3507" t="s">
        <v>485</v>
      </c>
      <c r="F3507" s="11">
        <v>43211</v>
      </c>
      <c r="G3507" s="2">
        <f>VLOOKUP(E3507,Produtos!$A:$E,5,FALSE)</f>
        <v>6000</v>
      </c>
      <c r="H3507" s="2">
        <f>VLOOKUP(E3507,Produtos!$A:$E,4,FALSE)</f>
        <v>2500</v>
      </c>
      <c r="I3507" s="2">
        <v>3</v>
      </c>
    </row>
    <row r="3508" spans="1:9" x14ac:dyDescent="0.25">
      <c r="A3508" s="2" t="str">
        <f>CONCATENATE(Códigos!S3507,Códigos!T3507,Códigos!U3507)</f>
        <v>svv3506v</v>
      </c>
      <c r="B3508" t="s">
        <v>341</v>
      </c>
      <c r="C3508" t="s">
        <v>388</v>
      </c>
      <c r="D3508" s="2" t="s">
        <v>389</v>
      </c>
      <c r="E3508" t="s">
        <v>485</v>
      </c>
      <c r="F3508" s="11">
        <v>43212</v>
      </c>
      <c r="G3508" s="2">
        <f>VLOOKUP(E3508,Produtos!$A:$E,5,FALSE)</f>
        <v>6000</v>
      </c>
      <c r="H3508" s="2">
        <f>VLOOKUP(E3508,Produtos!$A:$E,4,FALSE)</f>
        <v>2500</v>
      </c>
      <c r="I3508" s="2">
        <v>3</v>
      </c>
    </row>
    <row r="3509" spans="1:9" x14ac:dyDescent="0.25">
      <c r="A3509" s="2" t="str">
        <f>CONCATENATE(Códigos!S3508,Códigos!T3508,Códigos!U3508)</f>
        <v>svv3507v</v>
      </c>
      <c r="B3509" t="s">
        <v>341</v>
      </c>
      <c r="C3509" t="s">
        <v>388</v>
      </c>
      <c r="D3509" s="2" t="s">
        <v>389</v>
      </c>
      <c r="E3509" t="s">
        <v>485</v>
      </c>
      <c r="F3509" s="11">
        <v>43213</v>
      </c>
      <c r="G3509" s="2">
        <f>VLOOKUP(E3509,Produtos!$A:$E,5,FALSE)</f>
        <v>6000</v>
      </c>
      <c r="H3509" s="2">
        <f>VLOOKUP(E3509,Produtos!$A:$E,4,FALSE)</f>
        <v>2500</v>
      </c>
      <c r="I3509" s="2">
        <v>3</v>
      </c>
    </row>
    <row r="3510" spans="1:9" x14ac:dyDescent="0.25">
      <c r="A3510" s="2" t="str">
        <f>CONCATENATE(Códigos!S3509,Códigos!T3509,Códigos!U3509)</f>
        <v>svv3508v</v>
      </c>
      <c r="B3510" t="s">
        <v>341</v>
      </c>
      <c r="C3510" t="s">
        <v>388</v>
      </c>
      <c r="D3510" s="2" t="s">
        <v>389</v>
      </c>
      <c r="E3510" t="s">
        <v>485</v>
      </c>
      <c r="F3510" s="11">
        <v>43214</v>
      </c>
      <c r="G3510" s="2">
        <f>VLOOKUP(E3510,Produtos!$A:$E,5,FALSE)</f>
        <v>6000</v>
      </c>
      <c r="H3510" s="2">
        <f>VLOOKUP(E3510,Produtos!$A:$E,4,FALSE)</f>
        <v>2500</v>
      </c>
      <c r="I3510" s="2">
        <v>3</v>
      </c>
    </row>
    <row r="3511" spans="1:9" x14ac:dyDescent="0.25">
      <c r="A3511" s="2" t="str">
        <f>CONCATENATE(Códigos!S3510,Códigos!T3510,Códigos!U3510)</f>
        <v>svv3509v</v>
      </c>
      <c r="B3511" t="s">
        <v>341</v>
      </c>
      <c r="C3511" t="s">
        <v>388</v>
      </c>
      <c r="D3511" s="2" t="s">
        <v>389</v>
      </c>
      <c r="E3511" t="s">
        <v>485</v>
      </c>
      <c r="F3511" s="11">
        <v>43215</v>
      </c>
      <c r="G3511" s="2">
        <f>VLOOKUP(E3511,Produtos!$A:$E,5,FALSE)</f>
        <v>6000</v>
      </c>
      <c r="H3511" s="2">
        <f>VLOOKUP(E3511,Produtos!$A:$E,4,FALSE)</f>
        <v>2500</v>
      </c>
      <c r="I3511" s="2">
        <v>1</v>
      </c>
    </row>
    <row r="3512" spans="1:9" x14ac:dyDescent="0.25">
      <c r="A3512" s="2" t="str">
        <f>CONCATENATE(Códigos!S3511,Códigos!T3511,Códigos!U3511)</f>
        <v>svv3510v</v>
      </c>
      <c r="B3512" t="s">
        <v>341</v>
      </c>
      <c r="C3512" t="s">
        <v>388</v>
      </c>
      <c r="D3512" s="2" t="s">
        <v>389</v>
      </c>
      <c r="E3512" t="s">
        <v>485</v>
      </c>
      <c r="F3512" s="11">
        <v>43216</v>
      </c>
      <c r="G3512" s="2">
        <f>VLOOKUP(E3512,Produtos!$A:$E,5,FALSE)</f>
        <v>6000</v>
      </c>
      <c r="H3512" s="2">
        <f>VLOOKUP(E3512,Produtos!$A:$E,4,FALSE)</f>
        <v>2500</v>
      </c>
      <c r="I3512" s="2">
        <v>1</v>
      </c>
    </row>
    <row r="3513" spans="1:9" x14ac:dyDescent="0.25">
      <c r="A3513" s="2" t="str">
        <f>CONCATENATE(Códigos!S3512,Códigos!T3512,Códigos!U3512)</f>
        <v>svv3511v</v>
      </c>
      <c r="B3513" t="s">
        <v>341</v>
      </c>
      <c r="C3513" t="s">
        <v>388</v>
      </c>
      <c r="D3513" s="2" t="s">
        <v>389</v>
      </c>
      <c r="E3513" t="s">
        <v>485</v>
      </c>
      <c r="F3513" s="11">
        <v>43217</v>
      </c>
      <c r="G3513" s="2">
        <f>VLOOKUP(E3513,Produtos!$A:$E,5,FALSE)</f>
        <v>6000</v>
      </c>
      <c r="H3513" s="2">
        <f>VLOOKUP(E3513,Produtos!$A:$E,4,FALSE)</f>
        <v>2500</v>
      </c>
      <c r="I3513" s="2">
        <v>1</v>
      </c>
    </row>
    <row r="3514" spans="1:9" x14ac:dyDescent="0.25">
      <c r="A3514" s="2" t="str">
        <f>CONCATENATE(Códigos!S3513,Códigos!T3513,Códigos!U3513)</f>
        <v>svv3512v</v>
      </c>
      <c r="B3514" t="s">
        <v>341</v>
      </c>
      <c r="C3514" t="s">
        <v>388</v>
      </c>
      <c r="D3514" s="2" t="s">
        <v>389</v>
      </c>
      <c r="E3514" t="s">
        <v>485</v>
      </c>
      <c r="F3514" s="11">
        <v>43218</v>
      </c>
      <c r="G3514" s="2">
        <f>VLOOKUP(E3514,Produtos!$A:$E,5,FALSE)</f>
        <v>6000</v>
      </c>
      <c r="H3514" s="2">
        <f>VLOOKUP(E3514,Produtos!$A:$E,4,FALSE)</f>
        <v>2500</v>
      </c>
      <c r="I3514" s="2">
        <v>1</v>
      </c>
    </row>
    <row r="3515" spans="1:9" x14ac:dyDescent="0.25">
      <c r="A3515" s="2" t="str">
        <f>CONCATENATE(Códigos!S3514,Códigos!T3514,Códigos!U3514)</f>
        <v>svv3513v</v>
      </c>
      <c r="B3515" t="s">
        <v>341</v>
      </c>
      <c r="C3515" t="s">
        <v>388</v>
      </c>
      <c r="D3515" s="2" t="s">
        <v>389</v>
      </c>
      <c r="E3515" t="s">
        <v>485</v>
      </c>
      <c r="F3515" s="11">
        <v>43219</v>
      </c>
      <c r="G3515" s="2">
        <f>VLOOKUP(E3515,Produtos!$A:$E,5,FALSE)</f>
        <v>6000</v>
      </c>
      <c r="H3515" s="2">
        <f>VLOOKUP(E3515,Produtos!$A:$E,4,FALSE)</f>
        <v>2500</v>
      </c>
      <c r="I3515" s="2">
        <v>1</v>
      </c>
    </row>
    <row r="3516" spans="1:9" x14ac:dyDescent="0.25">
      <c r="A3516" s="2" t="str">
        <f>CONCATENATE(Códigos!S3515,Códigos!T3515,Códigos!U3515)</f>
        <v>svv3514v</v>
      </c>
      <c r="B3516" t="s">
        <v>341</v>
      </c>
      <c r="C3516" t="s">
        <v>388</v>
      </c>
      <c r="D3516" s="2" t="s">
        <v>389</v>
      </c>
      <c r="E3516" t="s">
        <v>485</v>
      </c>
      <c r="F3516" s="11">
        <v>43220</v>
      </c>
      <c r="G3516" s="2">
        <f>VLOOKUP(E3516,Produtos!$A:$E,5,FALSE)</f>
        <v>6000</v>
      </c>
      <c r="H3516" s="2">
        <f>VLOOKUP(E3516,Produtos!$A:$E,4,FALSE)</f>
        <v>2500</v>
      </c>
      <c r="I3516" s="2">
        <v>1</v>
      </c>
    </row>
    <row r="3517" spans="1:9" x14ac:dyDescent="0.25">
      <c r="A3517" s="2" t="str">
        <f>CONCATENATE(Códigos!S3516,Códigos!T3516,Códigos!U3516)</f>
        <v>svv3515v</v>
      </c>
      <c r="B3517" t="s">
        <v>341</v>
      </c>
      <c r="C3517" t="s">
        <v>388</v>
      </c>
      <c r="D3517" s="2" t="s">
        <v>389</v>
      </c>
      <c r="E3517" t="s">
        <v>485</v>
      </c>
      <c r="F3517" s="11">
        <v>43221</v>
      </c>
      <c r="G3517" s="2">
        <f>VLOOKUP(E3517,Produtos!$A:$E,5,FALSE)</f>
        <v>6000</v>
      </c>
      <c r="H3517" s="2">
        <f>VLOOKUP(E3517,Produtos!$A:$E,4,FALSE)</f>
        <v>2500</v>
      </c>
      <c r="I3517" s="2">
        <v>1</v>
      </c>
    </row>
    <row r="3518" spans="1:9" x14ac:dyDescent="0.25">
      <c r="A3518" s="2" t="str">
        <f>CONCATENATE(Códigos!S3517,Códigos!T3517,Códigos!U3517)</f>
        <v>svv3516v</v>
      </c>
      <c r="B3518" t="s">
        <v>341</v>
      </c>
      <c r="C3518" t="s">
        <v>388</v>
      </c>
      <c r="D3518" s="2" t="s">
        <v>389</v>
      </c>
      <c r="E3518" t="s">
        <v>485</v>
      </c>
      <c r="F3518" s="11">
        <v>43222</v>
      </c>
      <c r="G3518" s="2">
        <f>VLOOKUP(E3518,Produtos!$A:$E,5,FALSE)</f>
        <v>6000</v>
      </c>
      <c r="H3518" s="2">
        <f>VLOOKUP(E3518,Produtos!$A:$E,4,FALSE)</f>
        <v>2500</v>
      </c>
      <c r="I3518" s="2">
        <v>1</v>
      </c>
    </row>
    <row r="3519" spans="1:9" x14ac:dyDescent="0.25">
      <c r="A3519" s="2" t="str">
        <f>CONCATENATE(Códigos!S3518,Códigos!T3518,Códigos!U3518)</f>
        <v>svv3517v</v>
      </c>
      <c r="B3519" t="s">
        <v>341</v>
      </c>
      <c r="C3519" t="s">
        <v>388</v>
      </c>
      <c r="D3519" s="2" t="s">
        <v>389</v>
      </c>
      <c r="E3519" t="s">
        <v>485</v>
      </c>
      <c r="F3519" s="11">
        <v>43223</v>
      </c>
      <c r="G3519" s="2">
        <f>VLOOKUP(E3519,Produtos!$A:$E,5,FALSE)</f>
        <v>6000</v>
      </c>
      <c r="H3519" s="2">
        <f>VLOOKUP(E3519,Produtos!$A:$E,4,FALSE)</f>
        <v>2500</v>
      </c>
      <c r="I3519" s="2">
        <v>1</v>
      </c>
    </row>
    <row r="3520" spans="1:9" x14ac:dyDescent="0.25">
      <c r="A3520" s="2" t="str">
        <f>CONCATENATE(Códigos!S3519,Códigos!T3519,Códigos!U3519)</f>
        <v>svv3518v</v>
      </c>
      <c r="B3520" t="s">
        <v>341</v>
      </c>
      <c r="C3520" t="s">
        <v>388</v>
      </c>
      <c r="D3520" s="2" t="s">
        <v>389</v>
      </c>
      <c r="E3520" t="s">
        <v>485</v>
      </c>
      <c r="F3520" s="11">
        <v>43224</v>
      </c>
      <c r="G3520" s="2">
        <f>VLOOKUP(E3520,Produtos!$A:$E,5,FALSE)</f>
        <v>6000</v>
      </c>
      <c r="H3520" s="2">
        <f>VLOOKUP(E3520,Produtos!$A:$E,4,FALSE)</f>
        <v>2500</v>
      </c>
      <c r="I3520" s="2">
        <v>1</v>
      </c>
    </row>
    <row r="3521" spans="1:9" x14ac:dyDescent="0.25">
      <c r="A3521" s="2" t="str">
        <f>CONCATENATE(Códigos!S3520,Códigos!T3520,Códigos!U3520)</f>
        <v>svv3519v</v>
      </c>
      <c r="B3521" t="s">
        <v>341</v>
      </c>
      <c r="C3521" t="s">
        <v>388</v>
      </c>
      <c r="D3521" s="2" t="s">
        <v>389</v>
      </c>
      <c r="E3521" t="s">
        <v>485</v>
      </c>
      <c r="F3521" s="11">
        <v>43225</v>
      </c>
      <c r="G3521" s="2">
        <f>VLOOKUP(E3521,Produtos!$A:$E,5,FALSE)</f>
        <v>6000</v>
      </c>
      <c r="H3521" s="2">
        <f>VLOOKUP(E3521,Produtos!$A:$E,4,FALSE)</f>
        <v>2500</v>
      </c>
      <c r="I3521" s="2">
        <v>1</v>
      </c>
    </row>
    <row r="3522" spans="1:9" x14ac:dyDescent="0.25">
      <c r="A3522" s="2" t="str">
        <f>CONCATENATE(Códigos!S3521,Códigos!T3521,Códigos!U3521)</f>
        <v>svv3520v</v>
      </c>
      <c r="B3522" t="s">
        <v>341</v>
      </c>
      <c r="C3522" t="s">
        <v>388</v>
      </c>
      <c r="D3522" s="2" t="s">
        <v>389</v>
      </c>
      <c r="E3522" t="s">
        <v>485</v>
      </c>
      <c r="F3522" s="11">
        <v>43226</v>
      </c>
      <c r="G3522" s="2">
        <f>VLOOKUP(E3522,Produtos!$A:$E,5,FALSE)</f>
        <v>6000</v>
      </c>
      <c r="H3522" s="2">
        <f>VLOOKUP(E3522,Produtos!$A:$E,4,FALSE)</f>
        <v>2500</v>
      </c>
      <c r="I3522" s="2">
        <v>1</v>
      </c>
    </row>
    <row r="3523" spans="1:9" x14ac:dyDescent="0.25">
      <c r="A3523" s="2" t="str">
        <f>CONCATENATE(Códigos!S3522,Códigos!T3522,Códigos!U3522)</f>
        <v>svv3521v</v>
      </c>
      <c r="B3523" t="s">
        <v>342</v>
      </c>
      <c r="C3523" t="s">
        <v>388</v>
      </c>
      <c r="D3523" s="2" t="s">
        <v>389</v>
      </c>
      <c r="E3523" t="s">
        <v>485</v>
      </c>
      <c r="F3523" s="11">
        <v>43227</v>
      </c>
      <c r="G3523" s="2">
        <f>VLOOKUP(E3523,Produtos!$A:$E,5,FALSE)</f>
        <v>6000</v>
      </c>
      <c r="H3523" s="2">
        <f>VLOOKUP(E3523,Produtos!$A:$E,4,FALSE)</f>
        <v>2500</v>
      </c>
      <c r="I3523" s="2">
        <v>1</v>
      </c>
    </row>
    <row r="3524" spans="1:9" x14ac:dyDescent="0.25">
      <c r="A3524" s="2" t="str">
        <f>CONCATENATE(Códigos!S3523,Códigos!T3523,Códigos!U3523)</f>
        <v>svv3522v</v>
      </c>
      <c r="B3524" t="s">
        <v>342</v>
      </c>
      <c r="C3524" t="s">
        <v>388</v>
      </c>
      <c r="D3524" s="2" t="s">
        <v>389</v>
      </c>
      <c r="E3524" t="s">
        <v>485</v>
      </c>
      <c r="F3524" s="11">
        <v>43228</v>
      </c>
      <c r="G3524" s="2">
        <f>VLOOKUP(E3524,Produtos!$A:$E,5,FALSE)</f>
        <v>6000</v>
      </c>
      <c r="H3524" s="2">
        <f>VLOOKUP(E3524,Produtos!$A:$E,4,FALSE)</f>
        <v>2500</v>
      </c>
      <c r="I3524" s="2">
        <v>1</v>
      </c>
    </row>
    <row r="3525" spans="1:9" x14ac:dyDescent="0.25">
      <c r="A3525" s="2" t="str">
        <f>CONCATENATE(Códigos!S3524,Códigos!T3524,Códigos!U3524)</f>
        <v>svv3523v</v>
      </c>
      <c r="B3525" t="s">
        <v>342</v>
      </c>
      <c r="C3525" t="s">
        <v>388</v>
      </c>
      <c r="D3525" s="2" t="s">
        <v>389</v>
      </c>
      <c r="E3525" t="s">
        <v>485</v>
      </c>
      <c r="F3525" s="11">
        <v>43229</v>
      </c>
      <c r="G3525" s="2">
        <f>VLOOKUP(E3525,Produtos!$A:$E,5,FALSE)</f>
        <v>6000</v>
      </c>
      <c r="H3525" s="2">
        <f>VLOOKUP(E3525,Produtos!$A:$E,4,FALSE)</f>
        <v>2500</v>
      </c>
      <c r="I3525" s="2">
        <v>1</v>
      </c>
    </row>
    <row r="3526" spans="1:9" x14ac:dyDescent="0.25">
      <c r="A3526" s="2" t="str">
        <f>CONCATENATE(Códigos!S3525,Códigos!T3525,Códigos!U3525)</f>
        <v>svv3524v</v>
      </c>
      <c r="B3526" t="s">
        <v>342</v>
      </c>
      <c r="C3526" t="s">
        <v>388</v>
      </c>
      <c r="D3526" s="2" t="s">
        <v>389</v>
      </c>
      <c r="E3526" t="s">
        <v>485</v>
      </c>
      <c r="F3526" s="11">
        <v>43230</v>
      </c>
      <c r="G3526" s="2">
        <f>VLOOKUP(E3526,Produtos!$A:$E,5,FALSE)</f>
        <v>6000</v>
      </c>
      <c r="H3526" s="2">
        <f>VLOOKUP(E3526,Produtos!$A:$E,4,FALSE)</f>
        <v>2500</v>
      </c>
      <c r="I3526" s="2">
        <v>1</v>
      </c>
    </row>
    <row r="3527" spans="1:9" x14ac:dyDescent="0.25">
      <c r="A3527" s="2" t="str">
        <f>CONCATENATE(Códigos!S3526,Códigos!T3526,Códigos!U3526)</f>
        <v>svv3525v</v>
      </c>
      <c r="B3527" t="s">
        <v>342</v>
      </c>
      <c r="C3527" t="s">
        <v>388</v>
      </c>
      <c r="D3527" s="2" t="s">
        <v>389</v>
      </c>
      <c r="E3527" t="s">
        <v>485</v>
      </c>
      <c r="F3527" s="11">
        <v>43231</v>
      </c>
      <c r="G3527" s="2">
        <f>VLOOKUP(E3527,Produtos!$A:$E,5,FALSE)</f>
        <v>6000</v>
      </c>
      <c r="H3527" s="2">
        <f>VLOOKUP(E3527,Produtos!$A:$E,4,FALSE)</f>
        <v>2500</v>
      </c>
      <c r="I3527" s="2">
        <v>1</v>
      </c>
    </row>
    <row r="3528" spans="1:9" x14ac:dyDescent="0.25">
      <c r="A3528" s="2" t="str">
        <f>CONCATENATE(Códigos!S3527,Códigos!T3527,Códigos!U3527)</f>
        <v>svv3526v</v>
      </c>
      <c r="B3528" t="s">
        <v>342</v>
      </c>
      <c r="C3528" t="s">
        <v>388</v>
      </c>
      <c r="D3528" s="2" t="s">
        <v>389</v>
      </c>
      <c r="E3528" t="s">
        <v>485</v>
      </c>
      <c r="F3528" s="11">
        <v>43232</v>
      </c>
      <c r="G3528" s="2">
        <f>VLOOKUP(E3528,Produtos!$A:$E,5,FALSE)</f>
        <v>6000</v>
      </c>
      <c r="H3528" s="2">
        <f>VLOOKUP(E3528,Produtos!$A:$E,4,FALSE)</f>
        <v>2500</v>
      </c>
      <c r="I3528" s="2">
        <v>1</v>
      </c>
    </row>
    <row r="3529" spans="1:9" x14ac:dyDescent="0.25">
      <c r="A3529" s="2" t="str">
        <f>CONCATENATE(Códigos!S3528,Códigos!T3528,Códigos!U3528)</f>
        <v>svv3527v</v>
      </c>
      <c r="B3529" t="s">
        <v>342</v>
      </c>
      <c r="C3529" t="s">
        <v>388</v>
      </c>
      <c r="D3529" s="2" t="s">
        <v>389</v>
      </c>
      <c r="E3529" t="s">
        <v>485</v>
      </c>
      <c r="F3529" s="11">
        <v>43233</v>
      </c>
      <c r="G3529" s="2">
        <f>VLOOKUP(E3529,Produtos!$A:$E,5,FALSE)</f>
        <v>6000</v>
      </c>
      <c r="H3529" s="2">
        <f>VLOOKUP(E3529,Produtos!$A:$E,4,FALSE)</f>
        <v>2500</v>
      </c>
      <c r="I3529" s="2">
        <v>1</v>
      </c>
    </row>
    <row r="3530" spans="1:9" x14ac:dyDescent="0.25">
      <c r="A3530" s="2" t="str">
        <f>CONCATENATE(Códigos!S3529,Códigos!T3529,Códigos!U3529)</f>
        <v>svv3528v</v>
      </c>
      <c r="B3530" t="s">
        <v>342</v>
      </c>
      <c r="C3530" t="s">
        <v>388</v>
      </c>
      <c r="D3530" s="2" t="s">
        <v>389</v>
      </c>
      <c r="E3530" t="s">
        <v>485</v>
      </c>
      <c r="F3530" s="11">
        <v>43234</v>
      </c>
      <c r="G3530" s="2">
        <f>VLOOKUP(E3530,Produtos!$A:$E,5,FALSE)</f>
        <v>6000</v>
      </c>
      <c r="H3530" s="2">
        <f>VLOOKUP(E3530,Produtos!$A:$E,4,FALSE)</f>
        <v>2500</v>
      </c>
      <c r="I3530" s="2">
        <v>1</v>
      </c>
    </row>
    <row r="3531" spans="1:9" x14ac:dyDescent="0.25">
      <c r="A3531" s="2" t="str">
        <f>CONCATENATE(Códigos!S3530,Códigos!T3530,Códigos!U3530)</f>
        <v>svv3529v</v>
      </c>
      <c r="B3531" t="s">
        <v>342</v>
      </c>
      <c r="C3531" t="s">
        <v>388</v>
      </c>
      <c r="D3531" s="2" t="s">
        <v>389</v>
      </c>
      <c r="E3531" t="s">
        <v>485</v>
      </c>
      <c r="F3531" s="11">
        <v>43235</v>
      </c>
      <c r="G3531" s="2">
        <f>VLOOKUP(E3531,Produtos!$A:$E,5,FALSE)</f>
        <v>6000</v>
      </c>
      <c r="H3531" s="2">
        <f>VLOOKUP(E3531,Produtos!$A:$E,4,FALSE)</f>
        <v>2500</v>
      </c>
      <c r="I3531" s="2">
        <v>1</v>
      </c>
    </row>
    <row r="3532" spans="1:9" x14ac:dyDescent="0.25">
      <c r="A3532" s="2" t="str">
        <f>CONCATENATE(Códigos!S3531,Códigos!T3531,Códigos!U3531)</f>
        <v>svv3530v</v>
      </c>
      <c r="B3532" t="s">
        <v>342</v>
      </c>
      <c r="C3532" t="s">
        <v>388</v>
      </c>
      <c r="D3532" s="2" t="s">
        <v>389</v>
      </c>
      <c r="E3532" t="s">
        <v>486</v>
      </c>
      <c r="F3532" s="11">
        <v>43236</v>
      </c>
      <c r="G3532" s="2">
        <f>VLOOKUP(E3532,Produtos!$A:$E,5,FALSE)</f>
        <v>4000</v>
      </c>
      <c r="H3532" s="2">
        <f>VLOOKUP(E3532,Produtos!$A:$E,4,FALSE)</f>
        <v>2000</v>
      </c>
      <c r="I3532" s="2">
        <v>1</v>
      </c>
    </row>
    <row r="3533" spans="1:9" x14ac:dyDescent="0.25">
      <c r="A3533" s="2" t="str">
        <f>CONCATENATE(Códigos!S3532,Códigos!T3532,Códigos!U3532)</f>
        <v>svv3531v</v>
      </c>
      <c r="B3533" t="s">
        <v>342</v>
      </c>
      <c r="C3533" t="s">
        <v>388</v>
      </c>
      <c r="D3533" s="2" t="s">
        <v>389</v>
      </c>
      <c r="E3533" t="s">
        <v>486</v>
      </c>
      <c r="F3533" s="11">
        <v>43237</v>
      </c>
      <c r="G3533" s="2">
        <f>VLOOKUP(E3533,Produtos!$A:$E,5,FALSE)</f>
        <v>4000</v>
      </c>
      <c r="H3533" s="2">
        <f>VLOOKUP(E3533,Produtos!$A:$E,4,FALSE)</f>
        <v>2000</v>
      </c>
      <c r="I3533" s="2">
        <v>1</v>
      </c>
    </row>
    <row r="3534" spans="1:9" x14ac:dyDescent="0.25">
      <c r="A3534" s="2" t="str">
        <f>CONCATENATE(Códigos!S3533,Códigos!T3533,Códigos!U3533)</f>
        <v>svv3532v</v>
      </c>
      <c r="B3534" t="s">
        <v>342</v>
      </c>
      <c r="C3534" t="s">
        <v>388</v>
      </c>
      <c r="D3534" s="2" t="s">
        <v>389</v>
      </c>
      <c r="E3534" t="s">
        <v>486</v>
      </c>
      <c r="F3534" s="11">
        <v>43238</v>
      </c>
      <c r="G3534" s="2">
        <f>VLOOKUP(E3534,Produtos!$A:$E,5,FALSE)</f>
        <v>4000</v>
      </c>
      <c r="H3534" s="2">
        <f>VLOOKUP(E3534,Produtos!$A:$E,4,FALSE)</f>
        <v>2000</v>
      </c>
      <c r="I3534" s="2">
        <v>1</v>
      </c>
    </row>
    <row r="3535" spans="1:9" x14ac:dyDescent="0.25">
      <c r="A3535" s="2" t="str">
        <f>CONCATENATE(Códigos!S3534,Códigos!T3534,Códigos!U3534)</f>
        <v>svv3533v</v>
      </c>
      <c r="B3535" t="s">
        <v>342</v>
      </c>
      <c r="C3535" t="s">
        <v>388</v>
      </c>
      <c r="D3535" s="2" t="s">
        <v>389</v>
      </c>
      <c r="E3535" t="s">
        <v>486</v>
      </c>
      <c r="F3535" s="11">
        <v>43239</v>
      </c>
      <c r="G3535" s="2">
        <f>VLOOKUP(E3535,Produtos!$A:$E,5,FALSE)</f>
        <v>4000</v>
      </c>
      <c r="H3535" s="2">
        <f>VLOOKUP(E3535,Produtos!$A:$E,4,FALSE)</f>
        <v>2000</v>
      </c>
      <c r="I3535" s="2">
        <v>1</v>
      </c>
    </row>
    <row r="3536" spans="1:9" x14ac:dyDescent="0.25">
      <c r="A3536" s="2" t="str">
        <f>CONCATENATE(Códigos!S3535,Códigos!T3535,Códigos!U3535)</f>
        <v>svv3534v</v>
      </c>
      <c r="B3536" t="s">
        <v>342</v>
      </c>
      <c r="C3536" t="s">
        <v>388</v>
      </c>
      <c r="D3536" s="2" t="s">
        <v>389</v>
      </c>
      <c r="E3536" t="s">
        <v>486</v>
      </c>
      <c r="F3536" s="11">
        <v>43240</v>
      </c>
      <c r="G3536" s="2">
        <f>VLOOKUP(E3536,Produtos!$A:$E,5,FALSE)</f>
        <v>4000</v>
      </c>
      <c r="H3536" s="2">
        <f>VLOOKUP(E3536,Produtos!$A:$E,4,FALSE)</f>
        <v>2000</v>
      </c>
      <c r="I3536" s="2">
        <v>1</v>
      </c>
    </row>
    <row r="3537" spans="1:9" x14ac:dyDescent="0.25">
      <c r="A3537" s="2" t="str">
        <f>CONCATENATE(Códigos!S3536,Códigos!T3536,Códigos!U3536)</f>
        <v>svv3535v</v>
      </c>
      <c r="B3537" t="s">
        <v>342</v>
      </c>
      <c r="C3537" t="s">
        <v>388</v>
      </c>
      <c r="D3537" s="2" t="s">
        <v>389</v>
      </c>
      <c r="E3537" t="s">
        <v>486</v>
      </c>
      <c r="F3537" s="11">
        <v>43241</v>
      </c>
      <c r="G3537" s="2">
        <f>VLOOKUP(E3537,Produtos!$A:$E,5,FALSE)</f>
        <v>4000</v>
      </c>
      <c r="H3537" s="2">
        <f>VLOOKUP(E3537,Produtos!$A:$E,4,FALSE)</f>
        <v>2000</v>
      </c>
      <c r="I3537" s="2">
        <v>1</v>
      </c>
    </row>
    <row r="3538" spans="1:9" x14ac:dyDescent="0.25">
      <c r="A3538" s="2" t="str">
        <f>CONCATENATE(Códigos!S3537,Códigos!T3537,Códigos!U3537)</f>
        <v>svv3536v</v>
      </c>
      <c r="B3538" t="s">
        <v>342</v>
      </c>
      <c r="C3538" t="s">
        <v>388</v>
      </c>
      <c r="D3538" s="2" t="s">
        <v>389</v>
      </c>
      <c r="E3538" t="s">
        <v>486</v>
      </c>
      <c r="F3538" s="11">
        <v>43242</v>
      </c>
      <c r="G3538" s="2">
        <f>VLOOKUP(E3538,Produtos!$A:$E,5,FALSE)</f>
        <v>4000</v>
      </c>
      <c r="H3538" s="2">
        <f>VLOOKUP(E3538,Produtos!$A:$E,4,FALSE)</f>
        <v>2000</v>
      </c>
      <c r="I3538" s="2">
        <v>1</v>
      </c>
    </row>
    <row r="3539" spans="1:9" x14ac:dyDescent="0.25">
      <c r="A3539" s="2" t="str">
        <f>CONCATENATE(Códigos!S3538,Códigos!T3538,Códigos!U3538)</f>
        <v>svv3537v</v>
      </c>
      <c r="B3539" t="s">
        <v>342</v>
      </c>
      <c r="C3539" t="s">
        <v>388</v>
      </c>
      <c r="D3539" s="2" t="s">
        <v>389</v>
      </c>
      <c r="E3539" t="s">
        <v>486</v>
      </c>
      <c r="F3539" s="11">
        <v>43243</v>
      </c>
      <c r="G3539" s="2">
        <f>VLOOKUP(E3539,Produtos!$A:$E,5,FALSE)</f>
        <v>4000</v>
      </c>
      <c r="H3539" s="2">
        <f>VLOOKUP(E3539,Produtos!$A:$E,4,FALSE)</f>
        <v>2000</v>
      </c>
      <c r="I3539" s="2">
        <v>1</v>
      </c>
    </row>
    <row r="3540" spans="1:9" x14ac:dyDescent="0.25">
      <c r="A3540" s="2" t="str">
        <f>CONCATENATE(Códigos!S3539,Códigos!T3539,Códigos!U3539)</f>
        <v>svv3538v</v>
      </c>
      <c r="B3540" t="s">
        <v>342</v>
      </c>
      <c r="C3540" t="s">
        <v>388</v>
      </c>
      <c r="D3540" s="2" t="s">
        <v>389</v>
      </c>
      <c r="E3540" t="s">
        <v>486</v>
      </c>
      <c r="F3540" s="11">
        <v>43244</v>
      </c>
      <c r="G3540" s="2">
        <f>VLOOKUP(E3540,Produtos!$A:$E,5,FALSE)</f>
        <v>4000</v>
      </c>
      <c r="H3540" s="2">
        <f>VLOOKUP(E3540,Produtos!$A:$E,4,FALSE)</f>
        <v>2000</v>
      </c>
      <c r="I3540" s="2">
        <v>1</v>
      </c>
    </row>
    <row r="3541" spans="1:9" x14ac:dyDescent="0.25">
      <c r="A3541" s="2" t="str">
        <f>CONCATENATE(Códigos!S3540,Códigos!T3540,Códigos!U3540)</f>
        <v>svv3539v</v>
      </c>
      <c r="B3541" t="s">
        <v>342</v>
      </c>
      <c r="C3541" t="s">
        <v>388</v>
      </c>
      <c r="D3541" s="2" t="s">
        <v>389</v>
      </c>
      <c r="E3541" t="s">
        <v>486</v>
      </c>
      <c r="F3541" s="11">
        <v>43245</v>
      </c>
      <c r="G3541" s="2">
        <f>VLOOKUP(E3541,Produtos!$A:$E,5,FALSE)</f>
        <v>4000</v>
      </c>
      <c r="H3541" s="2">
        <f>VLOOKUP(E3541,Produtos!$A:$E,4,FALSE)</f>
        <v>2000</v>
      </c>
      <c r="I3541" s="2">
        <v>1</v>
      </c>
    </row>
    <row r="3542" spans="1:9" x14ac:dyDescent="0.25">
      <c r="A3542" s="2" t="str">
        <f>CONCATENATE(Códigos!S3541,Códigos!T3541,Códigos!U3541)</f>
        <v>svv3540v</v>
      </c>
      <c r="B3542" t="s">
        <v>342</v>
      </c>
      <c r="C3542" t="s">
        <v>388</v>
      </c>
      <c r="D3542" s="2" t="s">
        <v>389</v>
      </c>
      <c r="E3542" t="s">
        <v>486</v>
      </c>
      <c r="F3542" s="11">
        <v>43246</v>
      </c>
      <c r="G3542" s="2">
        <f>VLOOKUP(E3542,Produtos!$A:$E,5,FALSE)</f>
        <v>4000</v>
      </c>
      <c r="H3542" s="2">
        <f>VLOOKUP(E3542,Produtos!$A:$E,4,FALSE)</f>
        <v>2000</v>
      </c>
      <c r="I3542" s="2">
        <v>1</v>
      </c>
    </row>
    <row r="3543" spans="1:9" x14ac:dyDescent="0.25">
      <c r="A3543" s="2" t="str">
        <f>CONCATENATE(Códigos!S3542,Códigos!T3542,Códigos!U3542)</f>
        <v>svv3541v</v>
      </c>
      <c r="B3543" t="s">
        <v>342</v>
      </c>
      <c r="C3543" t="s">
        <v>388</v>
      </c>
      <c r="D3543" s="2" t="s">
        <v>389</v>
      </c>
      <c r="E3543" t="s">
        <v>486</v>
      </c>
      <c r="F3543" s="11">
        <v>43247</v>
      </c>
      <c r="G3543" s="2">
        <f>VLOOKUP(E3543,Produtos!$A:$E,5,FALSE)</f>
        <v>4000</v>
      </c>
      <c r="H3543" s="2">
        <f>VLOOKUP(E3543,Produtos!$A:$E,4,FALSE)</f>
        <v>2000</v>
      </c>
      <c r="I3543" s="2">
        <v>1</v>
      </c>
    </row>
    <row r="3544" spans="1:9" x14ac:dyDescent="0.25">
      <c r="A3544" s="2" t="str">
        <f>CONCATENATE(Códigos!S3543,Códigos!T3543,Códigos!U3543)</f>
        <v>svv3542v</v>
      </c>
      <c r="B3544" t="s">
        <v>342</v>
      </c>
      <c r="C3544" t="s">
        <v>388</v>
      </c>
      <c r="D3544" s="2" t="s">
        <v>389</v>
      </c>
      <c r="E3544" t="s">
        <v>474</v>
      </c>
      <c r="F3544" s="11">
        <v>43248</v>
      </c>
      <c r="G3544" s="2">
        <f>VLOOKUP(E3544,Produtos!$A:$E,5,FALSE)</f>
        <v>1800</v>
      </c>
      <c r="H3544" s="2">
        <f>VLOOKUP(E3544,Produtos!$A:$E,4,FALSE)</f>
        <v>800</v>
      </c>
      <c r="I3544" s="2">
        <v>1</v>
      </c>
    </row>
    <row r="3545" spans="1:9" x14ac:dyDescent="0.25">
      <c r="A3545" s="2" t="str">
        <f>CONCATENATE(Códigos!S3544,Códigos!T3544,Códigos!U3544)</f>
        <v>svv3543v</v>
      </c>
      <c r="B3545" t="s">
        <v>342</v>
      </c>
      <c r="C3545" t="s">
        <v>388</v>
      </c>
      <c r="D3545" s="2" t="s">
        <v>389</v>
      </c>
      <c r="E3545" t="s">
        <v>474</v>
      </c>
      <c r="F3545" s="11">
        <v>43249</v>
      </c>
      <c r="G3545" s="2">
        <f>VLOOKUP(E3545,Produtos!$A:$E,5,FALSE)</f>
        <v>1800</v>
      </c>
      <c r="H3545" s="2">
        <f>VLOOKUP(E3545,Produtos!$A:$E,4,FALSE)</f>
        <v>800</v>
      </c>
      <c r="I3545" s="2">
        <v>1</v>
      </c>
    </row>
    <row r="3546" spans="1:9" x14ac:dyDescent="0.25">
      <c r="A3546" s="2" t="str">
        <f>CONCATENATE(Códigos!S3545,Códigos!T3545,Códigos!U3545)</f>
        <v>svv3544v</v>
      </c>
      <c r="B3546" t="s">
        <v>342</v>
      </c>
      <c r="C3546" t="s">
        <v>397</v>
      </c>
      <c r="D3546" s="2" t="s">
        <v>398</v>
      </c>
      <c r="E3546" t="s">
        <v>474</v>
      </c>
      <c r="F3546" s="11">
        <v>43250</v>
      </c>
      <c r="G3546" s="2">
        <f>VLOOKUP(E3546,Produtos!$A:$E,5,FALSE)</f>
        <v>1800</v>
      </c>
      <c r="H3546" s="2">
        <f>VLOOKUP(E3546,Produtos!$A:$E,4,FALSE)</f>
        <v>800</v>
      </c>
      <c r="I3546" s="2">
        <v>1</v>
      </c>
    </row>
    <row r="3547" spans="1:9" x14ac:dyDescent="0.25">
      <c r="A3547" s="2" t="str">
        <f>CONCATENATE(Códigos!S3546,Códigos!T3546,Códigos!U3546)</f>
        <v>svv3545v</v>
      </c>
      <c r="B3547" t="s">
        <v>342</v>
      </c>
      <c r="C3547" t="s">
        <v>397</v>
      </c>
      <c r="D3547" s="2" t="s">
        <v>398</v>
      </c>
      <c r="E3547" t="s">
        <v>474</v>
      </c>
      <c r="F3547" s="11">
        <v>43251</v>
      </c>
      <c r="G3547" s="2">
        <f>VLOOKUP(E3547,Produtos!$A:$E,5,FALSE)</f>
        <v>1800</v>
      </c>
      <c r="H3547" s="2">
        <f>VLOOKUP(E3547,Produtos!$A:$E,4,FALSE)</f>
        <v>800</v>
      </c>
      <c r="I3547" s="2">
        <v>1</v>
      </c>
    </row>
    <row r="3548" spans="1:9" x14ac:dyDescent="0.25">
      <c r="A3548" s="2" t="str">
        <f>CONCATENATE(Códigos!S3547,Códigos!T3547,Códigos!U3547)</f>
        <v>svv3546v</v>
      </c>
      <c r="B3548" t="s">
        <v>342</v>
      </c>
      <c r="C3548" t="s">
        <v>397</v>
      </c>
      <c r="D3548" s="2" t="s">
        <v>398</v>
      </c>
      <c r="E3548" t="s">
        <v>474</v>
      </c>
      <c r="F3548" s="11">
        <v>43252</v>
      </c>
      <c r="G3548" s="2">
        <f>VLOOKUP(E3548,Produtos!$A:$E,5,FALSE)</f>
        <v>1800</v>
      </c>
      <c r="H3548" s="2">
        <f>VLOOKUP(E3548,Produtos!$A:$E,4,FALSE)</f>
        <v>800</v>
      </c>
      <c r="I3548" s="2">
        <v>1</v>
      </c>
    </row>
    <row r="3549" spans="1:9" x14ac:dyDescent="0.25">
      <c r="A3549" s="2" t="str">
        <f>CONCATENATE(Códigos!S3548,Códigos!T3548,Códigos!U3548)</f>
        <v>svv3547v</v>
      </c>
      <c r="B3549" t="s">
        <v>342</v>
      </c>
      <c r="C3549" t="s">
        <v>397</v>
      </c>
      <c r="D3549" s="2" t="s">
        <v>398</v>
      </c>
      <c r="E3549" t="s">
        <v>474</v>
      </c>
      <c r="F3549" s="11">
        <v>43253</v>
      </c>
      <c r="G3549" s="2">
        <f>VLOOKUP(E3549,Produtos!$A:$E,5,FALSE)</f>
        <v>1800</v>
      </c>
      <c r="H3549" s="2">
        <f>VLOOKUP(E3549,Produtos!$A:$E,4,FALSE)</f>
        <v>800</v>
      </c>
      <c r="I3549" s="2">
        <v>1</v>
      </c>
    </row>
    <row r="3550" spans="1:9" x14ac:dyDescent="0.25">
      <c r="A3550" s="2" t="str">
        <f>CONCATENATE(Códigos!S3549,Códigos!T3549,Códigos!U3549)</f>
        <v>svv3548v</v>
      </c>
      <c r="B3550" t="s">
        <v>342</v>
      </c>
      <c r="C3550" t="s">
        <v>397</v>
      </c>
      <c r="D3550" s="2" t="s">
        <v>398</v>
      </c>
      <c r="E3550" t="s">
        <v>474</v>
      </c>
      <c r="F3550" s="11">
        <v>43254</v>
      </c>
      <c r="G3550" s="2">
        <f>VLOOKUP(E3550,Produtos!$A:$E,5,FALSE)</f>
        <v>1800</v>
      </c>
      <c r="H3550" s="2">
        <f>VLOOKUP(E3550,Produtos!$A:$E,4,FALSE)</f>
        <v>800</v>
      </c>
      <c r="I3550" s="2">
        <v>1</v>
      </c>
    </row>
    <row r="3551" spans="1:9" x14ac:dyDescent="0.25">
      <c r="A3551" s="2" t="str">
        <f>CONCATENATE(Códigos!S3550,Códigos!T3550,Códigos!U3550)</f>
        <v>svv3549v</v>
      </c>
      <c r="B3551" t="s">
        <v>342</v>
      </c>
      <c r="C3551" t="s">
        <v>397</v>
      </c>
      <c r="D3551" s="2" t="s">
        <v>398</v>
      </c>
      <c r="E3551" t="s">
        <v>474</v>
      </c>
      <c r="F3551" s="11">
        <v>43255</v>
      </c>
      <c r="G3551" s="2">
        <f>VLOOKUP(E3551,Produtos!$A:$E,5,FALSE)</f>
        <v>1800</v>
      </c>
      <c r="H3551" s="2">
        <f>VLOOKUP(E3551,Produtos!$A:$E,4,FALSE)</f>
        <v>800</v>
      </c>
      <c r="I3551" s="2">
        <v>1</v>
      </c>
    </row>
    <row r="3552" spans="1:9" x14ac:dyDescent="0.25">
      <c r="A3552" s="2" t="str">
        <f>CONCATENATE(Códigos!S3551,Códigos!T3551,Códigos!U3551)</f>
        <v>svv3550v</v>
      </c>
      <c r="B3552" t="s">
        <v>342</v>
      </c>
      <c r="C3552" t="s">
        <v>397</v>
      </c>
      <c r="D3552" s="2" t="s">
        <v>398</v>
      </c>
      <c r="E3552" t="s">
        <v>474</v>
      </c>
      <c r="F3552" s="11">
        <v>43256</v>
      </c>
      <c r="G3552" s="2">
        <f>VLOOKUP(E3552,Produtos!$A:$E,5,FALSE)</f>
        <v>1800</v>
      </c>
      <c r="H3552" s="2">
        <f>VLOOKUP(E3552,Produtos!$A:$E,4,FALSE)</f>
        <v>800</v>
      </c>
      <c r="I3552" s="2">
        <v>1</v>
      </c>
    </row>
    <row r="3553" spans="1:9" x14ac:dyDescent="0.25">
      <c r="A3553" s="2" t="str">
        <f>CONCATENATE(Códigos!S3552,Códigos!T3552,Códigos!U3552)</f>
        <v>svv3551v</v>
      </c>
      <c r="B3553" t="s">
        <v>342</v>
      </c>
      <c r="C3553" t="s">
        <v>397</v>
      </c>
      <c r="D3553" s="2" t="s">
        <v>398</v>
      </c>
      <c r="E3553" t="s">
        <v>474</v>
      </c>
      <c r="F3553" s="11">
        <v>43257</v>
      </c>
      <c r="G3553" s="2">
        <f>VLOOKUP(E3553,Produtos!$A:$E,5,FALSE)</f>
        <v>1800</v>
      </c>
      <c r="H3553" s="2">
        <f>VLOOKUP(E3553,Produtos!$A:$E,4,FALSE)</f>
        <v>800</v>
      </c>
      <c r="I3553" s="2">
        <v>1</v>
      </c>
    </row>
    <row r="3554" spans="1:9" x14ac:dyDescent="0.25">
      <c r="A3554" s="2" t="str">
        <f>CONCATENATE(Códigos!S3553,Códigos!T3553,Códigos!U3553)</f>
        <v>svv3552v</v>
      </c>
      <c r="B3554" t="s">
        <v>342</v>
      </c>
      <c r="C3554" t="s">
        <v>397</v>
      </c>
      <c r="D3554" s="2" t="s">
        <v>398</v>
      </c>
      <c r="E3554" t="s">
        <v>474</v>
      </c>
      <c r="F3554" s="11">
        <v>43258</v>
      </c>
      <c r="G3554" s="2">
        <f>VLOOKUP(E3554,Produtos!$A:$E,5,FALSE)</f>
        <v>1800</v>
      </c>
      <c r="H3554" s="2">
        <f>VLOOKUP(E3554,Produtos!$A:$E,4,FALSE)</f>
        <v>800</v>
      </c>
      <c r="I3554" s="2">
        <v>1</v>
      </c>
    </row>
    <row r="3555" spans="1:9" x14ac:dyDescent="0.25">
      <c r="A3555" s="2" t="str">
        <f>CONCATENATE(Códigos!S3554,Códigos!T3554,Códigos!U3554)</f>
        <v>svv3553v</v>
      </c>
      <c r="B3555" t="s">
        <v>342</v>
      </c>
      <c r="C3555" t="s">
        <v>397</v>
      </c>
      <c r="D3555" s="2" t="s">
        <v>398</v>
      </c>
      <c r="E3555" t="s">
        <v>474</v>
      </c>
      <c r="F3555" s="11">
        <v>43259</v>
      </c>
      <c r="G3555" s="2">
        <f>VLOOKUP(E3555,Produtos!$A:$E,5,FALSE)</f>
        <v>1800</v>
      </c>
      <c r="H3555" s="2">
        <f>VLOOKUP(E3555,Produtos!$A:$E,4,FALSE)</f>
        <v>800</v>
      </c>
      <c r="I3555" s="2">
        <v>1</v>
      </c>
    </row>
    <row r="3556" spans="1:9" x14ac:dyDescent="0.25">
      <c r="A3556" s="2" t="str">
        <f>CONCATENATE(Códigos!S3555,Códigos!T3555,Códigos!U3555)</f>
        <v>svv3554v</v>
      </c>
      <c r="B3556" t="s">
        <v>342</v>
      </c>
      <c r="C3556" t="s">
        <v>397</v>
      </c>
      <c r="D3556" s="2" t="s">
        <v>398</v>
      </c>
      <c r="E3556" t="s">
        <v>474</v>
      </c>
      <c r="F3556" s="11">
        <v>43260</v>
      </c>
      <c r="G3556" s="2">
        <f>VLOOKUP(E3556,Produtos!$A:$E,5,FALSE)</f>
        <v>1800</v>
      </c>
      <c r="H3556" s="2">
        <f>VLOOKUP(E3556,Produtos!$A:$E,4,FALSE)</f>
        <v>800</v>
      </c>
      <c r="I3556" s="2">
        <v>1</v>
      </c>
    </row>
    <row r="3557" spans="1:9" x14ac:dyDescent="0.25">
      <c r="A3557" s="2" t="str">
        <f>CONCATENATE(Códigos!S3556,Códigos!T3556,Códigos!U3556)</f>
        <v>svv3555v</v>
      </c>
      <c r="B3557" t="s">
        <v>342</v>
      </c>
      <c r="C3557" t="s">
        <v>397</v>
      </c>
      <c r="D3557" s="2" t="s">
        <v>398</v>
      </c>
      <c r="E3557" t="s">
        <v>474</v>
      </c>
      <c r="F3557" s="11">
        <v>43261</v>
      </c>
      <c r="G3557" s="2">
        <f>VLOOKUP(E3557,Produtos!$A:$E,5,FALSE)</f>
        <v>1800</v>
      </c>
      <c r="H3557" s="2">
        <f>VLOOKUP(E3557,Produtos!$A:$E,4,FALSE)</f>
        <v>800</v>
      </c>
      <c r="I3557" s="2">
        <v>1</v>
      </c>
    </row>
    <row r="3558" spans="1:9" x14ac:dyDescent="0.25">
      <c r="A3558" s="2" t="str">
        <f>CONCATENATE(Códigos!S3557,Códigos!T3557,Códigos!U3557)</f>
        <v>svv3556v</v>
      </c>
      <c r="B3558" t="s">
        <v>342</v>
      </c>
      <c r="C3558" t="s">
        <v>397</v>
      </c>
      <c r="D3558" s="2" t="s">
        <v>398</v>
      </c>
      <c r="E3558" t="s">
        <v>474</v>
      </c>
      <c r="F3558" s="11">
        <v>43262</v>
      </c>
      <c r="G3558" s="2">
        <f>VLOOKUP(E3558,Produtos!$A:$E,5,FALSE)</f>
        <v>1800</v>
      </c>
      <c r="H3558" s="2">
        <f>VLOOKUP(E3558,Produtos!$A:$E,4,FALSE)</f>
        <v>800</v>
      </c>
      <c r="I3558" s="2">
        <v>1</v>
      </c>
    </row>
    <row r="3559" spans="1:9" x14ac:dyDescent="0.25">
      <c r="A3559" s="2" t="str">
        <f>CONCATENATE(Códigos!S3558,Códigos!T3558,Códigos!U3558)</f>
        <v>svv3557v</v>
      </c>
      <c r="B3559" t="s">
        <v>342</v>
      </c>
      <c r="C3559" t="s">
        <v>397</v>
      </c>
      <c r="D3559" s="2" t="s">
        <v>398</v>
      </c>
      <c r="E3559" t="s">
        <v>474</v>
      </c>
      <c r="F3559" s="11">
        <v>43263</v>
      </c>
      <c r="G3559" s="2">
        <f>VLOOKUP(E3559,Produtos!$A:$E,5,FALSE)</f>
        <v>1800</v>
      </c>
      <c r="H3559" s="2">
        <f>VLOOKUP(E3559,Produtos!$A:$E,4,FALSE)</f>
        <v>800</v>
      </c>
      <c r="I3559" s="2">
        <v>1</v>
      </c>
    </row>
    <row r="3560" spans="1:9" x14ac:dyDescent="0.25">
      <c r="A3560" s="2" t="str">
        <f>CONCATENATE(Códigos!S3559,Códigos!T3559,Códigos!U3559)</f>
        <v>svv3558v</v>
      </c>
      <c r="B3560" t="s">
        <v>342</v>
      </c>
      <c r="C3560" t="s">
        <v>397</v>
      </c>
      <c r="D3560" s="2" t="s">
        <v>398</v>
      </c>
      <c r="E3560" t="s">
        <v>468</v>
      </c>
      <c r="F3560" s="11">
        <v>43264</v>
      </c>
      <c r="G3560" s="2">
        <f>VLOOKUP(E3560,Produtos!$A:$E,5,FALSE)</f>
        <v>3000</v>
      </c>
      <c r="H3560" s="2">
        <f>VLOOKUP(E3560,Produtos!$A:$E,4,FALSE)</f>
        <v>1000</v>
      </c>
      <c r="I3560" s="2">
        <v>1</v>
      </c>
    </row>
    <row r="3561" spans="1:9" x14ac:dyDescent="0.25">
      <c r="A3561" s="2" t="str">
        <f>CONCATENATE(Códigos!S3560,Códigos!T3560,Códigos!U3560)</f>
        <v>svv3559v</v>
      </c>
      <c r="B3561" t="s">
        <v>342</v>
      </c>
      <c r="C3561" t="s">
        <v>397</v>
      </c>
      <c r="D3561" s="2" t="s">
        <v>398</v>
      </c>
      <c r="E3561" t="s">
        <v>468</v>
      </c>
      <c r="F3561" s="11">
        <v>43265</v>
      </c>
      <c r="G3561" s="2">
        <f>VLOOKUP(E3561,Produtos!$A:$E,5,FALSE)</f>
        <v>3000</v>
      </c>
      <c r="H3561" s="2">
        <f>VLOOKUP(E3561,Produtos!$A:$E,4,FALSE)</f>
        <v>1000</v>
      </c>
      <c r="I3561" s="2">
        <v>1</v>
      </c>
    </row>
    <row r="3562" spans="1:9" x14ac:dyDescent="0.25">
      <c r="A3562" s="2" t="str">
        <f>CONCATENATE(Códigos!S3561,Códigos!T3561,Códigos!U3561)</f>
        <v>svv3560v</v>
      </c>
      <c r="B3562" t="s">
        <v>342</v>
      </c>
      <c r="C3562" t="s">
        <v>397</v>
      </c>
      <c r="D3562" s="2" t="s">
        <v>398</v>
      </c>
      <c r="E3562" t="s">
        <v>468</v>
      </c>
      <c r="F3562" s="11">
        <v>43266</v>
      </c>
      <c r="G3562" s="2">
        <f>VLOOKUP(E3562,Produtos!$A:$E,5,FALSE)</f>
        <v>3000</v>
      </c>
      <c r="H3562" s="2">
        <f>VLOOKUP(E3562,Produtos!$A:$E,4,FALSE)</f>
        <v>1000</v>
      </c>
      <c r="I3562" s="2">
        <v>1</v>
      </c>
    </row>
    <row r="3563" spans="1:9" x14ac:dyDescent="0.25">
      <c r="A3563" s="2" t="str">
        <f>CONCATENATE(Códigos!S3562,Códigos!T3562,Códigos!U3562)</f>
        <v>svv3561v</v>
      </c>
      <c r="B3563" t="s">
        <v>342</v>
      </c>
      <c r="C3563" t="s">
        <v>397</v>
      </c>
      <c r="D3563" s="2" t="s">
        <v>398</v>
      </c>
      <c r="E3563" t="s">
        <v>468</v>
      </c>
      <c r="F3563" s="11">
        <v>43267</v>
      </c>
      <c r="G3563" s="2">
        <f>VLOOKUP(E3563,Produtos!$A:$E,5,FALSE)</f>
        <v>3000</v>
      </c>
      <c r="H3563" s="2">
        <f>VLOOKUP(E3563,Produtos!$A:$E,4,FALSE)</f>
        <v>1000</v>
      </c>
      <c r="I3563" s="2">
        <v>1</v>
      </c>
    </row>
    <row r="3564" spans="1:9" x14ac:dyDescent="0.25">
      <c r="A3564" s="2" t="str">
        <f>CONCATENATE(Códigos!S3563,Códigos!T3563,Códigos!U3563)</f>
        <v>svv3562v</v>
      </c>
      <c r="B3564" t="s">
        <v>342</v>
      </c>
      <c r="C3564" t="s">
        <v>397</v>
      </c>
      <c r="D3564" s="2" t="s">
        <v>398</v>
      </c>
      <c r="E3564" t="s">
        <v>468</v>
      </c>
      <c r="F3564" s="11">
        <v>43268</v>
      </c>
      <c r="G3564" s="2">
        <f>VLOOKUP(E3564,Produtos!$A:$E,5,FALSE)</f>
        <v>3000</v>
      </c>
      <c r="H3564" s="2">
        <f>VLOOKUP(E3564,Produtos!$A:$E,4,FALSE)</f>
        <v>1000</v>
      </c>
      <c r="I3564" s="2">
        <v>1</v>
      </c>
    </row>
    <row r="3565" spans="1:9" x14ac:dyDescent="0.25">
      <c r="A3565" s="2" t="str">
        <f>CONCATENATE(Códigos!S3564,Códigos!T3564,Códigos!U3564)</f>
        <v>svv3563v</v>
      </c>
      <c r="B3565" t="s">
        <v>342</v>
      </c>
      <c r="C3565" t="s">
        <v>397</v>
      </c>
      <c r="D3565" s="2" t="s">
        <v>398</v>
      </c>
      <c r="E3565" t="s">
        <v>468</v>
      </c>
      <c r="F3565" s="11">
        <v>43269</v>
      </c>
      <c r="G3565" s="2">
        <f>VLOOKUP(E3565,Produtos!$A:$E,5,FALSE)</f>
        <v>3000</v>
      </c>
      <c r="H3565" s="2">
        <f>VLOOKUP(E3565,Produtos!$A:$E,4,FALSE)</f>
        <v>1000</v>
      </c>
      <c r="I3565" s="2">
        <v>1</v>
      </c>
    </row>
    <row r="3566" spans="1:9" x14ac:dyDescent="0.25">
      <c r="A3566" s="2" t="str">
        <f>CONCATENATE(Códigos!S3565,Códigos!T3565,Códigos!U3565)</f>
        <v>svv3564v</v>
      </c>
      <c r="B3566" t="s">
        <v>342</v>
      </c>
      <c r="C3566" t="s">
        <v>397</v>
      </c>
      <c r="D3566" s="2" t="s">
        <v>398</v>
      </c>
      <c r="E3566" t="s">
        <v>468</v>
      </c>
      <c r="F3566" s="11">
        <v>43270</v>
      </c>
      <c r="G3566" s="2">
        <f>VLOOKUP(E3566,Produtos!$A:$E,5,FALSE)</f>
        <v>3000</v>
      </c>
      <c r="H3566" s="2">
        <f>VLOOKUP(E3566,Produtos!$A:$E,4,FALSE)</f>
        <v>1000</v>
      </c>
      <c r="I3566" s="2">
        <v>1</v>
      </c>
    </row>
    <row r="3567" spans="1:9" x14ac:dyDescent="0.25">
      <c r="A3567" s="2" t="str">
        <f>CONCATENATE(Códigos!S3566,Códigos!T3566,Códigos!U3566)</f>
        <v>svv3565v</v>
      </c>
      <c r="B3567" t="s">
        <v>342</v>
      </c>
      <c r="C3567" t="s">
        <v>397</v>
      </c>
      <c r="D3567" s="2" t="s">
        <v>398</v>
      </c>
      <c r="E3567" t="s">
        <v>468</v>
      </c>
      <c r="F3567" s="11">
        <v>43271</v>
      </c>
      <c r="G3567" s="2">
        <f>VLOOKUP(E3567,Produtos!$A:$E,5,FALSE)</f>
        <v>3000</v>
      </c>
      <c r="H3567" s="2">
        <f>VLOOKUP(E3567,Produtos!$A:$E,4,FALSE)</f>
        <v>1000</v>
      </c>
      <c r="I3567" s="2">
        <v>1</v>
      </c>
    </row>
    <row r="3568" spans="1:9" x14ac:dyDescent="0.25">
      <c r="A3568" s="2" t="str">
        <f>CONCATENATE(Códigos!S3567,Códigos!T3567,Códigos!U3567)</f>
        <v>svv3566v</v>
      </c>
      <c r="B3568" t="s">
        <v>342</v>
      </c>
      <c r="C3568" t="s">
        <v>397</v>
      </c>
      <c r="D3568" s="2" t="s">
        <v>398</v>
      </c>
      <c r="E3568" t="s">
        <v>468</v>
      </c>
      <c r="F3568" s="11">
        <v>43272</v>
      </c>
      <c r="G3568" s="2">
        <f>VLOOKUP(E3568,Produtos!$A:$E,5,FALSE)</f>
        <v>3000</v>
      </c>
      <c r="H3568" s="2">
        <f>VLOOKUP(E3568,Produtos!$A:$E,4,FALSE)</f>
        <v>1000</v>
      </c>
      <c r="I3568" s="2">
        <v>1</v>
      </c>
    </row>
    <row r="3569" spans="1:9" x14ac:dyDescent="0.25">
      <c r="A3569" s="2" t="str">
        <f>CONCATENATE(Códigos!S3568,Códigos!T3568,Códigos!U3568)</f>
        <v>svv3567v</v>
      </c>
      <c r="B3569" t="s">
        <v>342</v>
      </c>
      <c r="C3569" t="s">
        <v>397</v>
      </c>
      <c r="D3569" s="2" t="s">
        <v>398</v>
      </c>
      <c r="E3569" t="s">
        <v>468</v>
      </c>
      <c r="F3569" s="11">
        <v>43273</v>
      </c>
      <c r="G3569" s="2">
        <f>VLOOKUP(E3569,Produtos!$A:$E,5,FALSE)</f>
        <v>3000</v>
      </c>
      <c r="H3569" s="2">
        <f>VLOOKUP(E3569,Produtos!$A:$E,4,FALSE)</f>
        <v>1000</v>
      </c>
      <c r="I3569" s="2">
        <v>1</v>
      </c>
    </row>
    <row r="3570" spans="1:9" x14ac:dyDescent="0.25">
      <c r="A3570" s="2" t="str">
        <f>CONCATENATE(Códigos!S3569,Códigos!T3569,Códigos!U3569)</f>
        <v>svv3568v</v>
      </c>
      <c r="B3570" t="s">
        <v>342</v>
      </c>
      <c r="C3570" t="s">
        <v>397</v>
      </c>
      <c r="D3570" s="2" t="s">
        <v>398</v>
      </c>
      <c r="E3570" t="s">
        <v>468</v>
      </c>
      <c r="F3570" s="11">
        <v>43274</v>
      </c>
      <c r="G3570" s="2">
        <f>VLOOKUP(E3570,Produtos!$A:$E,5,FALSE)</f>
        <v>3000</v>
      </c>
      <c r="H3570" s="2">
        <f>VLOOKUP(E3570,Produtos!$A:$E,4,FALSE)</f>
        <v>1000</v>
      </c>
      <c r="I3570" s="2">
        <v>1</v>
      </c>
    </row>
    <row r="3571" spans="1:9" x14ac:dyDescent="0.25">
      <c r="A3571" s="2" t="str">
        <f>CONCATENATE(Códigos!S3570,Códigos!T3570,Códigos!U3570)</f>
        <v>svv3569v</v>
      </c>
      <c r="B3571" t="s">
        <v>342</v>
      </c>
      <c r="C3571" t="s">
        <v>397</v>
      </c>
      <c r="D3571" s="2" t="s">
        <v>398</v>
      </c>
      <c r="E3571" t="s">
        <v>468</v>
      </c>
      <c r="F3571" s="11">
        <v>43275</v>
      </c>
      <c r="G3571" s="2">
        <f>VLOOKUP(E3571,Produtos!$A:$E,5,FALSE)</f>
        <v>3000</v>
      </c>
      <c r="H3571" s="2">
        <f>VLOOKUP(E3571,Produtos!$A:$E,4,FALSE)</f>
        <v>1000</v>
      </c>
      <c r="I3571" s="2">
        <v>1</v>
      </c>
    </row>
    <row r="3572" spans="1:9" x14ac:dyDescent="0.25">
      <c r="A3572" s="2" t="str">
        <f>CONCATENATE(Códigos!S3571,Códigos!T3571,Códigos!U3571)</f>
        <v>svv3570v</v>
      </c>
      <c r="B3572" t="s">
        <v>342</v>
      </c>
      <c r="C3572" t="s">
        <v>397</v>
      </c>
      <c r="D3572" s="2" t="s">
        <v>398</v>
      </c>
      <c r="E3572" t="s">
        <v>468</v>
      </c>
      <c r="F3572" s="11">
        <v>43276</v>
      </c>
      <c r="G3572" s="2">
        <f>VLOOKUP(E3572,Produtos!$A:$E,5,FALSE)</f>
        <v>3000</v>
      </c>
      <c r="H3572" s="2">
        <f>VLOOKUP(E3572,Produtos!$A:$E,4,FALSE)</f>
        <v>1000</v>
      </c>
      <c r="I3572" s="2">
        <v>1</v>
      </c>
    </row>
    <row r="3573" spans="1:9" x14ac:dyDescent="0.25">
      <c r="A3573" s="2" t="str">
        <f>CONCATENATE(Códigos!S3572,Códigos!T3572,Códigos!U3572)</f>
        <v>svv3571v</v>
      </c>
      <c r="B3573" t="s">
        <v>342</v>
      </c>
      <c r="C3573" t="s">
        <v>397</v>
      </c>
      <c r="D3573" s="2" t="s">
        <v>398</v>
      </c>
      <c r="E3573" t="s">
        <v>468</v>
      </c>
      <c r="F3573" s="11">
        <v>43277</v>
      </c>
      <c r="G3573" s="2">
        <f>VLOOKUP(E3573,Produtos!$A:$E,5,FALSE)</f>
        <v>3000</v>
      </c>
      <c r="H3573" s="2">
        <f>VLOOKUP(E3573,Produtos!$A:$E,4,FALSE)</f>
        <v>1000</v>
      </c>
      <c r="I3573" s="2">
        <v>1</v>
      </c>
    </row>
    <row r="3574" spans="1:9" x14ac:dyDescent="0.25">
      <c r="A3574" s="2" t="str">
        <f>CONCATENATE(Códigos!S3573,Códigos!T3573,Códigos!U3573)</f>
        <v>svv3572v</v>
      </c>
      <c r="B3574" t="s">
        <v>342</v>
      </c>
      <c r="C3574" t="s">
        <v>397</v>
      </c>
      <c r="D3574" s="2" t="s">
        <v>398</v>
      </c>
      <c r="E3574" t="s">
        <v>468</v>
      </c>
      <c r="F3574" s="11">
        <v>43278</v>
      </c>
      <c r="G3574" s="2">
        <f>VLOOKUP(E3574,Produtos!$A:$E,5,FALSE)</f>
        <v>3000</v>
      </c>
      <c r="H3574" s="2">
        <f>VLOOKUP(E3574,Produtos!$A:$E,4,FALSE)</f>
        <v>1000</v>
      </c>
      <c r="I3574" s="2">
        <v>1</v>
      </c>
    </row>
    <row r="3575" spans="1:9" x14ac:dyDescent="0.25">
      <c r="A3575" s="2" t="str">
        <f>CONCATENATE(Códigos!S3574,Códigos!T3574,Códigos!U3574)</f>
        <v>svv3573v</v>
      </c>
      <c r="B3575" t="s">
        <v>342</v>
      </c>
      <c r="C3575" t="s">
        <v>397</v>
      </c>
      <c r="D3575" s="2" t="s">
        <v>398</v>
      </c>
      <c r="E3575" t="s">
        <v>468</v>
      </c>
      <c r="F3575" s="11">
        <v>43279</v>
      </c>
      <c r="G3575" s="2">
        <f>VLOOKUP(E3575,Produtos!$A:$E,5,FALSE)</f>
        <v>3000</v>
      </c>
      <c r="H3575" s="2">
        <f>VLOOKUP(E3575,Produtos!$A:$E,4,FALSE)</f>
        <v>1000</v>
      </c>
      <c r="I3575" s="2">
        <v>1</v>
      </c>
    </row>
    <row r="3576" spans="1:9" x14ac:dyDescent="0.25">
      <c r="A3576" s="2" t="str">
        <f>CONCATENATE(Códigos!S3575,Códigos!T3575,Códigos!U3575)</f>
        <v>svv3574v</v>
      </c>
      <c r="B3576" t="s">
        <v>342</v>
      </c>
      <c r="C3576" t="s">
        <v>397</v>
      </c>
      <c r="D3576" s="2" t="s">
        <v>398</v>
      </c>
      <c r="E3576" t="s">
        <v>468</v>
      </c>
      <c r="F3576" s="11">
        <v>43280</v>
      </c>
      <c r="G3576" s="2">
        <f>VLOOKUP(E3576,Produtos!$A:$E,5,FALSE)</f>
        <v>3000</v>
      </c>
      <c r="H3576" s="2">
        <f>VLOOKUP(E3576,Produtos!$A:$E,4,FALSE)</f>
        <v>1000</v>
      </c>
      <c r="I3576" s="2">
        <v>1</v>
      </c>
    </row>
    <row r="3577" spans="1:9" x14ac:dyDescent="0.25">
      <c r="A3577" s="2" t="str">
        <f>CONCATENATE(Códigos!S3576,Códigos!T3576,Códigos!U3576)</f>
        <v>svv3575v</v>
      </c>
      <c r="B3577" t="s">
        <v>342</v>
      </c>
      <c r="C3577" t="s">
        <v>397</v>
      </c>
      <c r="D3577" s="2" t="s">
        <v>398</v>
      </c>
      <c r="E3577" t="s">
        <v>468</v>
      </c>
      <c r="F3577" s="11">
        <v>43281</v>
      </c>
      <c r="G3577" s="2">
        <f>VLOOKUP(E3577,Produtos!$A:$E,5,FALSE)</f>
        <v>3000</v>
      </c>
      <c r="H3577" s="2">
        <f>VLOOKUP(E3577,Produtos!$A:$E,4,FALSE)</f>
        <v>1000</v>
      </c>
      <c r="I3577" s="2">
        <v>1</v>
      </c>
    </row>
    <row r="3578" spans="1:9" x14ac:dyDescent="0.25">
      <c r="A3578" s="2" t="str">
        <f>CONCATENATE(Códigos!S3577,Códigos!T3577,Códigos!U3577)</f>
        <v>svv3576v</v>
      </c>
      <c r="B3578" t="s">
        <v>342</v>
      </c>
      <c r="C3578" t="s">
        <v>397</v>
      </c>
      <c r="D3578" s="2" t="s">
        <v>398</v>
      </c>
      <c r="E3578" t="s">
        <v>468</v>
      </c>
      <c r="F3578" s="11">
        <v>43282</v>
      </c>
      <c r="G3578" s="2">
        <f>VLOOKUP(E3578,Produtos!$A:$E,5,FALSE)</f>
        <v>3000</v>
      </c>
      <c r="H3578" s="2">
        <f>VLOOKUP(E3578,Produtos!$A:$E,4,FALSE)</f>
        <v>1000</v>
      </c>
      <c r="I3578" s="2">
        <v>1</v>
      </c>
    </row>
    <row r="3579" spans="1:9" x14ac:dyDescent="0.25">
      <c r="A3579" s="2" t="str">
        <f>CONCATENATE(Códigos!S3578,Códigos!T3578,Códigos!U3578)</f>
        <v>svv3577v</v>
      </c>
      <c r="B3579" t="s">
        <v>342</v>
      </c>
      <c r="C3579" t="s">
        <v>397</v>
      </c>
      <c r="D3579" s="2" t="s">
        <v>398</v>
      </c>
      <c r="E3579" t="s">
        <v>468</v>
      </c>
      <c r="F3579" s="11">
        <v>43283</v>
      </c>
      <c r="G3579" s="2">
        <f>VLOOKUP(E3579,Produtos!$A:$E,5,FALSE)</f>
        <v>3000</v>
      </c>
      <c r="H3579" s="2">
        <f>VLOOKUP(E3579,Produtos!$A:$E,4,FALSE)</f>
        <v>1000</v>
      </c>
      <c r="I3579" s="2">
        <v>1</v>
      </c>
    </row>
    <row r="3580" spans="1:9" x14ac:dyDescent="0.25">
      <c r="A3580" s="2" t="str">
        <f>CONCATENATE(Códigos!S3579,Códigos!T3579,Códigos!U3579)</f>
        <v>svv3578v</v>
      </c>
      <c r="B3580" t="s">
        <v>342</v>
      </c>
      <c r="C3580" t="s">
        <v>397</v>
      </c>
      <c r="D3580" s="2" t="s">
        <v>398</v>
      </c>
      <c r="E3580" t="s">
        <v>468</v>
      </c>
      <c r="F3580" s="11">
        <v>43284</v>
      </c>
      <c r="G3580" s="2">
        <f>VLOOKUP(E3580,Produtos!$A:$E,5,FALSE)</f>
        <v>3000</v>
      </c>
      <c r="H3580" s="2">
        <f>VLOOKUP(E3580,Produtos!$A:$E,4,FALSE)</f>
        <v>1000</v>
      </c>
      <c r="I3580" s="2">
        <v>1</v>
      </c>
    </row>
    <row r="3581" spans="1:9" x14ac:dyDescent="0.25">
      <c r="A3581" s="2" t="str">
        <f>CONCATENATE(Códigos!S3580,Códigos!T3580,Códigos!U3580)</f>
        <v>svv3579v</v>
      </c>
      <c r="B3581" t="s">
        <v>342</v>
      </c>
      <c r="C3581" t="s">
        <v>397</v>
      </c>
      <c r="D3581" s="2" t="s">
        <v>398</v>
      </c>
      <c r="E3581" t="s">
        <v>468</v>
      </c>
      <c r="F3581" s="11">
        <v>43285</v>
      </c>
      <c r="G3581" s="2">
        <f>VLOOKUP(E3581,Produtos!$A:$E,5,FALSE)</f>
        <v>3000</v>
      </c>
      <c r="H3581" s="2">
        <f>VLOOKUP(E3581,Produtos!$A:$E,4,FALSE)</f>
        <v>1000</v>
      </c>
      <c r="I3581" s="2">
        <v>1</v>
      </c>
    </row>
    <row r="3582" spans="1:9" x14ac:dyDescent="0.25">
      <c r="A3582" s="2" t="str">
        <f>CONCATENATE(Códigos!S3581,Códigos!T3581,Códigos!U3581)</f>
        <v>svv3580v</v>
      </c>
      <c r="B3582" t="s">
        <v>342</v>
      </c>
      <c r="C3582" t="s">
        <v>380</v>
      </c>
      <c r="D3582" s="2" t="s">
        <v>381</v>
      </c>
      <c r="E3582" t="s">
        <v>467</v>
      </c>
      <c r="F3582" s="11">
        <v>43286</v>
      </c>
      <c r="G3582" s="2">
        <f>VLOOKUP(E3582,Produtos!$A:$E,5,FALSE)</f>
        <v>3000</v>
      </c>
      <c r="H3582" s="2">
        <f>VLOOKUP(E3582,Produtos!$A:$E,4,FALSE)</f>
        <v>1200</v>
      </c>
      <c r="I3582" s="2">
        <v>1</v>
      </c>
    </row>
    <row r="3583" spans="1:9" x14ac:dyDescent="0.25">
      <c r="A3583" s="2" t="str">
        <f>CONCATENATE(Códigos!S3582,Códigos!T3582,Códigos!U3582)</f>
        <v>svv3581v</v>
      </c>
      <c r="B3583" t="s">
        <v>342</v>
      </c>
      <c r="C3583" t="s">
        <v>380</v>
      </c>
      <c r="D3583" s="2" t="s">
        <v>381</v>
      </c>
      <c r="E3583" t="s">
        <v>467</v>
      </c>
      <c r="F3583" s="11">
        <v>43287</v>
      </c>
      <c r="G3583" s="2">
        <f>VLOOKUP(E3583,Produtos!$A:$E,5,FALSE)</f>
        <v>3000</v>
      </c>
      <c r="H3583" s="2">
        <f>VLOOKUP(E3583,Produtos!$A:$E,4,FALSE)</f>
        <v>1200</v>
      </c>
      <c r="I3583" s="2">
        <v>1</v>
      </c>
    </row>
    <row r="3584" spans="1:9" x14ac:dyDescent="0.25">
      <c r="A3584" s="2" t="str">
        <f>CONCATENATE(Códigos!S3583,Códigos!T3583,Códigos!U3583)</f>
        <v>svv3582v</v>
      </c>
      <c r="B3584" t="s">
        <v>342</v>
      </c>
      <c r="C3584" t="s">
        <v>380</v>
      </c>
      <c r="D3584" s="2" t="s">
        <v>381</v>
      </c>
      <c r="E3584" t="s">
        <v>467</v>
      </c>
      <c r="F3584" s="11">
        <v>43288</v>
      </c>
      <c r="G3584" s="2">
        <f>VLOOKUP(E3584,Produtos!$A:$E,5,FALSE)</f>
        <v>3000</v>
      </c>
      <c r="H3584" s="2">
        <f>VLOOKUP(E3584,Produtos!$A:$E,4,FALSE)</f>
        <v>1200</v>
      </c>
      <c r="I3584" s="2">
        <v>1</v>
      </c>
    </row>
    <row r="3585" spans="1:9" x14ac:dyDescent="0.25">
      <c r="A3585" s="2" t="str">
        <f>CONCATENATE(Códigos!S3584,Códigos!T3584,Códigos!U3584)</f>
        <v>svv3583v</v>
      </c>
      <c r="B3585" t="s">
        <v>342</v>
      </c>
      <c r="C3585" t="s">
        <v>380</v>
      </c>
      <c r="D3585" s="2" t="s">
        <v>381</v>
      </c>
      <c r="E3585" t="s">
        <v>467</v>
      </c>
      <c r="F3585" s="11">
        <v>43289</v>
      </c>
      <c r="G3585" s="2">
        <f>VLOOKUP(E3585,Produtos!$A:$E,5,FALSE)</f>
        <v>3000</v>
      </c>
      <c r="H3585" s="2">
        <f>VLOOKUP(E3585,Produtos!$A:$E,4,FALSE)</f>
        <v>1200</v>
      </c>
      <c r="I3585" s="2">
        <v>1</v>
      </c>
    </row>
    <row r="3586" spans="1:9" x14ac:dyDescent="0.25">
      <c r="A3586" s="2" t="str">
        <f>CONCATENATE(Códigos!S3585,Códigos!T3585,Códigos!U3585)</f>
        <v>svv3584v</v>
      </c>
      <c r="B3586" t="s">
        <v>342</v>
      </c>
      <c r="C3586" t="s">
        <v>380</v>
      </c>
      <c r="D3586" s="2" t="s">
        <v>381</v>
      </c>
      <c r="E3586" t="s">
        <v>467</v>
      </c>
      <c r="F3586" s="11">
        <v>43290</v>
      </c>
      <c r="G3586" s="2">
        <f>VLOOKUP(E3586,Produtos!$A:$E,5,FALSE)</f>
        <v>3000</v>
      </c>
      <c r="H3586" s="2">
        <f>VLOOKUP(E3586,Produtos!$A:$E,4,FALSE)</f>
        <v>1200</v>
      </c>
      <c r="I3586" s="2">
        <v>1</v>
      </c>
    </row>
    <row r="3587" spans="1:9" x14ac:dyDescent="0.25">
      <c r="A3587" s="2" t="str">
        <f>CONCATENATE(Códigos!S3586,Códigos!T3586,Códigos!U3586)</f>
        <v>svv3585v</v>
      </c>
      <c r="B3587" t="s">
        <v>342</v>
      </c>
      <c r="C3587" t="s">
        <v>380</v>
      </c>
      <c r="D3587" s="2" t="s">
        <v>381</v>
      </c>
      <c r="E3587" t="s">
        <v>467</v>
      </c>
      <c r="F3587" s="11">
        <v>43291</v>
      </c>
      <c r="G3587" s="2">
        <f>VLOOKUP(E3587,Produtos!$A:$E,5,FALSE)</f>
        <v>3000</v>
      </c>
      <c r="H3587" s="2">
        <f>VLOOKUP(E3587,Produtos!$A:$E,4,FALSE)</f>
        <v>1200</v>
      </c>
      <c r="I3587" s="2">
        <v>1</v>
      </c>
    </row>
    <row r="3588" spans="1:9" x14ac:dyDescent="0.25">
      <c r="A3588" s="2" t="str">
        <f>CONCATENATE(Códigos!S3587,Códigos!T3587,Códigos!U3587)</f>
        <v>svv3586v</v>
      </c>
      <c r="B3588" t="s">
        <v>342</v>
      </c>
      <c r="C3588" t="s">
        <v>380</v>
      </c>
      <c r="D3588" s="2" t="s">
        <v>381</v>
      </c>
      <c r="E3588" t="s">
        <v>467</v>
      </c>
      <c r="F3588" s="11">
        <v>43292</v>
      </c>
      <c r="G3588" s="2">
        <f>VLOOKUP(E3588,Produtos!$A:$E,5,FALSE)</f>
        <v>3000</v>
      </c>
      <c r="H3588" s="2">
        <f>VLOOKUP(E3588,Produtos!$A:$E,4,FALSE)</f>
        <v>1200</v>
      </c>
      <c r="I3588" s="2">
        <v>1</v>
      </c>
    </row>
    <row r="3589" spans="1:9" x14ac:dyDescent="0.25">
      <c r="A3589" s="2" t="str">
        <f>CONCATENATE(Códigos!S3588,Códigos!T3588,Códigos!U3588)</f>
        <v>svv3587v</v>
      </c>
      <c r="B3589" t="s">
        <v>342</v>
      </c>
      <c r="C3589" t="s">
        <v>380</v>
      </c>
      <c r="D3589" s="2" t="s">
        <v>381</v>
      </c>
      <c r="E3589" t="s">
        <v>467</v>
      </c>
      <c r="F3589" s="11">
        <v>43293</v>
      </c>
      <c r="G3589" s="2">
        <f>VLOOKUP(E3589,Produtos!$A:$E,5,FALSE)</f>
        <v>3000</v>
      </c>
      <c r="H3589" s="2">
        <f>VLOOKUP(E3589,Produtos!$A:$E,4,FALSE)</f>
        <v>1200</v>
      </c>
      <c r="I3589" s="2">
        <v>1</v>
      </c>
    </row>
    <row r="3590" spans="1:9" x14ac:dyDescent="0.25">
      <c r="A3590" s="2" t="str">
        <f>CONCATENATE(Códigos!S3589,Códigos!T3589,Códigos!U3589)</f>
        <v>svv3588v</v>
      </c>
      <c r="B3590" t="s">
        <v>342</v>
      </c>
      <c r="C3590" t="s">
        <v>380</v>
      </c>
      <c r="D3590" s="2" t="s">
        <v>381</v>
      </c>
      <c r="E3590" t="s">
        <v>467</v>
      </c>
      <c r="F3590" s="11">
        <v>43294</v>
      </c>
      <c r="G3590" s="2">
        <f>VLOOKUP(E3590,Produtos!$A:$E,5,FALSE)</f>
        <v>3000</v>
      </c>
      <c r="H3590" s="2">
        <f>VLOOKUP(E3590,Produtos!$A:$E,4,FALSE)</f>
        <v>1200</v>
      </c>
      <c r="I3590" s="2">
        <v>1</v>
      </c>
    </row>
    <row r="3591" spans="1:9" x14ac:dyDescent="0.25">
      <c r="A3591" s="2" t="str">
        <f>CONCATENATE(Códigos!S3590,Códigos!T3590,Códigos!U3590)</f>
        <v>svv3589v</v>
      </c>
      <c r="B3591" t="s">
        <v>342</v>
      </c>
      <c r="C3591" t="s">
        <v>380</v>
      </c>
      <c r="D3591" s="2" t="s">
        <v>381</v>
      </c>
      <c r="E3591" t="s">
        <v>467</v>
      </c>
      <c r="F3591" s="11">
        <v>43295</v>
      </c>
      <c r="G3591" s="2">
        <f>VLOOKUP(E3591,Produtos!$A:$E,5,FALSE)</f>
        <v>3000</v>
      </c>
      <c r="H3591" s="2">
        <f>VLOOKUP(E3591,Produtos!$A:$E,4,FALSE)</f>
        <v>1200</v>
      </c>
      <c r="I3591" s="2">
        <v>1</v>
      </c>
    </row>
    <row r="3592" spans="1:9" x14ac:dyDescent="0.25">
      <c r="A3592" s="2" t="str">
        <f>CONCATENATE(Códigos!S3591,Códigos!T3591,Códigos!U3591)</f>
        <v>svv3590v</v>
      </c>
      <c r="B3592" t="s">
        <v>342</v>
      </c>
      <c r="C3592" t="s">
        <v>380</v>
      </c>
      <c r="D3592" s="2" t="s">
        <v>381</v>
      </c>
      <c r="E3592" t="s">
        <v>467</v>
      </c>
      <c r="F3592" s="11">
        <v>43296</v>
      </c>
      <c r="G3592" s="2">
        <f>VLOOKUP(E3592,Produtos!$A:$E,5,FALSE)</f>
        <v>3000</v>
      </c>
      <c r="H3592" s="2">
        <f>VLOOKUP(E3592,Produtos!$A:$E,4,FALSE)</f>
        <v>1200</v>
      </c>
      <c r="I3592" s="2">
        <v>1</v>
      </c>
    </row>
    <row r="3593" spans="1:9" x14ac:dyDescent="0.25">
      <c r="A3593" s="2" t="str">
        <f>CONCATENATE(Códigos!S3592,Códigos!T3592,Códigos!U3592)</f>
        <v>svv3591v</v>
      </c>
      <c r="B3593" t="s">
        <v>342</v>
      </c>
      <c r="C3593" t="s">
        <v>380</v>
      </c>
      <c r="D3593" s="2" t="s">
        <v>381</v>
      </c>
      <c r="E3593" t="s">
        <v>467</v>
      </c>
      <c r="F3593" s="11">
        <v>43297</v>
      </c>
      <c r="G3593" s="2">
        <f>VLOOKUP(E3593,Produtos!$A:$E,5,FALSE)</f>
        <v>3000</v>
      </c>
      <c r="H3593" s="2">
        <f>VLOOKUP(E3593,Produtos!$A:$E,4,FALSE)</f>
        <v>1200</v>
      </c>
      <c r="I3593" s="2">
        <v>1</v>
      </c>
    </row>
    <row r="3594" spans="1:9" x14ac:dyDescent="0.25">
      <c r="A3594" s="2" t="str">
        <f>CONCATENATE(Códigos!S3593,Códigos!T3593,Códigos!U3593)</f>
        <v>svv3592v</v>
      </c>
      <c r="B3594" t="s">
        <v>342</v>
      </c>
      <c r="C3594" t="s">
        <v>380</v>
      </c>
      <c r="D3594" s="2" t="s">
        <v>381</v>
      </c>
      <c r="E3594" t="s">
        <v>467</v>
      </c>
      <c r="F3594" s="11">
        <v>43298</v>
      </c>
      <c r="G3594" s="2">
        <f>VLOOKUP(E3594,Produtos!$A:$E,5,FALSE)</f>
        <v>3000</v>
      </c>
      <c r="H3594" s="2">
        <f>VLOOKUP(E3594,Produtos!$A:$E,4,FALSE)</f>
        <v>1200</v>
      </c>
      <c r="I3594" s="2">
        <v>1</v>
      </c>
    </row>
    <row r="3595" spans="1:9" x14ac:dyDescent="0.25">
      <c r="A3595" s="2" t="str">
        <f>CONCATENATE(Códigos!S3594,Códigos!T3594,Códigos!U3594)</f>
        <v>svv3593v</v>
      </c>
      <c r="B3595" t="s">
        <v>342</v>
      </c>
      <c r="C3595" t="s">
        <v>380</v>
      </c>
      <c r="D3595" s="2" t="s">
        <v>381</v>
      </c>
      <c r="E3595" t="s">
        <v>467</v>
      </c>
      <c r="F3595" s="11">
        <v>43299</v>
      </c>
      <c r="G3595" s="2">
        <f>VLOOKUP(E3595,Produtos!$A:$E,5,FALSE)</f>
        <v>3000</v>
      </c>
      <c r="H3595" s="2">
        <f>VLOOKUP(E3595,Produtos!$A:$E,4,FALSE)</f>
        <v>1200</v>
      </c>
      <c r="I3595" s="2">
        <v>1</v>
      </c>
    </row>
    <row r="3596" spans="1:9" x14ac:dyDescent="0.25">
      <c r="A3596" s="2" t="str">
        <f>CONCATENATE(Códigos!S3595,Códigos!T3595,Códigos!U3595)</f>
        <v>svv3594v</v>
      </c>
      <c r="B3596" t="s">
        <v>342</v>
      </c>
      <c r="C3596" t="s">
        <v>380</v>
      </c>
      <c r="D3596" s="2" t="s">
        <v>381</v>
      </c>
      <c r="E3596" t="s">
        <v>467</v>
      </c>
      <c r="F3596" s="11">
        <v>43300</v>
      </c>
      <c r="G3596" s="2">
        <f>VLOOKUP(E3596,Produtos!$A:$E,5,FALSE)</f>
        <v>3000</v>
      </c>
      <c r="H3596" s="2">
        <f>VLOOKUP(E3596,Produtos!$A:$E,4,FALSE)</f>
        <v>1200</v>
      </c>
      <c r="I3596" s="2">
        <v>1</v>
      </c>
    </row>
    <row r="3597" spans="1:9" x14ac:dyDescent="0.25">
      <c r="A3597" s="2" t="str">
        <f>CONCATENATE(Códigos!S3596,Códigos!T3596,Códigos!U3596)</f>
        <v>svv3595v</v>
      </c>
      <c r="B3597" t="s">
        <v>342</v>
      </c>
      <c r="C3597" t="s">
        <v>380</v>
      </c>
      <c r="D3597" s="2" t="s">
        <v>381</v>
      </c>
      <c r="E3597" t="s">
        <v>467</v>
      </c>
      <c r="F3597" s="11">
        <v>43301</v>
      </c>
      <c r="G3597" s="2">
        <f>VLOOKUP(E3597,Produtos!$A:$E,5,FALSE)</f>
        <v>3000</v>
      </c>
      <c r="H3597" s="2">
        <f>VLOOKUP(E3597,Produtos!$A:$E,4,FALSE)</f>
        <v>1200</v>
      </c>
      <c r="I3597" s="2">
        <v>1</v>
      </c>
    </row>
    <row r="3598" spans="1:9" x14ac:dyDescent="0.25">
      <c r="A3598" s="2" t="str">
        <f>CONCATENATE(Códigos!S3597,Códigos!T3597,Códigos!U3597)</f>
        <v>svv3596v</v>
      </c>
      <c r="B3598" t="s">
        <v>342</v>
      </c>
      <c r="C3598" t="s">
        <v>380</v>
      </c>
      <c r="D3598" s="2" t="s">
        <v>381</v>
      </c>
      <c r="E3598" t="s">
        <v>467</v>
      </c>
      <c r="F3598" s="11">
        <v>43302</v>
      </c>
      <c r="G3598" s="2">
        <f>VLOOKUP(E3598,Produtos!$A:$E,5,FALSE)</f>
        <v>3000</v>
      </c>
      <c r="H3598" s="2">
        <f>VLOOKUP(E3598,Produtos!$A:$E,4,FALSE)</f>
        <v>1200</v>
      </c>
      <c r="I3598" s="2">
        <v>1</v>
      </c>
    </row>
    <row r="3599" spans="1:9" x14ac:dyDescent="0.25">
      <c r="A3599" s="2" t="str">
        <f>CONCATENATE(Códigos!S3598,Códigos!T3598,Códigos!U3598)</f>
        <v>svv3597v</v>
      </c>
      <c r="B3599" t="s">
        <v>342</v>
      </c>
      <c r="C3599" t="s">
        <v>380</v>
      </c>
      <c r="D3599" s="2" t="s">
        <v>381</v>
      </c>
      <c r="E3599" t="s">
        <v>467</v>
      </c>
      <c r="F3599" s="11">
        <v>43303</v>
      </c>
      <c r="G3599" s="2">
        <f>VLOOKUP(E3599,Produtos!$A:$E,5,FALSE)</f>
        <v>3000</v>
      </c>
      <c r="H3599" s="2">
        <f>VLOOKUP(E3599,Produtos!$A:$E,4,FALSE)</f>
        <v>1200</v>
      </c>
      <c r="I3599" s="2">
        <v>1</v>
      </c>
    </row>
    <row r="3600" spans="1:9" x14ac:dyDescent="0.25">
      <c r="A3600" s="2" t="str">
        <f>CONCATENATE(Códigos!S3599,Códigos!T3599,Códigos!U3599)</f>
        <v>svv3598v</v>
      </c>
      <c r="B3600" t="s">
        <v>342</v>
      </c>
      <c r="C3600" t="s">
        <v>380</v>
      </c>
      <c r="D3600" s="2" t="s">
        <v>381</v>
      </c>
      <c r="E3600" t="s">
        <v>467</v>
      </c>
      <c r="F3600" s="11">
        <v>43304</v>
      </c>
      <c r="G3600" s="2">
        <f>VLOOKUP(E3600,Produtos!$A:$E,5,FALSE)</f>
        <v>3000</v>
      </c>
      <c r="H3600" s="2">
        <f>VLOOKUP(E3600,Produtos!$A:$E,4,FALSE)</f>
        <v>1200</v>
      </c>
      <c r="I3600" s="2">
        <v>1</v>
      </c>
    </row>
    <row r="3601" spans="1:9" x14ac:dyDescent="0.25">
      <c r="A3601" s="2" t="str">
        <f>CONCATENATE(Códigos!S3600,Códigos!T3600,Códigos!U3600)</f>
        <v>svv3599v</v>
      </c>
      <c r="B3601" t="s">
        <v>342</v>
      </c>
      <c r="C3601" t="s">
        <v>380</v>
      </c>
      <c r="D3601" s="2" t="s">
        <v>381</v>
      </c>
      <c r="E3601" t="s">
        <v>467</v>
      </c>
      <c r="F3601" s="11">
        <v>43305</v>
      </c>
      <c r="G3601" s="2">
        <f>VLOOKUP(E3601,Produtos!$A:$E,5,FALSE)</f>
        <v>3000</v>
      </c>
      <c r="H3601" s="2">
        <f>VLOOKUP(E3601,Produtos!$A:$E,4,FALSE)</f>
        <v>1200</v>
      </c>
      <c r="I3601" s="2">
        <v>1</v>
      </c>
    </row>
    <row r="3602" spans="1:9" x14ac:dyDescent="0.25">
      <c r="A3602" s="2" t="str">
        <f>CONCATENATE(Códigos!S3601,Códigos!T3601,Códigos!U3601)</f>
        <v>svv3600v</v>
      </c>
      <c r="B3602" t="s">
        <v>342</v>
      </c>
      <c r="C3602" t="s">
        <v>380</v>
      </c>
      <c r="D3602" s="2" t="s">
        <v>381</v>
      </c>
      <c r="E3602" t="s">
        <v>467</v>
      </c>
      <c r="F3602" s="11">
        <v>43306</v>
      </c>
      <c r="G3602" s="2">
        <f>VLOOKUP(E3602,Produtos!$A:$E,5,FALSE)</f>
        <v>3000</v>
      </c>
      <c r="H3602" s="2">
        <f>VLOOKUP(E3602,Produtos!$A:$E,4,FALSE)</f>
        <v>1200</v>
      </c>
      <c r="I3602" s="2">
        <v>1</v>
      </c>
    </row>
    <row r="3603" spans="1:9" x14ac:dyDescent="0.25">
      <c r="A3603" s="2" t="str">
        <f>CONCATENATE(Códigos!S3602,Códigos!T3602,Códigos!U3602)</f>
        <v>svv3601v</v>
      </c>
      <c r="B3603" t="s">
        <v>342</v>
      </c>
      <c r="C3603" t="s">
        <v>380</v>
      </c>
      <c r="D3603" s="2" t="s">
        <v>381</v>
      </c>
      <c r="E3603" t="s">
        <v>467</v>
      </c>
      <c r="F3603" s="11">
        <v>43307</v>
      </c>
      <c r="G3603" s="2">
        <f>VLOOKUP(E3603,Produtos!$A:$E,5,FALSE)</f>
        <v>3000</v>
      </c>
      <c r="H3603" s="2">
        <f>VLOOKUP(E3603,Produtos!$A:$E,4,FALSE)</f>
        <v>1200</v>
      </c>
      <c r="I3603" s="2">
        <v>1</v>
      </c>
    </row>
    <row r="3604" spans="1:9" x14ac:dyDescent="0.25">
      <c r="A3604" s="2" t="str">
        <f>CONCATENATE(Códigos!S3603,Códigos!T3603,Códigos!U3603)</f>
        <v>svv3602v</v>
      </c>
      <c r="B3604" t="s">
        <v>342</v>
      </c>
      <c r="C3604" t="s">
        <v>380</v>
      </c>
      <c r="D3604" s="2" t="s">
        <v>381</v>
      </c>
      <c r="E3604" t="s">
        <v>467</v>
      </c>
      <c r="F3604" s="11">
        <v>43308</v>
      </c>
      <c r="G3604" s="2">
        <f>VLOOKUP(E3604,Produtos!$A:$E,5,FALSE)</f>
        <v>3000</v>
      </c>
      <c r="H3604" s="2">
        <f>VLOOKUP(E3604,Produtos!$A:$E,4,FALSE)</f>
        <v>1200</v>
      </c>
      <c r="I3604" s="2">
        <v>1</v>
      </c>
    </row>
    <row r="3605" spans="1:9" x14ac:dyDescent="0.25">
      <c r="A3605" s="2" t="str">
        <f>CONCATENATE(Códigos!S3604,Códigos!T3604,Códigos!U3604)</f>
        <v>svv3603v</v>
      </c>
      <c r="B3605" t="s">
        <v>342</v>
      </c>
      <c r="C3605" t="s">
        <v>397</v>
      </c>
      <c r="D3605" s="2" t="s">
        <v>398</v>
      </c>
      <c r="E3605" t="s">
        <v>474</v>
      </c>
      <c r="F3605" s="11">
        <v>43309</v>
      </c>
      <c r="G3605" s="2">
        <f>VLOOKUP(E3605,Produtos!$A:$E,5,FALSE)</f>
        <v>1800</v>
      </c>
      <c r="H3605" s="2">
        <f>VLOOKUP(E3605,Produtos!$A:$E,4,FALSE)</f>
        <v>800</v>
      </c>
      <c r="I3605" s="2">
        <v>1</v>
      </c>
    </row>
    <row r="3606" spans="1:9" x14ac:dyDescent="0.25">
      <c r="A3606" s="2" t="str">
        <f>CONCATENATE(Códigos!S3605,Códigos!T3605,Códigos!U3605)</f>
        <v>svv3604v</v>
      </c>
      <c r="B3606" t="s">
        <v>342</v>
      </c>
      <c r="C3606" t="s">
        <v>397</v>
      </c>
      <c r="D3606" s="2" t="s">
        <v>398</v>
      </c>
      <c r="E3606" t="s">
        <v>474</v>
      </c>
      <c r="F3606" s="11">
        <v>43310</v>
      </c>
      <c r="G3606" s="2">
        <f>VLOOKUP(E3606,Produtos!$A:$E,5,FALSE)</f>
        <v>1800</v>
      </c>
      <c r="H3606" s="2">
        <f>VLOOKUP(E3606,Produtos!$A:$E,4,FALSE)</f>
        <v>800</v>
      </c>
      <c r="I3606" s="2">
        <v>1</v>
      </c>
    </row>
    <row r="3607" spans="1:9" x14ac:dyDescent="0.25">
      <c r="A3607" s="2" t="str">
        <f>CONCATENATE(Códigos!S3606,Códigos!T3606,Códigos!U3606)</f>
        <v>svv3605v</v>
      </c>
      <c r="B3607" t="s">
        <v>342</v>
      </c>
      <c r="C3607" t="s">
        <v>397</v>
      </c>
      <c r="D3607" s="2" t="s">
        <v>398</v>
      </c>
      <c r="E3607" t="s">
        <v>474</v>
      </c>
      <c r="F3607" s="11">
        <v>43311</v>
      </c>
      <c r="G3607" s="2">
        <f>VLOOKUP(E3607,Produtos!$A:$E,5,FALSE)</f>
        <v>1800</v>
      </c>
      <c r="H3607" s="2">
        <f>VLOOKUP(E3607,Produtos!$A:$E,4,FALSE)</f>
        <v>800</v>
      </c>
      <c r="I3607" s="2">
        <v>1</v>
      </c>
    </row>
    <row r="3608" spans="1:9" x14ac:dyDescent="0.25">
      <c r="A3608" s="2" t="str">
        <f>CONCATENATE(Códigos!S3607,Códigos!T3607,Códigos!U3607)</f>
        <v>svv3606v</v>
      </c>
      <c r="B3608" t="s">
        <v>342</v>
      </c>
      <c r="C3608" t="s">
        <v>397</v>
      </c>
      <c r="D3608" s="2" t="s">
        <v>398</v>
      </c>
      <c r="E3608" t="s">
        <v>474</v>
      </c>
      <c r="F3608" s="11">
        <v>43312</v>
      </c>
      <c r="G3608" s="2">
        <f>VLOOKUP(E3608,Produtos!$A:$E,5,FALSE)</f>
        <v>1800</v>
      </c>
      <c r="H3608" s="2">
        <f>VLOOKUP(E3608,Produtos!$A:$E,4,FALSE)</f>
        <v>800</v>
      </c>
      <c r="I3608" s="2">
        <v>1</v>
      </c>
    </row>
    <row r="3609" spans="1:9" x14ac:dyDescent="0.25">
      <c r="A3609" s="2" t="str">
        <f>CONCATENATE(Códigos!S3608,Códigos!T3608,Códigos!U3608)</f>
        <v>svv3607v</v>
      </c>
      <c r="B3609" t="s">
        <v>342</v>
      </c>
      <c r="C3609" t="s">
        <v>397</v>
      </c>
      <c r="D3609" s="2" t="s">
        <v>398</v>
      </c>
      <c r="E3609" t="s">
        <v>474</v>
      </c>
      <c r="F3609" s="11">
        <v>43313</v>
      </c>
      <c r="G3609" s="2">
        <f>VLOOKUP(E3609,Produtos!$A:$E,5,FALSE)</f>
        <v>1800</v>
      </c>
      <c r="H3609" s="2">
        <f>VLOOKUP(E3609,Produtos!$A:$E,4,FALSE)</f>
        <v>800</v>
      </c>
      <c r="I3609" s="2">
        <v>1</v>
      </c>
    </row>
    <row r="3610" spans="1:9" x14ac:dyDescent="0.25">
      <c r="A3610" s="2" t="str">
        <f>CONCATENATE(Códigos!S3609,Códigos!T3609,Códigos!U3609)</f>
        <v>svv3608v</v>
      </c>
      <c r="B3610" t="s">
        <v>342</v>
      </c>
      <c r="C3610" t="s">
        <v>397</v>
      </c>
      <c r="D3610" s="2" t="s">
        <v>398</v>
      </c>
      <c r="E3610" t="s">
        <v>474</v>
      </c>
      <c r="F3610" s="11">
        <v>43314</v>
      </c>
      <c r="G3610" s="2">
        <f>VLOOKUP(E3610,Produtos!$A:$E,5,FALSE)</f>
        <v>1800</v>
      </c>
      <c r="H3610" s="2">
        <f>VLOOKUP(E3610,Produtos!$A:$E,4,FALSE)</f>
        <v>800</v>
      </c>
      <c r="I3610" s="2">
        <v>1</v>
      </c>
    </row>
    <row r="3611" spans="1:9" x14ac:dyDescent="0.25">
      <c r="A3611" s="2" t="str">
        <f>CONCATENATE(Códigos!S3610,Códigos!T3610,Códigos!U3610)</f>
        <v>svv3609v</v>
      </c>
      <c r="B3611" t="s">
        <v>342</v>
      </c>
      <c r="C3611" t="s">
        <v>397</v>
      </c>
      <c r="D3611" s="2" t="s">
        <v>398</v>
      </c>
      <c r="E3611" t="s">
        <v>474</v>
      </c>
      <c r="F3611" s="11">
        <v>43315</v>
      </c>
      <c r="G3611" s="2">
        <f>VLOOKUP(E3611,Produtos!$A:$E,5,FALSE)</f>
        <v>1800</v>
      </c>
      <c r="H3611" s="2">
        <f>VLOOKUP(E3611,Produtos!$A:$E,4,FALSE)</f>
        <v>800</v>
      </c>
      <c r="I3611" s="2">
        <v>1</v>
      </c>
    </row>
    <row r="3612" spans="1:9" x14ac:dyDescent="0.25">
      <c r="A3612" s="2" t="str">
        <f>CONCATENATE(Códigos!S3611,Códigos!T3611,Códigos!U3611)</f>
        <v>svv3610v</v>
      </c>
      <c r="B3612" t="s">
        <v>342</v>
      </c>
      <c r="C3612" t="s">
        <v>397</v>
      </c>
      <c r="D3612" s="2" t="s">
        <v>398</v>
      </c>
      <c r="E3612" t="s">
        <v>474</v>
      </c>
      <c r="F3612" s="11">
        <v>43316</v>
      </c>
      <c r="G3612" s="2">
        <f>VLOOKUP(E3612,Produtos!$A:$E,5,FALSE)</f>
        <v>1800</v>
      </c>
      <c r="H3612" s="2">
        <f>VLOOKUP(E3612,Produtos!$A:$E,4,FALSE)</f>
        <v>800</v>
      </c>
      <c r="I3612" s="2">
        <v>1</v>
      </c>
    </row>
    <row r="3613" spans="1:9" x14ac:dyDescent="0.25">
      <c r="A3613" s="2" t="str">
        <f>CONCATENATE(Códigos!S3612,Códigos!T3612,Códigos!U3612)</f>
        <v>svv3611v</v>
      </c>
      <c r="B3613" t="s">
        <v>342</v>
      </c>
      <c r="C3613" t="s">
        <v>397</v>
      </c>
      <c r="D3613" s="2" t="s">
        <v>398</v>
      </c>
      <c r="E3613" t="s">
        <v>474</v>
      </c>
      <c r="F3613" s="11">
        <v>43317</v>
      </c>
      <c r="G3613" s="2">
        <f>VLOOKUP(E3613,Produtos!$A:$E,5,FALSE)</f>
        <v>1800</v>
      </c>
      <c r="H3613" s="2">
        <f>VLOOKUP(E3613,Produtos!$A:$E,4,FALSE)</f>
        <v>800</v>
      </c>
      <c r="I3613" s="2">
        <v>1</v>
      </c>
    </row>
    <row r="3614" spans="1:9" x14ac:dyDescent="0.25">
      <c r="A3614" s="2" t="str">
        <f>CONCATENATE(Códigos!S3613,Códigos!T3613,Códigos!U3613)</f>
        <v>svv3612v</v>
      </c>
      <c r="B3614" t="s">
        <v>342</v>
      </c>
      <c r="C3614" t="s">
        <v>397</v>
      </c>
      <c r="D3614" s="2" t="s">
        <v>398</v>
      </c>
      <c r="E3614" t="s">
        <v>474</v>
      </c>
      <c r="F3614" s="11">
        <v>43318</v>
      </c>
      <c r="G3614" s="2">
        <f>VLOOKUP(E3614,Produtos!$A:$E,5,FALSE)</f>
        <v>1800</v>
      </c>
      <c r="H3614" s="2">
        <f>VLOOKUP(E3614,Produtos!$A:$E,4,FALSE)</f>
        <v>800</v>
      </c>
      <c r="I3614" s="2">
        <v>1</v>
      </c>
    </row>
    <row r="3615" spans="1:9" x14ac:dyDescent="0.25">
      <c r="A3615" s="2" t="str">
        <f>CONCATENATE(Códigos!S3614,Códigos!T3614,Códigos!U3614)</f>
        <v>svv3613v</v>
      </c>
      <c r="B3615" t="s">
        <v>342</v>
      </c>
      <c r="C3615" t="s">
        <v>397</v>
      </c>
      <c r="D3615" s="2" t="s">
        <v>398</v>
      </c>
      <c r="E3615" t="s">
        <v>474</v>
      </c>
      <c r="F3615" s="11">
        <v>43319</v>
      </c>
      <c r="G3615" s="2">
        <f>VLOOKUP(E3615,Produtos!$A:$E,5,FALSE)</f>
        <v>1800</v>
      </c>
      <c r="H3615" s="2">
        <f>VLOOKUP(E3615,Produtos!$A:$E,4,FALSE)</f>
        <v>800</v>
      </c>
      <c r="I3615" s="2">
        <v>1</v>
      </c>
    </row>
    <row r="3616" spans="1:9" x14ac:dyDescent="0.25">
      <c r="A3616" s="2" t="str">
        <f>CONCATENATE(Códigos!S3615,Códigos!T3615,Códigos!U3615)</f>
        <v>svv3614v</v>
      </c>
      <c r="B3616" t="s">
        <v>342</v>
      </c>
      <c r="C3616" t="s">
        <v>397</v>
      </c>
      <c r="D3616" s="2" t="s">
        <v>398</v>
      </c>
      <c r="E3616" t="s">
        <v>474</v>
      </c>
      <c r="F3616" s="11">
        <v>43320</v>
      </c>
      <c r="G3616" s="2">
        <f>VLOOKUP(E3616,Produtos!$A:$E,5,FALSE)</f>
        <v>1800</v>
      </c>
      <c r="H3616" s="2">
        <f>VLOOKUP(E3616,Produtos!$A:$E,4,FALSE)</f>
        <v>800</v>
      </c>
      <c r="I3616" s="2">
        <v>1</v>
      </c>
    </row>
    <row r="3617" spans="1:9" x14ac:dyDescent="0.25">
      <c r="A3617" s="2" t="str">
        <f>CONCATENATE(Códigos!S3616,Códigos!T3616,Códigos!U3616)</f>
        <v>svv3615v</v>
      </c>
      <c r="B3617" t="s">
        <v>342</v>
      </c>
      <c r="C3617" t="s">
        <v>397</v>
      </c>
      <c r="D3617" s="2" t="s">
        <v>398</v>
      </c>
      <c r="E3617" t="s">
        <v>474</v>
      </c>
      <c r="F3617" s="11">
        <v>43321</v>
      </c>
      <c r="G3617" s="2">
        <f>VLOOKUP(E3617,Produtos!$A:$E,5,FALSE)</f>
        <v>1800</v>
      </c>
      <c r="H3617" s="2">
        <f>VLOOKUP(E3617,Produtos!$A:$E,4,FALSE)</f>
        <v>800</v>
      </c>
      <c r="I3617" s="2">
        <v>1</v>
      </c>
    </row>
    <row r="3618" spans="1:9" x14ac:dyDescent="0.25">
      <c r="A3618" s="2" t="str">
        <f>CONCATENATE(Códigos!S3617,Códigos!T3617,Códigos!U3617)</f>
        <v>svv3616v</v>
      </c>
      <c r="B3618" t="s">
        <v>342</v>
      </c>
      <c r="C3618" t="s">
        <v>397</v>
      </c>
      <c r="D3618" s="2" t="s">
        <v>398</v>
      </c>
      <c r="E3618" t="s">
        <v>474</v>
      </c>
      <c r="F3618" s="11">
        <v>43322</v>
      </c>
      <c r="G3618" s="2">
        <f>VLOOKUP(E3618,Produtos!$A:$E,5,FALSE)</f>
        <v>1800</v>
      </c>
      <c r="H3618" s="2">
        <f>VLOOKUP(E3618,Produtos!$A:$E,4,FALSE)</f>
        <v>800</v>
      </c>
      <c r="I3618" s="2">
        <v>1</v>
      </c>
    </row>
    <row r="3619" spans="1:9" x14ac:dyDescent="0.25">
      <c r="A3619" s="2" t="str">
        <f>CONCATENATE(Códigos!S3618,Códigos!T3618,Códigos!U3618)</f>
        <v>svv3617v</v>
      </c>
      <c r="B3619" t="s">
        <v>338</v>
      </c>
      <c r="C3619" t="s">
        <v>397</v>
      </c>
      <c r="D3619" s="2" t="s">
        <v>398</v>
      </c>
      <c r="E3619" t="s">
        <v>474</v>
      </c>
      <c r="F3619" s="11">
        <v>43323</v>
      </c>
      <c r="G3619" s="2">
        <f>VLOOKUP(E3619,Produtos!$A:$E,5,FALSE)</f>
        <v>1800</v>
      </c>
      <c r="H3619" s="2">
        <f>VLOOKUP(E3619,Produtos!$A:$E,4,FALSE)</f>
        <v>800</v>
      </c>
      <c r="I3619" s="2">
        <v>1</v>
      </c>
    </row>
    <row r="3620" spans="1:9" x14ac:dyDescent="0.25">
      <c r="A3620" s="2" t="str">
        <f>CONCATENATE(Códigos!S3619,Códigos!T3619,Códigos!U3619)</f>
        <v>svv3618v</v>
      </c>
      <c r="B3620" t="s">
        <v>338</v>
      </c>
      <c r="C3620" t="s">
        <v>397</v>
      </c>
      <c r="D3620" s="2" t="s">
        <v>398</v>
      </c>
      <c r="E3620" t="s">
        <v>474</v>
      </c>
      <c r="F3620" s="11">
        <v>43324</v>
      </c>
      <c r="G3620" s="2">
        <f>VLOOKUP(E3620,Produtos!$A:$E,5,FALSE)</f>
        <v>1800</v>
      </c>
      <c r="H3620" s="2">
        <f>VLOOKUP(E3620,Produtos!$A:$E,4,FALSE)</f>
        <v>800</v>
      </c>
      <c r="I3620" s="2">
        <v>1</v>
      </c>
    </row>
    <row r="3621" spans="1:9" x14ac:dyDescent="0.25">
      <c r="A3621" s="2" t="str">
        <f>CONCATENATE(Códigos!S3620,Códigos!T3620,Códigos!U3620)</f>
        <v>svv3619v</v>
      </c>
      <c r="B3621" t="s">
        <v>338</v>
      </c>
      <c r="C3621" t="s">
        <v>397</v>
      </c>
      <c r="D3621" s="2" t="s">
        <v>398</v>
      </c>
      <c r="E3621" t="s">
        <v>474</v>
      </c>
      <c r="F3621" s="11">
        <v>43325</v>
      </c>
      <c r="G3621" s="2">
        <f>VLOOKUP(E3621,Produtos!$A:$E,5,FALSE)</f>
        <v>1800</v>
      </c>
      <c r="H3621" s="2">
        <f>VLOOKUP(E3621,Produtos!$A:$E,4,FALSE)</f>
        <v>800</v>
      </c>
      <c r="I3621" s="2">
        <v>1</v>
      </c>
    </row>
    <row r="3622" spans="1:9" x14ac:dyDescent="0.25">
      <c r="A3622" s="2" t="str">
        <f>CONCATENATE(Códigos!S3621,Códigos!T3621,Códigos!U3621)</f>
        <v>svv3620v</v>
      </c>
      <c r="B3622" t="s">
        <v>338</v>
      </c>
      <c r="C3622" t="s">
        <v>397</v>
      </c>
      <c r="D3622" s="2" t="s">
        <v>398</v>
      </c>
      <c r="E3622" t="s">
        <v>474</v>
      </c>
      <c r="F3622" s="11">
        <v>43326</v>
      </c>
      <c r="G3622" s="2">
        <f>VLOOKUP(E3622,Produtos!$A:$E,5,FALSE)</f>
        <v>1800</v>
      </c>
      <c r="H3622" s="2">
        <f>VLOOKUP(E3622,Produtos!$A:$E,4,FALSE)</f>
        <v>800</v>
      </c>
      <c r="I3622" s="2">
        <v>1</v>
      </c>
    </row>
    <row r="3623" spans="1:9" x14ac:dyDescent="0.25">
      <c r="A3623" s="2" t="str">
        <f>CONCATENATE(Códigos!S3622,Códigos!T3622,Códigos!U3622)</f>
        <v>svv3621v</v>
      </c>
      <c r="B3623" t="s">
        <v>338</v>
      </c>
      <c r="C3623" t="s">
        <v>397</v>
      </c>
      <c r="D3623" s="2" t="s">
        <v>398</v>
      </c>
      <c r="E3623" t="s">
        <v>474</v>
      </c>
      <c r="F3623" s="11">
        <v>43327</v>
      </c>
      <c r="G3623" s="2">
        <f>VLOOKUP(E3623,Produtos!$A:$E,5,FALSE)</f>
        <v>1800</v>
      </c>
      <c r="H3623" s="2">
        <f>VLOOKUP(E3623,Produtos!$A:$E,4,FALSE)</f>
        <v>800</v>
      </c>
      <c r="I3623" s="2">
        <v>1</v>
      </c>
    </row>
    <row r="3624" spans="1:9" x14ac:dyDescent="0.25">
      <c r="A3624" s="2" t="str">
        <f>CONCATENATE(Códigos!S3623,Códigos!T3623,Códigos!U3623)</f>
        <v>svv3622v</v>
      </c>
      <c r="B3624" t="s">
        <v>338</v>
      </c>
      <c r="C3624" t="s">
        <v>397</v>
      </c>
      <c r="D3624" s="2" t="s">
        <v>398</v>
      </c>
      <c r="E3624" t="s">
        <v>474</v>
      </c>
      <c r="F3624" s="11">
        <v>43328</v>
      </c>
      <c r="G3624" s="2">
        <f>VLOOKUP(E3624,Produtos!$A:$E,5,FALSE)</f>
        <v>1800</v>
      </c>
      <c r="H3624" s="2">
        <f>VLOOKUP(E3624,Produtos!$A:$E,4,FALSE)</f>
        <v>800</v>
      </c>
      <c r="I3624" s="2">
        <v>1</v>
      </c>
    </row>
    <row r="3625" spans="1:9" x14ac:dyDescent="0.25">
      <c r="A3625" s="2" t="str">
        <f>CONCATENATE(Códigos!S3624,Códigos!T3624,Códigos!U3624)</f>
        <v>svv3623v</v>
      </c>
      <c r="B3625" t="s">
        <v>338</v>
      </c>
      <c r="C3625" t="s">
        <v>397</v>
      </c>
      <c r="D3625" s="2" t="s">
        <v>398</v>
      </c>
      <c r="E3625" t="s">
        <v>474</v>
      </c>
      <c r="F3625" s="11">
        <v>43329</v>
      </c>
      <c r="G3625" s="2">
        <f>VLOOKUP(E3625,Produtos!$A:$E,5,FALSE)</f>
        <v>1800</v>
      </c>
      <c r="H3625" s="2">
        <f>VLOOKUP(E3625,Produtos!$A:$E,4,FALSE)</f>
        <v>800</v>
      </c>
      <c r="I3625" s="2">
        <v>1</v>
      </c>
    </row>
    <row r="3626" spans="1:9" x14ac:dyDescent="0.25">
      <c r="A3626" s="2" t="str">
        <f>CONCATENATE(Códigos!S3625,Códigos!T3625,Códigos!U3625)</f>
        <v>svv3624v</v>
      </c>
      <c r="B3626" t="s">
        <v>338</v>
      </c>
      <c r="C3626" t="s">
        <v>397</v>
      </c>
      <c r="D3626" s="2" t="s">
        <v>398</v>
      </c>
      <c r="E3626" t="s">
        <v>474</v>
      </c>
      <c r="F3626" s="11">
        <v>43330</v>
      </c>
      <c r="G3626" s="2">
        <f>VLOOKUP(E3626,Produtos!$A:$E,5,FALSE)</f>
        <v>1800</v>
      </c>
      <c r="H3626" s="2">
        <f>VLOOKUP(E3626,Produtos!$A:$E,4,FALSE)</f>
        <v>800</v>
      </c>
      <c r="I3626" s="2">
        <v>1</v>
      </c>
    </row>
    <row r="3627" spans="1:9" x14ac:dyDescent="0.25">
      <c r="A3627" s="2" t="str">
        <f>CONCATENATE(Códigos!S3626,Códigos!T3626,Códigos!U3626)</f>
        <v>svv3625v</v>
      </c>
      <c r="B3627" t="s">
        <v>338</v>
      </c>
      <c r="C3627" t="s">
        <v>397</v>
      </c>
      <c r="D3627" s="2" t="s">
        <v>398</v>
      </c>
      <c r="E3627" t="s">
        <v>474</v>
      </c>
      <c r="F3627" s="11">
        <v>43331</v>
      </c>
      <c r="G3627" s="2">
        <f>VLOOKUP(E3627,Produtos!$A:$E,5,FALSE)</f>
        <v>1800</v>
      </c>
      <c r="H3627" s="2">
        <f>VLOOKUP(E3627,Produtos!$A:$E,4,FALSE)</f>
        <v>800</v>
      </c>
      <c r="I3627" s="2">
        <v>1</v>
      </c>
    </row>
    <row r="3628" spans="1:9" x14ac:dyDescent="0.25">
      <c r="A3628" s="2" t="str">
        <f>CONCATENATE(Códigos!S3627,Códigos!T3627,Códigos!U3627)</f>
        <v>svv3626v</v>
      </c>
      <c r="B3628" t="s">
        <v>338</v>
      </c>
      <c r="C3628" t="s">
        <v>397</v>
      </c>
      <c r="D3628" s="2" t="s">
        <v>398</v>
      </c>
      <c r="E3628" t="s">
        <v>474</v>
      </c>
      <c r="F3628" s="11">
        <v>43332</v>
      </c>
      <c r="G3628" s="2">
        <f>VLOOKUP(E3628,Produtos!$A:$E,5,FALSE)</f>
        <v>1800</v>
      </c>
      <c r="H3628" s="2">
        <f>VLOOKUP(E3628,Produtos!$A:$E,4,FALSE)</f>
        <v>800</v>
      </c>
      <c r="I3628" s="2">
        <v>1</v>
      </c>
    </row>
    <row r="3629" spans="1:9" x14ac:dyDescent="0.25">
      <c r="A3629" s="2" t="str">
        <f>CONCATENATE(Códigos!S3628,Códigos!T3628,Códigos!U3628)</f>
        <v>svv3627v</v>
      </c>
      <c r="B3629" t="s">
        <v>338</v>
      </c>
      <c r="C3629" t="s">
        <v>397</v>
      </c>
      <c r="D3629" s="2" t="s">
        <v>398</v>
      </c>
      <c r="E3629" t="s">
        <v>474</v>
      </c>
      <c r="F3629" s="11">
        <v>43333</v>
      </c>
      <c r="G3629" s="2">
        <f>VLOOKUP(E3629,Produtos!$A:$E,5,FALSE)</f>
        <v>1800</v>
      </c>
      <c r="H3629" s="2">
        <f>VLOOKUP(E3629,Produtos!$A:$E,4,FALSE)</f>
        <v>800</v>
      </c>
      <c r="I3629" s="2">
        <v>1</v>
      </c>
    </row>
    <row r="3630" spans="1:9" x14ac:dyDescent="0.25">
      <c r="A3630" s="2" t="str">
        <f>CONCATENATE(Códigos!S3629,Códigos!T3629,Códigos!U3629)</f>
        <v>svv3628v</v>
      </c>
      <c r="B3630" t="s">
        <v>338</v>
      </c>
      <c r="C3630" t="s">
        <v>397</v>
      </c>
      <c r="D3630" s="2" t="s">
        <v>398</v>
      </c>
      <c r="E3630" t="s">
        <v>474</v>
      </c>
      <c r="F3630" s="11">
        <v>43334</v>
      </c>
      <c r="G3630" s="2">
        <f>VLOOKUP(E3630,Produtos!$A:$E,5,FALSE)</f>
        <v>1800</v>
      </c>
      <c r="H3630" s="2">
        <f>VLOOKUP(E3630,Produtos!$A:$E,4,FALSE)</f>
        <v>800</v>
      </c>
      <c r="I3630" s="2">
        <v>1</v>
      </c>
    </row>
    <row r="3631" spans="1:9" x14ac:dyDescent="0.25">
      <c r="A3631" s="2" t="str">
        <f>CONCATENATE(Códigos!S3630,Códigos!T3630,Códigos!U3630)</f>
        <v>svv3629v</v>
      </c>
      <c r="B3631" t="s">
        <v>338</v>
      </c>
      <c r="C3631" t="s">
        <v>397</v>
      </c>
      <c r="D3631" s="2" t="s">
        <v>398</v>
      </c>
      <c r="E3631" t="s">
        <v>474</v>
      </c>
      <c r="F3631" s="11">
        <v>43335</v>
      </c>
      <c r="G3631" s="2">
        <f>VLOOKUP(E3631,Produtos!$A:$E,5,FALSE)</f>
        <v>1800</v>
      </c>
      <c r="H3631" s="2">
        <f>VLOOKUP(E3631,Produtos!$A:$E,4,FALSE)</f>
        <v>800</v>
      </c>
      <c r="I3631" s="2">
        <v>1</v>
      </c>
    </row>
    <row r="3632" spans="1:9" x14ac:dyDescent="0.25">
      <c r="A3632" s="2" t="str">
        <f>CONCATENATE(Códigos!S3631,Códigos!T3631,Códigos!U3631)</f>
        <v>svv3630v</v>
      </c>
      <c r="B3632" t="s">
        <v>338</v>
      </c>
      <c r="C3632" t="s">
        <v>397</v>
      </c>
      <c r="D3632" s="2" t="s">
        <v>398</v>
      </c>
      <c r="E3632" t="s">
        <v>474</v>
      </c>
      <c r="F3632" s="11">
        <v>43336</v>
      </c>
      <c r="G3632" s="2">
        <f>VLOOKUP(E3632,Produtos!$A:$E,5,FALSE)</f>
        <v>1800</v>
      </c>
      <c r="H3632" s="2">
        <f>VLOOKUP(E3632,Produtos!$A:$E,4,FALSE)</f>
        <v>800</v>
      </c>
      <c r="I3632" s="2">
        <v>1</v>
      </c>
    </row>
    <row r="3633" spans="1:9" x14ac:dyDescent="0.25">
      <c r="A3633" s="2" t="str">
        <f>CONCATENATE(Códigos!S3632,Códigos!T3632,Códigos!U3632)</f>
        <v>svv3631v</v>
      </c>
      <c r="B3633" t="s">
        <v>338</v>
      </c>
      <c r="C3633" t="s">
        <v>397</v>
      </c>
      <c r="D3633" s="2" t="s">
        <v>398</v>
      </c>
      <c r="E3633" t="s">
        <v>474</v>
      </c>
      <c r="F3633" s="11">
        <v>43337</v>
      </c>
      <c r="G3633" s="2">
        <f>VLOOKUP(E3633,Produtos!$A:$E,5,FALSE)</f>
        <v>1800</v>
      </c>
      <c r="H3633" s="2">
        <f>VLOOKUP(E3633,Produtos!$A:$E,4,FALSE)</f>
        <v>800</v>
      </c>
      <c r="I3633" s="2">
        <v>1</v>
      </c>
    </row>
    <row r="3634" spans="1:9" x14ac:dyDescent="0.25">
      <c r="A3634" s="2" t="str">
        <f>CONCATENATE(Códigos!S3633,Códigos!T3633,Códigos!U3633)</f>
        <v>svv3632v</v>
      </c>
      <c r="B3634" t="s">
        <v>338</v>
      </c>
      <c r="C3634" t="s">
        <v>397</v>
      </c>
      <c r="D3634" s="2" t="s">
        <v>398</v>
      </c>
      <c r="E3634" t="s">
        <v>474</v>
      </c>
      <c r="F3634" s="11">
        <v>43338</v>
      </c>
      <c r="G3634" s="2">
        <f>VLOOKUP(E3634,Produtos!$A:$E,5,FALSE)</f>
        <v>1800</v>
      </c>
      <c r="H3634" s="2">
        <f>VLOOKUP(E3634,Produtos!$A:$E,4,FALSE)</f>
        <v>800</v>
      </c>
      <c r="I3634" s="2">
        <v>1</v>
      </c>
    </row>
    <row r="3635" spans="1:9" x14ac:dyDescent="0.25">
      <c r="A3635" s="2" t="str">
        <f>CONCATENATE(Códigos!S3634,Códigos!T3634,Códigos!U3634)</f>
        <v>svv3633v</v>
      </c>
      <c r="B3635" t="s">
        <v>338</v>
      </c>
      <c r="C3635" t="s">
        <v>397</v>
      </c>
      <c r="D3635" s="2" t="s">
        <v>398</v>
      </c>
      <c r="E3635" t="s">
        <v>476</v>
      </c>
      <c r="F3635" s="11">
        <v>43339</v>
      </c>
      <c r="G3635" s="2">
        <f>VLOOKUP(E3635,Produtos!$A:$E,5,FALSE)</f>
        <v>4000</v>
      </c>
      <c r="H3635" s="2">
        <f>VLOOKUP(E3635,Produtos!$A:$E,4,FALSE)</f>
        <v>1500</v>
      </c>
      <c r="I3635" s="2">
        <v>1</v>
      </c>
    </row>
    <row r="3636" spans="1:9" x14ac:dyDescent="0.25">
      <c r="A3636" s="2" t="str">
        <f>CONCATENATE(Códigos!S3635,Códigos!T3635,Códigos!U3635)</f>
        <v>svv3634v</v>
      </c>
      <c r="B3636" t="s">
        <v>338</v>
      </c>
      <c r="C3636" t="s">
        <v>397</v>
      </c>
      <c r="D3636" s="2" t="s">
        <v>398</v>
      </c>
      <c r="E3636" t="s">
        <v>476</v>
      </c>
      <c r="F3636" s="11">
        <v>43340</v>
      </c>
      <c r="G3636" s="2">
        <f>VLOOKUP(E3636,Produtos!$A:$E,5,FALSE)</f>
        <v>4000</v>
      </c>
      <c r="H3636" s="2">
        <f>VLOOKUP(E3636,Produtos!$A:$E,4,FALSE)</f>
        <v>1500</v>
      </c>
      <c r="I3636" s="2">
        <v>1</v>
      </c>
    </row>
    <row r="3637" spans="1:9" x14ac:dyDescent="0.25">
      <c r="A3637" s="2" t="str">
        <f>CONCATENATE(Códigos!S3636,Códigos!T3636,Códigos!U3636)</f>
        <v>svv3635v</v>
      </c>
      <c r="B3637" t="s">
        <v>338</v>
      </c>
      <c r="C3637" t="s">
        <v>397</v>
      </c>
      <c r="D3637" s="2" t="s">
        <v>398</v>
      </c>
      <c r="E3637" t="s">
        <v>476</v>
      </c>
      <c r="F3637" s="11">
        <v>43341</v>
      </c>
      <c r="G3637" s="2">
        <f>VLOOKUP(E3637,Produtos!$A:$E,5,FALSE)</f>
        <v>4000</v>
      </c>
      <c r="H3637" s="2">
        <f>VLOOKUP(E3637,Produtos!$A:$E,4,FALSE)</f>
        <v>1500</v>
      </c>
      <c r="I3637" s="2">
        <v>1</v>
      </c>
    </row>
    <row r="3638" spans="1:9" x14ac:dyDescent="0.25">
      <c r="A3638" s="2" t="str">
        <f>CONCATENATE(Códigos!S3637,Códigos!T3637,Códigos!U3637)</f>
        <v>svv3636v</v>
      </c>
      <c r="B3638" t="s">
        <v>338</v>
      </c>
      <c r="C3638" t="s">
        <v>397</v>
      </c>
      <c r="D3638" s="2" t="s">
        <v>398</v>
      </c>
      <c r="E3638" t="s">
        <v>476</v>
      </c>
      <c r="F3638" s="11">
        <v>43342</v>
      </c>
      <c r="G3638" s="2">
        <f>VLOOKUP(E3638,Produtos!$A:$E,5,FALSE)</f>
        <v>4000</v>
      </c>
      <c r="H3638" s="2">
        <f>VLOOKUP(E3638,Produtos!$A:$E,4,FALSE)</f>
        <v>1500</v>
      </c>
      <c r="I3638" s="2">
        <v>1</v>
      </c>
    </row>
    <row r="3639" spans="1:9" x14ac:dyDescent="0.25">
      <c r="A3639" s="2" t="str">
        <f>CONCATENATE(Códigos!S3638,Códigos!T3638,Códigos!U3638)</f>
        <v>svv3637v</v>
      </c>
      <c r="B3639" t="s">
        <v>338</v>
      </c>
      <c r="C3639" t="s">
        <v>397</v>
      </c>
      <c r="D3639" s="2" t="s">
        <v>398</v>
      </c>
      <c r="E3639" t="s">
        <v>476</v>
      </c>
      <c r="F3639" s="11">
        <v>43343</v>
      </c>
      <c r="G3639" s="2">
        <f>VLOOKUP(E3639,Produtos!$A:$E,5,FALSE)</f>
        <v>4000</v>
      </c>
      <c r="H3639" s="2">
        <f>VLOOKUP(E3639,Produtos!$A:$E,4,FALSE)</f>
        <v>1500</v>
      </c>
      <c r="I3639" s="2">
        <v>1</v>
      </c>
    </row>
    <row r="3640" spans="1:9" x14ac:dyDescent="0.25">
      <c r="A3640" s="2" t="str">
        <f>CONCATENATE(Códigos!S3639,Códigos!T3639,Códigos!U3639)</f>
        <v>svv3638v</v>
      </c>
      <c r="B3640" t="s">
        <v>338</v>
      </c>
      <c r="C3640" t="s">
        <v>397</v>
      </c>
      <c r="D3640" s="2" t="s">
        <v>398</v>
      </c>
      <c r="E3640" t="s">
        <v>476</v>
      </c>
      <c r="F3640" s="11">
        <v>43344</v>
      </c>
      <c r="G3640" s="2">
        <f>VLOOKUP(E3640,Produtos!$A:$E,5,FALSE)</f>
        <v>4000</v>
      </c>
      <c r="H3640" s="2">
        <f>VLOOKUP(E3640,Produtos!$A:$E,4,FALSE)</f>
        <v>1500</v>
      </c>
      <c r="I3640" s="2">
        <v>1</v>
      </c>
    </row>
    <row r="3641" spans="1:9" x14ac:dyDescent="0.25">
      <c r="A3641" s="2" t="str">
        <f>CONCATENATE(Códigos!S3640,Códigos!T3640,Códigos!U3640)</f>
        <v>svv3639v</v>
      </c>
      <c r="B3641" t="s">
        <v>338</v>
      </c>
      <c r="C3641" t="s">
        <v>397</v>
      </c>
      <c r="D3641" s="2" t="s">
        <v>398</v>
      </c>
      <c r="E3641" t="s">
        <v>476</v>
      </c>
      <c r="F3641" s="11">
        <v>43345</v>
      </c>
      <c r="G3641" s="2">
        <f>VLOOKUP(E3641,Produtos!$A:$E,5,FALSE)</f>
        <v>4000</v>
      </c>
      <c r="H3641" s="2">
        <f>VLOOKUP(E3641,Produtos!$A:$E,4,FALSE)</f>
        <v>1500</v>
      </c>
      <c r="I3641" s="2">
        <v>1</v>
      </c>
    </row>
    <row r="3642" spans="1:9" x14ac:dyDescent="0.25">
      <c r="A3642" s="2" t="str">
        <f>CONCATENATE(Códigos!S3641,Códigos!T3641,Códigos!U3641)</f>
        <v>svv3640v</v>
      </c>
      <c r="B3642" t="s">
        <v>338</v>
      </c>
      <c r="C3642" t="s">
        <v>397</v>
      </c>
      <c r="D3642" s="2" t="s">
        <v>398</v>
      </c>
      <c r="E3642" t="s">
        <v>476</v>
      </c>
      <c r="F3642" s="11">
        <v>43346</v>
      </c>
      <c r="G3642" s="2">
        <f>VLOOKUP(E3642,Produtos!$A:$E,5,FALSE)</f>
        <v>4000</v>
      </c>
      <c r="H3642" s="2">
        <f>VLOOKUP(E3642,Produtos!$A:$E,4,FALSE)</f>
        <v>1500</v>
      </c>
      <c r="I3642" s="2">
        <v>1</v>
      </c>
    </row>
    <row r="3643" spans="1:9" x14ac:dyDescent="0.25">
      <c r="A3643" s="2" t="str">
        <f>CONCATENATE(Códigos!S3642,Códigos!T3642,Códigos!U3642)</f>
        <v>svv3641v</v>
      </c>
      <c r="B3643" t="s">
        <v>338</v>
      </c>
      <c r="C3643" t="s">
        <v>397</v>
      </c>
      <c r="D3643" s="2" t="s">
        <v>398</v>
      </c>
      <c r="E3643" t="s">
        <v>476</v>
      </c>
      <c r="F3643" s="11">
        <v>43347</v>
      </c>
      <c r="G3643" s="2">
        <f>VLOOKUP(E3643,Produtos!$A:$E,5,FALSE)</f>
        <v>4000</v>
      </c>
      <c r="H3643" s="2">
        <f>VLOOKUP(E3643,Produtos!$A:$E,4,FALSE)</f>
        <v>1500</v>
      </c>
      <c r="I3643" s="2">
        <v>1</v>
      </c>
    </row>
    <row r="3644" spans="1:9" x14ac:dyDescent="0.25">
      <c r="A3644" s="2" t="str">
        <f>CONCATENATE(Códigos!S3643,Códigos!T3643,Códigos!U3643)</f>
        <v>svv3642v</v>
      </c>
      <c r="B3644" t="s">
        <v>338</v>
      </c>
      <c r="C3644" t="s">
        <v>397</v>
      </c>
      <c r="D3644" s="2" t="s">
        <v>398</v>
      </c>
      <c r="E3644" t="s">
        <v>476</v>
      </c>
      <c r="F3644" s="11">
        <v>43348</v>
      </c>
      <c r="G3644" s="2">
        <f>VLOOKUP(E3644,Produtos!$A:$E,5,FALSE)</f>
        <v>4000</v>
      </c>
      <c r="H3644" s="2">
        <f>VLOOKUP(E3644,Produtos!$A:$E,4,FALSE)</f>
        <v>1500</v>
      </c>
      <c r="I3644" s="2">
        <v>1</v>
      </c>
    </row>
    <row r="3645" spans="1:9" x14ac:dyDescent="0.25">
      <c r="A3645" s="2" t="str">
        <f>CONCATENATE(Códigos!S3644,Códigos!T3644,Códigos!U3644)</f>
        <v>svv3643v</v>
      </c>
      <c r="B3645" t="s">
        <v>338</v>
      </c>
      <c r="C3645" t="s">
        <v>397</v>
      </c>
      <c r="D3645" s="2" t="s">
        <v>398</v>
      </c>
      <c r="E3645" t="s">
        <v>476</v>
      </c>
      <c r="F3645" s="11">
        <v>43349</v>
      </c>
      <c r="G3645" s="2">
        <f>VLOOKUP(E3645,Produtos!$A:$E,5,FALSE)</f>
        <v>4000</v>
      </c>
      <c r="H3645" s="2">
        <f>VLOOKUP(E3645,Produtos!$A:$E,4,FALSE)</f>
        <v>1500</v>
      </c>
      <c r="I3645" s="2">
        <v>1</v>
      </c>
    </row>
    <row r="3646" spans="1:9" x14ac:dyDescent="0.25">
      <c r="A3646" s="2" t="str">
        <f>CONCATENATE(Códigos!S3645,Códigos!T3645,Códigos!U3645)</f>
        <v>svv3644v</v>
      </c>
      <c r="B3646" t="s">
        <v>338</v>
      </c>
      <c r="C3646" t="s">
        <v>397</v>
      </c>
      <c r="D3646" s="2" t="s">
        <v>398</v>
      </c>
      <c r="E3646" t="s">
        <v>476</v>
      </c>
      <c r="F3646" s="11">
        <v>43350</v>
      </c>
      <c r="G3646" s="2">
        <f>VLOOKUP(E3646,Produtos!$A:$E,5,FALSE)</f>
        <v>4000</v>
      </c>
      <c r="H3646" s="2">
        <f>VLOOKUP(E3646,Produtos!$A:$E,4,FALSE)</f>
        <v>1500</v>
      </c>
      <c r="I3646" s="2">
        <v>1</v>
      </c>
    </row>
    <row r="3647" spans="1:9" x14ac:dyDescent="0.25">
      <c r="A3647" s="2" t="str">
        <f>CONCATENATE(Códigos!S3646,Códigos!T3646,Códigos!U3646)</f>
        <v>svv3645v</v>
      </c>
      <c r="B3647" t="s">
        <v>338</v>
      </c>
      <c r="C3647" t="s">
        <v>397</v>
      </c>
      <c r="D3647" s="2" t="s">
        <v>398</v>
      </c>
      <c r="E3647" t="s">
        <v>476</v>
      </c>
      <c r="F3647" s="11">
        <v>43351</v>
      </c>
      <c r="G3647" s="2">
        <f>VLOOKUP(E3647,Produtos!$A:$E,5,FALSE)</f>
        <v>4000</v>
      </c>
      <c r="H3647" s="2">
        <f>VLOOKUP(E3647,Produtos!$A:$E,4,FALSE)</f>
        <v>1500</v>
      </c>
      <c r="I3647" s="2">
        <v>1</v>
      </c>
    </row>
    <row r="3648" spans="1:9" x14ac:dyDescent="0.25">
      <c r="A3648" s="2" t="str">
        <f>CONCATENATE(Códigos!S3647,Códigos!T3647,Códigos!U3647)</f>
        <v>svv3646v</v>
      </c>
      <c r="B3648" t="s">
        <v>338</v>
      </c>
      <c r="C3648" t="s">
        <v>397</v>
      </c>
      <c r="D3648" s="2" t="s">
        <v>398</v>
      </c>
      <c r="E3648" t="s">
        <v>476</v>
      </c>
      <c r="F3648" s="11">
        <v>43352</v>
      </c>
      <c r="G3648" s="2">
        <f>VLOOKUP(E3648,Produtos!$A:$E,5,FALSE)</f>
        <v>4000</v>
      </c>
      <c r="H3648" s="2">
        <f>VLOOKUP(E3648,Produtos!$A:$E,4,FALSE)</f>
        <v>1500</v>
      </c>
      <c r="I3648" s="2">
        <v>1</v>
      </c>
    </row>
    <row r="3649" spans="1:9" x14ac:dyDescent="0.25">
      <c r="A3649" s="2" t="str">
        <f>CONCATENATE(Códigos!S3648,Códigos!T3648,Códigos!U3648)</f>
        <v>svv3647v</v>
      </c>
      <c r="B3649" t="s">
        <v>338</v>
      </c>
      <c r="C3649" t="s">
        <v>397</v>
      </c>
      <c r="D3649" s="2" t="s">
        <v>398</v>
      </c>
      <c r="E3649" t="s">
        <v>486</v>
      </c>
      <c r="F3649" s="11">
        <v>43353</v>
      </c>
      <c r="G3649" s="2">
        <f>VLOOKUP(E3649,Produtos!$A:$E,5,FALSE)</f>
        <v>4000</v>
      </c>
      <c r="H3649" s="2">
        <f>VLOOKUP(E3649,Produtos!$A:$E,4,FALSE)</f>
        <v>2000</v>
      </c>
      <c r="I3649" s="2">
        <v>1</v>
      </c>
    </row>
    <row r="3650" spans="1:9" x14ac:dyDescent="0.25">
      <c r="A3650" s="2" t="str">
        <f>CONCATENATE(Códigos!S3649,Códigos!T3649,Códigos!U3649)</f>
        <v>svv3648v</v>
      </c>
      <c r="B3650" t="s">
        <v>338</v>
      </c>
      <c r="C3650" t="s">
        <v>397</v>
      </c>
      <c r="D3650" s="2" t="s">
        <v>398</v>
      </c>
      <c r="E3650" t="s">
        <v>486</v>
      </c>
      <c r="F3650" s="11">
        <v>43354</v>
      </c>
      <c r="G3650" s="2">
        <f>VLOOKUP(E3650,Produtos!$A:$E,5,FALSE)</f>
        <v>4000</v>
      </c>
      <c r="H3650" s="2">
        <f>VLOOKUP(E3650,Produtos!$A:$E,4,FALSE)</f>
        <v>2000</v>
      </c>
      <c r="I3650" s="2">
        <v>1</v>
      </c>
    </row>
    <row r="3651" spans="1:9" x14ac:dyDescent="0.25">
      <c r="A3651" s="2" t="str">
        <f>CONCATENATE(Códigos!S3650,Códigos!T3650,Códigos!U3650)</f>
        <v>svv3649v</v>
      </c>
      <c r="B3651" t="s">
        <v>338</v>
      </c>
      <c r="C3651" t="s">
        <v>397</v>
      </c>
      <c r="D3651" s="2" t="s">
        <v>398</v>
      </c>
      <c r="E3651" t="s">
        <v>486</v>
      </c>
      <c r="F3651" s="11">
        <v>43355</v>
      </c>
      <c r="G3651" s="2">
        <f>VLOOKUP(E3651,Produtos!$A:$E,5,FALSE)</f>
        <v>4000</v>
      </c>
      <c r="H3651" s="2">
        <f>VLOOKUP(E3651,Produtos!$A:$E,4,FALSE)</f>
        <v>2000</v>
      </c>
      <c r="I3651" s="2">
        <v>1</v>
      </c>
    </row>
    <row r="3652" spans="1:9" x14ac:dyDescent="0.25">
      <c r="A3652" s="2" t="str">
        <f>CONCATENATE(Códigos!S3651,Códigos!T3651,Códigos!U3651)</f>
        <v>svv3650v</v>
      </c>
      <c r="B3652" t="s">
        <v>338</v>
      </c>
      <c r="C3652" t="s">
        <v>397</v>
      </c>
      <c r="D3652" s="2" t="s">
        <v>398</v>
      </c>
      <c r="E3652" t="s">
        <v>486</v>
      </c>
      <c r="F3652" s="11">
        <v>43356</v>
      </c>
      <c r="G3652" s="2">
        <f>VLOOKUP(E3652,Produtos!$A:$E,5,FALSE)</f>
        <v>4000</v>
      </c>
      <c r="H3652" s="2">
        <f>VLOOKUP(E3652,Produtos!$A:$E,4,FALSE)</f>
        <v>2000</v>
      </c>
      <c r="I3652" s="2">
        <v>1</v>
      </c>
    </row>
    <row r="3653" spans="1:9" x14ac:dyDescent="0.25">
      <c r="A3653" s="2" t="str">
        <f>CONCATENATE(Códigos!S3652,Códigos!T3652,Códigos!U3652)</f>
        <v>svv3651v</v>
      </c>
      <c r="B3653" t="s">
        <v>338</v>
      </c>
      <c r="C3653" t="s">
        <v>397</v>
      </c>
      <c r="D3653" s="2" t="s">
        <v>398</v>
      </c>
      <c r="E3653" t="s">
        <v>486</v>
      </c>
      <c r="F3653" s="11">
        <v>43357</v>
      </c>
      <c r="G3653" s="2">
        <f>VLOOKUP(E3653,Produtos!$A:$E,5,FALSE)</f>
        <v>4000</v>
      </c>
      <c r="H3653" s="2">
        <f>VLOOKUP(E3653,Produtos!$A:$E,4,FALSE)</f>
        <v>2000</v>
      </c>
      <c r="I3653" s="2">
        <v>1</v>
      </c>
    </row>
    <row r="3654" spans="1:9" x14ac:dyDescent="0.25">
      <c r="A3654" s="2" t="str">
        <f>CONCATENATE(Códigos!S3653,Códigos!T3653,Códigos!U3653)</f>
        <v>svv3652v</v>
      </c>
      <c r="B3654" t="s">
        <v>338</v>
      </c>
      <c r="C3654" t="s">
        <v>397</v>
      </c>
      <c r="D3654" s="2" t="s">
        <v>398</v>
      </c>
      <c r="E3654" t="s">
        <v>486</v>
      </c>
      <c r="F3654" s="11">
        <v>43358</v>
      </c>
      <c r="G3654" s="2">
        <f>VLOOKUP(E3654,Produtos!$A:$E,5,FALSE)</f>
        <v>4000</v>
      </c>
      <c r="H3654" s="2">
        <f>VLOOKUP(E3654,Produtos!$A:$E,4,FALSE)</f>
        <v>2000</v>
      </c>
      <c r="I3654" s="2">
        <v>1</v>
      </c>
    </row>
    <row r="3655" spans="1:9" x14ac:dyDescent="0.25">
      <c r="A3655" s="2" t="str">
        <f>CONCATENATE(Códigos!S3654,Códigos!T3654,Códigos!U3654)</f>
        <v>svv3653v</v>
      </c>
      <c r="B3655" t="s">
        <v>338</v>
      </c>
      <c r="C3655" t="s">
        <v>397</v>
      </c>
      <c r="D3655" s="2" t="s">
        <v>398</v>
      </c>
      <c r="E3655" t="s">
        <v>486</v>
      </c>
      <c r="F3655" s="11">
        <v>43359</v>
      </c>
      <c r="G3655" s="2">
        <f>VLOOKUP(E3655,Produtos!$A:$E,5,FALSE)</f>
        <v>4000</v>
      </c>
      <c r="H3655" s="2">
        <f>VLOOKUP(E3655,Produtos!$A:$E,4,FALSE)</f>
        <v>2000</v>
      </c>
      <c r="I3655" s="2">
        <v>1</v>
      </c>
    </row>
    <row r="3656" spans="1:9" x14ac:dyDescent="0.25">
      <c r="A3656" s="2" t="str">
        <f>CONCATENATE(Códigos!S3655,Códigos!T3655,Códigos!U3655)</f>
        <v>svv3654v</v>
      </c>
      <c r="B3656" t="s">
        <v>338</v>
      </c>
      <c r="C3656" t="s">
        <v>397</v>
      </c>
      <c r="D3656" s="2" t="s">
        <v>398</v>
      </c>
      <c r="E3656" t="s">
        <v>486</v>
      </c>
      <c r="F3656" s="11">
        <v>43360</v>
      </c>
      <c r="G3656" s="2">
        <f>VLOOKUP(E3656,Produtos!$A:$E,5,FALSE)</f>
        <v>4000</v>
      </c>
      <c r="H3656" s="2">
        <f>VLOOKUP(E3656,Produtos!$A:$E,4,FALSE)</f>
        <v>2000</v>
      </c>
      <c r="I3656" s="2">
        <v>1</v>
      </c>
    </row>
    <row r="3657" spans="1:9" x14ac:dyDescent="0.25">
      <c r="A3657" s="2" t="str">
        <f>CONCATENATE(Códigos!S3656,Códigos!T3656,Códigos!U3656)</f>
        <v>svv3655v</v>
      </c>
      <c r="B3657" t="s">
        <v>338</v>
      </c>
      <c r="C3657" t="s">
        <v>397</v>
      </c>
      <c r="D3657" s="2" t="s">
        <v>398</v>
      </c>
      <c r="E3657" t="s">
        <v>486</v>
      </c>
      <c r="F3657" s="11">
        <v>43361</v>
      </c>
      <c r="G3657" s="2">
        <f>VLOOKUP(E3657,Produtos!$A:$E,5,FALSE)</f>
        <v>4000</v>
      </c>
      <c r="H3657" s="2">
        <f>VLOOKUP(E3657,Produtos!$A:$E,4,FALSE)</f>
        <v>2000</v>
      </c>
      <c r="I3657" s="2">
        <v>1</v>
      </c>
    </row>
    <row r="3658" spans="1:9" x14ac:dyDescent="0.25">
      <c r="A3658" s="2" t="str">
        <f>CONCATENATE(Códigos!S3657,Códigos!T3657,Códigos!U3657)</f>
        <v>svv3656v</v>
      </c>
      <c r="B3658" t="s">
        <v>338</v>
      </c>
      <c r="C3658" t="s">
        <v>397</v>
      </c>
      <c r="D3658" s="2" t="s">
        <v>398</v>
      </c>
      <c r="E3658" t="s">
        <v>486</v>
      </c>
      <c r="F3658" s="11">
        <v>43362</v>
      </c>
      <c r="G3658" s="2">
        <f>VLOOKUP(E3658,Produtos!$A:$E,5,FALSE)</f>
        <v>4000</v>
      </c>
      <c r="H3658" s="2">
        <f>VLOOKUP(E3658,Produtos!$A:$E,4,FALSE)</f>
        <v>2000</v>
      </c>
      <c r="I3658" s="2">
        <v>1</v>
      </c>
    </row>
    <row r="3659" spans="1:9" x14ac:dyDescent="0.25">
      <c r="A3659" s="2" t="str">
        <f>CONCATENATE(Códigos!S3658,Códigos!T3658,Códigos!U3658)</f>
        <v>svv3657v</v>
      </c>
      <c r="B3659" t="s">
        <v>338</v>
      </c>
      <c r="C3659" t="s">
        <v>362</v>
      </c>
      <c r="D3659" s="2" t="s">
        <v>363</v>
      </c>
      <c r="E3659" t="s">
        <v>485</v>
      </c>
      <c r="F3659" s="11">
        <v>43363</v>
      </c>
      <c r="G3659" s="2">
        <f>VLOOKUP(E3659,Produtos!$A:$E,5,FALSE)</f>
        <v>6000</v>
      </c>
      <c r="H3659" s="2">
        <f>VLOOKUP(E3659,Produtos!$A:$E,4,FALSE)</f>
        <v>2500</v>
      </c>
      <c r="I3659" s="2">
        <v>1</v>
      </c>
    </row>
    <row r="3660" spans="1:9" x14ac:dyDescent="0.25">
      <c r="A3660" s="2" t="str">
        <f>CONCATENATE(Códigos!S3659,Códigos!T3659,Códigos!U3659)</f>
        <v>svv3658v</v>
      </c>
      <c r="B3660" t="s">
        <v>338</v>
      </c>
      <c r="C3660" t="s">
        <v>362</v>
      </c>
      <c r="D3660" s="2" t="s">
        <v>363</v>
      </c>
      <c r="E3660" t="s">
        <v>485</v>
      </c>
      <c r="F3660" s="11">
        <v>43364</v>
      </c>
      <c r="G3660" s="2">
        <f>VLOOKUP(E3660,Produtos!$A:$E,5,FALSE)</f>
        <v>6000</v>
      </c>
      <c r="H3660" s="2">
        <f>VLOOKUP(E3660,Produtos!$A:$E,4,FALSE)</f>
        <v>2500</v>
      </c>
      <c r="I3660" s="2">
        <v>1</v>
      </c>
    </row>
    <row r="3661" spans="1:9" x14ac:dyDescent="0.25">
      <c r="A3661" s="2" t="str">
        <f>CONCATENATE(Códigos!S3660,Códigos!T3660,Códigos!U3660)</f>
        <v>svv3659v</v>
      </c>
      <c r="B3661" t="s">
        <v>338</v>
      </c>
      <c r="C3661" t="s">
        <v>362</v>
      </c>
      <c r="D3661" s="2" t="s">
        <v>363</v>
      </c>
      <c r="E3661" t="s">
        <v>485</v>
      </c>
      <c r="F3661" s="11">
        <v>43365</v>
      </c>
      <c r="G3661" s="2">
        <f>VLOOKUP(E3661,Produtos!$A:$E,5,FALSE)</f>
        <v>6000</v>
      </c>
      <c r="H3661" s="2">
        <f>VLOOKUP(E3661,Produtos!$A:$E,4,FALSE)</f>
        <v>2500</v>
      </c>
      <c r="I3661" s="2">
        <v>1</v>
      </c>
    </row>
    <row r="3662" spans="1:9" x14ac:dyDescent="0.25">
      <c r="A3662" s="2" t="str">
        <f>CONCATENATE(Códigos!S3661,Códigos!T3661,Códigos!U3661)</f>
        <v>svv3660v</v>
      </c>
      <c r="B3662" t="s">
        <v>338</v>
      </c>
      <c r="C3662" t="s">
        <v>362</v>
      </c>
      <c r="D3662" s="2" t="s">
        <v>363</v>
      </c>
      <c r="E3662" t="s">
        <v>485</v>
      </c>
      <c r="F3662" s="11">
        <v>43366</v>
      </c>
      <c r="G3662" s="2">
        <f>VLOOKUP(E3662,Produtos!$A:$E,5,FALSE)</f>
        <v>6000</v>
      </c>
      <c r="H3662" s="2">
        <f>VLOOKUP(E3662,Produtos!$A:$E,4,FALSE)</f>
        <v>2500</v>
      </c>
      <c r="I3662" s="2">
        <v>1</v>
      </c>
    </row>
    <row r="3663" spans="1:9" x14ac:dyDescent="0.25">
      <c r="A3663" s="2" t="str">
        <f>CONCATENATE(Códigos!S3662,Códigos!T3662,Códigos!U3662)</f>
        <v>svv3661v</v>
      </c>
      <c r="B3663" t="s">
        <v>338</v>
      </c>
      <c r="C3663" t="s">
        <v>362</v>
      </c>
      <c r="D3663" s="2" t="s">
        <v>363</v>
      </c>
      <c r="E3663" t="s">
        <v>485</v>
      </c>
      <c r="F3663" s="11">
        <v>43367</v>
      </c>
      <c r="G3663" s="2">
        <f>VLOOKUP(E3663,Produtos!$A:$E,5,FALSE)</f>
        <v>6000</v>
      </c>
      <c r="H3663" s="2">
        <f>VLOOKUP(E3663,Produtos!$A:$E,4,FALSE)</f>
        <v>2500</v>
      </c>
      <c r="I3663" s="2">
        <v>1</v>
      </c>
    </row>
    <row r="3664" spans="1:9" x14ac:dyDescent="0.25">
      <c r="A3664" s="2" t="str">
        <f>CONCATENATE(Códigos!S3663,Códigos!T3663,Códigos!U3663)</f>
        <v>svv3662v</v>
      </c>
      <c r="B3664" t="s">
        <v>338</v>
      </c>
      <c r="C3664" t="s">
        <v>362</v>
      </c>
      <c r="D3664" s="2" t="s">
        <v>363</v>
      </c>
      <c r="E3664" t="s">
        <v>485</v>
      </c>
      <c r="F3664" s="11">
        <v>43368</v>
      </c>
      <c r="G3664" s="2">
        <f>VLOOKUP(E3664,Produtos!$A:$E,5,FALSE)</f>
        <v>6000</v>
      </c>
      <c r="H3664" s="2">
        <f>VLOOKUP(E3664,Produtos!$A:$E,4,FALSE)</f>
        <v>2500</v>
      </c>
      <c r="I3664" s="2">
        <v>1</v>
      </c>
    </row>
    <row r="3665" spans="1:9" x14ac:dyDescent="0.25">
      <c r="A3665" s="2" t="str">
        <f>CONCATENATE(Códigos!S3664,Códigos!T3664,Códigos!U3664)</f>
        <v>svv3663v</v>
      </c>
      <c r="B3665" t="s">
        <v>338</v>
      </c>
      <c r="C3665" t="s">
        <v>362</v>
      </c>
      <c r="D3665" s="2" t="s">
        <v>363</v>
      </c>
      <c r="E3665" t="s">
        <v>485</v>
      </c>
      <c r="F3665" s="11">
        <v>43369</v>
      </c>
      <c r="G3665" s="2">
        <f>VLOOKUP(E3665,Produtos!$A:$E,5,FALSE)</f>
        <v>6000</v>
      </c>
      <c r="H3665" s="2">
        <f>VLOOKUP(E3665,Produtos!$A:$E,4,FALSE)</f>
        <v>2500</v>
      </c>
      <c r="I3665" s="2">
        <v>1</v>
      </c>
    </row>
    <row r="3666" spans="1:9" x14ac:dyDescent="0.25">
      <c r="A3666" s="2" t="str">
        <f>CONCATENATE(Códigos!S3665,Códigos!T3665,Códigos!U3665)</f>
        <v>svv3664v</v>
      </c>
      <c r="B3666" t="s">
        <v>338</v>
      </c>
      <c r="C3666" t="s">
        <v>362</v>
      </c>
      <c r="D3666" s="2" t="s">
        <v>363</v>
      </c>
      <c r="E3666" t="s">
        <v>485</v>
      </c>
      <c r="F3666" s="11">
        <v>43370</v>
      </c>
      <c r="G3666" s="2">
        <f>VLOOKUP(E3666,Produtos!$A:$E,5,FALSE)</f>
        <v>6000</v>
      </c>
      <c r="H3666" s="2">
        <f>VLOOKUP(E3666,Produtos!$A:$E,4,FALSE)</f>
        <v>2500</v>
      </c>
      <c r="I3666" s="2">
        <v>1</v>
      </c>
    </row>
    <row r="3667" spans="1:9" x14ac:dyDescent="0.25">
      <c r="A3667" s="2" t="str">
        <f>CONCATENATE(Códigos!S3666,Códigos!T3666,Códigos!U3666)</f>
        <v>svv3665v</v>
      </c>
      <c r="B3667" t="s">
        <v>338</v>
      </c>
      <c r="C3667" t="s">
        <v>362</v>
      </c>
      <c r="D3667" s="2" t="s">
        <v>363</v>
      </c>
      <c r="E3667" t="s">
        <v>485</v>
      </c>
      <c r="F3667" s="11">
        <v>43371</v>
      </c>
      <c r="G3667" s="2">
        <f>VLOOKUP(E3667,Produtos!$A:$E,5,FALSE)</f>
        <v>6000</v>
      </c>
      <c r="H3667" s="2">
        <f>VLOOKUP(E3667,Produtos!$A:$E,4,FALSE)</f>
        <v>2500</v>
      </c>
      <c r="I3667" s="2">
        <v>1</v>
      </c>
    </row>
    <row r="3668" spans="1:9" x14ac:dyDescent="0.25">
      <c r="A3668" s="2" t="str">
        <f>CONCATENATE(Códigos!S3667,Códigos!T3667,Códigos!U3667)</f>
        <v>svv3666v</v>
      </c>
      <c r="B3668" t="s">
        <v>338</v>
      </c>
      <c r="C3668" t="s">
        <v>362</v>
      </c>
      <c r="D3668" s="2" t="s">
        <v>363</v>
      </c>
      <c r="E3668" t="s">
        <v>485</v>
      </c>
      <c r="F3668" s="11">
        <v>43372</v>
      </c>
      <c r="G3668" s="2">
        <f>VLOOKUP(E3668,Produtos!$A:$E,5,FALSE)</f>
        <v>6000</v>
      </c>
      <c r="H3668" s="2">
        <f>VLOOKUP(E3668,Produtos!$A:$E,4,FALSE)</f>
        <v>2500</v>
      </c>
      <c r="I3668" s="2">
        <v>1</v>
      </c>
    </row>
    <row r="3669" spans="1:9" x14ac:dyDescent="0.25">
      <c r="A3669" s="2" t="str">
        <f>CONCATENATE(Códigos!S3668,Códigos!T3668,Códigos!U3668)</f>
        <v>svv3667v</v>
      </c>
      <c r="B3669" t="s">
        <v>338</v>
      </c>
      <c r="C3669" t="s">
        <v>362</v>
      </c>
      <c r="D3669" s="2" t="s">
        <v>363</v>
      </c>
      <c r="E3669" t="s">
        <v>485</v>
      </c>
      <c r="F3669" s="11">
        <v>43373</v>
      </c>
      <c r="G3669" s="2">
        <f>VLOOKUP(E3669,Produtos!$A:$E,5,FALSE)</f>
        <v>6000</v>
      </c>
      <c r="H3669" s="2">
        <f>VLOOKUP(E3669,Produtos!$A:$E,4,FALSE)</f>
        <v>2500</v>
      </c>
      <c r="I3669" s="2">
        <v>1</v>
      </c>
    </row>
    <row r="3670" spans="1:9" x14ac:dyDescent="0.25">
      <c r="A3670" s="2" t="str">
        <f>CONCATENATE(Códigos!S3669,Códigos!T3669,Códigos!U3669)</f>
        <v>svv3668v</v>
      </c>
      <c r="B3670" t="s">
        <v>338</v>
      </c>
      <c r="C3670" t="s">
        <v>362</v>
      </c>
      <c r="D3670" s="2" t="s">
        <v>363</v>
      </c>
      <c r="E3670" t="s">
        <v>485</v>
      </c>
      <c r="F3670" s="11">
        <v>43374</v>
      </c>
      <c r="G3670" s="2">
        <f>VLOOKUP(E3670,Produtos!$A:$E,5,FALSE)</f>
        <v>6000</v>
      </c>
      <c r="H3670" s="2">
        <f>VLOOKUP(E3670,Produtos!$A:$E,4,FALSE)</f>
        <v>2500</v>
      </c>
      <c r="I3670" s="2">
        <v>1</v>
      </c>
    </row>
    <row r="3671" spans="1:9" x14ac:dyDescent="0.25">
      <c r="A3671" s="2" t="str">
        <f>CONCATENATE(Códigos!S3670,Códigos!T3670,Códigos!U3670)</f>
        <v>svv3669v</v>
      </c>
      <c r="B3671" t="s">
        <v>338</v>
      </c>
      <c r="C3671" t="s">
        <v>362</v>
      </c>
      <c r="D3671" s="2" t="s">
        <v>363</v>
      </c>
      <c r="E3671" t="s">
        <v>485</v>
      </c>
      <c r="F3671" s="11">
        <v>43375</v>
      </c>
      <c r="G3671" s="2">
        <f>VLOOKUP(E3671,Produtos!$A:$E,5,FALSE)</f>
        <v>6000</v>
      </c>
      <c r="H3671" s="2">
        <f>VLOOKUP(E3671,Produtos!$A:$E,4,FALSE)</f>
        <v>2500</v>
      </c>
      <c r="I3671" s="2">
        <v>1</v>
      </c>
    </row>
    <row r="3672" spans="1:9" x14ac:dyDescent="0.25">
      <c r="A3672" s="2" t="str">
        <f>CONCATENATE(Códigos!S3671,Códigos!T3671,Códigos!U3671)</f>
        <v>svv3670v</v>
      </c>
      <c r="B3672" t="s">
        <v>338</v>
      </c>
      <c r="C3672" t="s">
        <v>362</v>
      </c>
      <c r="D3672" s="2" t="s">
        <v>363</v>
      </c>
      <c r="E3672" t="s">
        <v>485</v>
      </c>
      <c r="F3672" s="11">
        <v>43376</v>
      </c>
      <c r="G3672" s="2">
        <f>VLOOKUP(E3672,Produtos!$A:$E,5,FALSE)</f>
        <v>6000</v>
      </c>
      <c r="H3672" s="2">
        <f>VLOOKUP(E3672,Produtos!$A:$E,4,FALSE)</f>
        <v>2500</v>
      </c>
      <c r="I3672" s="2">
        <v>1</v>
      </c>
    </row>
    <row r="3673" spans="1:9" x14ac:dyDescent="0.25">
      <c r="A3673" s="2" t="str">
        <f>CONCATENATE(Códigos!S3672,Códigos!T3672,Códigos!U3672)</f>
        <v>svv3671v</v>
      </c>
      <c r="B3673" t="s">
        <v>338</v>
      </c>
      <c r="C3673" t="s">
        <v>362</v>
      </c>
      <c r="D3673" s="2" t="s">
        <v>363</v>
      </c>
      <c r="E3673" t="s">
        <v>485</v>
      </c>
      <c r="F3673" s="11">
        <v>43377</v>
      </c>
      <c r="G3673" s="2">
        <f>VLOOKUP(E3673,Produtos!$A:$E,5,FALSE)</f>
        <v>6000</v>
      </c>
      <c r="H3673" s="2">
        <f>VLOOKUP(E3673,Produtos!$A:$E,4,FALSE)</f>
        <v>2500</v>
      </c>
      <c r="I3673" s="2">
        <v>1</v>
      </c>
    </row>
    <row r="3674" spans="1:9" x14ac:dyDescent="0.25">
      <c r="A3674" s="2" t="str">
        <f>CONCATENATE(Códigos!S3673,Códigos!T3673,Códigos!U3673)</f>
        <v>svv3672v</v>
      </c>
      <c r="B3674" t="s">
        <v>338</v>
      </c>
      <c r="C3674" t="s">
        <v>362</v>
      </c>
      <c r="D3674" s="2" t="s">
        <v>363</v>
      </c>
      <c r="E3674" t="s">
        <v>485</v>
      </c>
      <c r="F3674" s="11">
        <v>43378</v>
      </c>
      <c r="G3674" s="2">
        <f>VLOOKUP(E3674,Produtos!$A:$E,5,FALSE)</f>
        <v>6000</v>
      </c>
      <c r="H3674" s="2">
        <f>VLOOKUP(E3674,Produtos!$A:$E,4,FALSE)</f>
        <v>2500</v>
      </c>
      <c r="I3674" s="2">
        <v>1</v>
      </c>
    </row>
    <row r="3675" spans="1:9" x14ac:dyDescent="0.25">
      <c r="A3675" s="2" t="str">
        <f>CONCATENATE(Códigos!S3674,Códigos!T3674,Códigos!U3674)</f>
        <v>svv3673v</v>
      </c>
      <c r="B3675" t="s">
        <v>338</v>
      </c>
      <c r="C3675" t="s">
        <v>362</v>
      </c>
      <c r="D3675" s="2" t="s">
        <v>363</v>
      </c>
      <c r="E3675" t="s">
        <v>485</v>
      </c>
      <c r="F3675" s="11">
        <v>43379</v>
      </c>
      <c r="G3675" s="2">
        <f>VLOOKUP(E3675,Produtos!$A:$E,5,FALSE)</f>
        <v>6000</v>
      </c>
      <c r="H3675" s="2">
        <f>VLOOKUP(E3675,Produtos!$A:$E,4,FALSE)</f>
        <v>2500</v>
      </c>
      <c r="I3675" s="2">
        <v>1</v>
      </c>
    </row>
    <row r="3676" spans="1:9" x14ac:dyDescent="0.25">
      <c r="A3676" s="2" t="str">
        <f>CONCATENATE(Códigos!S3675,Códigos!T3675,Códigos!U3675)</f>
        <v>svv3674v</v>
      </c>
      <c r="B3676" t="s">
        <v>338</v>
      </c>
      <c r="C3676" t="s">
        <v>362</v>
      </c>
      <c r="D3676" s="2" t="s">
        <v>363</v>
      </c>
      <c r="E3676" t="s">
        <v>485</v>
      </c>
      <c r="F3676" s="11">
        <v>43380</v>
      </c>
      <c r="G3676" s="2">
        <f>VLOOKUP(E3676,Produtos!$A:$E,5,FALSE)</f>
        <v>6000</v>
      </c>
      <c r="H3676" s="2">
        <f>VLOOKUP(E3676,Produtos!$A:$E,4,FALSE)</f>
        <v>2500</v>
      </c>
      <c r="I3676" s="2">
        <v>1</v>
      </c>
    </row>
    <row r="3677" spans="1:9" x14ac:dyDescent="0.25">
      <c r="A3677" s="2" t="str">
        <f>CONCATENATE(Códigos!S3676,Códigos!T3676,Códigos!U3676)</f>
        <v>svv3675v</v>
      </c>
      <c r="B3677" t="s">
        <v>338</v>
      </c>
      <c r="C3677" t="s">
        <v>362</v>
      </c>
      <c r="D3677" s="2" t="s">
        <v>363</v>
      </c>
      <c r="E3677" t="s">
        <v>485</v>
      </c>
      <c r="F3677" s="11">
        <v>43381</v>
      </c>
      <c r="G3677" s="2">
        <f>VLOOKUP(E3677,Produtos!$A:$E,5,FALSE)</f>
        <v>6000</v>
      </c>
      <c r="H3677" s="2">
        <f>VLOOKUP(E3677,Produtos!$A:$E,4,FALSE)</f>
        <v>2500</v>
      </c>
      <c r="I3677" s="2">
        <v>1</v>
      </c>
    </row>
    <row r="3678" spans="1:9" x14ac:dyDescent="0.25">
      <c r="A3678" s="2" t="str">
        <f>CONCATENATE(Códigos!S3677,Códigos!T3677,Códigos!U3677)</f>
        <v>svv3676v</v>
      </c>
      <c r="B3678" t="s">
        <v>338</v>
      </c>
      <c r="C3678" t="s">
        <v>362</v>
      </c>
      <c r="D3678" s="2" t="s">
        <v>363</v>
      </c>
      <c r="E3678" t="s">
        <v>485</v>
      </c>
      <c r="F3678" s="11">
        <v>43382</v>
      </c>
      <c r="G3678" s="2">
        <f>VLOOKUP(E3678,Produtos!$A:$E,5,FALSE)</f>
        <v>6000</v>
      </c>
      <c r="H3678" s="2">
        <f>VLOOKUP(E3678,Produtos!$A:$E,4,FALSE)</f>
        <v>2500</v>
      </c>
      <c r="I3678" s="2">
        <v>1</v>
      </c>
    </row>
    <row r="3679" spans="1:9" x14ac:dyDescent="0.25">
      <c r="A3679" s="2" t="str">
        <f>CONCATENATE(Códigos!S3678,Códigos!T3678,Códigos!U3678)</f>
        <v>svv3677v</v>
      </c>
      <c r="B3679" t="s">
        <v>338</v>
      </c>
      <c r="C3679" t="s">
        <v>362</v>
      </c>
      <c r="D3679" s="2" t="s">
        <v>363</v>
      </c>
      <c r="E3679" t="s">
        <v>485</v>
      </c>
      <c r="F3679" s="11">
        <v>43383</v>
      </c>
      <c r="G3679" s="2">
        <f>VLOOKUP(E3679,Produtos!$A:$E,5,FALSE)</f>
        <v>6000</v>
      </c>
      <c r="H3679" s="2">
        <f>VLOOKUP(E3679,Produtos!$A:$E,4,FALSE)</f>
        <v>2500</v>
      </c>
      <c r="I3679" s="2">
        <v>1</v>
      </c>
    </row>
    <row r="3680" spans="1:9" x14ac:dyDescent="0.25">
      <c r="A3680" s="2" t="str">
        <f>CONCATENATE(Códigos!S3679,Códigos!T3679,Códigos!U3679)</f>
        <v>svv3678v</v>
      </c>
      <c r="B3680" t="s">
        <v>338</v>
      </c>
      <c r="C3680" t="s">
        <v>362</v>
      </c>
      <c r="D3680" s="2" t="s">
        <v>363</v>
      </c>
      <c r="E3680" t="s">
        <v>485</v>
      </c>
      <c r="F3680" s="11">
        <v>43384</v>
      </c>
      <c r="G3680" s="2">
        <f>VLOOKUP(E3680,Produtos!$A:$E,5,FALSE)</f>
        <v>6000</v>
      </c>
      <c r="H3680" s="2">
        <f>VLOOKUP(E3680,Produtos!$A:$E,4,FALSE)</f>
        <v>2500</v>
      </c>
      <c r="I3680" s="2">
        <v>1</v>
      </c>
    </row>
    <row r="3681" spans="1:9" x14ac:dyDescent="0.25">
      <c r="A3681" s="2" t="str">
        <f>CONCATENATE(Códigos!S3680,Códigos!T3680,Códigos!U3680)</f>
        <v>svv3679v</v>
      </c>
      <c r="B3681" t="s">
        <v>338</v>
      </c>
      <c r="C3681" t="s">
        <v>362</v>
      </c>
      <c r="D3681" s="2" t="s">
        <v>363</v>
      </c>
      <c r="E3681" t="s">
        <v>485</v>
      </c>
      <c r="F3681" s="11">
        <v>43385</v>
      </c>
      <c r="G3681" s="2">
        <f>VLOOKUP(E3681,Produtos!$A:$E,5,FALSE)</f>
        <v>6000</v>
      </c>
      <c r="H3681" s="2">
        <f>VLOOKUP(E3681,Produtos!$A:$E,4,FALSE)</f>
        <v>2500</v>
      </c>
      <c r="I3681" s="2">
        <v>1</v>
      </c>
    </row>
    <row r="3682" spans="1:9" x14ac:dyDescent="0.25">
      <c r="A3682" s="2" t="str">
        <f>CONCATENATE(Códigos!S3681,Códigos!T3681,Códigos!U3681)</f>
        <v>svv3680v</v>
      </c>
      <c r="B3682" t="s">
        <v>338</v>
      </c>
      <c r="C3682" t="s">
        <v>362</v>
      </c>
      <c r="D3682" s="2" t="s">
        <v>363</v>
      </c>
      <c r="E3682" t="s">
        <v>485</v>
      </c>
      <c r="F3682" s="11">
        <v>43386</v>
      </c>
      <c r="G3682" s="2">
        <f>VLOOKUP(E3682,Produtos!$A:$E,5,FALSE)</f>
        <v>6000</v>
      </c>
      <c r="H3682" s="2">
        <f>VLOOKUP(E3682,Produtos!$A:$E,4,FALSE)</f>
        <v>2500</v>
      </c>
      <c r="I3682" s="2">
        <v>1</v>
      </c>
    </row>
    <row r="3683" spans="1:9" x14ac:dyDescent="0.25">
      <c r="A3683" s="2" t="str">
        <f>CONCATENATE(Códigos!S3682,Códigos!T3682,Códigos!U3682)</f>
        <v>svv3681v</v>
      </c>
      <c r="B3683" t="s">
        <v>338</v>
      </c>
      <c r="C3683" t="s">
        <v>362</v>
      </c>
      <c r="D3683" s="2" t="s">
        <v>363</v>
      </c>
      <c r="E3683" t="s">
        <v>485</v>
      </c>
      <c r="F3683" s="11">
        <v>43387</v>
      </c>
      <c r="G3683" s="2">
        <f>VLOOKUP(E3683,Produtos!$A:$E,5,FALSE)</f>
        <v>6000</v>
      </c>
      <c r="H3683" s="2">
        <f>VLOOKUP(E3683,Produtos!$A:$E,4,FALSE)</f>
        <v>2500</v>
      </c>
      <c r="I3683" s="2">
        <v>1</v>
      </c>
    </row>
    <row r="3684" spans="1:9" x14ac:dyDescent="0.25">
      <c r="A3684" s="2" t="str">
        <f>CONCATENATE(Códigos!S3683,Códigos!T3683,Códigos!U3683)</f>
        <v>svv3682v</v>
      </c>
      <c r="B3684" t="s">
        <v>338</v>
      </c>
      <c r="C3684" t="s">
        <v>362</v>
      </c>
      <c r="D3684" s="2" t="s">
        <v>363</v>
      </c>
      <c r="E3684" t="s">
        <v>485</v>
      </c>
      <c r="F3684" s="11">
        <v>43388</v>
      </c>
      <c r="G3684" s="2">
        <f>VLOOKUP(E3684,Produtos!$A:$E,5,FALSE)</f>
        <v>6000</v>
      </c>
      <c r="H3684" s="2">
        <f>VLOOKUP(E3684,Produtos!$A:$E,4,FALSE)</f>
        <v>2500</v>
      </c>
      <c r="I3684" s="2">
        <v>1</v>
      </c>
    </row>
    <row r="3685" spans="1:9" x14ac:dyDescent="0.25">
      <c r="A3685" s="2" t="str">
        <f>CONCATENATE(Códigos!S3684,Códigos!T3684,Códigos!U3684)</f>
        <v>svv3683v</v>
      </c>
      <c r="B3685" t="s">
        <v>338</v>
      </c>
      <c r="C3685" t="s">
        <v>362</v>
      </c>
      <c r="D3685" s="2" t="s">
        <v>363</v>
      </c>
      <c r="E3685" t="s">
        <v>474</v>
      </c>
      <c r="F3685" s="11">
        <v>43389</v>
      </c>
      <c r="G3685" s="2">
        <f>VLOOKUP(E3685,Produtos!$A:$E,5,FALSE)</f>
        <v>1800</v>
      </c>
      <c r="H3685" s="2">
        <f>VLOOKUP(E3685,Produtos!$A:$E,4,FALSE)</f>
        <v>800</v>
      </c>
      <c r="I3685" s="2">
        <v>1</v>
      </c>
    </row>
    <row r="3686" spans="1:9" x14ac:dyDescent="0.25">
      <c r="A3686" s="2" t="str">
        <f>CONCATENATE(Códigos!S3685,Códigos!T3685,Códigos!U3685)</f>
        <v>svv3684v</v>
      </c>
      <c r="B3686" t="s">
        <v>338</v>
      </c>
      <c r="C3686" t="s">
        <v>362</v>
      </c>
      <c r="D3686" s="2" t="s">
        <v>363</v>
      </c>
      <c r="E3686" t="s">
        <v>474</v>
      </c>
      <c r="F3686" s="11">
        <v>43390</v>
      </c>
      <c r="G3686" s="2">
        <f>VLOOKUP(E3686,Produtos!$A:$E,5,FALSE)</f>
        <v>1800</v>
      </c>
      <c r="H3686" s="2">
        <f>VLOOKUP(E3686,Produtos!$A:$E,4,FALSE)</f>
        <v>800</v>
      </c>
      <c r="I3686" s="2">
        <v>1</v>
      </c>
    </row>
    <row r="3687" spans="1:9" x14ac:dyDescent="0.25">
      <c r="A3687" s="2" t="str">
        <f>CONCATENATE(Códigos!S3686,Códigos!T3686,Códigos!U3686)</f>
        <v>svv3685v</v>
      </c>
      <c r="B3687" t="s">
        <v>338</v>
      </c>
      <c r="C3687" t="s">
        <v>362</v>
      </c>
      <c r="D3687" s="2" t="s">
        <v>363</v>
      </c>
      <c r="E3687" t="s">
        <v>474</v>
      </c>
      <c r="F3687" s="11">
        <v>43391</v>
      </c>
      <c r="G3687" s="2">
        <f>VLOOKUP(E3687,Produtos!$A:$E,5,FALSE)</f>
        <v>1800</v>
      </c>
      <c r="H3687" s="2">
        <f>VLOOKUP(E3687,Produtos!$A:$E,4,FALSE)</f>
        <v>800</v>
      </c>
      <c r="I3687" s="2">
        <v>1</v>
      </c>
    </row>
    <row r="3688" spans="1:9" x14ac:dyDescent="0.25">
      <c r="A3688" s="2" t="str">
        <f>CONCATENATE(Códigos!S3687,Códigos!T3687,Códigos!U3687)</f>
        <v>svv3686v</v>
      </c>
      <c r="B3688" t="s">
        <v>338</v>
      </c>
      <c r="C3688" t="s">
        <v>362</v>
      </c>
      <c r="D3688" s="2" t="s">
        <v>363</v>
      </c>
      <c r="E3688" t="s">
        <v>474</v>
      </c>
      <c r="F3688" s="11">
        <v>43392</v>
      </c>
      <c r="G3688" s="2">
        <f>VLOOKUP(E3688,Produtos!$A:$E,5,FALSE)</f>
        <v>1800</v>
      </c>
      <c r="H3688" s="2">
        <f>VLOOKUP(E3688,Produtos!$A:$E,4,FALSE)</f>
        <v>800</v>
      </c>
      <c r="I3688" s="2">
        <v>1</v>
      </c>
    </row>
    <row r="3689" spans="1:9" x14ac:dyDescent="0.25">
      <c r="A3689" s="2" t="str">
        <f>CONCATENATE(Códigos!S3688,Códigos!T3688,Códigos!U3688)</f>
        <v>svv3687v</v>
      </c>
      <c r="B3689" t="s">
        <v>338</v>
      </c>
      <c r="C3689" t="s">
        <v>362</v>
      </c>
      <c r="D3689" s="2" t="s">
        <v>363</v>
      </c>
      <c r="E3689" t="s">
        <v>474</v>
      </c>
      <c r="F3689" s="11">
        <v>43393</v>
      </c>
      <c r="G3689" s="2">
        <f>VLOOKUP(E3689,Produtos!$A:$E,5,FALSE)</f>
        <v>1800</v>
      </c>
      <c r="H3689" s="2">
        <f>VLOOKUP(E3689,Produtos!$A:$E,4,FALSE)</f>
        <v>800</v>
      </c>
      <c r="I3689" s="2">
        <v>1</v>
      </c>
    </row>
    <row r="3690" spans="1:9" x14ac:dyDescent="0.25">
      <c r="A3690" s="2" t="str">
        <f>CONCATENATE(Códigos!S3689,Códigos!T3689,Códigos!U3689)</f>
        <v>svv3688v</v>
      </c>
      <c r="B3690" t="s">
        <v>338</v>
      </c>
      <c r="C3690" t="s">
        <v>362</v>
      </c>
      <c r="D3690" s="2" t="s">
        <v>363</v>
      </c>
      <c r="E3690" t="s">
        <v>474</v>
      </c>
      <c r="F3690" s="11">
        <v>43394</v>
      </c>
      <c r="G3690" s="2">
        <f>VLOOKUP(E3690,Produtos!$A:$E,5,FALSE)</f>
        <v>1800</v>
      </c>
      <c r="H3690" s="2">
        <f>VLOOKUP(E3690,Produtos!$A:$E,4,FALSE)</f>
        <v>800</v>
      </c>
      <c r="I3690" s="2">
        <v>1</v>
      </c>
    </row>
    <row r="3691" spans="1:9" x14ac:dyDescent="0.25">
      <c r="A3691" s="2" t="str">
        <f>CONCATENATE(Códigos!S3690,Códigos!T3690,Códigos!U3690)</f>
        <v>svv3689v</v>
      </c>
      <c r="B3691" t="s">
        <v>338</v>
      </c>
      <c r="C3691" t="s">
        <v>362</v>
      </c>
      <c r="D3691" s="2" t="s">
        <v>363</v>
      </c>
      <c r="E3691" t="s">
        <v>474</v>
      </c>
      <c r="F3691" s="11">
        <v>43395</v>
      </c>
      <c r="G3691" s="2">
        <f>VLOOKUP(E3691,Produtos!$A:$E,5,FALSE)</f>
        <v>1800</v>
      </c>
      <c r="H3691" s="2">
        <f>VLOOKUP(E3691,Produtos!$A:$E,4,FALSE)</f>
        <v>800</v>
      </c>
      <c r="I3691" s="2">
        <v>1</v>
      </c>
    </row>
    <row r="3692" spans="1:9" x14ac:dyDescent="0.25">
      <c r="A3692" s="2" t="str">
        <f>CONCATENATE(Códigos!S3691,Códigos!T3691,Códigos!U3691)</f>
        <v>svv3690v</v>
      </c>
      <c r="B3692" t="s">
        <v>338</v>
      </c>
      <c r="C3692" t="s">
        <v>362</v>
      </c>
      <c r="D3692" s="2" t="s">
        <v>363</v>
      </c>
      <c r="E3692" t="s">
        <v>467</v>
      </c>
      <c r="F3692" s="11">
        <v>43396</v>
      </c>
      <c r="G3692" s="2">
        <f>VLOOKUP(E3692,Produtos!$A:$E,5,FALSE)</f>
        <v>3000</v>
      </c>
      <c r="H3692" s="2">
        <f>VLOOKUP(E3692,Produtos!$A:$E,4,FALSE)</f>
        <v>1200</v>
      </c>
      <c r="I3692" s="2">
        <v>1</v>
      </c>
    </row>
    <row r="3693" spans="1:9" x14ac:dyDescent="0.25">
      <c r="A3693" s="2" t="str">
        <f>CONCATENATE(Códigos!S3692,Códigos!T3692,Códigos!U3692)</f>
        <v>svv3691v</v>
      </c>
      <c r="B3693" t="s">
        <v>338</v>
      </c>
      <c r="C3693" t="s">
        <v>362</v>
      </c>
      <c r="D3693" s="2" t="s">
        <v>363</v>
      </c>
      <c r="E3693" t="s">
        <v>467</v>
      </c>
      <c r="F3693" s="11">
        <v>43397</v>
      </c>
      <c r="G3693" s="2">
        <f>VLOOKUP(E3693,Produtos!$A:$E,5,FALSE)</f>
        <v>3000</v>
      </c>
      <c r="H3693" s="2">
        <f>VLOOKUP(E3693,Produtos!$A:$E,4,FALSE)</f>
        <v>1200</v>
      </c>
      <c r="I3693" s="2">
        <v>1</v>
      </c>
    </row>
    <row r="3694" spans="1:9" x14ac:dyDescent="0.25">
      <c r="A3694" s="2" t="str">
        <f>CONCATENATE(Códigos!S3693,Códigos!T3693,Códigos!U3693)</f>
        <v>svv3692v</v>
      </c>
      <c r="B3694" t="s">
        <v>338</v>
      </c>
      <c r="C3694" t="s">
        <v>362</v>
      </c>
      <c r="D3694" s="2" t="s">
        <v>363</v>
      </c>
      <c r="E3694" t="s">
        <v>467</v>
      </c>
      <c r="F3694" s="11">
        <v>43398</v>
      </c>
      <c r="G3694" s="2">
        <f>VLOOKUP(E3694,Produtos!$A:$E,5,FALSE)</f>
        <v>3000</v>
      </c>
      <c r="H3694" s="2">
        <f>VLOOKUP(E3694,Produtos!$A:$E,4,FALSE)</f>
        <v>1200</v>
      </c>
      <c r="I3694" s="2">
        <v>1</v>
      </c>
    </row>
    <row r="3695" spans="1:9" x14ac:dyDescent="0.25">
      <c r="A3695" s="2" t="str">
        <f>CONCATENATE(Códigos!S3694,Códigos!T3694,Códigos!U3694)</f>
        <v>svv3693v</v>
      </c>
      <c r="B3695" t="s">
        <v>338</v>
      </c>
      <c r="C3695" t="s">
        <v>362</v>
      </c>
      <c r="D3695" s="2" t="s">
        <v>363</v>
      </c>
      <c r="E3695" t="s">
        <v>467</v>
      </c>
      <c r="F3695" s="11">
        <v>43399</v>
      </c>
      <c r="G3695" s="2">
        <f>VLOOKUP(E3695,Produtos!$A:$E,5,FALSE)</f>
        <v>3000</v>
      </c>
      <c r="H3695" s="2">
        <f>VLOOKUP(E3695,Produtos!$A:$E,4,FALSE)</f>
        <v>1200</v>
      </c>
      <c r="I3695" s="2">
        <v>1</v>
      </c>
    </row>
    <row r="3696" spans="1:9" x14ac:dyDescent="0.25">
      <c r="A3696" s="2" t="str">
        <f>CONCATENATE(Códigos!S3695,Códigos!T3695,Códigos!U3695)</f>
        <v>svv3694v</v>
      </c>
      <c r="B3696" t="s">
        <v>338</v>
      </c>
      <c r="C3696" t="s">
        <v>362</v>
      </c>
      <c r="D3696" s="2" t="s">
        <v>363</v>
      </c>
      <c r="E3696" t="s">
        <v>467</v>
      </c>
      <c r="F3696" s="11">
        <v>43400</v>
      </c>
      <c r="G3696" s="2">
        <f>VLOOKUP(E3696,Produtos!$A:$E,5,FALSE)</f>
        <v>3000</v>
      </c>
      <c r="H3696" s="2">
        <f>VLOOKUP(E3696,Produtos!$A:$E,4,FALSE)</f>
        <v>1200</v>
      </c>
      <c r="I3696" s="2">
        <v>1</v>
      </c>
    </row>
    <row r="3697" spans="1:9" x14ac:dyDescent="0.25">
      <c r="A3697" s="2" t="str">
        <f>CONCATENATE(Códigos!S3696,Códigos!T3696,Códigos!U3696)</f>
        <v>svv3695v</v>
      </c>
      <c r="B3697" t="s">
        <v>338</v>
      </c>
      <c r="C3697" t="s">
        <v>362</v>
      </c>
      <c r="D3697" s="2" t="s">
        <v>363</v>
      </c>
      <c r="E3697" t="s">
        <v>467</v>
      </c>
      <c r="F3697" s="11">
        <v>43401</v>
      </c>
      <c r="G3697" s="2">
        <f>VLOOKUP(E3697,Produtos!$A:$E,5,FALSE)</f>
        <v>3000</v>
      </c>
      <c r="H3697" s="2">
        <f>VLOOKUP(E3697,Produtos!$A:$E,4,FALSE)</f>
        <v>1200</v>
      </c>
      <c r="I3697" s="2">
        <v>1</v>
      </c>
    </row>
    <row r="3698" spans="1:9" x14ac:dyDescent="0.25">
      <c r="A3698" s="2" t="str">
        <f>CONCATENATE(Códigos!S3697,Códigos!T3697,Códigos!U3697)</f>
        <v>svv3696v</v>
      </c>
      <c r="B3698" t="s">
        <v>338</v>
      </c>
      <c r="C3698" t="s">
        <v>362</v>
      </c>
      <c r="D3698" s="2" t="s">
        <v>363</v>
      </c>
      <c r="E3698" t="s">
        <v>467</v>
      </c>
      <c r="F3698" s="11">
        <v>43402</v>
      </c>
      <c r="G3698" s="2">
        <f>VLOOKUP(E3698,Produtos!$A:$E,5,FALSE)</f>
        <v>3000</v>
      </c>
      <c r="H3698" s="2">
        <f>VLOOKUP(E3698,Produtos!$A:$E,4,FALSE)</f>
        <v>1200</v>
      </c>
      <c r="I3698" s="2">
        <v>1</v>
      </c>
    </row>
    <row r="3699" spans="1:9" x14ac:dyDescent="0.25">
      <c r="A3699" s="2" t="str">
        <f>CONCATENATE(Códigos!S3698,Códigos!T3698,Códigos!U3698)</f>
        <v>svv3697v</v>
      </c>
      <c r="B3699" t="s">
        <v>338</v>
      </c>
      <c r="C3699" t="s">
        <v>362</v>
      </c>
      <c r="D3699" s="2" t="s">
        <v>363</v>
      </c>
      <c r="E3699" t="s">
        <v>467</v>
      </c>
      <c r="F3699" s="11">
        <v>43403</v>
      </c>
      <c r="G3699" s="2">
        <f>VLOOKUP(E3699,Produtos!$A:$E,5,FALSE)</f>
        <v>3000</v>
      </c>
      <c r="H3699" s="2">
        <f>VLOOKUP(E3699,Produtos!$A:$E,4,FALSE)</f>
        <v>1200</v>
      </c>
      <c r="I3699" s="2">
        <v>1</v>
      </c>
    </row>
    <row r="3700" spans="1:9" x14ac:dyDescent="0.25">
      <c r="A3700" s="2" t="str">
        <f>CONCATENATE(Códigos!S3699,Códigos!T3699,Códigos!U3699)</f>
        <v>svv3698v</v>
      </c>
      <c r="B3700" t="s">
        <v>338</v>
      </c>
      <c r="C3700" t="s">
        <v>362</v>
      </c>
      <c r="D3700" s="2" t="s">
        <v>363</v>
      </c>
      <c r="E3700" t="s">
        <v>467</v>
      </c>
      <c r="F3700" s="11">
        <v>43404</v>
      </c>
      <c r="G3700" s="2">
        <f>VLOOKUP(E3700,Produtos!$A:$E,5,FALSE)</f>
        <v>3000</v>
      </c>
      <c r="H3700" s="2">
        <f>VLOOKUP(E3700,Produtos!$A:$E,4,FALSE)</f>
        <v>1200</v>
      </c>
      <c r="I3700" s="2">
        <v>1</v>
      </c>
    </row>
    <row r="3701" spans="1:9" x14ac:dyDescent="0.25">
      <c r="A3701" s="2" t="str">
        <f>CONCATENATE(Códigos!S3700,Códigos!T3700,Códigos!U3700)</f>
        <v>svv3699v</v>
      </c>
      <c r="B3701" t="s">
        <v>338</v>
      </c>
      <c r="C3701" t="s">
        <v>362</v>
      </c>
      <c r="D3701" s="2" t="s">
        <v>363</v>
      </c>
      <c r="E3701" t="s">
        <v>467</v>
      </c>
      <c r="F3701" s="11">
        <v>43405</v>
      </c>
      <c r="G3701" s="2">
        <f>VLOOKUP(E3701,Produtos!$A:$E,5,FALSE)</f>
        <v>3000</v>
      </c>
      <c r="H3701" s="2">
        <f>VLOOKUP(E3701,Produtos!$A:$E,4,FALSE)</f>
        <v>1200</v>
      </c>
      <c r="I3701" s="2">
        <v>1</v>
      </c>
    </row>
    <row r="3702" spans="1:9" x14ac:dyDescent="0.25">
      <c r="A3702" s="2" t="str">
        <f>CONCATENATE(Códigos!S3701,Códigos!T3701,Códigos!U3701)</f>
        <v>svv3700v</v>
      </c>
      <c r="B3702" t="s">
        <v>338</v>
      </c>
      <c r="C3702" t="s">
        <v>362</v>
      </c>
      <c r="D3702" s="2" t="s">
        <v>363</v>
      </c>
      <c r="E3702" t="s">
        <v>467</v>
      </c>
      <c r="F3702" s="11">
        <v>43406</v>
      </c>
      <c r="G3702" s="2">
        <f>VLOOKUP(E3702,Produtos!$A:$E,5,FALSE)</f>
        <v>3000</v>
      </c>
      <c r="H3702" s="2">
        <f>VLOOKUP(E3702,Produtos!$A:$E,4,FALSE)</f>
        <v>1200</v>
      </c>
      <c r="I3702" s="2">
        <v>1</v>
      </c>
    </row>
    <row r="3703" spans="1:9" x14ac:dyDescent="0.25">
      <c r="A3703" s="2" t="str">
        <f>CONCATENATE(Códigos!S3702,Códigos!T3702,Códigos!U3702)</f>
        <v>svv3701v</v>
      </c>
      <c r="B3703" t="s">
        <v>338</v>
      </c>
      <c r="C3703" t="s">
        <v>362</v>
      </c>
      <c r="D3703" s="2" t="s">
        <v>363</v>
      </c>
      <c r="E3703" t="s">
        <v>467</v>
      </c>
      <c r="F3703" s="11">
        <v>43407</v>
      </c>
      <c r="G3703" s="2">
        <f>VLOOKUP(E3703,Produtos!$A:$E,5,FALSE)</f>
        <v>3000</v>
      </c>
      <c r="H3703" s="2">
        <f>VLOOKUP(E3703,Produtos!$A:$E,4,FALSE)</f>
        <v>1200</v>
      </c>
      <c r="I3703" s="2">
        <v>1</v>
      </c>
    </row>
    <row r="3704" spans="1:9" x14ac:dyDescent="0.25">
      <c r="A3704" s="2" t="str">
        <f>CONCATENATE(Códigos!S3703,Códigos!T3703,Códigos!U3703)</f>
        <v>svv3702v</v>
      </c>
      <c r="B3704" t="s">
        <v>338</v>
      </c>
      <c r="C3704" t="s">
        <v>362</v>
      </c>
      <c r="D3704" s="2" t="s">
        <v>363</v>
      </c>
      <c r="E3704" t="s">
        <v>467</v>
      </c>
      <c r="F3704" s="11">
        <v>43408</v>
      </c>
      <c r="G3704" s="2">
        <f>VLOOKUP(E3704,Produtos!$A:$E,5,FALSE)</f>
        <v>3000</v>
      </c>
      <c r="H3704" s="2">
        <f>VLOOKUP(E3704,Produtos!$A:$E,4,FALSE)</f>
        <v>1200</v>
      </c>
      <c r="I3704" s="2">
        <v>1</v>
      </c>
    </row>
    <row r="3705" spans="1:9" x14ac:dyDescent="0.25">
      <c r="A3705" s="2" t="str">
        <f>CONCATENATE(Códigos!S3704,Códigos!T3704,Códigos!U3704)</f>
        <v>svv3703v</v>
      </c>
      <c r="B3705" t="s">
        <v>338</v>
      </c>
      <c r="C3705" t="s">
        <v>362</v>
      </c>
      <c r="D3705" s="2" t="s">
        <v>363</v>
      </c>
      <c r="E3705" t="s">
        <v>467</v>
      </c>
      <c r="F3705" s="11">
        <v>43409</v>
      </c>
      <c r="G3705" s="2">
        <f>VLOOKUP(E3705,Produtos!$A:$E,5,FALSE)</f>
        <v>3000</v>
      </c>
      <c r="H3705" s="2">
        <f>VLOOKUP(E3705,Produtos!$A:$E,4,FALSE)</f>
        <v>1200</v>
      </c>
      <c r="I3705" s="2">
        <v>1</v>
      </c>
    </row>
    <row r="3706" spans="1:9" x14ac:dyDescent="0.25">
      <c r="A3706" s="2" t="str">
        <f>CONCATENATE(Códigos!S3705,Códigos!T3705,Códigos!U3705)</f>
        <v>svv3704v</v>
      </c>
      <c r="B3706" t="s">
        <v>338</v>
      </c>
      <c r="C3706" t="s">
        <v>362</v>
      </c>
      <c r="D3706" s="2" t="s">
        <v>363</v>
      </c>
      <c r="E3706" t="s">
        <v>467</v>
      </c>
      <c r="F3706" s="11">
        <v>43410</v>
      </c>
      <c r="G3706" s="2">
        <f>VLOOKUP(E3706,Produtos!$A:$E,5,FALSE)</f>
        <v>3000</v>
      </c>
      <c r="H3706" s="2">
        <f>VLOOKUP(E3706,Produtos!$A:$E,4,FALSE)</f>
        <v>1200</v>
      </c>
      <c r="I3706" s="2">
        <v>1</v>
      </c>
    </row>
    <row r="3707" spans="1:9" x14ac:dyDescent="0.25">
      <c r="A3707" s="2" t="str">
        <f>CONCATENATE(Códigos!S3706,Códigos!T3706,Códigos!U3706)</f>
        <v>svv3705v</v>
      </c>
      <c r="B3707" t="s">
        <v>338</v>
      </c>
      <c r="C3707" t="s">
        <v>362</v>
      </c>
      <c r="D3707" s="2" t="s">
        <v>363</v>
      </c>
      <c r="E3707" t="s">
        <v>467</v>
      </c>
      <c r="F3707" s="11">
        <v>43411</v>
      </c>
      <c r="G3707" s="2">
        <f>VLOOKUP(E3707,Produtos!$A:$E,5,FALSE)</f>
        <v>3000</v>
      </c>
      <c r="H3707" s="2">
        <f>VLOOKUP(E3707,Produtos!$A:$E,4,FALSE)</f>
        <v>1200</v>
      </c>
      <c r="I3707" s="2">
        <v>1</v>
      </c>
    </row>
    <row r="3708" spans="1:9" x14ac:dyDescent="0.25">
      <c r="A3708" s="2" t="str">
        <f>CONCATENATE(Códigos!S3707,Códigos!T3707,Códigos!U3707)</f>
        <v>svv3706v</v>
      </c>
      <c r="B3708" t="s">
        <v>338</v>
      </c>
      <c r="C3708" t="s">
        <v>362</v>
      </c>
      <c r="D3708" s="2" t="s">
        <v>363</v>
      </c>
      <c r="E3708" t="s">
        <v>467</v>
      </c>
      <c r="F3708" s="11">
        <v>43412</v>
      </c>
      <c r="G3708" s="2">
        <f>VLOOKUP(E3708,Produtos!$A:$E,5,FALSE)</f>
        <v>3000</v>
      </c>
      <c r="H3708" s="2">
        <f>VLOOKUP(E3708,Produtos!$A:$E,4,FALSE)</f>
        <v>1200</v>
      </c>
      <c r="I3708" s="2">
        <v>1</v>
      </c>
    </row>
    <row r="3709" spans="1:9" x14ac:dyDescent="0.25">
      <c r="A3709" s="2" t="str">
        <f>CONCATENATE(Códigos!S3708,Códigos!T3708,Códigos!U3708)</f>
        <v>svv3707v</v>
      </c>
      <c r="B3709" t="s">
        <v>338</v>
      </c>
      <c r="C3709" t="s">
        <v>362</v>
      </c>
      <c r="D3709" s="2" t="s">
        <v>363</v>
      </c>
      <c r="E3709" t="s">
        <v>467</v>
      </c>
      <c r="F3709" s="11">
        <v>43413</v>
      </c>
      <c r="G3709" s="2">
        <f>VLOOKUP(E3709,Produtos!$A:$E,5,FALSE)</f>
        <v>3000</v>
      </c>
      <c r="H3709" s="2">
        <f>VLOOKUP(E3709,Produtos!$A:$E,4,FALSE)</f>
        <v>1200</v>
      </c>
      <c r="I3709" s="2">
        <v>2</v>
      </c>
    </row>
    <row r="3710" spans="1:9" x14ac:dyDescent="0.25">
      <c r="A3710" s="2" t="str">
        <f>CONCATENATE(Códigos!S3709,Códigos!T3709,Códigos!U3709)</f>
        <v>svv3708v</v>
      </c>
      <c r="B3710" t="s">
        <v>338</v>
      </c>
      <c r="C3710" t="s">
        <v>362</v>
      </c>
      <c r="D3710" s="2" t="s">
        <v>363</v>
      </c>
      <c r="E3710" t="s">
        <v>467</v>
      </c>
      <c r="F3710" s="11">
        <v>43414</v>
      </c>
      <c r="G3710" s="2">
        <f>VLOOKUP(E3710,Produtos!$A:$E,5,FALSE)</f>
        <v>3000</v>
      </c>
      <c r="H3710" s="2">
        <f>VLOOKUP(E3710,Produtos!$A:$E,4,FALSE)</f>
        <v>1200</v>
      </c>
      <c r="I3710" s="2">
        <v>2</v>
      </c>
    </row>
    <row r="3711" spans="1:9" x14ac:dyDescent="0.25">
      <c r="A3711" s="2" t="str">
        <f>CONCATENATE(Códigos!S3710,Códigos!T3710,Códigos!U3710)</f>
        <v>svv3709v</v>
      </c>
      <c r="B3711" t="s">
        <v>338</v>
      </c>
      <c r="C3711" t="s">
        <v>362</v>
      </c>
      <c r="D3711" s="2" t="s">
        <v>363</v>
      </c>
      <c r="E3711" t="s">
        <v>467</v>
      </c>
      <c r="F3711" s="11">
        <v>43415</v>
      </c>
      <c r="G3711" s="2">
        <f>VLOOKUP(E3711,Produtos!$A:$E,5,FALSE)</f>
        <v>3000</v>
      </c>
      <c r="H3711" s="2">
        <f>VLOOKUP(E3711,Produtos!$A:$E,4,FALSE)</f>
        <v>1200</v>
      </c>
      <c r="I3711" s="2">
        <v>2</v>
      </c>
    </row>
    <row r="3712" spans="1:9" x14ac:dyDescent="0.25">
      <c r="A3712" s="2" t="str">
        <f>CONCATENATE(Códigos!S3711,Códigos!T3711,Códigos!U3711)</f>
        <v>svv3710v</v>
      </c>
      <c r="B3712" t="s">
        <v>338</v>
      </c>
      <c r="C3712" t="s">
        <v>362</v>
      </c>
      <c r="D3712" s="2" t="s">
        <v>363</v>
      </c>
      <c r="E3712" t="s">
        <v>467</v>
      </c>
      <c r="F3712" s="11">
        <v>43416</v>
      </c>
      <c r="G3712" s="2">
        <f>VLOOKUP(E3712,Produtos!$A:$E,5,FALSE)</f>
        <v>3000</v>
      </c>
      <c r="H3712" s="2">
        <f>VLOOKUP(E3712,Produtos!$A:$E,4,FALSE)</f>
        <v>1200</v>
      </c>
      <c r="I3712" s="2">
        <v>2</v>
      </c>
    </row>
    <row r="3713" spans="1:9" x14ac:dyDescent="0.25">
      <c r="A3713" s="2" t="str">
        <f>CONCATENATE(Códigos!S3712,Códigos!T3712,Códigos!U3712)</f>
        <v>svv3711v</v>
      </c>
      <c r="B3713" t="s">
        <v>338</v>
      </c>
      <c r="C3713" t="s">
        <v>362</v>
      </c>
      <c r="D3713" s="2" t="s">
        <v>363</v>
      </c>
      <c r="E3713" t="s">
        <v>467</v>
      </c>
      <c r="F3713" s="11">
        <v>43417</v>
      </c>
      <c r="G3713" s="2">
        <f>VLOOKUP(E3713,Produtos!$A:$E,5,FALSE)</f>
        <v>3000</v>
      </c>
      <c r="H3713" s="2">
        <f>VLOOKUP(E3713,Produtos!$A:$E,4,FALSE)</f>
        <v>1200</v>
      </c>
      <c r="I3713" s="2">
        <v>2</v>
      </c>
    </row>
    <row r="3714" spans="1:9" x14ac:dyDescent="0.25">
      <c r="A3714" s="2" t="str">
        <f>CONCATENATE(Códigos!S3713,Códigos!T3713,Códigos!U3713)</f>
        <v>svv3712v</v>
      </c>
      <c r="B3714" t="s">
        <v>338</v>
      </c>
      <c r="C3714" t="s">
        <v>362</v>
      </c>
      <c r="D3714" s="2" t="s">
        <v>363</v>
      </c>
      <c r="E3714" t="s">
        <v>467</v>
      </c>
      <c r="F3714" s="11">
        <v>43418</v>
      </c>
      <c r="G3714" s="2">
        <f>VLOOKUP(E3714,Produtos!$A:$E,5,FALSE)</f>
        <v>3000</v>
      </c>
      <c r="H3714" s="2">
        <f>VLOOKUP(E3714,Produtos!$A:$E,4,FALSE)</f>
        <v>1200</v>
      </c>
      <c r="I3714" s="2">
        <v>2</v>
      </c>
    </row>
    <row r="3715" spans="1:9" x14ac:dyDescent="0.25">
      <c r="A3715" s="2" t="str">
        <f>CONCATENATE(Códigos!S3714,Códigos!T3714,Códigos!U3714)</f>
        <v>svv3713v</v>
      </c>
      <c r="B3715" t="s">
        <v>338</v>
      </c>
      <c r="C3715" t="s">
        <v>362</v>
      </c>
      <c r="D3715" s="2" t="s">
        <v>363</v>
      </c>
      <c r="E3715" t="s">
        <v>467</v>
      </c>
      <c r="F3715" s="11">
        <v>43419</v>
      </c>
      <c r="G3715" s="2">
        <f>VLOOKUP(E3715,Produtos!$A:$E,5,FALSE)</f>
        <v>3000</v>
      </c>
      <c r="H3715" s="2">
        <f>VLOOKUP(E3715,Produtos!$A:$E,4,FALSE)</f>
        <v>1200</v>
      </c>
      <c r="I3715" s="2">
        <v>2</v>
      </c>
    </row>
    <row r="3716" spans="1:9" x14ac:dyDescent="0.25">
      <c r="A3716" s="2" t="str">
        <f>CONCATENATE(Códigos!S3715,Códigos!T3715,Códigos!U3715)</f>
        <v>svv3714v</v>
      </c>
      <c r="B3716" t="s">
        <v>338</v>
      </c>
      <c r="C3716" t="s">
        <v>362</v>
      </c>
      <c r="D3716" s="2" t="s">
        <v>363</v>
      </c>
      <c r="E3716" t="s">
        <v>467</v>
      </c>
      <c r="F3716" s="11">
        <v>43420</v>
      </c>
      <c r="G3716" s="2">
        <f>VLOOKUP(E3716,Produtos!$A:$E,5,FALSE)</f>
        <v>3000</v>
      </c>
      <c r="H3716" s="2">
        <f>VLOOKUP(E3716,Produtos!$A:$E,4,FALSE)</f>
        <v>1200</v>
      </c>
      <c r="I3716" s="2">
        <v>2</v>
      </c>
    </row>
    <row r="3717" spans="1:9" x14ac:dyDescent="0.25">
      <c r="A3717" s="2" t="str">
        <f>CONCATENATE(Códigos!S3716,Códigos!T3716,Códigos!U3716)</f>
        <v>svv3715v</v>
      </c>
      <c r="B3717" t="s">
        <v>338</v>
      </c>
      <c r="C3717" t="s">
        <v>362</v>
      </c>
      <c r="D3717" s="2" t="s">
        <v>363</v>
      </c>
      <c r="E3717" t="s">
        <v>467</v>
      </c>
      <c r="F3717" s="11">
        <v>43421</v>
      </c>
      <c r="G3717" s="2">
        <f>VLOOKUP(E3717,Produtos!$A:$E,5,FALSE)</f>
        <v>3000</v>
      </c>
      <c r="H3717" s="2">
        <f>VLOOKUP(E3717,Produtos!$A:$E,4,FALSE)</f>
        <v>1200</v>
      </c>
      <c r="I3717" s="2">
        <v>2</v>
      </c>
    </row>
    <row r="3718" spans="1:9" x14ac:dyDescent="0.25">
      <c r="A3718" s="2" t="str">
        <f>CONCATENATE(Códigos!S3717,Códigos!T3717,Códigos!U3717)</f>
        <v>svv3716v</v>
      </c>
      <c r="B3718" t="s">
        <v>338</v>
      </c>
      <c r="C3718" t="s">
        <v>362</v>
      </c>
      <c r="D3718" s="2" t="s">
        <v>363</v>
      </c>
      <c r="E3718" t="s">
        <v>467</v>
      </c>
      <c r="F3718" s="11">
        <v>43422</v>
      </c>
      <c r="G3718" s="2">
        <f>VLOOKUP(E3718,Produtos!$A:$E,5,FALSE)</f>
        <v>3000</v>
      </c>
      <c r="H3718" s="2">
        <f>VLOOKUP(E3718,Produtos!$A:$E,4,FALSE)</f>
        <v>1200</v>
      </c>
      <c r="I3718" s="2">
        <v>2</v>
      </c>
    </row>
    <row r="3719" spans="1:9" x14ac:dyDescent="0.25">
      <c r="A3719" s="2" t="str">
        <f>CONCATENATE(Códigos!S3718,Códigos!T3718,Códigos!U3718)</f>
        <v>svv3717v</v>
      </c>
      <c r="B3719" t="s">
        <v>338</v>
      </c>
      <c r="C3719" t="s">
        <v>362</v>
      </c>
      <c r="D3719" s="2" t="s">
        <v>363</v>
      </c>
      <c r="E3719" t="s">
        <v>467</v>
      </c>
      <c r="F3719" s="11">
        <v>43423</v>
      </c>
      <c r="G3719" s="2">
        <f>VLOOKUP(E3719,Produtos!$A:$E,5,FALSE)</f>
        <v>3000</v>
      </c>
      <c r="H3719" s="2">
        <f>VLOOKUP(E3719,Produtos!$A:$E,4,FALSE)</f>
        <v>1200</v>
      </c>
      <c r="I3719" s="2">
        <v>2</v>
      </c>
    </row>
    <row r="3720" spans="1:9" x14ac:dyDescent="0.25">
      <c r="A3720" s="2" t="str">
        <f>CONCATENATE(Códigos!S3719,Códigos!T3719,Códigos!U3719)</f>
        <v>svv3718v</v>
      </c>
      <c r="B3720" t="s">
        <v>338</v>
      </c>
      <c r="C3720" t="s">
        <v>362</v>
      </c>
      <c r="D3720" s="2" t="s">
        <v>363</v>
      </c>
      <c r="E3720" t="s">
        <v>467</v>
      </c>
      <c r="F3720" s="11">
        <v>43424</v>
      </c>
      <c r="G3720" s="2">
        <f>VLOOKUP(E3720,Produtos!$A:$E,5,FALSE)</f>
        <v>3000</v>
      </c>
      <c r="H3720" s="2">
        <f>VLOOKUP(E3720,Produtos!$A:$E,4,FALSE)</f>
        <v>1200</v>
      </c>
      <c r="I3720" s="2">
        <v>2</v>
      </c>
    </row>
    <row r="3721" spans="1:9" x14ac:dyDescent="0.25">
      <c r="A3721" s="2" t="str">
        <f>CONCATENATE(Códigos!S3720,Códigos!T3720,Códigos!U3720)</f>
        <v>svv3719v</v>
      </c>
      <c r="B3721" t="s">
        <v>338</v>
      </c>
      <c r="C3721" t="s">
        <v>362</v>
      </c>
      <c r="D3721" s="2" t="s">
        <v>363</v>
      </c>
      <c r="E3721" t="s">
        <v>467</v>
      </c>
      <c r="F3721" s="11">
        <v>43425</v>
      </c>
      <c r="G3721" s="2">
        <f>VLOOKUP(E3721,Produtos!$A:$E,5,FALSE)</f>
        <v>3000</v>
      </c>
      <c r="H3721" s="2">
        <f>VLOOKUP(E3721,Produtos!$A:$E,4,FALSE)</f>
        <v>1200</v>
      </c>
      <c r="I3721" s="2">
        <v>2</v>
      </c>
    </row>
    <row r="3722" spans="1:9" x14ac:dyDescent="0.25">
      <c r="A3722" s="2" t="str">
        <f>CONCATENATE(Códigos!S3721,Códigos!T3721,Códigos!U3721)</f>
        <v>svv3720v</v>
      </c>
      <c r="B3722" t="s">
        <v>338</v>
      </c>
      <c r="C3722" t="s">
        <v>362</v>
      </c>
      <c r="D3722" s="2" t="s">
        <v>363</v>
      </c>
      <c r="E3722" t="s">
        <v>467</v>
      </c>
      <c r="F3722" s="11">
        <v>43426</v>
      </c>
      <c r="G3722" s="2">
        <f>VLOOKUP(E3722,Produtos!$A:$E,5,FALSE)</f>
        <v>3000</v>
      </c>
      <c r="H3722" s="2">
        <f>VLOOKUP(E3722,Produtos!$A:$E,4,FALSE)</f>
        <v>1200</v>
      </c>
      <c r="I3722" s="2">
        <v>2</v>
      </c>
    </row>
    <row r="3723" spans="1:9" x14ac:dyDescent="0.25">
      <c r="A3723" s="2" t="str">
        <f>CONCATENATE(Códigos!S3722,Códigos!T3722,Códigos!U3722)</f>
        <v>svv3721v</v>
      </c>
      <c r="B3723" t="s">
        <v>338</v>
      </c>
      <c r="C3723" t="s">
        <v>362</v>
      </c>
      <c r="D3723" s="2" t="s">
        <v>363</v>
      </c>
      <c r="E3723" t="s">
        <v>467</v>
      </c>
      <c r="F3723" s="11">
        <v>43427</v>
      </c>
      <c r="G3723" s="2">
        <f>VLOOKUP(E3723,Produtos!$A:$E,5,FALSE)</f>
        <v>3000</v>
      </c>
      <c r="H3723" s="2">
        <f>VLOOKUP(E3723,Produtos!$A:$E,4,FALSE)</f>
        <v>1200</v>
      </c>
      <c r="I3723" s="2">
        <v>2</v>
      </c>
    </row>
    <row r="3724" spans="1:9" x14ac:dyDescent="0.25">
      <c r="A3724" s="2" t="str">
        <f>CONCATENATE(Códigos!S3723,Códigos!T3723,Códigos!U3723)</f>
        <v>svv3722v</v>
      </c>
      <c r="B3724" t="s">
        <v>338</v>
      </c>
      <c r="C3724" t="s">
        <v>399</v>
      </c>
      <c r="D3724" s="2" t="s">
        <v>400</v>
      </c>
      <c r="E3724" t="s">
        <v>467</v>
      </c>
      <c r="F3724" s="11">
        <v>43428</v>
      </c>
      <c r="G3724" s="2">
        <f>VLOOKUP(E3724,Produtos!$A:$E,5,FALSE)</f>
        <v>3000</v>
      </c>
      <c r="H3724" s="2">
        <f>VLOOKUP(E3724,Produtos!$A:$E,4,FALSE)</f>
        <v>1200</v>
      </c>
      <c r="I3724" s="2">
        <v>2</v>
      </c>
    </row>
    <row r="3725" spans="1:9" x14ac:dyDescent="0.25">
      <c r="A3725" s="2" t="str">
        <f>CONCATENATE(Códigos!S3724,Códigos!T3724,Códigos!U3724)</f>
        <v>svv3723v</v>
      </c>
      <c r="B3725" t="s">
        <v>338</v>
      </c>
      <c r="C3725" t="s">
        <v>399</v>
      </c>
      <c r="D3725" s="2" t="s">
        <v>400</v>
      </c>
      <c r="E3725" t="s">
        <v>467</v>
      </c>
      <c r="F3725" s="11">
        <v>43429</v>
      </c>
      <c r="G3725" s="2">
        <f>VLOOKUP(E3725,Produtos!$A:$E,5,FALSE)</f>
        <v>3000</v>
      </c>
      <c r="H3725" s="2">
        <f>VLOOKUP(E3725,Produtos!$A:$E,4,FALSE)</f>
        <v>1200</v>
      </c>
      <c r="I3725" s="2">
        <v>2</v>
      </c>
    </row>
    <row r="3726" spans="1:9" x14ac:dyDescent="0.25">
      <c r="A3726" s="2" t="str">
        <f>CONCATENATE(Códigos!S3725,Códigos!T3725,Códigos!U3725)</f>
        <v>svv3724v</v>
      </c>
      <c r="B3726" t="s">
        <v>338</v>
      </c>
      <c r="C3726" t="s">
        <v>399</v>
      </c>
      <c r="D3726" s="2" t="s">
        <v>400</v>
      </c>
      <c r="E3726" t="s">
        <v>467</v>
      </c>
      <c r="F3726" s="11">
        <v>43430</v>
      </c>
      <c r="G3726" s="2">
        <f>VLOOKUP(E3726,Produtos!$A:$E,5,FALSE)</f>
        <v>3000</v>
      </c>
      <c r="H3726" s="2">
        <f>VLOOKUP(E3726,Produtos!$A:$E,4,FALSE)</f>
        <v>1200</v>
      </c>
      <c r="I3726" s="2">
        <v>2</v>
      </c>
    </row>
    <row r="3727" spans="1:9" x14ac:dyDescent="0.25">
      <c r="A3727" s="2" t="str">
        <f>CONCATENATE(Códigos!S3726,Códigos!T3726,Códigos!U3726)</f>
        <v>svv3725v</v>
      </c>
      <c r="B3727" t="s">
        <v>338</v>
      </c>
      <c r="C3727" t="s">
        <v>399</v>
      </c>
      <c r="D3727" s="2" t="s">
        <v>400</v>
      </c>
      <c r="E3727" t="s">
        <v>467</v>
      </c>
      <c r="F3727" s="11">
        <v>43431</v>
      </c>
      <c r="G3727" s="2">
        <f>VLOOKUP(E3727,Produtos!$A:$E,5,FALSE)</f>
        <v>3000</v>
      </c>
      <c r="H3727" s="2">
        <f>VLOOKUP(E3727,Produtos!$A:$E,4,FALSE)</f>
        <v>1200</v>
      </c>
      <c r="I3727" s="2">
        <v>2</v>
      </c>
    </row>
    <row r="3728" spans="1:9" x14ac:dyDescent="0.25">
      <c r="A3728" s="2" t="str">
        <f>CONCATENATE(Códigos!S3727,Códigos!T3727,Códigos!U3727)</f>
        <v>svv3726v</v>
      </c>
      <c r="B3728" t="s">
        <v>338</v>
      </c>
      <c r="C3728" t="s">
        <v>399</v>
      </c>
      <c r="D3728" s="2" t="s">
        <v>400</v>
      </c>
      <c r="E3728" t="s">
        <v>467</v>
      </c>
      <c r="F3728" s="11">
        <v>43432</v>
      </c>
      <c r="G3728" s="2">
        <f>VLOOKUP(E3728,Produtos!$A:$E,5,FALSE)</f>
        <v>3000</v>
      </c>
      <c r="H3728" s="2">
        <f>VLOOKUP(E3728,Produtos!$A:$E,4,FALSE)</f>
        <v>1200</v>
      </c>
      <c r="I3728" s="2">
        <v>2</v>
      </c>
    </row>
    <row r="3729" spans="1:9" x14ac:dyDescent="0.25">
      <c r="A3729" s="2" t="str">
        <f>CONCATENATE(Códigos!S3728,Códigos!T3728,Códigos!U3728)</f>
        <v>svv3727v</v>
      </c>
      <c r="B3729" t="s">
        <v>338</v>
      </c>
      <c r="C3729" t="s">
        <v>399</v>
      </c>
      <c r="D3729" s="2" t="s">
        <v>400</v>
      </c>
      <c r="E3729" t="s">
        <v>467</v>
      </c>
      <c r="F3729" s="11">
        <v>43433</v>
      </c>
      <c r="G3729" s="2">
        <f>VLOOKUP(E3729,Produtos!$A:$E,5,FALSE)</f>
        <v>3000</v>
      </c>
      <c r="H3729" s="2">
        <f>VLOOKUP(E3729,Produtos!$A:$E,4,FALSE)</f>
        <v>1200</v>
      </c>
      <c r="I3729" s="2">
        <v>2</v>
      </c>
    </row>
    <row r="3730" spans="1:9" x14ac:dyDescent="0.25">
      <c r="A3730" s="2" t="str">
        <f>CONCATENATE(Códigos!S3729,Códigos!T3729,Códigos!U3729)</f>
        <v>svv3728v</v>
      </c>
      <c r="B3730" t="s">
        <v>338</v>
      </c>
      <c r="C3730" t="s">
        <v>399</v>
      </c>
      <c r="D3730" s="2" t="s">
        <v>400</v>
      </c>
      <c r="E3730" t="s">
        <v>467</v>
      </c>
      <c r="F3730" s="11">
        <v>43434</v>
      </c>
      <c r="G3730" s="2">
        <f>VLOOKUP(E3730,Produtos!$A:$E,5,FALSE)</f>
        <v>3000</v>
      </c>
      <c r="H3730" s="2">
        <f>VLOOKUP(E3730,Produtos!$A:$E,4,FALSE)</f>
        <v>1200</v>
      </c>
      <c r="I3730" s="2">
        <v>2</v>
      </c>
    </row>
    <row r="3731" spans="1:9" x14ac:dyDescent="0.25">
      <c r="A3731" s="2" t="str">
        <f>CONCATENATE(Códigos!S3730,Códigos!T3730,Códigos!U3730)</f>
        <v>svv3729v</v>
      </c>
      <c r="B3731" t="s">
        <v>338</v>
      </c>
      <c r="C3731" t="s">
        <v>399</v>
      </c>
      <c r="D3731" s="2" t="s">
        <v>400</v>
      </c>
      <c r="E3731" t="s">
        <v>467</v>
      </c>
      <c r="F3731" s="11">
        <v>43435</v>
      </c>
      <c r="G3731" s="2">
        <f>VLOOKUP(E3731,Produtos!$A:$E,5,FALSE)</f>
        <v>3000</v>
      </c>
      <c r="H3731" s="2">
        <f>VLOOKUP(E3731,Produtos!$A:$E,4,FALSE)</f>
        <v>1200</v>
      </c>
      <c r="I3731" s="2">
        <v>2</v>
      </c>
    </row>
    <row r="3732" spans="1:9" x14ac:dyDescent="0.25">
      <c r="A3732" s="2" t="str">
        <f>CONCATENATE(Códigos!S3731,Códigos!T3731,Códigos!U3731)</f>
        <v>svv3730v</v>
      </c>
      <c r="B3732" t="s">
        <v>338</v>
      </c>
      <c r="C3732" t="s">
        <v>399</v>
      </c>
      <c r="D3732" s="2" t="s">
        <v>400</v>
      </c>
      <c r="E3732" t="s">
        <v>467</v>
      </c>
      <c r="F3732" s="11">
        <v>43436</v>
      </c>
      <c r="G3732" s="2">
        <f>VLOOKUP(E3732,Produtos!$A:$E,5,FALSE)</f>
        <v>3000</v>
      </c>
      <c r="H3732" s="2">
        <f>VLOOKUP(E3732,Produtos!$A:$E,4,FALSE)</f>
        <v>1200</v>
      </c>
      <c r="I3732" s="2">
        <v>2</v>
      </c>
    </row>
    <row r="3733" spans="1:9" x14ac:dyDescent="0.25">
      <c r="A3733" s="2" t="str">
        <f>CONCATENATE(Códigos!S3732,Códigos!T3732,Códigos!U3732)</f>
        <v>svv3731v</v>
      </c>
      <c r="B3733" t="s">
        <v>338</v>
      </c>
      <c r="C3733" t="s">
        <v>399</v>
      </c>
      <c r="D3733" s="2" t="s">
        <v>400</v>
      </c>
      <c r="E3733" t="s">
        <v>467</v>
      </c>
      <c r="F3733" s="11">
        <v>43437</v>
      </c>
      <c r="G3733" s="2">
        <f>VLOOKUP(E3733,Produtos!$A:$E,5,FALSE)</f>
        <v>3000</v>
      </c>
      <c r="H3733" s="2">
        <f>VLOOKUP(E3733,Produtos!$A:$E,4,FALSE)</f>
        <v>1200</v>
      </c>
      <c r="I3733" s="2">
        <v>2</v>
      </c>
    </row>
    <row r="3734" spans="1:9" x14ac:dyDescent="0.25">
      <c r="A3734" s="2" t="str">
        <f>CONCATENATE(Códigos!S3733,Códigos!T3733,Códigos!U3733)</f>
        <v>svv3732v</v>
      </c>
      <c r="B3734" t="s">
        <v>338</v>
      </c>
      <c r="C3734" t="s">
        <v>399</v>
      </c>
      <c r="D3734" s="2" t="s">
        <v>400</v>
      </c>
      <c r="E3734" t="s">
        <v>467</v>
      </c>
      <c r="F3734" s="11">
        <v>43438</v>
      </c>
      <c r="G3734" s="2">
        <f>VLOOKUP(E3734,Produtos!$A:$E,5,FALSE)</f>
        <v>3000</v>
      </c>
      <c r="H3734" s="2">
        <f>VLOOKUP(E3734,Produtos!$A:$E,4,FALSE)</f>
        <v>1200</v>
      </c>
      <c r="I3734" s="2">
        <v>2</v>
      </c>
    </row>
    <row r="3735" spans="1:9" x14ac:dyDescent="0.25">
      <c r="A3735" s="2" t="str">
        <f>CONCATENATE(Códigos!S3734,Códigos!T3734,Códigos!U3734)</f>
        <v>svv3733v</v>
      </c>
      <c r="B3735" t="s">
        <v>338</v>
      </c>
      <c r="C3735" t="s">
        <v>399</v>
      </c>
      <c r="D3735" s="2" t="s">
        <v>400</v>
      </c>
      <c r="E3735" t="s">
        <v>467</v>
      </c>
      <c r="F3735" s="11">
        <v>43439</v>
      </c>
      <c r="G3735" s="2">
        <f>VLOOKUP(E3735,Produtos!$A:$E,5,FALSE)</f>
        <v>3000</v>
      </c>
      <c r="H3735" s="2">
        <f>VLOOKUP(E3735,Produtos!$A:$E,4,FALSE)</f>
        <v>1200</v>
      </c>
      <c r="I3735" s="2">
        <v>2</v>
      </c>
    </row>
    <row r="3736" spans="1:9" x14ac:dyDescent="0.25">
      <c r="A3736" s="2" t="str">
        <f>CONCATENATE(Códigos!S3735,Códigos!T3735,Códigos!U3735)</f>
        <v>svv3734v</v>
      </c>
      <c r="B3736" t="s">
        <v>338</v>
      </c>
      <c r="C3736" t="s">
        <v>399</v>
      </c>
      <c r="D3736" s="2" t="s">
        <v>400</v>
      </c>
      <c r="E3736" t="s">
        <v>467</v>
      </c>
      <c r="F3736" s="11">
        <v>43440</v>
      </c>
      <c r="G3736" s="2">
        <f>VLOOKUP(E3736,Produtos!$A:$E,5,FALSE)</f>
        <v>3000</v>
      </c>
      <c r="H3736" s="2">
        <f>VLOOKUP(E3736,Produtos!$A:$E,4,FALSE)</f>
        <v>1200</v>
      </c>
      <c r="I3736" s="2">
        <v>2</v>
      </c>
    </row>
    <row r="3737" spans="1:9" x14ac:dyDescent="0.25">
      <c r="A3737" s="2" t="str">
        <f>CONCATENATE(Códigos!S3736,Códigos!T3736,Códigos!U3736)</f>
        <v>svv3735v</v>
      </c>
      <c r="B3737" t="s">
        <v>338</v>
      </c>
      <c r="C3737" t="s">
        <v>399</v>
      </c>
      <c r="D3737" s="2" t="s">
        <v>400</v>
      </c>
      <c r="E3737" t="s">
        <v>467</v>
      </c>
      <c r="F3737" s="11">
        <v>43441</v>
      </c>
      <c r="G3737" s="2">
        <f>VLOOKUP(E3737,Produtos!$A:$E,5,FALSE)</f>
        <v>3000</v>
      </c>
      <c r="H3737" s="2">
        <f>VLOOKUP(E3737,Produtos!$A:$E,4,FALSE)</f>
        <v>1200</v>
      </c>
      <c r="I3737" s="2">
        <v>2</v>
      </c>
    </row>
    <row r="3738" spans="1:9" x14ac:dyDescent="0.25">
      <c r="A3738" s="2" t="str">
        <f>CONCATENATE(Códigos!S3737,Códigos!T3737,Códigos!U3737)</f>
        <v>svv3736v</v>
      </c>
      <c r="B3738" t="s">
        <v>338</v>
      </c>
      <c r="C3738" t="s">
        <v>399</v>
      </c>
      <c r="D3738" s="2" t="s">
        <v>400</v>
      </c>
      <c r="E3738" t="s">
        <v>467</v>
      </c>
      <c r="F3738" s="11">
        <v>43442</v>
      </c>
      <c r="G3738" s="2">
        <f>VLOOKUP(E3738,Produtos!$A:$E,5,FALSE)</f>
        <v>3000</v>
      </c>
      <c r="H3738" s="2">
        <f>VLOOKUP(E3738,Produtos!$A:$E,4,FALSE)</f>
        <v>1200</v>
      </c>
      <c r="I3738" s="2">
        <v>2</v>
      </c>
    </row>
    <row r="3739" spans="1:9" x14ac:dyDescent="0.25">
      <c r="A3739" s="2" t="str">
        <f>CONCATENATE(Códigos!S3738,Códigos!T3738,Códigos!U3738)</f>
        <v>svv3737v</v>
      </c>
      <c r="B3739" t="s">
        <v>338</v>
      </c>
      <c r="C3739" t="s">
        <v>399</v>
      </c>
      <c r="D3739" s="2" t="s">
        <v>400</v>
      </c>
      <c r="E3739" t="s">
        <v>467</v>
      </c>
      <c r="F3739" s="11">
        <v>43443</v>
      </c>
      <c r="G3739" s="2">
        <f>VLOOKUP(E3739,Produtos!$A:$E,5,FALSE)</f>
        <v>3000</v>
      </c>
      <c r="H3739" s="2">
        <f>VLOOKUP(E3739,Produtos!$A:$E,4,FALSE)</f>
        <v>1200</v>
      </c>
      <c r="I3739" s="2">
        <v>2</v>
      </c>
    </row>
    <row r="3740" spans="1:9" x14ac:dyDescent="0.25">
      <c r="A3740" s="2" t="str">
        <f>CONCATENATE(Códigos!S3739,Códigos!T3739,Códigos!U3739)</f>
        <v>svv3738v</v>
      </c>
      <c r="B3740" t="s">
        <v>338</v>
      </c>
      <c r="C3740" t="s">
        <v>399</v>
      </c>
      <c r="D3740" s="2" t="s">
        <v>400</v>
      </c>
      <c r="E3740" t="s">
        <v>467</v>
      </c>
      <c r="F3740" s="11">
        <v>43444</v>
      </c>
      <c r="G3740" s="2">
        <f>VLOOKUP(E3740,Produtos!$A:$E,5,FALSE)</f>
        <v>3000</v>
      </c>
      <c r="H3740" s="2">
        <f>VLOOKUP(E3740,Produtos!$A:$E,4,FALSE)</f>
        <v>1200</v>
      </c>
      <c r="I3740" s="2">
        <v>2</v>
      </c>
    </row>
    <row r="3741" spans="1:9" x14ac:dyDescent="0.25">
      <c r="A3741" s="2" t="str">
        <f>CONCATENATE(Códigos!S3740,Códigos!T3740,Códigos!U3740)</f>
        <v>svv3739v</v>
      </c>
      <c r="B3741" t="s">
        <v>338</v>
      </c>
      <c r="C3741" t="s">
        <v>399</v>
      </c>
      <c r="D3741" s="2" t="s">
        <v>400</v>
      </c>
      <c r="E3741" t="s">
        <v>467</v>
      </c>
      <c r="F3741" s="11">
        <v>43445</v>
      </c>
      <c r="G3741" s="2">
        <f>VLOOKUP(E3741,Produtos!$A:$E,5,FALSE)</f>
        <v>3000</v>
      </c>
      <c r="H3741" s="2">
        <f>VLOOKUP(E3741,Produtos!$A:$E,4,FALSE)</f>
        <v>1200</v>
      </c>
      <c r="I3741" s="2">
        <v>2</v>
      </c>
    </row>
    <row r="3742" spans="1:9" x14ac:dyDescent="0.25">
      <c r="A3742" s="2" t="str">
        <f>CONCATENATE(Códigos!S3741,Códigos!T3741,Códigos!U3741)</f>
        <v>svv3740v</v>
      </c>
      <c r="B3742" t="s">
        <v>338</v>
      </c>
      <c r="C3742" t="s">
        <v>399</v>
      </c>
      <c r="D3742" s="2" t="s">
        <v>400</v>
      </c>
      <c r="E3742" t="s">
        <v>467</v>
      </c>
      <c r="F3742" s="11">
        <v>43446</v>
      </c>
      <c r="G3742" s="2">
        <f>VLOOKUP(E3742,Produtos!$A:$E,5,FALSE)</f>
        <v>3000</v>
      </c>
      <c r="H3742" s="2">
        <f>VLOOKUP(E3742,Produtos!$A:$E,4,FALSE)</f>
        <v>1200</v>
      </c>
      <c r="I3742" s="2">
        <v>2</v>
      </c>
    </row>
    <row r="3743" spans="1:9" x14ac:dyDescent="0.25">
      <c r="A3743" s="2" t="str">
        <f>CONCATENATE(Códigos!S3742,Códigos!T3742,Códigos!U3742)</f>
        <v>svv3741v</v>
      </c>
      <c r="B3743" t="s">
        <v>338</v>
      </c>
      <c r="C3743" t="s">
        <v>399</v>
      </c>
      <c r="D3743" s="2" t="s">
        <v>400</v>
      </c>
      <c r="E3743" t="s">
        <v>467</v>
      </c>
      <c r="F3743" s="11">
        <v>43447</v>
      </c>
      <c r="G3743" s="2">
        <f>VLOOKUP(E3743,Produtos!$A:$E,5,FALSE)</f>
        <v>3000</v>
      </c>
      <c r="H3743" s="2">
        <f>VLOOKUP(E3743,Produtos!$A:$E,4,FALSE)</f>
        <v>1200</v>
      </c>
      <c r="I3743" s="2">
        <v>2</v>
      </c>
    </row>
    <row r="3744" spans="1:9" x14ac:dyDescent="0.25">
      <c r="A3744" s="2" t="str">
        <f>CONCATENATE(Códigos!S3743,Códigos!T3743,Códigos!U3743)</f>
        <v>svv3742v</v>
      </c>
      <c r="B3744" t="s">
        <v>338</v>
      </c>
      <c r="C3744" t="s">
        <v>475</v>
      </c>
      <c r="D3744" s="2" t="s">
        <v>384</v>
      </c>
      <c r="E3744" t="s">
        <v>468</v>
      </c>
      <c r="F3744" s="11">
        <v>43448</v>
      </c>
      <c r="G3744" s="2">
        <f>VLOOKUP(E3744,Produtos!$A:$E,5,FALSE)</f>
        <v>3000</v>
      </c>
      <c r="H3744" s="2">
        <f>VLOOKUP(E3744,Produtos!$A:$E,4,FALSE)</f>
        <v>1000</v>
      </c>
      <c r="I3744" s="2">
        <v>2</v>
      </c>
    </row>
    <row r="3745" spans="1:9" x14ac:dyDescent="0.25">
      <c r="A3745" s="2" t="str">
        <f>CONCATENATE(Códigos!S3744,Códigos!T3744,Códigos!U3744)</f>
        <v>svv3743v</v>
      </c>
      <c r="B3745" t="s">
        <v>338</v>
      </c>
      <c r="C3745" t="s">
        <v>475</v>
      </c>
      <c r="D3745" s="2" t="s">
        <v>384</v>
      </c>
      <c r="E3745" t="s">
        <v>468</v>
      </c>
      <c r="F3745" s="11">
        <v>43449</v>
      </c>
      <c r="G3745" s="2">
        <f>VLOOKUP(E3745,Produtos!$A:$E,5,FALSE)</f>
        <v>3000</v>
      </c>
      <c r="H3745" s="2">
        <f>VLOOKUP(E3745,Produtos!$A:$E,4,FALSE)</f>
        <v>1000</v>
      </c>
      <c r="I3745" s="2">
        <v>2</v>
      </c>
    </row>
    <row r="3746" spans="1:9" x14ac:dyDescent="0.25">
      <c r="A3746" s="2" t="str">
        <f>CONCATENATE(Códigos!S3745,Códigos!T3745,Códigos!U3745)</f>
        <v>svv3744v</v>
      </c>
      <c r="B3746" t="s">
        <v>338</v>
      </c>
      <c r="C3746" t="s">
        <v>475</v>
      </c>
      <c r="D3746" s="2" t="s">
        <v>384</v>
      </c>
      <c r="E3746" t="s">
        <v>468</v>
      </c>
      <c r="F3746" s="11">
        <v>43450</v>
      </c>
      <c r="G3746" s="2">
        <f>VLOOKUP(E3746,Produtos!$A:$E,5,FALSE)</f>
        <v>3000</v>
      </c>
      <c r="H3746" s="2">
        <f>VLOOKUP(E3746,Produtos!$A:$E,4,FALSE)</f>
        <v>1000</v>
      </c>
      <c r="I3746" s="2">
        <v>2</v>
      </c>
    </row>
    <row r="3747" spans="1:9" x14ac:dyDescent="0.25">
      <c r="A3747" s="2" t="str">
        <f>CONCATENATE(Códigos!S3746,Códigos!T3746,Códigos!U3746)</f>
        <v>svv3745v</v>
      </c>
      <c r="B3747" t="s">
        <v>338</v>
      </c>
      <c r="C3747" t="s">
        <v>475</v>
      </c>
      <c r="D3747" s="2" t="s">
        <v>384</v>
      </c>
      <c r="E3747" t="s">
        <v>468</v>
      </c>
      <c r="F3747" s="11">
        <v>43451</v>
      </c>
      <c r="G3747" s="2">
        <f>VLOOKUP(E3747,Produtos!$A:$E,5,FALSE)</f>
        <v>3000</v>
      </c>
      <c r="H3747" s="2">
        <f>VLOOKUP(E3747,Produtos!$A:$E,4,FALSE)</f>
        <v>1000</v>
      </c>
      <c r="I3747" s="2">
        <v>2</v>
      </c>
    </row>
    <row r="3748" spans="1:9" x14ac:dyDescent="0.25">
      <c r="A3748" s="2" t="str">
        <f>CONCATENATE(Códigos!S3747,Códigos!T3747,Códigos!U3747)</f>
        <v>svv3746v</v>
      </c>
      <c r="B3748" t="s">
        <v>338</v>
      </c>
      <c r="C3748" t="s">
        <v>475</v>
      </c>
      <c r="D3748" s="2" t="s">
        <v>384</v>
      </c>
      <c r="E3748" t="s">
        <v>468</v>
      </c>
      <c r="F3748" s="11">
        <v>43452</v>
      </c>
      <c r="G3748" s="2">
        <f>VLOOKUP(E3748,Produtos!$A:$E,5,FALSE)</f>
        <v>3000</v>
      </c>
      <c r="H3748" s="2">
        <f>VLOOKUP(E3748,Produtos!$A:$E,4,FALSE)</f>
        <v>1000</v>
      </c>
      <c r="I3748" s="2">
        <v>2</v>
      </c>
    </row>
    <row r="3749" spans="1:9" x14ac:dyDescent="0.25">
      <c r="A3749" s="2" t="str">
        <f>CONCATENATE(Códigos!S3748,Códigos!T3748,Códigos!U3748)</f>
        <v>svv3747v</v>
      </c>
      <c r="B3749" t="s">
        <v>338</v>
      </c>
      <c r="C3749" t="s">
        <v>475</v>
      </c>
      <c r="D3749" s="2" t="s">
        <v>384</v>
      </c>
      <c r="E3749" t="s">
        <v>468</v>
      </c>
      <c r="F3749" s="11">
        <v>43453</v>
      </c>
      <c r="G3749" s="2">
        <f>VLOOKUP(E3749,Produtos!$A:$E,5,FALSE)</f>
        <v>3000</v>
      </c>
      <c r="H3749" s="2">
        <f>VLOOKUP(E3749,Produtos!$A:$E,4,FALSE)</f>
        <v>1000</v>
      </c>
      <c r="I3749" s="2">
        <v>2</v>
      </c>
    </row>
    <row r="3750" spans="1:9" x14ac:dyDescent="0.25">
      <c r="A3750" s="2" t="str">
        <f>CONCATENATE(Códigos!S3749,Códigos!T3749,Códigos!U3749)</f>
        <v>svv3748v</v>
      </c>
      <c r="B3750" t="s">
        <v>338</v>
      </c>
      <c r="C3750" t="s">
        <v>475</v>
      </c>
      <c r="D3750" s="2" t="s">
        <v>384</v>
      </c>
      <c r="E3750" t="s">
        <v>468</v>
      </c>
      <c r="F3750" s="11">
        <v>43454</v>
      </c>
      <c r="G3750" s="2">
        <f>VLOOKUP(E3750,Produtos!$A:$E,5,FALSE)</f>
        <v>3000</v>
      </c>
      <c r="H3750" s="2">
        <f>VLOOKUP(E3750,Produtos!$A:$E,4,FALSE)</f>
        <v>1000</v>
      </c>
      <c r="I3750" s="2">
        <v>2</v>
      </c>
    </row>
    <row r="3751" spans="1:9" x14ac:dyDescent="0.25">
      <c r="A3751" s="2" t="str">
        <f>CONCATENATE(Códigos!S3750,Códigos!T3750,Códigos!U3750)</f>
        <v>svv3749v</v>
      </c>
      <c r="B3751" t="s">
        <v>338</v>
      </c>
      <c r="C3751" t="s">
        <v>475</v>
      </c>
      <c r="D3751" s="2" t="s">
        <v>384</v>
      </c>
      <c r="E3751" t="s">
        <v>468</v>
      </c>
      <c r="F3751" s="11">
        <v>43455</v>
      </c>
      <c r="G3751" s="2">
        <f>VLOOKUP(E3751,Produtos!$A:$E,5,FALSE)</f>
        <v>3000</v>
      </c>
      <c r="H3751" s="2">
        <f>VLOOKUP(E3751,Produtos!$A:$E,4,FALSE)</f>
        <v>1000</v>
      </c>
      <c r="I3751" s="2">
        <v>2</v>
      </c>
    </row>
    <row r="3752" spans="1:9" x14ac:dyDescent="0.25">
      <c r="A3752" s="2" t="str">
        <f>CONCATENATE(Códigos!S3751,Códigos!T3751,Códigos!U3751)</f>
        <v>svv3750v</v>
      </c>
      <c r="B3752" t="s">
        <v>338</v>
      </c>
      <c r="C3752" t="s">
        <v>475</v>
      </c>
      <c r="D3752" s="2" t="s">
        <v>384</v>
      </c>
      <c r="E3752" t="s">
        <v>468</v>
      </c>
      <c r="F3752" s="11">
        <v>43456</v>
      </c>
      <c r="G3752" s="2">
        <f>VLOOKUP(E3752,Produtos!$A:$E,5,FALSE)</f>
        <v>3000</v>
      </c>
      <c r="H3752" s="2">
        <f>VLOOKUP(E3752,Produtos!$A:$E,4,FALSE)</f>
        <v>1000</v>
      </c>
      <c r="I3752" s="2">
        <v>2</v>
      </c>
    </row>
    <row r="3753" spans="1:9" x14ac:dyDescent="0.25">
      <c r="A3753" s="2" t="str">
        <f>CONCATENATE(Códigos!S3752,Códigos!T3752,Códigos!U3752)</f>
        <v>svv3751v</v>
      </c>
      <c r="B3753" t="s">
        <v>338</v>
      </c>
      <c r="C3753" t="s">
        <v>475</v>
      </c>
      <c r="D3753" s="2" t="s">
        <v>384</v>
      </c>
      <c r="E3753" t="s">
        <v>468</v>
      </c>
      <c r="F3753" s="11">
        <v>43457</v>
      </c>
      <c r="G3753" s="2">
        <f>VLOOKUP(E3753,Produtos!$A:$E,5,FALSE)</f>
        <v>3000</v>
      </c>
      <c r="H3753" s="2">
        <f>VLOOKUP(E3753,Produtos!$A:$E,4,FALSE)</f>
        <v>1000</v>
      </c>
      <c r="I3753" s="2">
        <v>2</v>
      </c>
    </row>
    <row r="3754" spans="1:9" x14ac:dyDescent="0.25">
      <c r="A3754" s="2" t="str">
        <f>CONCATENATE(Códigos!S3753,Códigos!T3753,Códigos!U3753)</f>
        <v>svv3752v</v>
      </c>
      <c r="B3754" t="s">
        <v>338</v>
      </c>
      <c r="C3754" t="s">
        <v>475</v>
      </c>
      <c r="D3754" s="2" t="s">
        <v>384</v>
      </c>
      <c r="E3754" t="s">
        <v>468</v>
      </c>
      <c r="F3754" s="11">
        <v>43458</v>
      </c>
      <c r="G3754" s="2">
        <f>VLOOKUP(E3754,Produtos!$A:$E,5,FALSE)</f>
        <v>3000</v>
      </c>
      <c r="H3754" s="2">
        <f>VLOOKUP(E3754,Produtos!$A:$E,4,FALSE)</f>
        <v>1000</v>
      </c>
      <c r="I3754" s="2">
        <v>2</v>
      </c>
    </row>
    <row r="3755" spans="1:9" x14ac:dyDescent="0.25">
      <c r="A3755" s="2" t="str">
        <f>CONCATENATE(Códigos!S3754,Códigos!T3754,Códigos!U3754)</f>
        <v>svv3753v</v>
      </c>
      <c r="B3755" t="s">
        <v>338</v>
      </c>
      <c r="C3755" t="s">
        <v>475</v>
      </c>
      <c r="D3755" s="2" t="s">
        <v>384</v>
      </c>
      <c r="E3755" t="s">
        <v>468</v>
      </c>
      <c r="F3755" s="11">
        <v>43459</v>
      </c>
      <c r="G3755" s="2">
        <f>VLOOKUP(E3755,Produtos!$A:$E,5,FALSE)</f>
        <v>3000</v>
      </c>
      <c r="H3755" s="2">
        <f>VLOOKUP(E3755,Produtos!$A:$E,4,FALSE)</f>
        <v>1000</v>
      </c>
      <c r="I3755" s="2">
        <v>2</v>
      </c>
    </row>
    <row r="3756" spans="1:9" x14ac:dyDescent="0.25">
      <c r="A3756" s="2" t="str">
        <f>CONCATENATE(Códigos!S3755,Códigos!T3755,Códigos!U3755)</f>
        <v>svv3754v</v>
      </c>
      <c r="B3756" t="s">
        <v>338</v>
      </c>
      <c r="C3756" t="s">
        <v>475</v>
      </c>
      <c r="D3756" s="2" t="s">
        <v>384</v>
      </c>
      <c r="E3756" t="s">
        <v>468</v>
      </c>
      <c r="F3756" s="11">
        <v>43460</v>
      </c>
      <c r="G3756" s="2">
        <f>VLOOKUP(E3756,Produtos!$A:$E,5,FALSE)</f>
        <v>3000</v>
      </c>
      <c r="H3756" s="2">
        <f>VLOOKUP(E3756,Produtos!$A:$E,4,FALSE)</f>
        <v>1000</v>
      </c>
      <c r="I3756" s="2">
        <v>2</v>
      </c>
    </row>
    <row r="3757" spans="1:9" x14ac:dyDescent="0.25">
      <c r="A3757" s="2" t="str">
        <f>CONCATENATE(Códigos!S3756,Códigos!T3756,Códigos!U3756)</f>
        <v>svv3755v</v>
      </c>
      <c r="B3757" t="s">
        <v>338</v>
      </c>
      <c r="C3757" t="s">
        <v>475</v>
      </c>
      <c r="D3757" s="2" t="s">
        <v>384</v>
      </c>
      <c r="E3757" t="s">
        <v>468</v>
      </c>
      <c r="F3757" s="11">
        <v>43461</v>
      </c>
      <c r="G3757" s="2">
        <f>VLOOKUP(E3757,Produtos!$A:$E,5,FALSE)</f>
        <v>3000</v>
      </c>
      <c r="H3757" s="2">
        <f>VLOOKUP(E3757,Produtos!$A:$E,4,FALSE)</f>
        <v>1000</v>
      </c>
      <c r="I3757" s="2">
        <v>2</v>
      </c>
    </row>
    <row r="3758" spans="1:9" x14ac:dyDescent="0.25">
      <c r="A3758" s="2" t="str">
        <f>CONCATENATE(Códigos!S3757,Códigos!T3757,Códigos!U3757)</f>
        <v>svv3756v</v>
      </c>
      <c r="B3758" t="s">
        <v>338</v>
      </c>
      <c r="C3758" t="s">
        <v>475</v>
      </c>
      <c r="D3758" s="2" t="s">
        <v>384</v>
      </c>
      <c r="E3758" t="s">
        <v>468</v>
      </c>
      <c r="F3758" s="11">
        <v>43462</v>
      </c>
      <c r="G3758" s="2">
        <f>VLOOKUP(E3758,Produtos!$A:$E,5,FALSE)</f>
        <v>3000</v>
      </c>
      <c r="H3758" s="2">
        <f>VLOOKUP(E3758,Produtos!$A:$E,4,FALSE)</f>
        <v>1000</v>
      </c>
      <c r="I3758" s="2">
        <v>2</v>
      </c>
    </row>
    <row r="3759" spans="1:9" x14ac:dyDescent="0.25">
      <c r="A3759" s="2" t="str">
        <f>CONCATENATE(Códigos!S3758,Códigos!T3758,Códigos!U3758)</f>
        <v>svv3757v</v>
      </c>
      <c r="B3759" t="s">
        <v>338</v>
      </c>
      <c r="C3759" t="s">
        <v>475</v>
      </c>
      <c r="D3759" s="2" t="s">
        <v>384</v>
      </c>
      <c r="E3759" t="s">
        <v>468</v>
      </c>
      <c r="F3759" s="11">
        <v>43463</v>
      </c>
      <c r="G3759" s="2">
        <f>VLOOKUP(E3759,Produtos!$A:$E,5,FALSE)</f>
        <v>3000</v>
      </c>
      <c r="H3759" s="2">
        <f>VLOOKUP(E3759,Produtos!$A:$E,4,FALSE)</f>
        <v>1000</v>
      </c>
      <c r="I3759" s="2">
        <v>2</v>
      </c>
    </row>
    <row r="3760" spans="1:9" x14ac:dyDescent="0.25">
      <c r="A3760" s="2" t="str">
        <f>CONCATENATE(Códigos!S3759,Códigos!T3759,Códigos!U3759)</f>
        <v>svv3758v</v>
      </c>
      <c r="B3760" t="s">
        <v>338</v>
      </c>
      <c r="C3760" t="s">
        <v>475</v>
      </c>
      <c r="D3760" s="2" t="s">
        <v>384</v>
      </c>
      <c r="E3760" t="s">
        <v>468</v>
      </c>
      <c r="F3760" s="11">
        <v>43464</v>
      </c>
      <c r="G3760" s="2">
        <f>VLOOKUP(E3760,Produtos!$A:$E,5,FALSE)</f>
        <v>3000</v>
      </c>
      <c r="H3760" s="2">
        <f>VLOOKUP(E3760,Produtos!$A:$E,4,FALSE)</f>
        <v>1000</v>
      </c>
      <c r="I3760" s="2">
        <v>2</v>
      </c>
    </row>
    <row r="3761" spans="1:9" x14ac:dyDescent="0.25">
      <c r="A3761" s="2" t="str">
        <f>CONCATENATE(Códigos!S3760,Códigos!T3760,Códigos!U3760)</f>
        <v>svv3759v</v>
      </c>
      <c r="B3761" t="s">
        <v>338</v>
      </c>
      <c r="C3761" t="s">
        <v>475</v>
      </c>
      <c r="D3761" s="2" t="s">
        <v>384</v>
      </c>
      <c r="E3761" t="s">
        <v>468</v>
      </c>
      <c r="F3761" s="11">
        <v>43465</v>
      </c>
      <c r="G3761" s="2">
        <f>VLOOKUP(E3761,Produtos!$A:$E,5,FALSE)</f>
        <v>3000</v>
      </c>
      <c r="H3761" s="2">
        <f>VLOOKUP(E3761,Produtos!$A:$E,4,FALSE)</f>
        <v>1000</v>
      </c>
      <c r="I3761" s="2">
        <v>2</v>
      </c>
    </row>
    <row r="3762" spans="1:9" x14ac:dyDescent="0.25">
      <c r="A3762" s="2" t="str">
        <f>CONCATENATE(Códigos!S3761,Códigos!T3761,Códigos!U3761)</f>
        <v>svv3760v</v>
      </c>
      <c r="B3762" t="s">
        <v>338</v>
      </c>
      <c r="C3762" t="s">
        <v>475</v>
      </c>
      <c r="D3762" s="2" t="s">
        <v>384</v>
      </c>
      <c r="E3762" t="s">
        <v>468</v>
      </c>
      <c r="F3762" s="11">
        <v>43466</v>
      </c>
      <c r="G3762" s="2">
        <f>VLOOKUP(E3762,Produtos!$A:$E,5,FALSE)</f>
        <v>3000</v>
      </c>
      <c r="H3762" s="2">
        <f>VLOOKUP(E3762,Produtos!$A:$E,4,FALSE)</f>
        <v>1000</v>
      </c>
      <c r="I3762" s="2">
        <v>2</v>
      </c>
    </row>
    <row r="3763" spans="1:9" x14ac:dyDescent="0.25">
      <c r="A3763" s="2" t="str">
        <f>CONCATENATE(Códigos!S3762,Códigos!T3762,Códigos!U3762)</f>
        <v>svv3761v</v>
      </c>
      <c r="B3763" t="s">
        <v>338</v>
      </c>
      <c r="C3763" t="s">
        <v>475</v>
      </c>
      <c r="D3763" s="2" t="s">
        <v>384</v>
      </c>
      <c r="E3763" t="s">
        <v>468</v>
      </c>
      <c r="F3763" s="11">
        <v>43467</v>
      </c>
      <c r="G3763" s="2">
        <f>VLOOKUP(E3763,Produtos!$A:$E,5,FALSE)</f>
        <v>3000</v>
      </c>
      <c r="H3763" s="2">
        <f>VLOOKUP(E3763,Produtos!$A:$E,4,FALSE)</f>
        <v>1000</v>
      </c>
      <c r="I3763" s="2">
        <v>2</v>
      </c>
    </row>
    <row r="3764" spans="1:9" x14ac:dyDescent="0.25">
      <c r="A3764" s="2" t="str">
        <f>CONCATENATE(Códigos!S3763,Códigos!T3763,Códigos!U3763)</f>
        <v>svv3762v</v>
      </c>
      <c r="B3764" t="s">
        <v>338</v>
      </c>
      <c r="C3764" t="s">
        <v>475</v>
      </c>
      <c r="D3764" s="2" t="s">
        <v>384</v>
      </c>
      <c r="E3764" t="s">
        <v>468</v>
      </c>
      <c r="F3764" s="11">
        <v>43468</v>
      </c>
      <c r="G3764" s="2">
        <f>VLOOKUP(E3764,Produtos!$A:$E,5,FALSE)</f>
        <v>3000</v>
      </c>
      <c r="H3764" s="2">
        <f>VLOOKUP(E3764,Produtos!$A:$E,4,FALSE)</f>
        <v>1000</v>
      </c>
      <c r="I3764" s="2">
        <v>2</v>
      </c>
    </row>
    <row r="3765" spans="1:9" x14ac:dyDescent="0.25">
      <c r="A3765" s="2" t="str">
        <f>CONCATENATE(Códigos!S3764,Códigos!T3764,Códigos!U3764)</f>
        <v>svv3763v</v>
      </c>
      <c r="B3765" t="s">
        <v>338</v>
      </c>
      <c r="C3765" t="s">
        <v>475</v>
      </c>
      <c r="D3765" s="2" t="s">
        <v>384</v>
      </c>
      <c r="E3765" t="s">
        <v>468</v>
      </c>
      <c r="F3765" s="11">
        <v>43469</v>
      </c>
      <c r="G3765" s="2">
        <f>VLOOKUP(E3765,Produtos!$A:$E,5,FALSE)</f>
        <v>3000</v>
      </c>
      <c r="H3765" s="2">
        <f>VLOOKUP(E3765,Produtos!$A:$E,4,FALSE)</f>
        <v>1000</v>
      </c>
      <c r="I3765" s="2">
        <v>2</v>
      </c>
    </row>
    <row r="3766" spans="1:9" x14ac:dyDescent="0.25">
      <c r="A3766" s="2" t="str">
        <f>CONCATENATE(Códigos!S3765,Códigos!T3765,Códigos!U3765)</f>
        <v>svv3764v</v>
      </c>
      <c r="B3766" t="s">
        <v>338</v>
      </c>
      <c r="C3766" t="s">
        <v>475</v>
      </c>
      <c r="D3766" s="2" t="s">
        <v>384</v>
      </c>
      <c r="E3766" t="s">
        <v>468</v>
      </c>
      <c r="F3766" s="11">
        <v>43470</v>
      </c>
      <c r="G3766" s="2">
        <f>VLOOKUP(E3766,Produtos!$A:$E,5,FALSE)</f>
        <v>3000</v>
      </c>
      <c r="H3766" s="2">
        <f>VLOOKUP(E3766,Produtos!$A:$E,4,FALSE)</f>
        <v>1000</v>
      </c>
      <c r="I3766" s="2">
        <v>2</v>
      </c>
    </row>
    <row r="3767" spans="1:9" x14ac:dyDescent="0.25">
      <c r="A3767" s="2" t="str">
        <f>CONCATENATE(Códigos!S3766,Códigos!T3766,Códigos!U3766)</f>
        <v>svv3765v</v>
      </c>
      <c r="B3767" t="s">
        <v>338</v>
      </c>
      <c r="C3767" t="s">
        <v>475</v>
      </c>
      <c r="D3767" s="2" t="s">
        <v>384</v>
      </c>
      <c r="E3767" t="s">
        <v>468</v>
      </c>
      <c r="F3767" s="11">
        <v>43471</v>
      </c>
      <c r="G3767" s="2">
        <f>VLOOKUP(E3767,Produtos!$A:$E,5,FALSE)</f>
        <v>3000</v>
      </c>
      <c r="H3767" s="2">
        <f>VLOOKUP(E3767,Produtos!$A:$E,4,FALSE)</f>
        <v>1000</v>
      </c>
      <c r="I3767" s="2">
        <v>2</v>
      </c>
    </row>
    <row r="3768" spans="1:9" x14ac:dyDescent="0.25">
      <c r="A3768" s="2" t="str">
        <f>CONCATENATE(Códigos!S3767,Códigos!T3767,Códigos!U3767)</f>
        <v>svv3766v</v>
      </c>
      <c r="B3768" t="s">
        <v>338</v>
      </c>
      <c r="C3768" t="s">
        <v>475</v>
      </c>
      <c r="D3768" s="2" t="s">
        <v>384</v>
      </c>
      <c r="E3768" t="s">
        <v>468</v>
      </c>
      <c r="F3768" s="11">
        <v>43472</v>
      </c>
      <c r="G3768" s="2">
        <f>VLOOKUP(E3768,Produtos!$A:$E,5,FALSE)</f>
        <v>3000</v>
      </c>
      <c r="H3768" s="2">
        <f>VLOOKUP(E3768,Produtos!$A:$E,4,FALSE)</f>
        <v>1000</v>
      </c>
      <c r="I3768" s="2">
        <v>2</v>
      </c>
    </row>
    <row r="3769" spans="1:9" x14ac:dyDescent="0.25">
      <c r="A3769" s="2" t="str">
        <f>CONCATENATE(Códigos!S3768,Códigos!T3768,Códigos!U3768)</f>
        <v>svv3767v</v>
      </c>
      <c r="B3769" t="s">
        <v>338</v>
      </c>
      <c r="C3769" t="s">
        <v>475</v>
      </c>
      <c r="D3769" s="2" t="s">
        <v>384</v>
      </c>
      <c r="E3769" t="s">
        <v>468</v>
      </c>
      <c r="F3769" s="11">
        <v>43473</v>
      </c>
      <c r="G3769" s="2">
        <f>VLOOKUP(E3769,Produtos!$A:$E,5,FALSE)</f>
        <v>3000</v>
      </c>
      <c r="H3769" s="2">
        <f>VLOOKUP(E3769,Produtos!$A:$E,4,FALSE)</f>
        <v>1000</v>
      </c>
      <c r="I3769" s="2">
        <v>2</v>
      </c>
    </row>
    <row r="3770" spans="1:9" x14ac:dyDescent="0.25">
      <c r="A3770" s="2" t="str">
        <f>CONCATENATE(Códigos!S3769,Códigos!T3769,Códigos!U3769)</f>
        <v>svv3768v</v>
      </c>
      <c r="B3770" t="s">
        <v>338</v>
      </c>
      <c r="C3770" t="s">
        <v>475</v>
      </c>
      <c r="D3770" s="2" t="s">
        <v>384</v>
      </c>
      <c r="E3770" t="s">
        <v>468</v>
      </c>
      <c r="F3770" s="11">
        <v>43474</v>
      </c>
      <c r="G3770" s="2">
        <f>VLOOKUP(E3770,Produtos!$A:$E,5,FALSE)</f>
        <v>3000</v>
      </c>
      <c r="H3770" s="2">
        <f>VLOOKUP(E3770,Produtos!$A:$E,4,FALSE)</f>
        <v>1000</v>
      </c>
      <c r="I3770" s="2">
        <v>2</v>
      </c>
    </row>
    <row r="3771" spans="1:9" x14ac:dyDescent="0.25">
      <c r="A3771" s="2" t="str">
        <f>CONCATENATE(Códigos!S3770,Códigos!T3770,Códigos!U3770)</f>
        <v>svv3769v</v>
      </c>
      <c r="B3771" t="s">
        <v>338</v>
      </c>
      <c r="C3771" t="s">
        <v>440</v>
      </c>
      <c r="D3771" s="2" t="s">
        <v>404</v>
      </c>
      <c r="E3771" t="s">
        <v>476</v>
      </c>
      <c r="F3771" s="11">
        <v>43475</v>
      </c>
      <c r="G3771" s="2">
        <f>VLOOKUP(E3771,Produtos!$A:$E,5,FALSE)</f>
        <v>4000</v>
      </c>
      <c r="H3771" s="2">
        <f>VLOOKUP(E3771,Produtos!$A:$E,4,FALSE)</f>
        <v>1500</v>
      </c>
      <c r="I3771" s="2">
        <v>2</v>
      </c>
    </row>
    <row r="3772" spans="1:9" x14ac:dyDescent="0.25">
      <c r="A3772" s="2" t="str">
        <f>CONCATENATE(Códigos!S3771,Códigos!T3771,Códigos!U3771)</f>
        <v>svv3770v</v>
      </c>
      <c r="B3772" t="s">
        <v>338</v>
      </c>
      <c r="C3772" t="s">
        <v>440</v>
      </c>
      <c r="D3772" s="2" t="s">
        <v>404</v>
      </c>
      <c r="E3772" t="s">
        <v>476</v>
      </c>
      <c r="F3772" s="11">
        <v>43476</v>
      </c>
      <c r="G3772" s="2">
        <f>VLOOKUP(E3772,Produtos!$A:$E,5,FALSE)</f>
        <v>4000</v>
      </c>
      <c r="H3772" s="2">
        <f>VLOOKUP(E3772,Produtos!$A:$E,4,FALSE)</f>
        <v>1500</v>
      </c>
      <c r="I3772" s="2">
        <v>2</v>
      </c>
    </row>
    <row r="3773" spans="1:9" x14ac:dyDescent="0.25">
      <c r="A3773" s="2" t="str">
        <f>CONCATENATE(Códigos!S3772,Códigos!T3772,Códigos!U3772)</f>
        <v>svv3771v</v>
      </c>
      <c r="B3773" t="s">
        <v>338</v>
      </c>
      <c r="C3773" t="s">
        <v>440</v>
      </c>
      <c r="D3773" s="2" t="s">
        <v>404</v>
      </c>
      <c r="E3773" t="s">
        <v>476</v>
      </c>
      <c r="F3773" s="11">
        <v>43477</v>
      </c>
      <c r="G3773" s="2">
        <f>VLOOKUP(E3773,Produtos!$A:$E,5,FALSE)</f>
        <v>4000</v>
      </c>
      <c r="H3773" s="2">
        <f>VLOOKUP(E3773,Produtos!$A:$E,4,FALSE)</f>
        <v>1500</v>
      </c>
      <c r="I3773" s="2">
        <v>1</v>
      </c>
    </row>
    <row r="3774" spans="1:9" x14ac:dyDescent="0.25">
      <c r="A3774" s="2" t="str">
        <f>CONCATENATE(Códigos!S3773,Códigos!T3773,Códigos!U3773)</f>
        <v>svv3772v</v>
      </c>
      <c r="B3774" t="s">
        <v>338</v>
      </c>
      <c r="C3774" t="s">
        <v>440</v>
      </c>
      <c r="D3774" s="2" t="s">
        <v>404</v>
      </c>
      <c r="E3774" t="s">
        <v>476</v>
      </c>
      <c r="F3774" s="11">
        <v>43478</v>
      </c>
      <c r="G3774" s="2">
        <f>VLOOKUP(E3774,Produtos!$A:$E,5,FALSE)</f>
        <v>4000</v>
      </c>
      <c r="H3774" s="2">
        <f>VLOOKUP(E3774,Produtos!$A:$E,4,FALSE)</f>
        <v>1500</v>
      </c>
      <c r="I3774" s="2">
        <v>1</v>
      </c>
    </row>
    <row r="3775" spans="1:9" x14ac:dyDescent="0.25">
      <c r="A3775" s="2" t="str">
        <f>CONCATENATE(Códigos!S3774,Códigos!T3774,Códigos!U3774)</f>
        <v>svv3773v</v>
      </c>
      <c r="B3775" t="s">
        <v>338</v>
      </c>
      <c r="C3775" t="s">
        <v>440</v>
      </c>
      <c r="D3775" s="2" t="s">
        <v>404</v>
      </c>
      <c r="E3775" t="s">
        <v>476</v>
      </c>
      <c r="F3775" s="11">
        <v>43479</v>
      </c>
      <c r="G3775" s="2">
        <f>VLOOKUP(E3775,Produtos!$A:$E,5,FALSE)</f>
        <v>4000</v>
      </c>
      <c r="H3775" s="2">
        <f>VLOOKUP(E3775,Produtos!$A:$E,4,FALSE)</f>
        <v>1500</v>
      </c>
      <c r="I3775" s="2">
        <v>1</v>
      </c>
    </row>
    <row r="3776" spans="1:9" x14ac:dyDescent="0.25">
      <c r="A3776" s="2" t="str">
        <f>CONCATENATE(Códigos!S3775,Códigos!T3775,Códigos!U3775)</f>
        <v>svv3774v</v>
      </c>
      <c r="B3776" t="s">
        <v>338</v>
      </c>
      <c r="C3776" t="s">
        <v>440</v>
      </c>
      <c r="D3776" s="2" t="s">
        <v>404</v>
      </c>
      <c r="E3776" t="s">
        <v>476</v>
      </c>
      <c r="F3776" s="11">
        <v>43480</v>
      </c>
      <c r="G3776" s="2">
        <f>VLOOKUP(E3776,Produtos!$A:$E,5,FALSE)</f>
        <v>4000</v>
      </c>
      <c r="H3776" s="2">
        <f>VLOOKUP(E3776,Produtos!$A:$E,4,FALSE)</f>
        <v>1500</v>
      </c>
      <c r="I3776" s="2">
        <v>1</v>
      </c>
    </row>
    <row r="3777" spans="1:9" x14ac:dyDescent="0.25">
      <c r="A3777" s="2" t="str">
        <f>CONCATENATE(Códigos!S3776,Códigos!T3776,Códigos!U3776)</f>
        <v>svv3775v</v>
      </c>
      <c r="B3777" t="s">
        <v>338</v>
      </c>
      <c r="C3777" t="s">
        <v>440</v>
      </c>
      <c r="D3777" s="2" t="s">
        <v>404</v>
      </c>
      <c r="E3777" t="s">
        <v>476</v>
      </c>
      <c r="F3777" s="11">
        <v>43481</v>
      </c>
      <c r="G3777" s="2">
        <f>VLOOKUP(E3777,Produtos!$A:$E,5,FALSE)</f>
        <v>4000</v>
      </c>
      <c r="H3777" s="2">
        <f>VLOOKUP(E3777,Produtos!$A:$E,4,FALSE)</f>
        <v>1500</v>
      </c>
      <c r="I3777" s="2">
        <v>1</v>
      </c>
    </row>
    <row r="3778" spans="1:9" x14ac:dyDescent="0.25">
      <c r="A3778" s="2" t="str">
        <f>CONCATENATE(Códigos!S3777,Códigos!T3777,Códigos!U3777)</f>
        <v>svv3776v</v>
      </c>
      <c r="B3778" t="s">
        <v>338</v>
      </c>
      <c r="C3778" t="s">
        <v>440</v>
      </c>
      <c r="D3778" s="2" t="s">
        <v>404</v>
      </c>
      <c r="E3778" t="s">
        <v>476</v>
      </c>
      <c r="F3778" s="11">
        <v>43482</v>
      </c>
      <c r="G3778" s="2">
        <f>VLOOKUP(E3778,Produtos!$A:$E,5,FALSE)</f>
        <v>4000</v>
      </c>
      <c r="H3778" s="2">
        <f>VLOOKUP(E3778,Produtos!$A:$E,4,FALSE)</f>
        <v>1500</v>
      </c>
      <c r="I3778" s="2">
        <v>1</v>
      </c>
    </row>
    <row r="3779" spans="1:9" x14ac:dyDescent="0.25">
      <c r="A3779" s="2" t="str">
        <f>CONCATENATE(Códigos!S3778,Códigos!T3778,Códigos!U3778)</f>
        <v>svv3777v</v>
      </c>
      <c r="B3779" t="s">
        <v>338</v>
      </c>
      <c r="C3779" t="s">
        <v>440</v>
      </c>
      <c r="D3779" s="2" t="s">
        <v>404</v>
      </c>
      <c r="E3779" t="s">
        <v>476</v>
      </c>
      <c r="F3779" s="11">
        <v>43483</v>
      </c>
      <c r="G3779" s="2">
        <f>VLOOKUP(E3779,Produtos!$A:$E,5,FALSE)</f>
        <v>4000</v>
      </c>
      <c r="H3779" s="2">
        <f>VLOOKUP(E3779,Produtos!$A:$E,4,FALSE)</f>
        <v>1500</v>
      </c>
      <c r="I3779" s="2">
        <v>1</v>
      </c>
    </row>
    <row r="3780" spans="1:9" x14ac:dyDescent="0.25">
      <c r="A3780" s="2" t="str">
        <f>CONCATENATE(Códigos!S3779,Códigos!T3779,Códigos!U3779)</f>
        <v>svv3778v</v>
      </c>
      <c r="B3780" t="s">
        <v>338</v>
      </c>
      <c r="C3780" t="s">
        <v>440</v>
      </c>
      <c r="D3780" s="2" t="s">
        <v>404</v>
      </c>
      <c r="E3780" t="s">
        <v>476</v>
      </c>
      <c r="F3780" s="11">
        <v>43484</v>
      </c>
      <c r="G3780" s="2">
        <f>VLOOKUP(E3780,Produtos!$A:$E,5,FALSE)</f>
        <v>4000</v>
      </c>
      <c r="H3780" s="2">
        <f>VLOOKUP(E3780,Produtos!$A:$E,4,FALSE)</f>
        <v>1500</v>
      </c>
      <c r="I3780" s="2">
        <v>1</v>
      </c>
    </row>
    <row r="3781" spans="1:9" x14ac:dyDescent="0.25">
      <c r="A3781" s="2" t="str">
        <f>CONCATENATE(Códigos!S3780,Códigos!T3780,Códigos!U3780)</f>
        <v>svv3779v</v>
      </c>
      <c r="B3781" t="s">
        <v>338</v>
      </c>
      <c r="C3781" t="s">
        <v>440</v>
      </c>
      <c r="D3781" s="2" t="s">
        <v>404</v>
      </c>
      <c r="E3781" t="s">
        <v>476</v>
      </c>
      <c r="F3781" s="11">
        <v>43485</v>
      </c>
      <c r="G3781" s="2">
        <f>VLOOKUP(E3781,Produtos!$A:$E,5,FALSE)</f>
        <v>4000</v>
      </c>
      <c r="H3781" s="2">
        <f>VLOOKUP(E3781,Produtos!$A:$E,4,FALSE)</f>
        <v>1500</v>
      </c>
      <c r="I3781" s="2">
        <v>1</v>
      </c>
    </row>
    <row r="3782" spans="1:9" x14ac:dyDescent="0.25">
      <c r="A3782" s="2" t="str">
        <f>CONCATENATE(Códigos!S3781,Códigos!T3781,Códigos!U3781)</f>
        <v>svv3780v</v>
      </c>
      <c r="B3782" t="s">
        <v>338</v>
      </c>
      <c r="C3782" t="s">
        <v>440</v>
      </c>
      <c r="D3782" s="2" t="s">
        <v>404</v>
      </c>
      <c r="E3782" t="s">
        <v>476</v>
      </c>
      <c r="F3782" s="11">
        <v>43486</v>
      </c>
      <c r="G3782" s="2">
        <f>VLOOKUP(E3782,Produtos!$A:$E,5,FALSE)</f>
        <v>4000</v>
      </c>
      <c r="H3782" s="2">
        <f>VLOOKUP(E3782,Produtos!$A:$E,4,FALSE)</f>
        <v>1500</v>
      </c>
      <c r="I3782" s="2">
        <v>1</v>
      </c>
    </row>
    <row r="3783" spans="1:9" x14ac:dyDescent="0.25">
      <c r="A3783" s="2" t="str">
        <f>CONCATENATE(Códigos!S3782,Códigos!T3782,Códigos!U3782)</f>
        <v>svv3781v</v>
      </c>
      <c r="B3783" t="s">
        <v>338</v>
      </c>
      <c r="C3783" t="s">
        <v>440</v>
      </c>
      <c r="D3783" s="2" t="s">
        <v>404</v>
      </c>
      <c r="E3783" t="s">
        <v>476</v>
      </c>
      <c r="F3783" s="11">
        <v>43487</v>
      </c>
      <c r="G3783" s="2">
        <f>VLOOKUP(E3783,Produtos!$A:$E,5,FALSE)</f>
        <v>4000</v>
      </c>
      <c r="H3783" s="2">
        <f>VLOOKUP(E3783,Produtos!$A:$E,4,FALSE)</f>
        <v>1500</v>
      </c>
      <c r="I3783" s="2">
        <v>1</v>
      </c>
    </row>
    <row r="3784" spans="1:9" x14ac:dyDescent="0.25">
      <c r="A3784" s="2" t="str">
        <f>CONCATENATE(Códigos!S3783,Códigos!T3783,Códigos!U3783)</f>
        <v>svv3782v</v>
      </c>
      <c r="B3784" t="s">
        <v>338</v>
      </c>
      <c r="C3784" t="s">
        <v>440</v>
      </c>
      <c r="D3784" s="2" t="s">
        <v>404</v>
      </c>
      <c r="E3784" t="s">
        <v>476</v>
      </c>
      <c r="F3784" s="11">
        <v>43488</v>
      </c>
      <c r="G3784" s="2">
        <f>VLOOKUP(E3784,Produtos!$A:$E,5,FALSE)</f>
        <v>4000</v>
      </c>
      <c r="H3784" s="2">
        <f>VLOOKUP(E3784,Produtos!$A:$E,4,FALSE)</f>
        <v>1500</v>
      </c>
      <c r="I3784" s="2">
        <v>1</v>
      </c>
    </row>
    <row r="3785" spans="1:9" x14ac:dyDescent="0.25">
      <c r="A3785" s="2" t="str">
        <f>CONCATENATE(Códigos!S3784,Códigos!T3784,Códigos!U3784)</f>
        <v>svv3783v</v>
      </c>
      <c r="B3785" t="s">
        <v>338</v>
      </c>
      <c r="C3785" t="s">
        <v>440</v>
      </c>
      <c r="D3785" s="2" t="s">
        <v>404</v>
      </c>
      <c r="E3785" t="s">
        <v>476</v>
      </c>
      <c r="F3785" s="11">
        <v>43489</v>
      </c>
      <c r="G3785" s="2">
        <f>VLOOKUP(E3785,Produtos!$A:$E,5,FALSE)</f>
        <v>4000</v>
      </c>
      <c r="H3785" s="2">
        <f>VLOOKUP(E3785,Produtos!$A:$E,4,FALSE)</f>
        <v>1500</v>
      </c>
      <c r="I3785" s="2">
        <v>1</v>
      </c>
    </row>
    <row r="3786" spans="1:9" x14ac:dyDescent="0.25">
      <c r="A3786" s="2" t="str">
        <f>CONCATENATE(Códigos!S3785,Códigos!T3785,Códigos!U3785)</f>
        <v>svv3784v</v>
      </c>
      <c r="B3786" t="s">
        <v>338</v>
      </c>
      <c r="C3786" t="s">
        <v>440</v>
      </c>
      <c r="D3786" s="2" t="s">
        <v>404</v>
      </c>
      <c r="E3786" t="s">
        <v>476</v>
      </c>
      <c r="F3786" s="11">
        <v>43490</v>
      </c>
      <c r="G3786" s="2">
        <f>VLOOKUP(E3786,Produtos!$A:$E,5,FALSE)</f>
        <v>4000</v>
      </c>
      <c r="H3786" s="2">
        <f>VLOOKUP(E3786,Produtos!$A:$E,4,FALSE)</f>
        <v>1500</v>
      </c>
      <c r="I3786" s="2">
        <v>1</v>
      </c>
    </row>
    <row r="3787" spans="1:9" x14ac:dyDescent="0.25">
      <c r="A3787" s="2" t="str">
        <f>CONCATENATE(Códigos!S3786,Códigos!T3786,Códigos!U3786)</f>
        <v>svv3785v</v>
      </c>
      <c r="B3787" t="s">
        <v>338</v>
      </c>
      <c r="C3787" t="s">
        <v>440</v>
      </c>
      <c r="D3787" s="2" t="s">
        <v>404</v>
      </c>
      <c r="E3787" t="s">
        <v>476</v>
      </c>
      <c r="F3787" s="11">
        <v>43491</v>
      </c>
      <c r="G3787" s="2">
        <f>VLOOKUP(E3787,Produtos!$A:$E,5,FALSE)</f>
        <v>4000</v>
      </c>
      <c r="H3787" s="2">
        <f>VLOOKUP(E3787,Produtos!$A:$E,4,FALSE)</f>
        <v>1500</v>
      </c>
      <c r="I3787" s="2">
        <v>1</v>
      </c>
    </row>
    <row r="3788" spans="1:9" x14ac:dyDescent="0.25">
      <c r="A3788" s="2" t="str">
        <f>CONCATENATE(Códigos!S3787,Códigos!T3787,Códigos!U3787)</f>
        <v>svv3786v</v>
      </c>
      <c r="B3788" t="s">
        <v>338</v>
      </c>
      <c r="C3788" t="s">
        <v>440</v>
      </c>
      <c r="D3788" s="2" t="s">
        <v>404</v>
      </c>
      <c r="E3788" t="s">
        <v>476</v>
      </c>
      <c r="F3788" s="11">
        <v>43492</v>
      </c>
      <c r="G3788" s="2">
        <f>VLOOKUP(E3788,Produtos!$A:$E,5,FALSE)</f>
        <v>4000</v>
      </c>
      <c r="H3788" s="2">
        <f>VLOOKUP(E3788,Produtos!$A:$E,4,FALSE)</f>
        <v>1500</v>
      </c>
      <c r="I3788" s="2">
        <v>1</v>
      </c>
    </row>
    <row r="3789" spans="1:9" x14ac:dyDescent="0.25">
      <c r="A3789" s="2" t="str">
        <f>CONCATENATE(Códigos!S3788,Códigos!T3788,Códigos!U3788)</f>
        <v>svv3787v</v>
      </c>
      <c r="B3789" t="s">
        <v>338</v>
      </c>
      <c r="C3789" t="s">
        <v>480</v>
      </c>
      <c r="D3789" s="2" t="s">
        <v>482</v>
      </c>
      <c r="E3789" t="s">
        <v>474</v>
      </c>
      <c r="F3789" s="11">
        <v>43493</v>
      </c>
      <c r="G3789" s="2">
        <f>VLOOKUP(E3789,Produtos!$A:$E,5,FALSE)</f>
        <v>1800</v>
      </c>
      <c r="H3789" s="2">
        <f>VLOOKUP(E3789,Produtos!$A:$E,4,FALSE)</f>
        <v>800</v>
      </c>
      <c r="I3789" s="2">
        <v>1</v>
      </c>
    </row>
    <row r="3790" spans="1:9" x14ac:dyDescent="0.25">
      <c r="A3790" s="2" t="str">
        <f>CONCATENATE(Códigos!S3789,Códigos!T3789,Códigos!U3789)</f>
        <v>svv3788v</v>
      </c>
      <c r="B3790" t="s">
        <v>338</v>
      </c>
      <c r="C3790" t="s">
        <v>480</v>
      </c>
      <c r="D3790" s="2" t="s">
        <v>482</v>
      </c>
      <c r="E3790" t="s">
        <v>474</v>
      </c>
      <c r="F3790" s="11">
        <v>43494</v>
      </c>
      <c r="G3790" s="2">
        <f>VLOOKUP(E3790,Produtos!$A:$E,5,FALSE)</f>
        <v>1800</v>
      </c>
      <c r="H3790" s="2">
        <f>VLOOKUP(E3790,Produtos!$A:$E,4,FALSE)</f>
        <v>800</v>
      </c>
      <c r="I3790" s="2">
        <v>1</v>
      </c>
    </row>
    <row r="3791" spans="1:9" x14ac:dyDescent="0.25">
      <c r="A3791" s="2" t="str">
        <f>CONCATENATE(Códigos!S3790,Códigos!T3790,Códigos!U3790)</f>
        <v>svv3789v</v>
      </c>
      <c r="B3791" t="s">
        <v>338</v>
      </c>
      <c r="C3791" t="s">
        <v>480</v>
      </c>
      <c r="D3791" s="2" t="s">
        <v>482</v>
      </c>
      <c r="E3791" t="s">
        <v>474</v>
      </c>
      <c r="F3791" s="11">
        <v>43495</v>
      </c>
      <c r="G3791" s="2">
        <f>VLOOKUP(E3791,Produtos!$A:$E,5,FALSE)</f>
        <v>1800</v>
      </c>
      <c r="H3791" s="2">
        <f>VLOOKUP(E3791,Produtos!$A:$E,4,FALSE)</f>
        <v>800</v>
      </c>
      <c r="I3791" s="2">
        <v>1</v>
      </c>
    </row>
    <row r="3792" spans="1:9" x14ac:dyDescent="0.25">
      <c r="A3792" s="2" t="str">
        <f>CONCATENATE(Códigos!S3791,Códigos!T3791,Códigos!U3791)</f>
        <v>svv3790v</v>
      </c>
      <c r="B3792" t="s">
        <v>338</v>
      </c>
      <c r="C3792" t="s">
        <v>480</v>
      </c>
      <c r="D3792" s="2" t="s">
        <v>482</v>
      </c>
      <c r="E3792" t="s">
        <v>474</v>
      </c>
      <c r="F3792" s="11">
        <v>43496</v>
      </c>
      <c r="G3792" s="2">
        <f>VLOOKUP(E3792,Produtos!$A:$E,5,FALSE)</f>
        <v>1800</v>
      </c>
      <c r="H3792" s="2">
        <f>VLOOKUP(E3792,Produtos!$A:$E,4,FALSE)</f>
        <v>800</v>
      </c>
      <c r="I3792" s="2">
        <v>1</v>
      </c>
    </row>
    <row r="3793" spans="1:9" x14ac:dyDescent="0.25">
      <c r="A3793" s="2" t="str">
        <f>CONCATENATE(Códigos!S3792,Códigos!T3792,Códigos!U3792)</f>
        <v>svv3791v</v>
      </c>
      <c r="B3793" t="s">
        <v>338</v>
      </c>
      <c r="C3793" t="s">
        <v>480</v>
      </c>
      <c r="D3793" s="2" t="s">
        <v>482</v>
      </c>
      <c r="E3793" t="s">
        <v>474</v>
      </c>
      <c r="F3793" s="11">
        <v>43497</v>
      </c>
      <c r="G3793" s="2">
        <f>VLOOKUP(E3793,Produtos!$A:$E,5,FALSE)</f>
        <v>1800</v>
      </c>
      <c r="H3793" s="2">
        <f>VLOOKUP(E3793,Produtos!$A:$E,4,FALSE)</f>
        <v>800</v>
      </c>
      <c r="I3793" s="2">
        <v>1</v>
      </c>
    </row>
    <row r="3794" spans="1:9" x14ac:dyDescent="0.25">
      <c r="A3794" s="2" t="str">
        <f>CONCATENATE(Códigos!S3793,Códigos!T3793,Códigos!U3793)</f>
        <v>svv3792v</v>
      </c>
      <c r="B3794" t="s">
        <v>338</v>
      </c>
      <c r="C3794" t="s">
        <v>480</v>
      </c>
      <c r="D3794" s="2" t="s">
        <v>482</v>
      </c>
      <c r="E3794" t="s">
        <v>474</v>
      </c>
      <c r="F3794" s="11">
        <v>43498</v>
      </c>
      <c r="G3794" s="2">
        <f>VLOOKUP(E3794,Produtos!$A:$E,5,FALSE)</f>
        <v>1800</v>
      </c>
      <c r="H3794" s="2">
        <f>VLOOKUP(E3794,Produtos!$A:$E,4,FALSE)</f>
        <v>800</v>
      </c>
      <c r="I3794" s="2">
        <v>1</v>
      </c>
    </row>
    <row r="3795" spans="1:9" x14ac:dyDescent="0.25">
      <c r="A3795" s="2" t="str">
        <f>CONCATENATE(Códigos!S3794,Códigos!T3794,Códigos!U3794)</f>
        <v>svv3793v</v>
      </c>
      <c r="B3795" t="s">
        <v>338</v>
      </c>
      <c r="C3795" t="s">
        <v>480</v>
      </c>
      <c r="D3795" s="2" t="s">
        <v>482</v>
      </c>
      <c r="E3795" t="s">
        <v>474</v>
      </c>
      <c r="F3795" s="11">
        <v>43499</v>
      </c>
      <c r="G3795" s="2">
        <f>VLOOKUP(E3795,Produtos!$A:$E,5,FALSE)</f>
        <v>1800</v>
      </c>
      <c r="H3795" s="2">
        <f>VLOOKUP(E3795,Produtos!$A:$E,4,FALSE)</f>
        <v>800</v>
      </c>
      <c r="I3795" s="2">
        <v>1</v>
      </c>
    </row>
    <row r="3796" spans="1:9" x14ac:dyDescent="0.25">
      <c r="A3796" s="2" t="str">
        <f>CONCATENATE(Códigos!S3795,Códigos!T3795,Códigos!U3795)</f>
        <v>svv3794v</v>
      </c>
      <c r="B3796" t="s">
        <v>338</v>
      </c>
      <c r="C3796" t="s">
        <v>480</v>
      </c>
      <c r="D3796" s="2" t="s">
        <v>482</v>
      </c>
      <c r="E3796" t="s">
        <v>474</v>
      </c>
      <c r="F3796" s="11">
        <v>43500</v>
      </c>
      <c r="G3796" s="2">
        <f>VLOOKUP(E3796,Produtos!$A:$E,5,FALSE)</f>
        <v>1800</v>
      </c>
      <c r="H3796" s="2">
        <f>VLOOKUP(E3796,Produtos!$A:$E,4,FALSE)</f>
        <v>800</v>
      </c>
      <c r="I3796" s="2">
        <v>1</v>
      </c>
    </row>
    <row r="3797" spans="1:9" x14ac:dyDescent="0.25">
      <c r="A3797" s="2" t="str">
        <f>CONCATENATE(Códigos!S3796,Códigos!T3796,Códigos!U3796)</f>
        <v>svv3795v</v>
      </c>
      <c r="B3797" t="s">
        <v>338</v>
      </c>
      <c r="C3797" t="s">
        <v>480</v>
      </c>
      <c r="D3797" s="2" t="s">
        <v>482</v>
      </c>
      <c r="E3797" t="s">
        <v>474</v>
      </c>
      <c r="F3797" s="11">
        <v>43501</v>
      </c>
      <c r="G3797" s="2">
        <f>VLOOKUP(E3797,Produtos!$A:$E,5,FALSE)</f>
        <v>1800</v>
      </c>
      <c r="H3797" s="2">
        <f>VLOOKUP(E3797,Produtos!$A:$E,4,FALSE)</f>
        <v>800</v>
      </c>
      <c r="I3797" s="2">
        <v>1</v>
      </c>
    </row>
    <row r="3798" spans="1:9" x14ac:dyDescent="0.25">
      <c r="A3798" s="2" t="str">
        <f>CONCATENATE(Códigos!S3797,Códigos!T3797,Códigos!U3797)</f>
        <v>svv3796v</v>
      </c>
      <c r="B3798" t="s">
        <v>338</v>
      </c>
      <c r="C3798" t="s">
        <v>480</v>
      </c>
      <c r="D3798" s="2" t="s">
        <v>482</v>
      </c>
      <c r="E3798" t="s">
        <v>474</v>
      </c>
      <c r="F3798" s="11">
        <v>43502</v>
      </c>
      <c r="G3798" s="2">
        <f>VLOOKUP(E3798,Produtos!$A:$E,5,FALSE)</f>
        <v>1800</v>
      </c>
      <c r="H3798" s="2">
        <f>VLOOKUP(E3798,Produtos!$A:$E,4,FALSE)</f>
        <v>800</v>
      </c>
      <c r="I3798" s="2">
        <v>1</v>
      </c>
    </row>
    <row r="3799" spans="1:9" x14ac:dyDescent="0.25">
      <c r="A3799" s="2" t="str">
        <f>CONCATENATE(Códigos!S3798,Códigos!T3798,Códigos!U3798)</f>
        <v>svv3797v</v>
      </c>
      <c r="B3799" t="s">
        <v>338</v>
      </c>
      <c r="C3799" t="s">
        <v>480</v>
      </c>
      <c r="D3799" s="2" t="s">
        <v>482</v>
      </c>
      <c r="E3799" t="s">
        <v>474</v>
      </c>
      <c r="F3799" s="11">
        <v>43503</v>
      </c>
      <c r="G3799" s="2">
        <f>VLOOKUP(E3799,Produtos!$A:$E,5,FALSE)</f>
        <v>1800</v>
      </c>
      <c r="H3799" s="2">
        <f>VLOOKUP(E3799,Produtos!$A:$E,4,FALSE)</f>
        <v>800</v>
      </c>
      <c r="I3799" s="2">
        <v>1</v>
      </c>
    </row>
    <row r="3800" spans="1:9" x14ac:dyDescent="0.25">
      <c r="A3800" s="2" t="str">
        <f>CONCATENATE(Códigos!S3799,Códigos!T3799,Códigos!U3799)</f>
        <v>svv3798v</v>
      </c>
      <c r="B3800" t="s">
        <v>338</v>
      </c>
      <c r="C3800" t="s">
        <v>480</v>
      </c>
      <c r="D3800" s="2" t="s">
        <v>482</v>
      </c>
      <c r="E3800" t="s">
        <v>474</v>
      </c>
      <c r="F3800" s="11">
        <v>43504</v>
      </c>
      <c r="G3800" s="2">
        <f>VLOOKUP(E3800,Produtos!$A:$E,5,FALSE)</f>
        <v>1800</v>
      </c>
      <c r="H3800" s="2">
        <f>VLOOKUP(E3800,Produtos!$A:$E,4,FALSE)</f>
        <v>800</v>
      </c>
      <c r="I3800" s="2">
        <v>1</v>
      </c>
    </row>
    <row r="3801" spans="1:9" x14ac:dyDescent="0.25">
      <c r="A3801" s="2" t="str">
        <f>CONCATENATE(Códigos!S3800,Códigos!T3800,Códigos!U3800)</f>
        <v>svv3799v</v>
      </c>
      <c r="B3801" t="s">
        <v>338</v>
      </c>
      <c r="C3801" t="s">
        <v>480</v>
      </c>
      <c r="D3801" s="2" t="s">
        <v>482</v>
      </c>
      <c r="E3801" t="s">
        <v>474</v>
      </c>
      <c r="F3801" s="11">
        <v>43505</v>
      </c>
      <c r="G3801" s="2">
        <f>VLOOKUP(E3801,Produtos!$A:$E,5,FALSE)</f>
        <v>1800</v>
      </c>
      <c r="H3801" s="2">
        <f>VLOOKUP(E3801,Produtos!$A:$E,4,FALSE)</f>
        <v>800</v>
      </c>
      <c r="I3801" s="2">
        <v>1</v>
      </c>
    </row>
    <row r="3802" spans="1:9" x14ac:dyDescent="0.25">
      <c r="A3802" s="2" t="str">
        <f>CONCATENATE(Códigos!S3801,Códigos!T3801,Códigos!U3801)</f>
        <v>svv3800v</v>
      </c>
      <c r="B3802" t="s">
        <v>338</v>
      </c>
      <c r="C3802" t="s">
        <v>480</v>
      </c>
      <c r="D3802" s="2" t="s">
        <v>482</v>
      </c>
      <c r="E3802" t="s">
        <v>474</v>
      </c>
      <c r="F3802" s="11">
        <v>43506</v>
      </c>
      <c r="G3802" s="2">
        <f>VLOOKUP(E3802,Produtos!$A:$E,5,FALSE)</f>
        <v>1800</v>
      </c>
      <c r="H3802" s="2">
        <f>VLOOKUP(E3802,Produtos!$A:$E,4,FALSE)</f>
        <v>800</v>
      </c>
      <c r="I3802" s="2">
        <v>1</v>
      </c>
    </row>
    <row r="3803" spans="1:9" x14ac:dyDescent="0.25">
      <c r="A3803" s="2" t="str">
        <f>CONCATENATE(Códigos!S3802,Códigos!T3802,Códigos!U3802)</f>
        <v>svv3801v</v>
      </c>
      <c r="B3803" t="s">
        <v>338</v>
      </c>
      <c r="C3803" t="s">
        <v>480</v>
      </c>
      <c r="D3803" s="2" t="s">
        <v>482</v>
      </c>
      <c r="E3803" t="s">
        <v>474</v>
      </c>
      <c r="F3803" s="11">
        <v>43507</v>
      </c>
      <c r="G3803" s="2">
        <f>VLOOKUP(E3803,Produtos!$A:$E,5,FALSE)</f>
        <v>1800</v>
      </c>
      <c r="H3803" s="2">
        <f>VLOOKUP(E3803,Produtos!$A:$E,4,FALSE)</f>
        <v>800</v>
      </c>
      <c r="I3803" s="2">
        <v>1</v>
      </c>
    </row>
    <row r="3804" spans="1:9" x14ac:dyDescent="0.25">
      <c r="A3804" s="2" t="str">
        <f>CONCATENATE(Códigos!S3803,Códigos!T3803,Códigos!U3803)</f>
        <v>svv3802v</v>
      </c>
      <c r="B3804" t="s">
        <v>338</v>
      </c>
      <c r="C3804" t="s">
        <v>480</v>
      </c>
      <c r="D3804" s="2" t="s">
        <v>482</v>
      </c>
      <c r="E3804" t="s">
        <v>474</v>
      </c>
      <c r="F3804" s="11">
        <v>43508</v>
      </c>
      <c r="G3804" s="2">
        <f>VLOOKUP(E3804,Produtos!$A:$E,5,FALSE)</f>
        <v>1800</v>
      </c>
      <c r="H3804" s="2">
        <f>VLOOKUP(E3804,Produtos!$A:$E,4,FALSE)</f>
        <v>800</v>
      </c>
      <c r="I3804" s="2">
        <v>1</v>
      </c>
    </row>
    <row r="3805" spans="1:9" x14ac:dyDescent="0.25">
      <c r="A3805" s="2" t="str">
        <f>CONCATENATE(Códigos!S3804,Códigos!T3804,Códigos!U3804)</f>
        <v>svv3803v</v>
      </c>
      <c r="B3805" t="s">
        <v>338</v>
      </c>
      <c r="C3805" t="s">
        <v>480</v>
      </c>
      <c r="D3805" s="2" t="s">
        <v>482</v>
      </c>
      <c r="E3805" t="s">
        <v>474</v>
      </c>
      <c r="F3805" s="11">
        <v>43509</v>
      </c>
      <c r="G3805" s="2">
        <f>VLOOKUP(E3805,Produtos!$A:$E,5,FALSE)</f>
        <v>1800</v>
      </c>
      <c r="H3805" s="2">
        <f>VLOOKUP(E3805,Produtos!$A:$E,4,FALSE)</f>
        <v>800</v>
      </c>
      <c r="I3805" s="2">
        <v>1</v>
      </c>
    </row>
    <row r="3806" spans="1:9" x14ac:dyDescent="0.25">
      <c r="A3806" s="2" t="str">
        <f>CONCATENATE(Códigos!S3805,Códigos!T3805,Códigos!U3805)</f>
        <v>svv3804v</v>
      </c>
      <c r="B3806" t="s">
        <v>338</v>
      </c>
      <c r="C3806" t="s">
        <v>480</v>
      </c>
      <c r="D3806" s="2" t="s">
        <v>482</v>
      </c>
      <c r="E3806" t="s">
        <v>474</v>
      </c>
      <c r="F3806" s="11">
        <v>43510</v>
      </c>
      <c r="G3806" s="2">
        <f>VLOOKUP(E3806,Produtos!$A:$E,5,FALSE)</f>
        <v>1800</v>
      </c>
      <c r="H3806" s="2">
        <f>VLOOKUP(E3806,Produtos!$A:$E,4,FALSE)</f>
        <v>800</v>
      </c>
      <c r="I3806" s="2">
        <v>3</v>
      </c>
    </row>
    <row r="3807" spans="1:9" x14ac:dyDescent="0.25">
      <c r="A3807" s="2" t="str">
        <f>CONCATENATE(Códigos!S3806,Códigos!T3806,Códigos!U3806)</f>
        <v>svv3805v</v>
      </c>
      <c r="B3807" t="s">
        <v>338</v>
      </c>
      <c r="C3807" t="s">
        <v>480</v>
      </c>
      <c r="D3807" s="2" t="s">
        <v>482</v>
      </c>
      <c r="E3807" t="s">
        <v>474</v>
      </c>
      <c r="F3807" s="11">
        <v>43511</v>
      </c>
      <c r="G3807" s="2">
        <f>VLOOKUP(E3807,Produtos!$A:$E,5,FALSE)</f>
        <v>1800</v>
      </c>
      <c r="H3807" s="2">
        <f>VLOOKUP(E3807,Produtos!$A:$E,4,FALSE)</f>
        <v>800</v>
      </c>
      <c r="I3807" s="2">
        <v>3</v>
      </c>
    </row>
    <row r="3808" spans="1:9" x14ac:dyDescent="0.25">
      <c r="A3808" s="2" t="str">
        <f>CONCATENATE(Códigos!S3807,Códigos!T3807,Códigos!U3807)</f>
        <v>svv3806v</v>
      </c>
      <c r="B3808" t="s">
        <v>338</v>
      </c>
      <c r="C3808" t="s">
        <v>480</v>
      </c>
      <c r="D3808" s="2" t="s">
        <v>482</v>
      </c>
      <c r="E3808" t="s">
        <v>474</v>
      </c>
      <c r="F3808" s="11">
        <v>43512</v>
      </c>
      <c r="G3808" s="2">
        <f>VLOOKUP(E3808,Produtos!$A:$E,5,FALSE)</f>
        <v>1800</v>
      </c>
      <c r="H3808" s="2">
        <f>VLOOKUP(E3808,Produtos!$A:$E,4,FALSE)</f>
        <v>800</v>
      </c>
      <c r="I3808" s="2">
        <v>3</v>
      </c>
    </row>
    <row r="3809" spans="1:9" x14ac:dyDescent="0.25">
      <c r="A3809" s="2" t="str">
        <f>CONCATENATE(Códigos!S3808,Códigos!T3808,Códigos!U3808)</f>
        <v>svv3807v</v>
      </c>
      <c r="B3809" t="s">
        <v>338</v>
      </c>
      <c r="C3809" t="s">
        <v>480</v>
      </c>
      <c r="D3809" s="2" t="s">
        <v>482</v>
      </c>
      <c r="E3809" t="s">
        <v>474</v>
      </c>
      <c r="F3809" s="11">
        <v>43513</v>
      </c>
      <c r="G3809" s="2">
        <f>VLOOKUP(E3809,Produtos!$A:$E,5,FALSE)</f>
        <v>1800</v>
      </c>
      <c r="H3809" s="2">
        <f>VLOOKUP(E3809,Produtos!$A:$E,4,FALSE)</f>
        <v>800</v>
      </c>
      <c r="I3809" s="2">
        <v>3</v>
      </c>
    </row>
    <row r="3810" spans="1:9" x14ac:dyDescent="0.25">
      <c r="A3810" s="2" t="str">
        <f>CONCATENATE(Códigos!S3809,Códigos!T3809,Códigos!U3809)</f>
        <v>svv3808v</v>
      </c>
      <c r="B3810" t="s">
        <v>338</v>
      </c>
      <c r="C3810" t="s">
        <v>480</v>
      </c>
      <c r="D3810" s="2" t="s">
        <v>482</v>
      </c>
      <c r="E3810" t="s">
        <v>474</v>
      </c>
      <c r="F3810" s="11">
        <v>43514</v>
      </c>
      <c r="G3810" s="2">
        <f>VLOOKUP(E3810,Produtos!$A:$E,5,FALSE)</f>
        <v>1800</v>
      </c>
      <c r="H3810" s="2">
        <f>VLOOKUP(E3810,Produtos!$A:$E,4,FALSE)</f>
        <v>800</v>
      </c>
      <c r="I3810" s="2">
        <v>3</v>
      </c>
    </row>
    <row r="3811" spans="1:9" x14ac:dyDescent="0.25">
      <c r="A3811" s="2" t="str">
        <f>CONCATENATE(Códigos!S3810,Códigos!T3810,Códigos!U3810)</f>
        <v>svv3809v</v>
      </c>
      <c r="B3811" t="s">
        <v>338</v>
      </c>
      <c r="C3811" t="s">
        <v>480</v>
      </c>
      <c r="D3811" s="2" t="s">
        <v>482</v>
      </c>
      <c r="E3811" t="s">
        <v>474</v>
      </c>
      <c r="F3811" s="11">
        <v>43515</v>
      </c>
      <c r="G3811" s="2">
        <f>VLOOKUP(E3811,Produtos!$A:$E,5,FALSE)</f>
        <v>1800</v>
      </c>
      <c r="H3811" s="2">
        <f>VLOOKUP(E3811,Produtos!$A:$E,4,FALSE)</f>
        <v>800</v>
      </c>
      <c r="I3811" s="2">
        <v>3</v>
      </c>
    </row>
    <row r="3812" spans="1:9" x14ac:dyDescent="0.25">
      <c r="A3812" s="2" t="str">
        <f>CONCATENATE(Códigos!S3811,Códigos!T3811,Códigos!U3811)</f>
        <v>svv3810v</v>
      </c>
      <c r="B3812" t="s">
        <v>338</v>
      </c>
      <c r="C3812" t="s">
        <v>480</v>
      </c>
      <c r="D3812" s="2" t="s">
        <v>482</v>
      </c>
      <c r="E3812" t="s">
        <v>473</v>
      </c>
      <c r="F3812" s="11">
        <v>43516</v>
      </c>
      <c r="G3812" s="2">
        <f>VLOOKUP(E3812,Produtos!$A:$E,5,FALSE)</f>
        <v>3200</v>
      </c>
      <c r="H3812" s="2">
        <f>VLOOKUP(E3812,Produtos!$A:$E,4,FALSE)</f>
        <v>1200</v>
      </c>
      <c r="I3812" s="2">
        <v>3</v>
      </c>
    </row>
    <row r="3813" spans="1:9" x14ac:dyDescent="0.25">
      <c r="A3813" s="2" t="str">
        <f>CONCATENATE(Códigos!S3812,Códigos!T3812,Códigos!U3812)</f>
        <v>svv3811v</v>
      </c>
      <c r="B3813" t="s">
        <v>338</v>
      </c>
      <c r="C3813" t="s">
        <v>480</v>
      </c>
      <c r="D3813" s="2" t="s">
        <v>482</v>
      </c>
      <c r="E3813" t="s">
        <v>473</v>
      </c>
      <c r="F3813" s="11">
        <v>43517</v>
      </c>
      <c r="G3813" s="2">
        <f>VLOOKUP(E3813,Produtos!$A:$E,5,FALSE)</f>
        <v>3200</v>
      </c>
      <c r="H3813" s="2">
        <f>VLOOKUP(E3813,Produtos!$A:$E,4,FALSE)</f>
        <v>1200</v>
      </c>
      <c r="I3813" s="2">
        <v>3</v>
      </c>
    </row>
    <row r="3814" spans="1:9" x14ac:dyDescent="0.25">
      <c r="A3814" s="2" t="str">
        <f>CONCATENATE(Códigos!S3813,Códigos!T3813,Códigos!U3813)</f>
        <v>svv3812v</v>
      </c>
      <c r="B3814" t="s">
        <v>338</v>
      </c>
      <c r="C3814" t="s">
        <v>480</v>
      </c>
      <c r="D3814" s="2" t="s">
        <v>482</v>
      </c>
      <c r="E3814" t="s">
        <v>473</v>
      </c>
      <c r="F3814" s="11">
        <v>43518</v>
      </c>
      <c r="G3814" s="2">
        <f>VLOOKUP(E3814,Produtos!$A:$E,5,FALSE)</f>
        <v>3200</v>
      </c>
      <c r="H3814" s="2">
        <f>VLOOKUP(E3814,Produtos!$A:$E,4,FALSE)</f>
        <v>1200</v>
      </c>
      <c r="I3814" s="2">
        <v>3</v>
      </c>
    </row>
    <row r="3815" spans="1:9" x14ac:dyDescent="0.25">
      <c r="A3815" s="2" t="str">
        <f>CONCATENATE(Códigos!S3814,Códigos!T3814,Códigos!U3814)</f>
        <v>svv3813v</v>
      </c>
      <c r="B3815" t="s">
        <v>338</v>
      </c>
      <c r="C3815" t="s">
        <v>480</v>
      </c>
      <c r="D3815" s="2" t="s">
        <v>482</v>
      </c>
      <c r="E3815" t="s">
        <v>473</v>
      </c>
      <c r="F3815" s="11">
        <v>43519</v>
      </c>
      <c r="G3815" s="2">
        <f>VLOOKUP(E3815,Produtos!$A:$E,5,FALSE)</f>
        <v>3200</v>
      </c>
      <c r="H3815" s="2">
        <f>VLOOKUP(E3815,Produtos!$A:$E,4,FALSE)</f>
        <v>1200</v>
      </c>
      <c r="I3815" s="2">
        <v>3</v>
      </c>
    </row>
    <row r="3816" spans="1:9" x14ac:dyDescent="0.25">
      <c r="A3816" s="2" t="str">
        <f>CONCATENATE(Códigos!S3815,Códigos!T3815,Códigos!U3815)</f>
        <v>svv3814v</v>
      </c>
      <c r="B3816" t="s">
        <v>338</v>
      </c>
      <c r="C3816" t="s">
        <v>480</v>
      </c>
      <c r="D3816" s="2" t="s">
        <v>482</v>
      </c>
      <c r="E3816" t="s">
        <v>473</v>
      </c>
      <c r="F3816" s="11">
        <v>43520</v>
      </c>
      <c r="G3816" s="2">
        <f>VLOOKUP(E3816,Produtos!$A:$E,5,FALSE)</f>
        <v>3200</v>
      </c>
      <c r="H3816" s="2">
        <f>VLOOKUP(E3816,Produtos!$A:$E,4,FALSE)</f>
        <v>1200</v>
      </c>
      <c r="I3816" s="2">
        <v>3</v>
      </c>
    </row>
    <row r="3817" spans="1:9" x14ac:dyDescent="0.25">
      <c r="A3817" s="2" t="str">
        <f>CONCATENATE(Códigos!S3816,Códigos!T3816,Códigos!U3816)</f>
        <v>svv3815v</v>
      </c>
      <c r="B3817" t="s">
        <v>338</v>
      </c>
      <c r="C3817" t="s">
        <v>480</v>
      </c>
      <c r="D3817" s="2" t="s">
        <v>482</v>
      </c>
      <c r="E3817" t="s">
        <v>473</v>
      </c>
      <c r="F3817" s="11">
        <v>43521</v>
      </c>
      <c r="G3817" s="2">
        <f>VLOOKUP(E3817,Produtos!$A:$E,5,FALSE)</f>
        <v>3200</v>
      </c>
      <c r="H3817" s="2">
        <f>VLOOKUP(E3817,Produtos!$A:$E,4,FALSE)</f>
        <v>1200</v>
      </c>
      <c r="I3817" s="2">
        <v>3</v>
      </c>
    </row>
    <row r="3818" spans="1:9" x14ac:dyDescent="0.25">
      <c r="A3818" s="2" t="str">
        <f>CONCATENATE(Códigos!S3817,Códigos!T3817,Códigos!U3817)</f>
        <v>svv3816v</v>
      </c>
      <c r="B3818" t="s">
        <v>338</v>
      </c>
      <c r="C3818" t="s">
        <v>480</v>
      </c>
      <c r="D3818" s="2" t="s">
        <v>482</v>
      </c>
      <c r="E3818" t="s">
        <v>473</v>
      </c>
      <c r="F3818" s="11">
        <v>43522</v>
      </c>
      <c r="G3818" s="2">
        <f>VLOOKUP(E3818,Produtos!$A:$E,5,FALSE)</f>
        <v>3200</v>
      </c>
      <c r="H3818" s="2">
        <f>VLOOKUP(E3818,Produtos!$A:$E,4,FALSE)</f>
        <v>1200</v>
      </c>
      <c r="I3818" s="2">
        <v>3</v>
      </c>
    </row>
    <row r="3819" spans="1:9" x14ac:dyDescent="0.25">
      <c r="A3819" s="2" t="str">
        <f>CONCATENATE(Códigos!S3818,Códigos!T3818,Códigos!U3818)</f>
        <v>svv3817v</v>
      </c>
      <c r="B3819" t="s">
        <v>338</v>
      </c>
      <c r="C3819" t="s">
        <v>480</v>
      </c>
      <c r="D3819" s="2" t="s">
        <v>482</v>
      </c>
      <c r="E3819" t="s">
        <v>473</v>
      </c>
      <c r="F3819" s="11">
        <v>43523</v>
      </c>
      <c r="G3819" s="2">
        <f>VLOOKUP(E3819,Produtos!$A:$E,5,FALSE)</f>
        <v>3200</v>
      </c>
      <c r="H3819" s="2">
        <f>VLOOKUP(E3819,Produtos!$A:$E,4,FALSE)</f>
        <v>1200</v>
      </c>
      <c r="I3819" s="2">
        <v>3</v>
      </c>
    </row>
    <row r="3820" spans="1:9" x14ac:dyDescent="0.25">
      <c r="A3820" s="2" t="str">
        <f>CONCATENATE(Códigos!S3819,Códigos!T3819,Códigos!U3819)</f>
        <v>svv3818v</v>
      </c>
      <c r="B3820" t="s">
        <v>338</v>
      </c>
      <c r="C3820" t="s">
        <v>480</v>
      </c>
      <c r="D3820" s="2" t="s">
        <v>482</v>
      </c>
      <c r="E3820" t="s">
        <v>473</v>
      </c>
      <c r="F3820" s="11">
        <v>43524</v>
      </c>
      <c r="G3820" s="2">
        <f>VLOOKUP(E3820,Produtos!$A:$E,5,FALSE)</f>
        <v>3200</v>
      </c>
      <c r="H3820" s="2">
        <f>VLOOKUP(E3820,Produtos!$A:$E,4,FALSE)</f>
        <v>1200</v>
      </c>
      <c r="I3820" s="2">
        <v>3</v>
      </c>
    </row>
    <row r="3821" spans="1:9" x14ac:dyDescent="0.25">
      <c r="A3821" s="2" t="str">
        <f>CONCATENATE(Códigos!S3820,Códigos!T3820,Códigos!U3820)</f>
        <v>svv3819v</v>
      </c>
      <c r="B3821" t="s">
        <v>338</v>
      </c>
      <c r="C3821" t="s">
        <v>480</v>
      </c>
      <c r="D3821" s="2" t="s">
        <v>482</v>
      </c>
      <c r="E3821" t="s">
        <v>473</v>
      </c>
      <c r="F3821" s="11">
        <v>43525</v>
      </c>
      <c r="G3821" s="2">
        <f>VLOOKUP(E3821,Produtos!$A:$E,5,FALSE)</f>
        <v>3200</v>
      </c>
      <c r="H3821" s="2">
        <f>VLOOKUP(E3821,Produtos!$A:$E,4,FALSE)</f>
        <v>1200</v>
      </c>
      <c r="I3821" s="2">
        <v>3</v>
      </c>
    </row>
    <row r="3822" spans="1:9" x14ac:dyDescent="0.25">
      <c r="A3822" s="2" t="str">
        <f>CONCATENATE(Códigos!S3821,Códigos!T3821,Códigos!U3821)</f>
        <v>svv3820v</v>
      </c>
      <c r="B3822" t="s">
        <v>338</v>
      </c>
      <c r="C3822" t="s">
        <v>480</v>
      </c>
      <c r="D3822" s="2" t="s">
        <v>482</v>
      </c>
      <c r="E3822" t="s">
        <v>473</v>
      </c>
      <c r="F3822" s="11">
        <v>43526</v>
      </c>
      <c r="G3822" s="2">
        <f>VLOOKUP(E3822,Produtos!$A:$E,5,FALSE)</f>
        <v>3200</v>
      </c>
      <c r="H3822" s="2">
        <f>VLOOKUP(E3822,Produtos!$A:$E,4,FALSE)</f>
        <v>1200</v>
      </c>
      <c r="I3822" s="2">
        <v>3</v>
      </c>
    </row>
    <row r="3823" spans="1:9" x14ac:dyDescent="0.25">
      <c r="A3823" s="2" t="str">
        <f>CONCATENATE(Códigos!S3822,Códigos!T3822,Códigos!U3822)</f>
        <v>svv3821v</v>
      </c>
      <c r="B3823" t="s">
        <v>338</v>
      </c>
      <c r="C3823" t="s">
        <v>480</v>
      </c>
      <c r="D3823" s="2" t="s">
        <v>482</v>
      </c>
      <c r="E3823" t="s">
        <v>473</v>
      </c>
      <c r="F3823" s="11">
        <v>43527</v>
      </c>
      <c r="G3823" s="2">
        <f>VLOOKUP(E3823,Produtos!$A:$E,5,FALSE)</f>
        <v>3200</v>
      </c>
      <c r="H3823" s="2">
        <f>VLOOKUP(E3823,Produtos!$A:$E,4,FALSE)</f>
        <v>1200</v>
      </c>
      <c r="I3823" s="2">
        <v>3</v>
      </c>
    </row>
    <row r="3824" spans="1:9" x14ac:dyDescent="0.25">
      <c r="A3824" s="2" t="str">
        <f>CONCATENATE(Códigos!S3823,Códigos!T3823,Códigos!U3823)</f>
        <v>svv3822v</v>
      </c>
      <c r="B3824" t="s">
        <v>338</v>
      </c>
      <c r="C3824" t="s">
        <v>480</v>
      </c>
      <c r="D3824" s="2" t="s">
        <v>482</v>
      </c>
      <c r="E3824" t="s">
        <v>473</v>
      </c>
      <c r="F3824" s="11">
        <v>43528</v>
      </c>
      <c r="G3824" s="2">
        <f>VLOOKUP(E3824,Produtos!$A:$E,5,FALSE)</f>
        <v>3200</v>
      </c>
      <c r="H3824" s="2">
        <f>VLOOKUP(E3824,Produtos!$A:$E,4,FALSE)</f>
        <v>1200</v>
      </c>
      <c r="I3824" s="2">
        <v>3</v>
      </c>
    </row>
    <row r="3825" spans="1:9" x14ac:dyDescent="0.25">
      <c r="A3825" s="2" t="str">
        <f>CONCATENATE(Códigos!S3824,Códigos!T3824,Códigos!U3824)</f>
        <v>svv3823v</v>
      </c>
      <c r="B3825" t="s">
        <v>338</v>
      </c>
      <c r="C3825" t="s">
        <v>480</v>
      </c>
      <c r="D3825" s="2" t="s">
        <v>482</v>
      </c>
      <c r="E3825" t="s">
        <v>473</v>
      </c>
      <c r="F3825" s="11">
        <v>43529</v>
      </c>
      <c r="G3825" s="2">
        <f>VLOOKUP(E3825,Produtos!$A:$E,5,FALSE)</f>
        <v>3200</v>
      </c>
      <c r="H3825" s="2">
        <f>VLOOKUP(E3825,Produtos!$A:$E,4,FALSE)</f>
        <v>1200</v>
      </c>
      <c r="I3825" s="2">
        <v>3</v>
      </c>
    </row>
    <row r="3826" spans="1:9" x14ac:dyDescent="0.25">
      <c r="A3826" s="2" t="str">
        <f>CONCATENATE(Códigos!S3825,Códigos!T3825,Códigos!U3825)</f>
        <v>svv3824v</v>
      </c>
      <c r="B3826" t="s">
        <v>338</v>
      </c>
      <c r="C3826" t="s">
        <v>480</v>
      </c>
      <c r="D3826" s="2" t="s">
        <v>482</v>
      </c>
      <c r="E3826" t="s">
        <v>473</v>
      </c>
      <c r="F3826" s="11">
        <v>43530</v>
      </c>
      <c r="G3826" s="2">
        <f>VLOOKUP(E3826,Produtos!$A:$E,5,FALSE)</f>
        <v>3200</v>
      </c>
      <c r="H3826" s="2">
        <f>VLOOKUP(E3826,Produtos!$A:$E,4,FALSE)</f>
        <v>1200</v>
      </c>
      <c r="I3826" s="2">
        <v>3</v>
      </c>
    </row>
    <row r="3827" spans="1:9" x14ac:dyDescent="0.25">
      <c r="A3827" s="2" t="str">
        <f>CONCATENATE(Códigos!S3826,Códigos!T3826,Códigos!U3826)</f>
        <v>svv3825v</v>
      </c>
      <c r="B3827" t="s">
        <v>338</v>
      </c>
      <c r="C3827" t="s">
        <v>480</v>
      </c>
      <c r="D3827" s="2" t="s">
        <v>482</v>
      </c>
      <c r="E3827" t="s">
        <v>473</v>
      </c>
      <c r="F3827" s="11">
        <v>43531</v>
      </c>
      <c r="G3827" s="2">
        <f>VLOOKUP(E3827,Produtos!$A:$E,5,FALSE)</f>
        <v>3200</v>
      </c>
      <c r="H3827" s="2">
        <f>VLOOKUP(E3827,Produtos!$A:$E,4,FALSE)</f>
        <v>1200</v>
      </c>
      <c r="I3827" s="2">
        <v>3</v>
      </c>
    </row>
    <row r="3828" spans="1:9" x14ac:dyDescent="0.25">
      <c r="A3828" s="2" t="str">
        <f>CONCATENATE(Códigos!S3827,Códigos!T3827,Códigos!U3827)</f>
        <v>svv3826v</v>
      </c>
      <c r="B3828" t="s">
        <v>338</v>
      </c>
      <c r="C3828" t="s">
        <v>480</v>
      </c>
      <c r="D3828" s="2" t="s">
        <v>482</v>
      </c>
      <c r="E3828" t="s">
        <v>473</v>
      </c>
      <c r="F3828" s="11">
        <v>43532</v>
      </c>
      <c r="G3828" s="2">
        <f>VLOOKUP(E3828,Produtos!$A:$E,5,FALSE)</f>
        <v>3200</v>
      </c>
      <c r="H3828" s="2">
        <f>VLOOKUP(E3828,Produtos!$A:$E,4,FALSE)</f>
        <v>1200</v>
      </c>
      <c r="I3828" s="2">
        <v>3</v>
      </c>
    </row>
    <row r="3829" spans="1:9" x14ac:dyDescent="0.25">
      <c r="A3829" s="2" t="str">
        <f>CONCATENATE(Códigos!S3828,Códigos!T3828,Códigos!U3828)</f>
        <v>svv3827v</v>
      </c>
      <c r="B3829" t="s">
        <v>338</v>
      </c>
      <c r="C3829" t="s">
        <v>480</v>
      </c>
      <c r="D3829" s="2" t="s">
        <v>482</v>
      </c>
      <c r="E3829" t="s">
        <v>473</v>
      </c>
      <c r="F3829" s="11">
        <v>43533</v>
      </c>
      <c r="G3829" s="2">
        <f>VLOOKUP(E3829,Produtos!$A:$E,5,FALSE)</f>
        <v>3200</v>
      </c>
      <c r="H3829" s="2">
        <f>VLOOKUP(E3829,Produtos!$A:$E,4,FALSE)</f>
        <v>1200</v>
      </c>
      <c r="I3829" s="2">
        <v>3</v>
      </c>
    </row>
    <row r="3830" spans="1:9" x14ac:dyDescent="0.25">
      <c r="A3830" s="2" t="str">
        <f>CONCATENATE(Códigos!S3829,Códigos!T3829,Códigos!U3829)</f>
        <v>svv3828v</v>
      </c>
      <c r="B3830" t="s">
        <v>338</v>
      </c>
      <c r="C3830" t="s">
        <v>480</v>
      </c>
      <c r="D3830" s="2" t="s">
        <v>482</v>
      </c>
      <c r="E3830" t="s">
        <v>473</v>
      </c>
      <c r="F3830" s="11">
        <v>43534</v>
      </c>
      <c r="G3830" s="2">
        <f>VLOOKUP(E3830,Produtos!$A:$E,5,FALSE)</f>
        <v>3200</v>
      </c>
      <c r="H3830" s="2">
        <f>VLOOKUP(E3830,Produtos!$A:$E,4,FALSE)</f>
        <v>1200</v>
      </c>
      <c r="I3830" s="2">
        <v>3</v>
      </c>
    </row>
    <row r="3831" spans="1:9" x14ac:dyDescent="0.25">
      <c r="A3831" s="2" t="str">
        <f>CONCATENATE(Códigos!S3830,Códigos!T3830,Códigos!U3830)</f>
        <v>svv3829v</v>
      </c>
      <c r="B3831" t="s">
        <v>338</v>
      </c>
      <c r="C3831" t="s">
        <v>480</v>
      </c>
      <c r="D3831" s="2" t="s">
        <v>482</v>
      </c>
      <c r="E3831" t="s">
        <v>473</v>
      </c>
      <c r="F3831" s="11">
        <v>43535</v>
      </c>
      <c r="G3831" s="2">
        <f>VLOOKUP(E3831,Produtos!$A:$E,5,FALSE)</f>
        <v>3200</v>
      </c>
      <c r="H3831" s="2">
        <f>VLOOKUP(E3831,Produtos!$A:$E,4,FALSE)</f>
        <v>1200</v>
      </c>
      <c r="I3831" s="2">
        <v>3</v>
      </c>
    </row>
    <row r="3832" spans="1:9" x14ac:dyDescent="0.25">
      <c r="A3832" s="2" t="str">
        <f>CONCATENATE(Códigos!S3831,Códigos!T3831,Códigos!U3831)</f>
        <v>svv3830v</v>
      </c>
      <c r="B3832" t="s">
        <v>338</v>
      </c>
      <c r="C3832" t="s">
        <v>480</v>
      </c>
      <c r="D3832" s="2" t="s">
        <v>482</v>
      </c>
      <c r="E3832" t="s">
        <v>473</v>
      </c>
      <c r="F3832" s="11">
        <v>43536</v>
      </c>
      <c r="G3832" s="2">
        <f>VLOOKUP(E3832,Produtos!$A:$E,5,FALSE)</f>
        <v>3200</v>
      </c>
      <c r="H3832" s="2">
        <f>VLOOKUP(E3832,Produtos!$A:$E,4,FALSE)</f>
        <v>1200</v>
      </c>
      <c r="I3832" s="2">
        <v>3</v>
      </c>
    </row>
    <row r="3833" spans="1:9" x14ac:dyDescent="0.25">
      <c r="A3833" s="2" t="str">
        <f>CONCATENATE(Códigos!S3832,Códigos!T3832,Códigos!U3832)</f>
        <v>svv3831v</v>
      </c>
      <c r="B3833" t="s">
        <v>338</v>
      </c>
      <c r="C3833" t="s">
        <v>479</v>
      </c>
      <c r="D3833" s="2" t="s">
        <v>373</v>
      </c>
      <c r="E3833" t="s">
        <v>468</v>
      </c>
      <c r="F3833" s="11">
        <v>43537</v>
      </c>
      <c r="G3833" s="2">
        <f>VLOOKUP(E3833,Produtos!$A:$E,5,FALSE)</f>
        <v>3000</v>
      </c>
      <c r="H3833" s="2">
        <f>VLOOKUP(E3833,Produtos!$A:$E,4,FALSE)</f>
        <v>1000</v>
      </c>
      <c r="I3833" s="2">
        <v>3</v>
      </c>
    </row>
    <row r="3834" spans="1:9" x14ac:dyDescent="0.25">
      <c r="A3834" s="2" t="str">
        <f>CONCATENATE(Códigos!S3833,Códigos!T3833,Códigos!U3833)</f>
        <v>svv3832v</v>
      </c>
      <c r="B3834" t="s">
        <v>338</v>
      </c>
      <c r="C3834" t="s">
        <v>479</v>
      </c>
      <c r="D3834" s="2" t="s">
        <v>373</v>
      </c>
      <c r="E3834" t="s">
        <v>468</v>
      </c>
      <c r="F3834" s="11">
        <v>43538</v>
      </c>
      <c r="G3834" s="2">
        <f>VLOOKUP(E3834,Produtos!$A:$E,5,FALSE)</f>
        <v>3000</v>
      </c>
      <c r="H3834" s="2">
        <f>VLOOKUP(E3834,Produtos!$A:$E,4,FALSE)</f>
        <v>1000</v>
      </c>
      <c r="I3834" s="2">
        <v>3</v>
      </c>
    </row>
    <row r="3835" spans="1:9" x14ac:dyDescent="0.25">
      <c r="A3835" s="2" t="str">
        <f>CONCATENATE(Códigos!S3834,Códigos!T3834,Códigos!U3834)</f>
        <v>svv3833v</v>
      </c>
      <c r="B3835" t="s">
        <v>338</v>
      </c>
      <c r="C3835" t="s">
        <v>479</v>
      </c>
      <c r="D3835" s="2" t="s">
        <v>373</v>
      </c>
      <c r="E3835" t="s">
        <v>468</v>
      </c>
      <c r="F3835" s="11">
        <v>43539</v>
      </c>
      <c r="G3835" s="2">
        <f>VLOOKUP(E3835,Produtos!$A:$E,5,FALSE)</f>
        <v>3000</v>
      </c>
      <c r="H3835" s="2">
        <f>VLOOKUP(E3835,Produtos!$A:$E,4,FALSE)</f>
        <v>1000</v>
      </c>
      <c r="I3835" s="2">
        <v>3</v>
      </c>
    </row>
    <row r="3836" spans="1:9" x14ac:dyDescent="0.25">
      <c r="A3836" s="2" t="str">
        <f>CONCATENATE(Códigos!S3835,Códigos!T3835,Códigos!U3835)</f>
        <v>svv3834v</v>
      </c>
      <c r="B3836" t="s">
        <v>338</v>
      </c>
      <c r="C3836" t="s">
        <v>479</v>
      </c>
      <c r="D3836" s="2" t="s">
        <v>373</v>
      </c>
      <c r="E3836" t="s">
        <v>468</v>
      </c>
      <c r="F3836" s="11">
        <v>43540</v>
      </c>
      <c r="G3836" s="2">
        <f>VLOOKUP(E3836,Produtos!$A:$E,5,FALSE)</f>
        <v>3000</v>
      </c>
      <c r="H3836" s="2">
        <f>VLOOKUP(E3836,Produtos!$A:$E,4,FALSE)</f>
        <v>1000</v>
      </c>
      <c r="I3836" s="2">
        <v>3</v>
      </c>
    </row>
    <row r="3837" spans="1:9" x14ac:dyDescent="0.25">
      <c r="A3837" s="2" t="str">
        <f>CONCATENATE(Códigos!S3836,Códigos!T3836,Códigos!U3836)</f>
        <v>svv3835v</v>
      </c>
      <c r="B3837" t="s">
        <v>338</v>
      </c>
      <c r="C3837" t="s">
        <v>479</v>
      </c>
      <c r="D3837" s="2" t="s">
        <v>373</v>
      </c>
      <c r="E3837" t="s">
        <v>468</v>
      </c>
      <c r="F3837" s="11">
        <v>43541</v>
      </c>
      <c r="G3837" s="2">
        <f>VLOOKUP(E3837,Produtos!$A:$E,5,FALSE)</f>
        <v>3000</v>
      </c>
      <c r="H3837" s="2">
        <f>VLOOKUP(E3837,Produtos!$A:$E,4,FALSE)</f>
        <v>1000</v>
      </c>
      <c r="I3837" s="2">
        <v>3</v>
      </c>
    </row>
    <row r="3838" spans="1:9" x14ac:dyDescent="0.25">
      <c r="A3838" s="2" t="str">
        <f>CONCATENATE(Códigos!S3837,Códigos!T3837,Códigos!U3837)</f>
        <v>svv3836v</v>
      </c>
      <c r="B3838" t="s">
        <v>338</v>
      </c>
      <c r="C3838" t="s">
        <v>479</v>
      </c>
      <c r="D3838" s="2" t="s">
        <v>373</v>
      </c>
      <c r="E3838" t="s">
        <v>468</v>
      </c>
      <c r="F3838" s="11">
        <v>43542</v>
      </c>
      <c r="G3838" s="2">
        <f>VLOOKUP(E3838,Produtos!$A:$E,5,FALSE)</f>
        <v>3000</v>
      </c>
      <c r="H3838" s="2">
        <f>VLOOKUP(E3838,Produtos!$A:$E,4,FALSE)</f>
        <v>1000</v>
      </c>
      <c r="I3838" s="2">
        <v>3</v>
      </c>
    </row>
    <row r="3839" spans="1:9" x14ac:dyDescent="0.25">
      <c r="A3839" s="2" t="str">
        <f>CONCATENATE(Códigos!S3838,Códigos!T3838,Códigos!U3838)</f>
        <v>svv3837v</v>
      </c>
      <c r="B3839" t="s">
        <v>338</v>
      </c>
      <c r="C3839" t="s">
        <v>479</v>
      </c>
      <c r="D3839" s="2" t="s">
        <v>373</v>
      </c>
      <c r="E3839" t="s">
        <v>468</v>
      </c>
      <c r="F3839" s="11">
        <v>43543</v>
      </c>
      <c r="G3839" s="2">
        <f>VLOOKUP(E3839,Produtos!$A:$E,5,FALSE)</f>
        <v>3000</v>
      </c>
      <c r="H3839" s="2">
        <f>VLOOKUP(E3839,Produtos!$A:$E,4,FALSE)</f>
        <v>1000</v>
      </c>
      <c r="I3839" s="2">
        <v>3</v>
      </c>
    </row>
    <row r="3840" spans="1:9" x14ac:dyDescent="0.25">
      <c r="A3840" s="2" t="str">
        <f>CONCATENATE(Códigos!S3839,Códigos!T3839,Códigos!U3839)</f>
        <v>svv3838v</v>
      </c>
      <c r="B3840" t="s">
        <v>338</v>
      </c>
      <c r="C3840" t="s">
        <v>479</v>
      </c>
      <c r="D3840" s="2" t="s">
        <v>373</v>
      </c>
      <c r="E3840" t="s">
        <v>468</v>
      </c>
      <c r="F3840" s="11">
        <v>43544</v>
      </c>
      <c r="G3840" s="2">
        <f>VLOOKUP(E3840,Produtos!$A:$E,5,FALSE)</f>
        <v>3000</v>
      </c>
      <c r="H3840" s="2">
        <f>VLOOKUP(E3840,Produtos!$A:$E,4,FALSE)</f>
        <v>1000</v>
      </c>
      <c r="I3840" s="2">
        <v>3</v>
      </c>
    </row>
    <row r="3841" spans="1:9" x14ac:dyDescent="0.25">
      <c r="A3841" s="2" t="str">
        <f>CONCATENATE(Códigos!S3840,Códigos!T3840,Códigos!U3840)</f>
        <v>svv3839v</v>
      </c>
      <c r="B3841" t="s">
        <v>338</v>
      </c>
      <c r="C3841" t="s">
        <v>479</v>
      </c>
      <c r="D3841" s="2" t="s">
        <v>373</v>
      </c>
      <c r="E3841" t="s">
        <v>468</v>
      </c>
      <c r="F3841" s="11">
        <v>43545</v>
      </c>
      <c r="G3841" s="2">
        <f>VLOOKUP(E3841,Produtos!$A:$E,5,FALSE)</f>
        <v>3000</v>
      </c>
      <c r="H3841" s="2">
        <f>VLOOKUP(E3841,Produtos!$A:$E,4,FALSE)</f>
        <v>1000</v>
      </c>
      <c r="I3841" s="2">
        <v>3</v>
      </c>
    </row>
    <row r="3842" spans="1:9" x14ac:dyDescent="0.25">
      <c r="A3842" s="2" t="str">
        <f>CONCATENATE(Códigos!S3841,Códigos!T3841,Códigos!U3841)</f>
        <v>svv3840v</v>
      </c>
      <c r="B3842" t="s">
        <v>338</v>
      </c>
      <c r="C3842" t="s">
        <v>479</v>
      </c>
      <c r="D3842" s="2" t="s">
        <v>373</v>
      </c>
      <c r="E3842" t="s">
        <v>468</v>
      </c>
      <c r="F3842" s="11">
        <v>43546</v>
      </c>
      <c r="G3842" s="2">
        <f>VLOOKUP(E3842,Produtos!$A:$E,5,FALSE)</f>
        <v>3000</v>
      </c>
      <c r="H3842" s="2">
        <f>VLOOKUP(E3842,Produtos!$A:$E,4,FALSE)</f>
        <v>1000</v>
      </c>
      <c r="I3842" s="2">
        <v>3</v>
      </c>
    </row>
    <row r="3843" spans="1:9" x14ac:dyDescent="0.25">
      <c r="A3843" s="2" t="str">
        <f>CONCATENATE(Códigos!S3842,Códigos!T3842,Códigos!U3842)</f>
        <v>svv3841v</v>
      </c>
      <c r="B3843" t="s">
        <v>338</v>
      </c>
      <c r="C3843" t="s">
        <v>479</v>
      </c>
      <c r="D3843" s="2" t="s">
        <v>373</v>
      </c>
      <c r="E3843" t="s">
        <v>468</v>
      </c>
      <c r="F3843" s="11">
        <v>43547</v>
      </c>
      <c r="G3843" s="2">
        <f>VLOOKUP(E3843,Produtos!$A:$E,5,FALSE)</f>
        <v>3000</v>
      </c>
      <c r="H3843" s="2">
        <f>VLOOKUP(E3843,Produtos!$A:$E,4,FALSE)</f>
        <v>1000</v>
      </c>
      <c r="I3843" s="2">
        <v>3</v>
      </c>
    </row>
    <row r="3844" spans="1:9" x14ac:dyDescent="0.25">
      <c r="A3844" s="2" t="str">
        <f>CONCATENATE(Códigos!S3843,Códigos!T3843,Códigos!U3843)</f>
        <v>svv3842v</v>
      </c>
      <c r="B3844" t="s">
        <v>338</v>
      </c>
      <c r="C3844" t="s">
        <v>479</v>
      </c>
      <c r="D3844" s="2" t="s">
        <v>373</v>
      </c>
      <c r="E3844" t="s">
        <v>468</v>
      </c>
      <c r="F3844" s="11">
        <v>43548</v>
      </c>
      <c r="G3844" s="2">
        <f>VLOOKUP(E3844,Produtos!$A:$E,5,FALSE)</f>
        <v>3000</v>
      </c>
      <c r="H3844" s="2">
        <f>VLOOKUP(E3844,Produtos!$A:$E,4,FALSE)</f>
        <v>1000</v>
      </c>
      <c r="I3844" s="2">
        <v>3</v>
      </c>
    </row>
    <row r="3845" spans="1:9" x14ac:dyDescent="0.25">
      <c r="A3845" s="2" t="str">
        <f>CONCATENATE(Códigos!S3844,Códigos!T3844,Códigos!U3844)</f>
        <v>svv3843v</v>
      </c>
      <c r="B3845" t="s">
        <v>338</v>
      </c>
      <c r="C3845" t="s">
        <v>479</v>
      </c>
      <c r="D3845" s="2" t="s">
        <v>373</v>
      </c>
      <c r="E3845" t="s">
        <v>468</v>
      </c>
      <c r="F3845" s="11">
        <v>43549</v>
      </c>
      <c r="G3845" s="2">
        <f>VLOOKUP(E3845,Produtos!$A:$E,5,FALSE)</f>
        <v>3000</v>
      </c>
      <c r="H3845" s="2">
        <f>VLOOKUP(E3845,Produtos!$A:$E,4,FALSE)</f>
        <v>1000</v>
      </c>
      <c r="I3845" s="2">
        <v>3</v>
      </c>
    </row>
    <row r="3846" spans="1:9" x14ac:dyDescent="0.25">
      <c r="A3846" s="2" t="str">
        <f>CONCATENATE(Códigos!S3845,Códigos!T3845,Códigos!U3845)</f>
        <v>svv3844v</v>
      </c>
      <c r="B3846" t="s">
        <v>338</v>
      </c>
      <c r="C3846" t="s">
        <v>479</v>
      </c>
      <c r="D3846" s="2" t="s">
        <v>373</v>
      </c>
      <c r="E3846" t="s">
        <v>468</v>
      </c>
      <c r="F3846" s="11">
        <v>43550</v>
      </c>
      <c r="G3846" s="2">
        <f>VLOOKUP(E3846,Produtos!$A:$E,5,FALSE)</f>
        <v>3000</v>
      </c>
      <c r="H3846" s="2">
        <f>VLOOKUP(E3846,Produtos!$A:$E,4,FALSE)</f>
        <v>1000</v>
      </c>
      <c r="I3846" s="2">
        <v>3</v>
      </c>
    </row>
    <row r="3847" spans="1:9" x14ac:dyDescent="0.25">
      <c r="A3847" s="2" t="str">
        <f>CONCATENATE(Códigos!S3846,Códigos!T3846,Códigos!U3846)</f>
        <v>svv3845v</v>
      </c>
      <c r="B3847" t="s">
        <v>338</v>
      </c>
      <c r="C3847" t="s">
        <v>479</v>
      </c>
      <c r="D3847" s="2" t="s">
        <v>373</v>
      </c>
      <c r="E3847" t="s">
        <v>468</v>
      </c>
      <c r="F3847" s="11">
        <v>43551</v>
      </c>
      <c r="G3847" s="2">
        <f>VLOOKUP(E3847,Produtos!$A:$E,5,FALSE)</f>
        <v>3000</v>
      </c>
      <c r="H3847" s="2">
        <f>VLOOKUP(E3847,Produtos!$A:$E,4,FALSE)</f>
        <v>1000</v>
      </c>
      <c r="I3847" s="2">
        <v>3</v>
      </c>
    </row>
    <row r="3848" spans="1:9" x14ac:dyDescent="0.25">
      <c r="A3848" s="2" t="str">
        <f>CONCATENATE(Códigos!S3847,Códigos!T3847,Códigos!U3847)</f>
        <v>svv3846v</v>
      </c>
      <c r="B3848" t="s">
        <v>338</v>
      </c>
      <c r="C3848" t="s">
        <v>479</v>
      </c>
      <c r="D3848" s="2" t="s">
        <v>373</v>
      </c>
      <c r="E3848" t="s">
        <v>468</v>
      </c>
      <c r="F3848" s="11">
        <v>43552</v>
      </c>
      <c r="G3848" s="2">
        <f>VLOOKUP(E3848,Produtos!$A:$E,5,FALSE)</f>
        <v>3000</v>
      </c>
      <c r="H3848" s="2">
        <f>VLOOKUP(E3848,Produtos!$A:$E,4,FALSE)</f>
        <v>1000</v>
      </c>
      <c r="I3848" s="2">
        <v>3</v>
      </c>
    </row>
    <row r="3849" spans="1:9" x14ac:dyDescent="0.25">
      <c r="A3849" s="2" t="str">
        <f>CONCATENATE(Códigos!S3848,Códigos!T3848,Códigos!U3848)</f>
        <v>svv3847v</v>
      </c>
      <c r="B3849" t="s">
        <v>338</v>
      </c>
      <c r="C3849" t="s">
        <v>479</v>
      </c>
      <c r="D3849" s="2" t="s">
        <v>373</v>
      </c>
      <c r="E3849" t="s">
        <v>468</v>
      </c>
      <c r="F3849" s="11">
        <v>43553</v>
      </c>
      <c r="G3849" s="2">
        <f>VLOOKUP(E3849,Produtos!$A:$E,5,FALSE)</f>
        <v>3000</v>
      </c>
      <c r="H3849" s="2">
        <f>VLOOKUP(E3849,Produtos!$A:$E,4,FALSE)</f>
        <v>1000</v>
      </c>
      <c r="I3849" s="2">
        <v>3</v>
      </c>
    </row>
    <row r="3850" spans="1:9" x14ac:dyDescent="0.25">
      <c r="A3850" s="2" t="str">
        <f>CONCATENATE(Códigos!S3849,Códigos!T3849,Códigos!U3849)</f>
        <v>svv3848v</v>
      </c>
      <c r="B3850" t="s">
        <v>338</v>
      </c>
      <c r="C3850" t="s">
        <v>479</v>
      </c>
      <c r="D3850" s="2" t="s">
        <v>373</v>
      </c>
      <c r="E3850" t="s">
        <v>468</v>
      </c>
      <c r="F3850" s="11">
        <v>43554</v>
      </c>
      <c r="G3850" s="2">
        <f>VLOOKUP(E3850,Produtos!$A:$E,5,FALSE)</f>
        <v>3000</v>
      </c>
      <c r="H3850" s="2">
        <f>VLOOKUP(E3850,Produtos!$A:$E,4,FALSE)</f>
        <v>1000</v>
      </c>
      <c r="I3850" s="2">
        <v>3</v>
      </c>
    </row>
    <row r="3851" spans="1:9" x14ac:dyDescent="0.25">
      <c r="A3851" s="2" t="str">
        <f>CONCATENATE(Códigos!S3850,Códigos!T3850,Códigos!U3850)</f>
        <v>svv3849v</v>
      </c>
      <c r="B3851" t="s">
        <v>338</v>
      </c>
      <c r="C3851" t="s">
        <v>479</v>
      </c>
      <c r="D3851" s="2" t="s">
        <v>373</v>
      </c>
      <c r="E3851" t="s">
        <v>468</v>
      </c>
      <c r="F3851" s="11">
        <v>43555</v>
      </c>
      <c r="G3851" s="2">
        <f>VLOOKUP(E3851,Produtos!$A:$E,5,FALSE)</f>
        <v>3000</v>
      </c>
      <c r="H3851" s="2">
        <f>VLOOKUP(E3851,Produtos!$A:$E,4,FALSE)</f>
        <v>1000</v>
      </c>
      <c r="I3851" s="2">
        <v>3</v>
      </c>
    </row>
    <row r="3852" spans="1:9" x14ac:dyDescent="0.25">
      <c r="A3852" s="2" t="str">
        <f>CONCATENATE(Códigos!S3851,Códigos!T3851,Códigos!U3851)</f>
        <v>svv3850v</v>
      </c>
      <c r="B3852" t="s">
        <v>338</v>
      </c>
      <c r="C3852" t="s">
        <v>479</v>
      </c>
      <c r="D3852" s="2" t="s">
        <v>373</v>
      </c>
      <c r="E3852" t="s">
        <v>468</v>
      </c>
      <c r="F3852" s="11">
        <v>43556</v>
      </c>
      <c r="G3852" s="2">
        <f>VLOOKUP(E3852,Produtos!$A:$E,5,FALSE)</f>
        <v>3000</v>
      </c>
      <c r="H3852" s="2">
        <f>VLOOKUP(E3852,Produtos!$A:$E,4,FALSE)</f>
        <v>1000</v>
      </c>
      <c r="I3852" s="2">
        <v>3</v>
      </c>
    </row>
    <row r="3853" spans="1:9" x14ac:dyDescent="0.25">
      <c r="A3853" s="2" t="str">
        <f>CONCATENATE(Códigos!S3852,Códigos!T3852,Códigos!U3852)</f>
        <v>svv3851v</v>
      </c>
      <c r="B3853" t="s">
        <v>338</v>
      </c>
      <c r="C3853" t="s">
        <v>479</v>
      </c>
      <c r="D3853" s="2" t="s">
        <v>373</v>
      </c>
      <c r="E3853" t="s">
        <v>468</v>
      </c>
      <c r="F3853" s="11">
        <v>43557</v>
      </c>
      <c r="G3853" s="2">
        <f>VLOOKUP(E3853,Produtos!$A:$E,5,FALSE)</f>
        <v>3000</v>
      </c>
      <c r="H3853" s="2">
        <f>VLOOKUP(E3853,Produtos!$A:$E,4,FALSE)</f>
        <v>1000</v>
      </c>
      <c r="I3853" s="2">
        <v>3</v>
      </c>
    </row>
    <row r="3854" spans="1:9" x14ac:dyDescent="0.25">
      <c r="A3854" s="2" t="str">
        <f>CONCATENATE(Códigos!S3853,Códigos!T3853,Códigos!U3853)</f>
        <v>svv3852v</v>
      </c>
      <c r="B3854" t="s">
        <v>338</v>
      </c>
      <c r="C3854" t="s">
        <v>479</v>
      </c>
      <c r="D3854" s="2" t="s">
        <v>373</v>
      </c>
      <c r="E3854" t="s">
        <v>468</v>
      </c>
      <c r="F3854" s="11">
        <v>43558</v>
      </c>
      <c r="G3854" s="2">
        <f>VLOOKUP(E3854,Produtos!$A:$E,5,FALSE)</f>
        <v>3000</v>
      </c>
      <c r="H3854" s="2">
        <f>VLOOKUP(E3854,Produtos!$A:$E,4,FALSE)</f>
        <v>1000</v>
      </c>
      <c r="I3854" s="2">
        <v>3</v>
      </c>
    </row>
    <row r="3855" spans="1:9" x14ac:dyDescent="0.25">
      <c r="A3855" s="2" t="str">
        <f>CONCATENATE(Códigos!S3854,Códigos!T3854,Códigos!U3854)</f>
        <v>svv3853v</v>
      </c>
      <c r="B3855" t="s">
        <v>338</v>
      </c>
      <c r="C3855" t="s">
        <v>479</v>
      </c>
      <c r="D3855" s="2" t="s">
        <v>373</v>
      </c>
      <c r="E3855" t="s">
        <v>468</v>
      </c>
      <c r="F3855" s="11">
        <v>43559</v>
      </c>
      <c r="G3855" s="2">
        <f>VLOOKUP(E3855,Produtos!$A:$E,5,FALSE)</f>
        <v>3000</v>
      </c>
      <c r="H3855" s="2">
        <f>VLOOKUP(E3855,Produtos!$A:$E,4,FALSE)</f>
        <v>1000</v>
      </c>
      <c r="I3855" s="2">
        <v>3</v>
      </c>
    </row>
    <row r="3856" spans="1:9" x14ac:dyDescent="0.25">
      <c r="A3856" s="2" t="str">
        <f>CONCATENATE(Códigos!S3855,Códigos!T3855,Códigos!U3855)</f>
        <v>svv3854v</v>
      </c>
      <c r="B3856" t="s">
        <v>338</v>
      </c>
      <c r="C3856" t="s">
        <v>479</v>
      </c>
      <c r="D3856" s="2" t="s">
        <v>373</v>
      </c>
      <c r="E3856" t="s">
        <v>468</v>
      </c>
      <c r="F3856" s="11">
        <v>43560</v>
      </c>
      <c r="G3856" s="2">
        <f>VLOOKUP(E3856,Produtos!$A:$E,5,FALSE)</f>
        <v>3000</v>
      </c>
      <c r="H3856" s="2">
        <f>VLOOKUP(E3856,Produtos!$A:$E,4,FALSE)</f>
        <v>1000</v>
      </c>
      <c r="I3856" s="2">
        <v>3</v>
      </c>
    </row>
    <row r="3857" spans="1:9" x14ac:dyDescent="0.25">
      <c r="A3857" s="2" t="str">
        <f>CONCATENATE(Códigos!S3856,Códigos!T3856,Códigos!U3856)</f>
        <v>svv3855v</v>
      </c>
      <c r="B3857" t="s">
        <v>338</v>
      </c>
      <c r="C3857" t="s">
        <v>479</v>
      </c>
      <c r="D3857" s="2" t="s">
        <v>373</v>
      </c>
      <c r="E3857" t="s">
        <v>468</v>
      </c>
      <c r="F3857" s="11">
        <v>43561</v>
      </c>
      <c r="G3857" s="2">
        <f>VLOOKUP(E3857,Produtos!$A:$E,5,FALSE)</f>
        <v>3000</v>
      </c>
      <c r="H3857" s="2">
        <f>VLOOKUP(E3857,Produtos!$A:$E,4,FALSE)</f>
        <v>1000</v>
      </c>
      <c r="I3857" s="2">
        <v>3</v>
      </c>
    </row>
    <row r="3858" spans="1:9" x14ac:dyDescent="0.25">
      <c r="A3858" s="2" t="str">
        <f>CONCATENATE(Códigos!S3857,Códigos!T3857,Códigos!U3857)</f>
        <v>svv3856v</v>
      </c>
      <c r="B3858" t="s">
        <v>469</v>
      </c>
      <c r="C3858" t="s">
        <v>479</v>
      </c>
      <c r="D3858" s="2" t="s">
        <v>373</v>
      </c>
      <c r="E3858" t="s">
        <v>468</v>
      </c>
      <c r="F3858" s="11">
        <v>43562</v>
      </c>
      <c r="G3858" s="2">
        <f>VLOOKUP(E3858,Produtos!$A:$E,5,FALSE)</f>
        <v>3000</v>
      </c>
      <c r="H3858" s="2">
        <f>VLOOKUP(E3858,Produtos!$A:$E,4,FALSE)</f>
        <v>1000</v>
      </c>
      <c r="I3858" s="2">
        <v>3</v>
      </c>
    </row>
    <row r="3859" spans="1:9" x14ac:dyDescent="0.25">
      <c r="A3859" s="2" t="str">
        <f>CONCATENATE(Códigos!S3858,Códigos!T3858,Códigos!U3858)</f>
        <v>svv3857v</v>
      </c>
      <c r="B3859" t="s">
        <v>469</v>
      </c>
      <c r="C3859" t="s">
        <v>479</v>
      </c>
      <c r="D3859" s="2" t="s">
        <v>373</v>
      </c>
      <c r="E3859" t="s">
        <v>468</v>
      </c>
      <c r="F3859" s="11">
        <v>43563</v>
      </c>
      <c r="G3859" s="2">
        <f>VLOOKUP(E3859,Produtos!$A:$E,5,FALSE)</f>
        <v>3000</v>
      </c>
      <c r="H3859" s="2">
        <f>VLOOKUP(E3859,Produtos!$A:$E,4,FALSE)</f>
        <v>1000</v>
      </c>
      <c r="I3859" s="2">
        <v>3</v>
      </c>
    </row>
    <row r="3860" spans="1:9" x14ac:dyDescent="0.25">
      <c r="A3860" s="2" t="str">
        <f>CONCATENATE(Códigos!S3859,Códigos!T3859,Códigos!U3859)</f>
        <v>svv3858v</v>
      </c>
      <c r="B3860" t="s">
        <v>469</v>
      </c>
      <c r="C3860" t="s">
        <v>479</v>
      </c>
      <c r="D3860" s="2" t="s">
        <v>373</v>
      </c>
      <c r="E3860" t="s">
        <v>468</v>
      </c>
      <c r="F3860" s="11">
        <v>43564</v>
      </c>
      <c r="G3860" s="2">
        <f>VLOOKUP(E3860,Produtos!$A:$E,5,FALSE)</f>
        <v>3000</v>
      </c>
      <c r="H3860" s="2">
        <f>VLOOKUP(E3860,Produtos!$A:$E,4,FALSE)</f>
        <v>1000</v>
      </c>
      <c r="I3860" s="2">
        <v>3</v>
      </c>
    </row>
    <row r="3861" spans="1:9" x14ac:dyDescent="0.25">
      <c r="A3861" s="2" t="str">
        <f>CONCATENATE(Códigos!S3860,Códigos!T3860,Códigos!U3860)</f>
        <v>svv3859v</v>
      </c>
      <c r="B3861" t="s">
        <v>469</v>
      </c>
      <c r="C3861" t="s">
        <v>479</v>
      </c>
      <c r="D3861" s="2" t="s">
        <v>373</v>
      </c>
      <c r="E3861" t="s">
        <v>468</v>
      </c>
      <c r="F3861" s="11">
        <v>43565</v>
      </c>
      <c r="G3861" s="2">
        <f>VLOOKUP(E3861,Produtos!$A:$E,5,FALSE)</f>
        <v>3000</v>
      </c>
      <c r="H3861" s="2">
        <f>VLOOKUP(E3861,Produtos!$A:$E,4,FALSE)</f>
        <v>1000</v>
      </c>
      <c r="I3861" s="2">
        <v>3</v>
      </c>
    </row>
    <row r="3862" spans="1:9" x14ac:dyDescent="0.25">
      <c r="A3862" s="2" t="str">
        <f>CONCATENATE(Códigos!S3861,Códigos!T3861,Códigos!U3861)</f>
        <v>svv3860v</v>
      </c>
      <c r="B3862" t="s">
        <v>469</v>
      </c>
      <c r="C3862" t="s">
        <v>479</v>
      </c>
      <c r="D3862" s="2" t="s">
        <v>373</v>
      </c>
      <c r="E3862" t="s">
        <v>468</v>
      </c>
      <c r="F3862" s="11">
        <v>43566</v>
      </c>
      <c r="G3862" s="2">
        <f>VLOOKUP(E3862,Produtos!$A:$E,5,FALSE)</f>
        <v>3000</v>
      </c>
      <c r="H3862" s="2">
        <f>VLOOKUP(E3862,Produtos!$A:$E,4,FALSE)</f>
        <v>1000</v>
      </c>
      <c r="I3862" s="2">
        <v>3</v>
      </c>
    </row>
    <row r="3863" spans="1:9" x14ac:dyDescent="0.25">
      <c r="A3863" s="2" t="str">
        <f>CONCATENATE(Códigos!S3862,Códigos!T3862,Códigos!U3862)</f>
        <v>svv3861v</v>
      </c>
      <c r="B3863" t="s">
        <v>469</v>
      </c>
      <c r="C3863" t="s">
        <v>479</v>
      </c>
      <c r="D3863" s="2" t="s">
        <v>373</v>
      </c>
      <c r="E3863" t="s">
        <v>468</v>
      </c>
      <c r="F3863" s="11">
        <v>43567</v>
      </c>
      <c r="G3863" s="2">
        <f>VLOOKUP(E3863,Produtos!$A:$E,5,FALSE)</f>
        <v>3000</v>
      </c>
      <c r="H3863" s="2">
        <f>VLOOKUP(E3863,Produtos!$A:$E,4,FALSE)</f>
        <v>1000</v>
      </c>
      <c r="I3863" s="2">
        <v>3</v>
      </c>
    </row>
    <row r="3864" spans="1:9" x14ac:dyDescent="0.25">
      <c r="A3864" s="2" t="str">
        <f>CONCATENATE(Códigos!S3863,Códigos!T3863,Códigos!U3863)</f>
        <v>svv3862v</v>
      </c>
      <c r="B3864" t="s">
        <v>469</v>
      </c>
      <c r="C3864" t="s">
        <v>479</v>
      </c>
      <c r="D3864" s="2" t="s">
        <v>373</v>
      </c>
      <c r="E3864" t="s">
        <v>468</v>
      </c>
      <c r="F3864" s="11">
        <v>43568</v>
      </c>
      <c r="G3864" s="2">
        <f>VLOOKUP(E3864,Produtos!$A:$E,5,FALSE)</f>
        <v>3000</v>
      </c>
      <c r="H3864" s="2">
        <f>VLOOKUP(E3864,Produtos!$A:$E,4,FALSE)</f>
        <v>1000</v>
      </c>
      <c r="I3864" s="2">
        <v>3</v>
      </c>
    </row>
    <row r="3865" spans="1:9" x14ac:dyDescent="0.25">
      <c r="A3865" s="2" t="str">
        <f>CONCATENATE(Códigos!S3864,Códigos!T3864,Códigos!U3864)</f>
        <v>svv3863v</v>
      </c>
      <c r="B3865" t="s">
        <v>469</v>
      </c>
      <c r="C3865" t="s">
        <v>479</v>
      </c>
      <c r="D3865" s="2" t="s">
        <v>373</v>
      </c>
      <c r="E3865" t="s">
        <v>468</v>
      </c>
      <c r="F3865" s="11">
        <v>43569</v>
      </c>
      <c r="G3865" s="2">
        <f>VLOOKUP(E3865,Produtos!$A:$E,5,FALSE)</f>
        <v>3000</v>
      </c>
      <c r="H3865" s="2">
        <f>VLOOKUP(E3865,Produtos!$A:$E,4,FALSE)</f>
        <v>1000</v>
      </c>
      <c r="I3865" s="2">
        <v>3</v>
      </c>
    </row>
    <row r="3866" spans="1:9" x14ac:dyDescent="0.25">
      <c r="A3866" s="2" t="str">
        <f>CONCATENATE(Códigos!S3865,Códigos!T3865,Códigos!U3865)</f>
        <v>svv3864v</v>
      </c>
      <c r="B3866" t="s">
        <v>469</v>
      </c>
      <c r="C3866" t="s">
        <v>479</v>
      </c>
      <c r="D3866" s="2" t="s">
        <v>373</v>
      </c>
      <c r="E3866" t="s">
        <v>468</v>
      </c>
      <c r="F3866" s="11">
        <v>43570</v>
      </c>
      <c r="G3866" s="2">
        <f>VLOOKUP(E3866,Produtos!$A:$E,5,FALSE)</f>
        <v>3000</v>
      </c>
      <c r="H3866" s="2">
        <f>VLOOKUP(E3866,Produtos!$A:$E,4,FALSE)</f>
        <v>1000</v>
      </c>
      <c r="I3866" s="2">
        <v>3</v>
      </c>
    </row>
    <row r="3867" spans="1:9" x14ac:dyDescent="0.25">
      <c r="A3867" s="2" t="str">
        <f>CONCATENATE(Códigos!S3866,Códigos!T3866,Códigos!U3866)</f>
        <v>svv3865v</v>
      </c>
      <c r="B3867" t="s">
        <v>469</v>
      </c>
      <c r="C3867" t="s">
        <v>479</v>
      </c>
      <c r="D3867" s="2" t="s">
        <v>373</v>
      </c>
      <c r="E3867" t="s">
        <v>468</v>
      </c>
      <c r="F3867" s="11">
        <v>43571</v>
      </c>
      <c r="G3867" s="2">
        <f>VLOOKUP(E3867,Produtos!$A:$E,5,FALSE)</f>
        <v>3000</v>
      </c>
      <c r="H3867" s="2">
        <f>VLOOKUP(E3867,Produtos!$A:$E,4,FALSE)</f>
        <v>1000</v>
      </c>
      <c r="I3867" s="2">
        <v>3</v>
      </c>
    </row>
    <row r="3868" spans="1:9" x14ac:dyDescent="0.25">
      <c r="A3868" s="2" t="str">
        <f>CONCATENATE(Códigos!S3867,Códigos!T3867,Códigos!U3867)</f>
        <v>svv3866v</v>
      </c>
      <c r="B3868" t="s">
        <v>469</v>
      </c>
      <c r="C3868" t="s">
        <v>479</v>
      </c>
      <c r="D3868" s="2" t="s">
        <v>373</v>
      </c>
      <c r="E3868" t="s">
        <v>468</v>
      </c>
      <c r="F3868" s="11">
        <v>43572</v>
      </c>
      <c r="G3868" s="2">
        <f>VLOOKUP(E3868,Produtos!$A:$E,5,FALSE)</f>
        <v>3000</v>
      </c>
      <c r="H3868" s="2">
        <f>VLOOKUP(E3868,Produtos!$A:$E,4,FALSE)</f>
        <v>1000</v>
      </c>
      <c r="I3868" s="2">
        <v>3</v>
      </c>
    </row>
    <row r="3869" spans="1:9" x14ac:dyDescent="0.25">
      <c r="A3869" s="2" t="str">
        <f>CONCATENATE(Códigos!S3868,Códigos!T3868,Códigos!U3868)</f>
        <v>svv3867v</v>
      </c>
      <c r="B3869" t="s">
        <v>469</v>
      </c>
      <c r="C3869" t="s">
        <v>479</v>
      </c>
      <c r="D3869" s="2" t="s">
        <v>373</v>
      </c>
      <c r="E3869" t="s">
        <v>468</v>
      </c>
      <c r="F3869" s="11">
        <v>43573</v>
      </c>
      <c r="G3869" s="2">
        <f>VLOOKUP(E3869,Produtos!$A:$E,5,FALSE)</f>
        <v>3000</v>
      </c>
      <c r="H3869" s="2">
        <f>VLOOKUP(E3869,Produtos!$A:$E,4,FALSE)</f>
        <v>1000</v>
      </c>
      <c r="I3869" s="2">
        <v>3</v>
      </c>
    </row>
    <row r="3870" spans="1:9" x14ac:dyDescent="0.25">
      <c r="A3870" s="2" t="str">
        <f>CONCATENATE(Códigos!S3869,Códigos!T3869,Códigos!U3869)</f>
        <v>svv3868v</v>
      </c>
      <c r="B3870" t="s">
        <v>469</v>
      </c>
      <c r="C3870" t="s">
        <v>479</v>
      </c>
      <c r="D3870" s="2" t="s">
        <v>373</v>
      </c>
      <c r="E3870" t="s">
        <v>468</v>
      </c>
      <c r="F3870" s="11">
        <v>43574</v>
      </c>
      <c r="G3870" s="2">
        <f>VLOOKUP(E3870,Produtos!$A:$E,5,FALSE)</f>
        <v>3000</v>
      </c>
      <c r="H3870" s="2">
        <f>VLOOKUP(E3870,Produtos!$A:$E,4,FALSE)</f>
        <v>1000</v>
      </c>
      <c r="I3870" s="2">
        <v>3</v>
      </c>
    </row>
    <row r="3871" spans="1:9" x14ac:dyDescent="0.25">
      <c r="A3871" s="2" t="str">
        <f>CONCATENATE(Códigos!S3870,Códigos!T3870,Códigos!U3870)</f>
        <v>svv3869v</v>
      </c>
      <c r="B3871" t="s">
        <v>469</v>
      </c>
      <c r="C3871" t="s">
        <v>479</v>
      </c>
      <c r="D3871" s="2" t="s">
        <v>373</v>
      </c>
      <c r="E3871" t="s">
        <v>468</v>
      </c>
      <c r="F3871" s="11">
        <v>43575</v>
      </c>
      <c r="G3871" s="2">
        <f>VLOOKUP(E3871,Produtos!$A:$E,5,FALSE)</f>
        <v>3000</v>
      </c>
      <c r="H3871" s="2">
        <f>VLOOKUP(E3871,Produtos!$A:$E,4,FALSE)</f>
        <v>1000</v>
      </c>
      <c r="I3871" s="2">
        <v>3</v>
      </c>
    </row>
    <row r="3872" spans="1:9" x14ac:dyDescent="0.25">
      <c r="A3872" s="2" t="str">
        <f>CONCATENATE(Códigos!S3871,Códigos!T3871,Códigos!U3871)</f>
        <v>svv3870v</v>
      </c>
      <c r="B3872" t="s">
        <v>469</v>
      </c>
      <c r="C3872" t="s">
        <v>479</v>
      </c>
      <c r="D3872" s="2" t="s">
        <v>373</v>
      </c>
      <c r="E3872" t="s">
        <v>468</v>
      </c>
      <c r="F3872" s="11">
        <v>43576</v>
      </c>
      <c r="G3872" s="2">
        <f>VLOOKUP(E3872,Produtos!$A:$E,5,FALSE)</f>
        <v>3000</v>
      </c>
      <c r="H3872" s="2">
        <f>VLOOKUP(E3872,Produtos!$A:$E,4,FALSE)</f>
        <v>1000</v>
      </c>
      <c r="I3872" s="2">
        <v>3</v>
      </c>
    </row>
    <row r="3873" spans="1:9" x14ac:dyDescent="0.25">
      <c r="A3873" s="2" t="str">
        <f>CONCATENATE(Códigos!S3872,Códigos!T3872,Códigos!U3872)</f>
        <v>svv3871v</v>
      </c>
      <c r="B3873" t="s">
        <v>469</v>
      </c>
      <c r="C3873" t="s">
        <v>479</v>
      </c>
      <c r="D3873" s="2" t="s">
        <v>373</v>
      </c>
      <c r="E3873" t="s">
        <v>468</v>
      </c>
      <c r="F3873" s="11">
        <v>43577</v>
      </c>
      <c r="G3873" s="2">
        <f>VLOOKUP(E3873,Produtos!$A:$E,5,FALSE)</f>
        <v>3000</v>
      </c>
      <c r="H3873" s="2">
        <f>VLOOKUP(E3873,Produtos!$A:$E,4,FALSE)</f>
        <v>1000</v>
      </c>
      <c r="I3873" s="2">
        <v>3</v>
      </c>
    </row>
    <row r="3874" spans="1:9" x14ac:dyDescent="0.25">
      <c r="A3874" s="2" t="str">
        <f>CONCATENATE(Códigos!S3873,Códigos!T3873,Códigos!U3873)</f>
        <v>svv3872v</v>
      </c>
      <c r="B3874" t="s">
        <v>469</v>
      </c>
      <c r="C3874" t="s">
        <v>479</v>
      </c>
      <c r="D3874" s="2" t="s">
        <v>373</v>
      </c>
      <c r="E3874" t="s">
        <v>468</v>
      </c>
      <c r="F3874" s="11">
        <v>43578</v>
      </c>
      <c r="G3874" s="2">
        <f>VLOOKUP(E3874,Produtos!$A:$E,5,FALSE)</f>
        <v>3000</v>
      </c>
      <c r="H3874" s="2">
        <f>VLOOKUP(E3874,Produtos!$A:$E,4,FALSE)</f>
        <v>1000</v>
      </c>
      <c r="I3874" s="2">
        <v>3</v>
      </c>
    </row>
    <row r="3875" spans="1:9" x14ac:dyDescent="0.25">
      <c r="A3875" s="2" t="str">
        <f>CONCATENATE(Códigos!S3874,Códigos!T3874,Códigos!U3874)</f>
        <v>svv3873v</v>
      </c>
      <c r="B3875" t="s">
        <v>469</v>
      </c>
      <c r="C3875" t="s">
        <v>446</v>
      </c>
      <c r="D3875" s="2" t="s">
        <v>370</v>
      </c>
      <c r="E3875" t="s">
        <v>474</v>
      </c>
      <c r="F3875" s="11">
        <v>43579</v>
      </c>
      <c r="G3875" s="2">
        <f>VLOOKUP(E3875,Produtos!$A:$E,5,FALSE)</f>
        <v>1800</v>
      </c>
      <c r="H3875" s="2">
        <f>VLOOKUP(E3875,Produtos!$A:$E,4,FALSE)</f>
        <v>800</v>
      </c>
      <c r="I3875" s="2">
        <v>3</v>
      </c>
    </row>
    <row r="3876" spans="1:9" x14ac:dyDescent="0.25">
      <c r="A3876" s="2" t="str">
        <f>CONCATENATE(Códigos!S3875,Códigos!T3875,Códigos!U3875)</f>
        <v>svv3874v</v>
      </c>
      <c r="B3876" t="s">
        <v>469</v>
      </c>
      <c r="C3876" t="s">
        <v>446</v>
      </c>
      <c r="D3876" s="2" t="s">
        <v>370</v>
      </c>
      <c r="E3876" t="s">
        <v>474</v>
      </c>
      <c r="F3876" s="11">
        <v>43580</v>
      </c>
      <c r="G3876" s="2">
        <f>VLOOKUP(E3876,Produtos!$A:$E,5,FALSE)</f>
        <v>1800</v>
      </c>
      <c r="H3876" s="2">
        <f>VLOOKUP(E3876,Produtos!$A:$E,4,FALSE)</f>
        <v>800</v>
      </c>
      <c r="I3876" s="2">
        <v>3</v>
      </c>
    </row>
    <row r="3877" spans="1:9" x14ac:dyDescent="0.25">
      <c r="A3877" s="2" t="str">
        <f>CONCATENATE(Códigos!S3876,Códigos!T3876,Códigos!U3876)</f>
        <v>svv3875v</v>
      </c>
      <c r="B3877" t="s">
        <v>469</v>
      </c>
      <c r="C3877" t="s">
        <v>446</v>
      </c>
      <c r="D3877" s="2" t="s">
        <v>370</v>
      </c>
      <c r="E3877" t="s">
        <v>474</v>
      </c>
      <c r="F3877" s="11">
        <v>43581</v>
      </c>
      <c r="G3877" s="2">
        <f>VLOOKUP(E3877,Produtos!$A:$E,5,FALSE)</f>
        <v>1800</v>
      </c>
      <c r="H3877" s="2">
        <f>VLOOKUP(E3877,Produtos!$A:$E,4,FALSE)</f>
        <v>800</v>
      </c>
      <c r="I3877" s="2">
        <v>3</v>
      </c>
    </row>
    <row r="3878" spans="1:9" x14ac:dyDescent="0.25">
      <c r="A3878" s="2" t="str">
        <f>CONCATENATE(Códigos!S3877,Códigos!T3877,Códigos!U3877)</f>
        <v>svv3876v</v>
      </c>
      <c r="B3878" t="s">
        <v>469</v>
      </c>
      <c r="C3878" t="s">
        <v>446</v>
      </c>
      <c r="D3878" s="2" t="s">
        <v>370</v>
      </c>
      <c r="E3878" t="s">
        <v>474</v>
      </c>
      <c r="F3878" s="11">
        <v>43582</v>
      </c>
      <c r="G3878" s="2">
        <f>VLOOKUP(E3878,Produtos!$A:$E,5,FALSE)</f>
        <v>1800</v>
      </c>
      <c r="H3878" s="2">
        <f>VLOOKUP(E3878,Produtos!$A:$E,4,FALSE)</f>
        <v>800</v>
      </c>
      <c r="I3878" s="2">
        <v>3</v>
      </c>
    </row>
    <row r="3879" spans="1:9" x14ac:dyDescent="0.25">
      <c r="A3879" s="2" t="str">
        <f>CONCATENATE(Códigos!S3878,Códigos!T3878,Códigos!U3878)</f>
        <v>svv3877v</v>
      </c>
      <c r="B3879" t="s">
        <v>469</v>
      </c>
      <c r="C3879" t="s">
        <v>446</v>
      </c>
      <c r="D3879" s="2" t="s">
        <v>370</v>
      </c>
      <c r="E3879" t="s">
        <v>474</v>
      </c>
      <c r="F3879" s="11">
        <v>43583</v>
      </c>
      <c r="G3879" s="2">
        <f>VLOOKUP(E3879,Produtos!$A:$E,5,FALSE)</f>
        <v>1800</v>
      </c>
      <c r="H3879" s="2">
        <f>VLOOKUP(E3879,Produtos!$A:$E,4,FALSE)</f>
        <v>800</v>
      </c>
      <c r="I3879" s="2">
        <v>3</v>
      </c>
    </row>
    <row r="3880" spans="1:9" x14ac:dyDescent="0.25">
      <c r="A3880" s="2" t="str">
        <f>CONCATENATE(Códigos!S3879,Códigos!T3879,Códigos!U3879)</f>
        <v>svv3878v</v>
      </c>
      <c r="B3880" t="s">
        <v>469</v>
      </c>
      <c r="C3880" t="s">
        <v>446</v>
      </c>
      <c r="D3880" s="2" t="s">
        <v>370</v>
      </c>
      <c r="E3880" t="s">
        <v>474</v>
      </c>
      <c r="F3880" s="11">
        <v>43584</v>
      </c>
      <c r="G3880" s="2">
        <f>VLOOKUP(E3880,Produtos!$A:$E,5,FALSE)</f>
        <v>1800</v>
      </c>
      <c r="H3880" s="2">
        <f>VLOOKUP(E3880,Produtos!$A:$E,4,FALSE)</f>
        <v>800</v>
      </c>
      <c r="I3880" s="2">
        <v>3</v>
      </c>
    </row>
    <row r="3881" spans="1:9" x14ac:dyDescent="0.25">
      <c r="A3881" s="2" t="str">
        <f>CONCATENATE(Códigos!S3880,Códigos!T3880,Códigos!U3880)</f>
        <v>svv3879v</v>
      </c>
      <c r="B3881" t="s">
        <v>469</v>
      </c>
      <c r="C3881" t="s">
        <v>446</v>
      </c>
      <c r="D3881" s="2" t="s">
        <v>370</v>
      </c>
      <c r="E3881" t="s">
        <v>474</v>
      </c>
      <c r="F3881" s="11">
        <v>43585</v>
      </c>
      <c r="G3881" s="2">
        <f>VLOOKUP(E3881,Produtos!$A:$E,5,FALSE)</f>
        <v>1800</v>
      </c>
      <c r="H3881" s="2">
        <f>VLOOKUP(E3881,Produtos!$A:$E,4,FALSE)</f>
        <v>800</v>
      </c>
      <c r="I3881" s="2">
        <v>3</v>
      </c>
    </row>
    <row r="3882" spans="1:9" x14ac:dyDescent="0.25">
      <c r="A3882" s="2" t="str">
        <f>CONCATENATE(Códigos!S3881,Códigos!T3881,Códigos!U3881)</f>
        <v>svv3880v</v>
      </c>
      <c r="B3882" t="s">
        <v>469</v>
      </c>
      <c r="C3882" t="s">
        <v>446</v>
      </c>
      <c r="D3882" s="2" t="s">
        <v>370</v>
      </c>
      <c r="E3882" t="s">
        <v>474</v>
      </c>
      <c r="F3882" s="11">
        <v>43586</v>
      </c>
      <c r="G3882" s="2">
        <f>VLOOKUP(E3882,Produtos!$A:$E,5,FALSE)</f>
        <v>1800</v>
      </c>
      <c r="H3882" s="2">
        <f>VLOOKUP(E3882,Produtos!$A:$E,4,FALSE)</f>
        <v>800</v>
      </c>
      <c r="I3882" s="2">
        <v>3</v>
      </c>
    </row>
    <row r="3883" spans="1:9" x14ac:dyDescent="0.25">
      <c r="A3883" s="2" t="str">
        <f>CONCATENATE(Códigos!S3882,Códigos!T3882,Códigos!U3882)</f>
        <v>svv3881v</v>
      </c>
      <c r="B3883" t="s">
        <v>469</v>
      </c>
      <c r="C3883" t="s">
        <v>446</v>
      </c>
      <c r="D3883" s="2" t="s">
        <v>370</v>
      </c>
      <c r="E3883" t="s">
        <v>474</v>
      </c>
      <c r="F3883" s="11">
        <v>43587</v>
      </c>
      <c r="G3883" s="2">
        <f>VLOOKUP(E3883,Produtos!$A:$E,5,FALSE)</f>
        <v>1800</v>
      </c>
      <c r="H3883" s="2">
        <f>VLOOKUP(E3883,Produtos!$A:$E,4,FALSE)</f>
        <v>800</v>
      </c>
      <c r="I3883" s="2">
        <v>3</v>
      </c>
    </row>
    <row r="3884" spans="1:9" x14ac:dyDescent="0.25">
      <c r="A3884" s="2" t="str">
        <f>CONCATENATE(Códigos!S3883,Códigos!T3883,Códigos!U3883)</f>
        <v>svv3882v</v>
      </c>
      <c r="B3884" t="s">
        <v>469</v>
      </c>
      <c r="C3884" t="s">
        <v>446</v>
      </c>
      <c r="D3884" s="2" t="s">
        <v>370</v>
      </c>
      <c r="E3884" t="s">
        <v>474</v>
      </c>
      <c r="F3884" s="11">
        <v>43588</v>
      </c>
      <c r="G3884" s="2">
        <f>VLOOKUP(E3884,Produtos!$A:$E,5,FALSE)</f>
        <v>1800</v>
      </c>
      <c r="H3884" s="2">
        <f>VLOOKUP(E3884,Produtos!$A:$E,4,FALSE)</f>
        <v>800</v>
      </c>
      <c r="I3884" s="2">
        <v>3</v>
      </c>
    </row>
    <row r="3885" spans="1:9" x14ac:dyDescent="0.25">
      <c r="A3885" s="2" t="str">
        <f>CONCATENATE(Códigos!S3884,Códigos!T3884,Códigos!U3884)</f>
        <v>svv3883v</v>
      </c>
      <c r="B3885" t="s">
        <v>469</v>
      </c>
      <c r="C3885" t="s">
        <v>446</v>
      </c>
      <c r="D3885" s="2" t="s">
        <v>370</v>
      </c>
      <c r="E3885" t="s">
        <v>474</v>
      </c>
      <c r="F3885" s="11">
        <v>43589</v>
      </c>
      <c r="G3885" s="2">
        <f>VLOOKUP(E3885,Produtos!$A:$E,5,FALSE)</f>
        <v>1800</v>
      </c>
      <c r="H3885" s="2">
        <f>VLOOKUP(E3885,Produtos!$A:$E,4,FALSE)</f>
        <v>800</v>
      </c>
      <c r="I3885" s="2">
        <v>3</v>
      </c>
    </row>
    <row r="3886" spans="1:9" x14ac:dyDescent="0.25">
      <c r="A3886" s="2" t="str">
        <f>CONCATENATE(Códigos!S3885,Códigos!T3885,Códigos!U3885)</f>
        <v>svv3884v</v>
      </c>
      <c r="B3886" t="s">
        <v>469</v>
      </c>
      <c r="C3886" t="s">
        <v>446</v>
      </c>
      <c r="D3886" s="2" t="s">
        <v>370</v>
      </c>
      <c r="E3886" t="s">
        <v>474</v>
      </c>
      <c r="F3886" s="11">
        <v>43590</v>
      </c>
      <c r="G3886" s="2">
        <f>VLOOKUP(E3886,Produtos!$A:$E,5,FALSE)</f>
        <v>1800</v>
      </c>
      <c r="H3886" s="2">
        <f>VLOOKUP(E3886,Produtos!$A:$E,4,FALSE)</f>
        <v>800</v>
      </c>
      <c r="I3886" s="2">
        <v>3</v>
      </c>
    </row>
    <row r="3887" spans="1:9" x14ac:dyDescent="0.25">
      <c r="A3887" s="2" t="str">
        <f>CONCATENATE(Códigos!S3886,Códigos!T3886,Códigos!U3886)</f>
        <v>svv3885v</v>
      </c>
      <c r="B3887" t="s">
        <v>469</v>
      </c>
      <c r="C3887" t="s">
        <v>446</v>
      </c>
      <c r="D3887" s="2" t="s">
        <v>370</v>
      </c>
      <c r="E3887" t="s">
        <v>474</v>
      </c>
      <c r="F3887" s="11">
        <v>43591</v>
      </c>
      <c r="G3887" s="2">
        <f>VLOOKUP(E3887,Produtos!$A:$E,5,FALSE)</f>
        <v>1800</v>
      </c>
      <c r="H3887" s="2">
        <f>VLOOKUP(E3887,Produtos!$A:$E,4,FALSE)</f>
        <v>800</v>
      </c>
      <c r="I3887" s="2">
        <v>3</v>
      </c>
    </row>
    <row r="3888" spans="1:9" x14ac:dyDescent="0.25">
      <c r="A3888" s="2" t="str">
        <f>CONCATENATE(Códigos!S3887,Códigos!T3887,Códigos!U3887)</f>
        <v>svv3886v</v>
      </c>
      <c r="B3888" t="s">
        <v>469</v>
      </c>
      <c r="C3888" t="s">
        <v>446</v>
      </c>
      <c r="D3888" s="2" t="s">
        <v>370</v>
      </c>
      <c r="E3888" t="s">
        <v>474</v>
      </c>
      <c r="F3888" s="11">
        <v>43592</v>
      </c>
      <c r="G3888" s="2">
        <f>VLOOKUP(E3888,Produtos!$A:$E,5,FALSE)</f>
        <v>1800</v>
      </c>
      <c r="H3888" s="2">
        <f>VLOOKUP(E3888,Produtos!$A:$E,4,FALSE)</f>
        <v>800</v>
      </c>
      <c r="I3888" s="2">
        <v>3</v>
      </c>
    </row>
    <row r="3889" spans="1:9" x14ac:dyDescent="0.25">
      <c r="A3889" s="2" t="str">
        <f>CONCATENATE(Códigos!S3888,Códigos!T3888,Códigos!U3888)</f>
        <v>svv3887v</v>
      </c>
      <c r="B3889" t="s">
        <v>469</v>
      </c>
      <c r="C3889" t="s">
        <v>446</v>
      </c>
      <c r="D3889" s="2" t="s">
        <v>370</v>
      </c>
      <c r="E3889" t="s">
        <v>474</v>
      </c>
      <c r="F3889" s="11">
        <v>43593</v>
      </c>
      <c r="G3889" s="2">
        <f>VLOOKUP(E3889,Produtos!$A:$E,5,FALSE)</f>
        <v>1800</v>
      </c>
      <c r="H3889" s="2">
        <f>VLOOKUP(E3889,Produtos!$A:$E,4,FALSE)</f>
        <v>800</v>
      </c>
      <c r="I3889" s="2">
        <v>3</v>
      </c>
    </row>
    <row r="3890" spans="1:9" x14ac:dyDescent="0.25">
      <c r="A3890" s="2" t="str">
        <f>CONCATENATE(Códigos!S3889,Códigos!T3889,Códigos!U3889)</f>
        <v>svv3888v</v>
      </c>
      <c r="B3890" t="s">
        <v>340</v>
      </c>
      <c r="C3890" t="s">
        <v>477</v>
      </c>
      <c r="D3890" s="2" t="s">
        <v>478</v>
      </c>
      <c r="E3890" t="s">
        <v>474</v>
      </c>
      <c r="F3890" s="11">
        <v>43594</v>
      </c>
      <c r="G3890" s="2">
        <f>VLOOKUP(E3890,Produtos!$A:$E,5,FALSE)</f>
        <v>1800</v>
      </c>
      <c r="H3890" s="2">
        <f>VLOOKUP(E3890,Produtos!$A:$E,4,FALSE)</f>
        <v>800</v>
      </c>
      <c r="I3890" s="2">
        <v>3</v>
      </c>
    </row>
    <row r="3891" spans="1:9" x14ac:dyDescent="0.25">
      <c r="A3891" s="2" t="str">
        <f>CONCATENATE(Códigos!S3890,Códigos!T3890,Códigos!U3890)</f>
        <v>svv3889v</v>
      </c>
      <c r="B3891" t="s">
        <v>340</v>
      </c>
      <c r="C3891" t="s">
        <v>477</v>
      </c>
      <c r="D3891" s="2" t="s">
        <v>478</v>
      </c>
      <c r="E3891" t="s">
        <v>474</v>
      </c>
      <c r="F3891" s="11">
        <v>43595</v>
      </c>
      <c r="G3891" s="2">
        <f>VLOOKUP(E3891,Produtos!$A:$E,5,FALSE)</f>
        <v>1800</v>
      </c>
      <c r="H3891" s="2">
        <f>VLOOKUP(E3891,Produtos!$A:$E,4,FALSE)</f>
        <v>800</v>
      </c>
      <c r="I3891" s="2">
        <v>3</v>
      </c>
    </row>
    <row r="3892" spans="1:9" x14ac:dyDescent="0.25">
      <c r="A3892" s="2" t="str">
        <f>CONCATENATE(Códigos!S3891,Códigos!T3891,Códigos!U3891)</f>
        <v>svv3890v</v>
      </c>
      <c r="B3892" t="s">
        <v>340</v>
      </c>
      <c r="C3892" t="s">
        <v>477</v>
      </c>
      <c r="D3892" s="2" t="s">
        <v>478</v>
      </c>
      <c r="E3892" t="s">
        <v>474</v>
      </c>
      <c r="F3892" s="11">
        <v>43596</v>
      </c>
      <c r="G3892" s="2">
        <f>VLOOKUP(E3892,Produtos!$A:$E,5,FALSE)</f>
        <v>1800</v>
      </c>
      <c r="H3892" s="2">
        <f>VLOOKUP(E3892,Produtos!$A:$E,4,FALSE)</f>
        <v>800</v>
      </c>
      <c r="I3892" s="2">
        <v>3</v>
      </c>
    </row>
    <row r="3893" spans="1:9" x14ac:dyDescent="0.25">
      <c r="A3893" s="2" t="str">
        <f>CONCATENATE(Códigos!S3892,Códigos!T3892,Códigos!U3892)</f>
        <v>svv3891v</v>
      </c>
      <c r="B3893" t="s">
        <v>340</v>
      </c>
      <c r="C3893" t="s">
        <v>477</v>
      </c>
      <c r="D3893" s="2" t="s">
        <v>478</v>
      </c>
      <c r="E3893" t="s">
        <v>474</v>
      </c>
      <c r="F3893" s="11">
        <v>43597</v>
      </c>
      <c r="G3893" s="2">
        <f>VLOOKUP(E3893,Produtos!$A:$E,5,FALSE)</f>
        <v>1800</v>
      </c>
      <c r="H3893" s="2">
        <f>VLOOKUP(E3893,Produtos!$A:$E,4,FALSE)</f>
        <v>800</v>
      </c>
      <c r="I3893" s="2">
        <v>3</v>
      </c>
    </row>
    <row r="3894" spans="1:9" x14ac:dyDescent="0.25">
      <c r="A3894" s="2" t="str">
        <f>CONCATENATE(Códigos!S3893,Códigos!T3893,Códigos!U3893)</f>
        <v>svv3892v</v>
      </c>
      <c r="B3894" t="s">
        <v>340</v>
      </c>
      <c r="C3894" t="s">
        <v>477</v>
      </c>
      <c r="D3894" s="2" t="s">
        <v>478</v>
      </c>
      <c r="E3894" t="s">
        <v>474</v>
      </c>
      <c r="F3894" s="11">
        <v>43598</v>
      </c>
      <c r="G3894" s="2">
        <f>VLOOKUP(E3894,Produtos!$A:$E,5,FALSE)</f>
        <v>1800</v>
      </c>
      <c r="H3894" s="2">
        <f>VLOOKUP(E3894,Produtos!$A:$E,4,FALSE)</f>
        <v>800</v>
      </c>
      <c r="I3894" s="2">
        <v>3</v>
      </c>
    </row>
    <row r="3895" spans="1:9" x14ac:dyDescent="0.25">
      <c r="A3895" s="2" t="str">
        <f>CONCATENATE(Códigos!S3894,Códigos!T3894,Códigos!U3894)</f>
        <v>svv3893v</v>
      </c>
      <c r="B3895" t="s">
        <v>340</v>
      </c>
      <c r="C3895" t="s">
        <v>477</v>
      </c>
      <c r="D3895" s="2" t="s">
        <v>478</v>
      </c>
      <c r="E3895" t="s">
        <v>474</v>
      </c>
      <c r="F3895" s="11">
        <v>43599</v>
      </c>
      <c r="G3895" s="2">
        <f>VLOOKUP(E3895,Produtos!$A:$E,5,FALSE)</f>
        <v>1800</v>
      </c>
      <c r="H3895" s="2">
        <f>VLOOKUP(E3895,Produtos!$A:$E,4,FALSE)</f>
        <v>800</v>
      </c>
      <c r="I3895" s="2">
        <v>3</v>
      </c>
    </row>
    <row r="3896" spans="1:9" x14ac:dyDescent="0.25">
      <c r="A3896" s="2" t="str">
        <f>CONCATENATE(Códigos!S3895,Códigos!T3895,Códigos!U3895)</f>
        <v>svv3894v</v>
      </c>
      <c r="B3896" t="s">
        <v>340</v>
      </c>
      <c r="C3896" t="s">
        <v>477</v>
      </c>
      <c r="D3896" s="2" t="s">
        <v>478</v>
      </c>
      <c r="E3896" t="s">
        <v>474</v>
      </c>
      <c r="F3896" s="11">
        <v>43600</v>
      </c>
      <c r="G3896" s="2">
        <f>VLOOKUP(E3896,Produtos!$A:$E,5,FALSE)</f>
        <v>1800</v>
      </c>
      <c r="H3896" s="2">
        <f>VLOOKUP(E3896,Produtos!$A:$E,4,FALSE)</f>
        <v>800</v>
      </c>
      <c r="I3896" s="2">
        <v>3</v>
      </c>
    </row>
    <row r="3897" spans="1:9" x14ac:dyDescent="0.25">
      <c r="A3897" s="2" t="str">
        <f>CONCATENATE(Códigos!S3896,Códigos!T3896,Códigos!U3896)</f>
        <v>svv3895v</v>
      </c>
      <c r="B3897" t="s">
        <v>340</v>
      </c>
      <c r="C3897" t="s">
        <v>477</v>
      </c>
      <c r="D3897" s="2" t="s">
        <v>478</v>
      </c>
      <c r="E3897" t="s">
        <v>474</v>
      </c>
      <c r="F3897" s="11">
        <v>43601</v>
      </c>
      <c r="G3897" s="2">
        <f>VLOOKUP(E3897,Produtos!$A:$E,5,FALSE)</f>
        <v>1800</v>
      </c>
      <c r="H3897" s="2">
        <f>VLOOKUP(E3897,Produtos!$A:$E,4,FALSE)</f>
        <v>800</v>
      </c>
      <c r="I3897" s="2">
        <v>3</v>
      </c>
    </row>
    <row r="3898" spans="1:9" x14ac:dyDescent="0.25">
      <c r="A3898" s="2" t="str">
        <f>CONCATENATE(Códigos!S3897,Códigos!T3897,Códigos!U3897)</f>
        <v>svv3896v</v>
      </c>
      <c r="B3898" t="s">
        <v>340</v>
      </c>
      <c r="C3898" t="s">
        <v>477</v>
      </c>
      <c r="D3898" s="2" t="s">
        <v>478</v>
      </c>
      <c r="E3898" t="s">
        <v>474</v>
      </c>
      <c r="F3898" s="11">
        <v>43602</v>
      </c>
      <c r="G3898" s="2">
        <f>VLOOKUP(E3898,Produtos!$A:$E,5,FALSE)</f>
        <v>1800</v>
      </c>
      <c r="H3898" s="2">
        <f>VLOOKUP(E3898,Produtos!$A:$E,4,FALSE)</f>
        <v>800</v>
      </c>
      <c r="I3898" s="2">
        <v>3</v>
      </c>
    </row>
    <row r="3899" spans="1:9" x14ac:dyDescent="0.25">
      <c r="A3899" s="2" t="str">
        <f>CONCATENATE(Códigos!S3898,Códigos!T3898,Códigos!U3898)</f>
        <v>svv3897v</v>
      </c>
      <c r="B3899" t="s">
        <v>340</v>
      </c>
      <c r="C3899" t="s">
        <v>477</v>
      </c>
      <c r="D3899" s="2" t="s">
        <v>478</v>
      </c>
      <c r="E3899" t="s">
        <v>476</v>
      </c>
      <c r="F3899" s="11">
        <v>43603</v>
      </c>
      <c r="G3899" s="2">
        <f>VLOOKUP(E3899,Produtos!$A:$E,5,FALSE)</f>
        <v>4000</v>
      </c>
      <c r="H3899" s="2">
        <f>VLOOKUP(E3899,Produtos!$A:$E,4,FALSE)</f>
        <v>1500</v>
      </c>
      <c r="I3899" s="2">
        <v>3</v>
      </c>
    </row>
    <row r="3900" spans="1:9" x14ac:dyDescent="0.25">
      <c r="A3900" s="2" t="str">
        <f>CONCATENATE(Códigos!S3899,Códigos!T3899,Códigos!U3899)</f>
        <v>svv3898v</v>
      </c>
      <c r="B3900" t="s">
        <v>340</v>
      </c>
      <c r="C3900" t="s">
        <v>477</v>
      </c>
      <c r="D3900" s="2" t="s">
        <v>478</v>
      </c>
      <c r="E3900" t="s">
        <v>476</v>
      </c>
      <c r="F3900" s="11">
        <v>43604</v>
      </c>
      <c r="G3900" s="2">
        <f>VLOOKUP(E3900,Produtos!$A:$E,5,FALSE)</f>
        <v>4000</v>
      </c>
      <c r="H3900" s="2">
        <f>VLOOKUP(E3900,Produtos!$A:$E,4,FALSE)</f>
        <v>1500</v>
      </c>
      <c r="I3900" s="2">
        <v>3</v>
      </c>
    </row>
    <row r="3901" spans="1:9" x14ac:dyDescent="0.25">
      <c r="A3901" s="2" t="str">
        <f>CONCATENATE(Códigos!S3900,Códigos!T3900,Códigos!U3900)</f>
        <v>svv3899v</v>
      </c>
      <c r="B3901" t="s">
        <v>340</v>
      </c>
      <c r="C3901" t="s">
        <v>477</v>
      </c>
      <c r="D3901" s="2" t="s">
        <v>478</v>
      </c>
      <c r="E3901" t="s">
        <v>476</v>
      </c>
      <c r="F3901" s="11">
        <v>43605</v>
      </c>
      <c r="G3901" s="2">
        <f>VLOOKUP(E3901,Produtos!$A:$E,5,FALSE)</f>
        <v>4000</v>
      </c>
      <c r="H3901" s="2">
        <f>VLOOKUP(E3901,Produtos!$A:$E,4,FALSE)</f>
        <v>1500</v>
      </c>
      <c r="I3901" s="2">
        <v>3</v>
      </c>
    </row>
    <row r="3902" spans="1:9" x14ac:dyDescent="0.25">
      <c r="A3902" s="2" t="str">
        <f>CONCATENATE(Códigos!S3901,Códigos!T3901,Códigos!U3901)</f>
        <v>svv3900v</v>
      </c>
      <c r="B3902" t="s">
        <v>340</v>
      </c>
      <c r="C3902" t="s">
        <v>477</v>
      </c>
      <c r="D3902" s="2" t="s">
        <v>478</v>
      </c>
      <c r="E3902" t="s">
        <v>476</v>
      </c>
      <c r="F3902" s="11">
        <v>43606</v>
      </c>
      <c r="G3902" s="2">
        <f>VLOOKUP(E3902,Produtos!$A:$E,5,FALSE)</f>
        <v>4000</v>
      </c>
      <c r="H3902" s="2">
        <f>VLOOKUP(E3902,Produtos!$A:$E,4,FALSE)</f>
        <v>1500</v>
      </c>
      <c r="I3902" s="2">
        <v>3</v>
      </c>
    </row>
    <row r="3903" spans="1:9" x14ac:dyDescent="0.25">
      <c r="A3903" s="2" t="str">
        <f>CONCATENATE(Códigos!S3902,Códigos!T3902,Códigos!U3902)</f>
        <v>svv3901v</v>
      </c>
      <c r="B3903" t="s">
        <v>340</v>
      </c>
      <c r="C3903" t="s">
        <v>477</v>
      </c>
      <c r="D3903" s="2" t="s">
        <v>478</v>
      </c>
      <c r="E3903" t="s">
        <v>476</v>
      </c>
      <c r="F3903" s="11">
        <v>43607</v>
      </c>
      <c r="G3903" s="2">
        <f>VLOOKUP(E3903,Produtos!$A:$E,5,FALSE)</f>
        <v>4000</v>
      </c>
      <c r="H3903" s="2">
        <f>VLOOKUP(E3903,Produtos!$A:$E,4,FALSE)</f>
        <v>1500</v>
      </c>
      <c r="I3903" s="2">
        <v>3</v>
      </c>
    </row>
    <row r="3904" spans="1:9" x14ac:dyDescent="0.25">
      <c r="A3904" s="2" t="str">
        <f>CONCATENATE(Códigos!S3903,Códigos!T3903,Códigos!U3903)</f>
        <v>svv3902v</v>
      </c>
      <c r="B3904" t="s">
        <v>340</v>
      </c>
      <c r="C3904" t="s">
        <v>477</v>
      </c>
      <c r="D3904" s="2" t="s">
        <v>478</v>
      </c>
      <c r="E3904" t="s">
        <v>476</v>
      </c>
      <c r="F3904" s="11">
        <v>43608</v>
      </c>
      <c r="G3904" s="2">
        <f>VLOOKUP(E3904,Produtos!$A:$E,5,FALSE)</f>
        <v>4000</v>
      </c>
      <c r="H3904" s="2">
        <f>VLOOKUP(E3904,Produtos!$A:$E,4,FALSE)</f>
        <v>1500</v>
      </c>
      <c r="I3904" s="2">
        <v>3</v>
      </c>
    </row>
    <row r="3905" spans="1:9" x14ac:dyDescent="0.25">
      <c r="A3905" s="2" t="str">
        <f>CONCATENATE(Códigos!S3904,Códigos!T3904,Códigos!U3904)</f>
        <v>svv3903v</v>
      </c>
      <c r="B3905" t="s">
        <v>340</v>
      </c>
      <c r="C3905" t="s">
        <v>477</v>
      </c>
      <c r="D3905" s="2" t="s">
        <v>478</v>
      </c>
      <c r="E3905" t="s">
        <v>476</v>
      </c>
      <c r="F3905" s="11">
        <v>43609</v>
      </c>
      <c r="G3905" s="2">
        <f>VLOOKUP(E3905,Produtos!$A:$E,5,FALSE)</f>
        <v>4000</v>
      </c>
      <c r="H3905" s="2">
        <f>VLOOKUP(E3905,Produtos!$A:$E,4,FALSE)</f>
        <v>1500</v>
      </c>
      <c r="I3905" s="2">
        <v>3</v>
      </c>
    </row>
    <row r="3906" spans="1:9" x14ac:dyDescent="0.25">
      <c r="A3906" s="2" t="str">
        <f>CONCATENATE(Códigos!S3905,Códigos!T3905,Códigos!U3905)</f>
        <v>svv3904v</v>
      </c>
      <c r="B3906" t="s">
        <v>340</v>
      </c>
      <c r="C3906" t="s">
        <v>477</v>
      </c>
      <c r="D3906" s="2" t="s">
        <v>478</v>
      </c>
      <c r="E3906" t="s">
        <v>476</v>
      </c>
      <c r="F3906" s="11">
        <v>43610</v>
      </c>
      <c r="G3906" s="2">
        <f>VLOOKUP(E3906,Produtos!$A:$E,5,FALSE)</f>
        <v>4000</v>
      </c>
      <c r="H3906" s="2">
        <f>VLOOKUP(E3906,Produtos!$A:$E,4,FALSE)</f>
        <v>1500</v>
      </c>
      <c r="I3906" s="2">
        <v>3</v>
      </c>
    </row>
    <row r="3907" spans="1:9" x14ac:dyDescent="0.25">
      <c r="A3907" s="2" t="str">
        <f>CONCATENATE(Códigos!S3906,Códigos!T3906,Códigos!U3906)</f>
        <v>svv3905v</v>
      </c>
      <c r="B3907" t="s">
        <v>340</v>
      </c>
      <c r="C3907" t="s">
        <v>477</v>
      </c>
      <c r="D3907" s="2" t="s">
        <v>478</v>
      </c>
      <c r="E3907" t="s">
        <v>476</v>
      </c>
      <c r="F3907" s="11">
        <v>43611</v>
      </c>
      <c r="G3907" s="2">
        <f>VLOOKUP(E3907,Produtos!$A:$E,5,FALSE)</f>
        <v>4000</v>
      </c>
      <c r="H3907" s="2">
        <f>VLOOKUP(E3907,Produtos!$A:$E,4,FALSE)</f>
        <v>1500</v>
      </c>
      <c r="I3907" s="2">
        <v>3</v>
      </c>
    </row>
    <row r="3908" spans="1:9" x14ac:dyDescent="0.25">
      <c r="A3908" s="2" t="str">
        <f>CONCATENATE(Códigos!S3907,Códigos!T3907,Códigos!U3907)</f>
        <v>svv3906v</v>
      </c>
      <c r="B3908" t="s">
        <v>340</v>
      </c>
      <c r="C3908" t="s">
        <v>477</v>
      </c>
      <c r="D3908" s="2" t="s">
        <v>478</v>
      </c>
      <c r="E3908" t="s">
        <v>476</v>
      </c>
      <c r="F3908" s="11">
        <v>43612</v>
      </c>
      <c r="G3908" s="2">
        <f>VLOOKUP(E3908,Produtos!$A:$E,5,FALSE)</f>
        <v>4000</v>
      </c>
      <c r="H3908" s="2">
        <f>VLOOKUP(E3908,Produtos!$A:$E,4,FALSE)</f>
        <v>1500</v>
      </c>
      <c r="I3908" s="2">
        <v>3</v>
      </c>
    </row>
    <row r="3909" spans="1:9" x14ac:dyDescent="0.25">
      <c r="A3909" s="2" t="str">
        <f>CONCATENATE(Códigos!S3908,Códigos!T3908,Códigos!U3908)</f>
        <v>svv3907v</v>
      </c>
      <c r="B3909" t="s">
        <v>340</v>
      </c>
      <c r="C3909" t="s">
        <v>477</v>
      </c>
      <c r="D3909" s="2" t="s">
        <v>478</v>
      </c>
      <c r="E3909" t="s">
        <v>476</v>
      </c>
      <c r="F3909" s="11">
        <v>43613</v>
      </c>
      <c r="G3909" s="2">
        <f>VLOOKUP(E3909,Produtos!$A:$E,5,FALSE)</f>
        <v>4000</v>
      </c>
      <c r="H3909" s="2">
        <f>VLOOKUP(E3909,Produtos!$A:$E,4,FALSE)</f>
        <v>1500</v>
      </c>
      <c r="I3909" s="2">
        <v>3</v>
      </c>
    </row>
    <row r="3910" spans="1:9" x14ac:dyDescent="0.25">
      <c r="A3910" s="2" t="str">
        <f>CONCATENATE(Códigos!S3909,Códigos!T3909,Códigos!U3909)</f>
        <v>svv3908v</v>
      </c>
      <c r="B3910" t="s">
        <v>340</v>
      </c>
      <c r="C3910" t="s">
        <v>477</v>
      </c>
      <c r="D3910" s="2" t="s">
        <v>478</v>
      </c>
      <c r="E3910" t="s">
        <v>476</v>
      </c>
      <c r="F3910" s="11">
        <v>43614</v>
      </c>
      <c r="G3910" s="2">
        <f>VLOOKUP(E3910,Produtos!$A:$E,5,FALSE)</f>
        <v>4000</v>
      </c>
      <c r="H3910" s="2">
        <f>VLOOKUP(E3910,Produtos!$A:$E,4,FALSE)</f>
        <v>1500</v>
      </c>
      <c r="I3910" s="2">
        <v>3</v>
      </c>
    </row>
    <row r="3911" spans="1:9" x14ac:dyDescent="0.25">
      <c r="A3911" s="2" t="str">
        <f>CONCATENATE(Códigos!S3910,Códigos!T3910,Códigos!U3910)</f>
        <v>svv3909v</v>
      </c>
      <c r="B3911" t="s">
        <v>340</v>
      </c>
      <c r="C3911" t="s">
        <v>477</v>
      </c>
      <c r="D3911" s="2" t="s">
        <v>478</v>
      </c>
      <c r="E3911" t="s">
        <v>476</v>
      </c>
      <c r="F3911" s="11">
        <v>43615</v>
      </c>
      <c r="G3911" s="2">
        <f>VLOOKUP(E3911,Produtos!$A:$E,5,FALSE)</f>
        <v>4000</v>
      </c>
      <c r="H3911" s="2">
        <f>VLOOKUP(E3911,Produtos!$A:$E,4,FALSE)</f>
        <v>1500</v>
      </c>
      <c r="I3911" s="2">
        <v>3</v>
      </c>
    </row>
    <row r="3912" spans="1:9" x14ac:dyDescent="0.25">
      <c r="A3912" s="2" t="str">
        <f>CONCATENATE(Códigos!S3911,Códigos!T3911,Códigos!U3911)</f>
        <v>svv3910v</v>
      </c>
      <c r="B3912" t="s">
        <v>340</v>
      </c>
      <c r="C3912" t="s">
        <v>477</v>
      </c>
      <c r="D3912" s="2" t="s">
        <v>478</v>
      </c>
      <c r="E3912" t="s">
        <v>476</v>
      </c>
      <c r="F3912" s="11">
        <v>43616</v>
      </c>
      <c r="G3912" s="2">
        <f>VLOOKUP(E3912,Produtos!$A:$E,5,FALSE)</f>
        <v>4000</v>
      </c>
      <c r="H3912" s="2">
        <f>VLOOKUP(E3912,Produtos!$A:$E,4,FALSE)</f>
        <v>1500</v>
      </c>
      <c r="I3912" s="2">
        <v>3</v>
      </c>
    </row>
    <row r="3913" spans="1:9" x14ac:dyDescent="0.25">
      <c r="A3913" s="2" t="str">
        <f>CONCATENATE(Códigos!S3912,Códigos!T3912,Códigos!U3912)</f>
        <v>svv3911v</v>
      </c>
      <c r="B3913" t="s">
        <v>340</v>
      </c>
      <c r="C3913" t="s">
        <v>477</v>
      </c>
      <c r="D3913" s="2" t="s">
        <v>478</v>
      </c>
      <c r="E3913" t="s">
        <v>476</v>
      </c>
      <c r="F3913" s="11">
        <v>43617</v>
      </c>
      <c r="G3913" s="2">
        <f>VLOOKUP(E3913,Produtos!$A:$E,5,FALSE)</f>
        <v>4000</v>
      </c>
      <c r="H3913" s="2">
        <f>VLOOKUP(E3913,Produtos!$A:$E,4,FALSE)</f>
        <v>1500</v>
      </c>
      <c r="I3913" s="2">
        <v>3</v>
      </c>
    </row>
    <row r="3914" spans="1:9" x14ac:dyDescent="0.25">
      <c r="A3914" s="2" t="str">
        <f>CONCATENATE(Códigos!S3913,Códigos!T3913,Códigos!U3913)</f>
        <v>svv3912v</v>
      </c>
      <c r="B3914" t="s">
        <v>340</v>
      </c>
      <c r="C3914" t="s">
        <v>477</v>
      </c>
      <c r="D3914" s="2" t="s">
        <v>478</v>
      </c>
      <c r="E3914" t="s">
        <v>476</v>
      </c>
      <c r="F3914" s="11">
        <v>43618</v>
      </c>
      <c r="G3914" s="2">
        <f>VLOOKUP(E3914,Produtos!$A:$E,5,FALSE)</f>
        <v>4000</v>
      </c>
      <c r="H3914" s="2">
        <f>VLOOKUP(E3914,Produtos!$A:$E,4,FALSE)</f>
        <v>1500</v>
      </c>
      <c r="I3914" s="2">
        <v>3</v>
      </c>
    </row>
    <row r="3915" spans="1:9" x14ac:dyDescent="0.25">
      <c r="A3915" s="2" t="str">
        <f>CONCATENATE(Códigos!S3914,Códigos!T3914,Códigos!U3914)</f>
        <v>svv3913v</v>
      </c>
      <c r="B3915" t="s">
        <v>340</v>
      </c>
      <c r="C3915" t="s">
        <v>477</v>
      </c>
      <c r="D3915" s="2" t="s">
        <v>478</v>
      </c>
      <c r="E3915" t="s">
        <v>476</v>
      </c>
      <c r="F3915" s="11">
        <v>43619</v>
      </c>
      <c r="G3915" s="2">
        <f>VLOOKUP(E3915,Produtos!$A:$E,5,FALSE)</f>
        <v>4000</v>
      </c>
      <c r="H3915" s="2">
        <f>VLOOKUP(E3915,Produtos!$A:$E,4,FALSE)</f>
        <v>1500</v>
      </c>
      <c r="I3915" s="2">
        <v>3</v>
      </c>
    </row>
    <row r="3916" spans="1:9" x14ac:dyDescent="0.25">
      <c r="A3916" s="2" t="str">
        <f>CONCATENATE(Códigos!S3915,Códigos!T3915,Códigos!U3915)</f>
        <v>svv3914v</v>
      </c>
      <c r="B3916" t="s">
        <v>340</v>
      </c>
      <c r="C3916" t="s">
        <v>477</v>
      </c>
      <c r="D3916" s="2" t="s">
        <v>478</v>
      </c>
      <c r="E3916" t="s">
        <v>476</v>
      </c>
      <c r="F3916" s="11">
        <v>43620</v>
      </c>
      <c r="G3916" s="2">
        <f>VLOOKUP(E3916,Produtos!$A:$E,5,FALSE)</f>
        <v>4000</v>
      </c>
      <c r="H3916" s="2">
        <f>VLOOKUP(E3916,Produtos!$A:$E,4,FALSE)</f>
        <v>1500</v>
      </c>
      <c r="I3916" s="2">
        <v>3</v>
      </c>
    </row>
    <row r="3917" spans="1:9" x14ac:dyDescent="0.25">
      <c r="A3917" s="2" t="str">
        <f>CONCATENATE(Códigos!S3916,Códigos!T3916,Códigos!U3916)</f>
        <v>svv3915v</v>
      </c>
      <c r="B3917" t="s">
        <v>340</v>
      </c>
      <c r="C3917" t="s">
        <v>477</v>
      </c>
      <c r="D3917" s="2" t="s">
        <v>478</v>
      </c>
      <c r="E3917" t="s">
        <v>476</v>
      </c>
      <c r="F3917" s="11">
        <v>43621</v>
      </c>
      <c r="G3917" s="2">
        <f>VLOOKUP(E3917,Produtos!$A:$E,5,FALSE)</f>
        <v>4000</v>
      </c>
      <c r="H3917" s="2">
        <f>VLOOKUP(E3917,Produtos!$A:$E,4,FALSE)</f>
        <v>1500</v>
      </c>
      <c r="I3917" s="2">
        <v>3</v>
      </c>
    </row>
    <row r="3918" spans="1:9" x14ac:dyDescent="0.25">
      <c r="A3918" s="2" t="str">
        <f>CONCATENATE(Códigos!S3917,Códigos!T3917,Códigos!U3917)</f>
        <v>svv3916v</v>
      </c>
      <c r="B3918" t="s">
        <v>340</v>
      </c>
      <c r="C3918" t="s">
        <v>477</v>
      </c>
      <c r="D3918" s="2" t="s">
        <v>478</v>
      </c>
      <c r="E3918" t="s">
        <v>476</v>
      </c>
      <c r="F3918" s="11">
        <v>43622</v>
      </c>
      <c r="G3918" s="2">
        <f>VLOOKUP(E3918,Produtos!$A:$E,5,FALSE)</f>
        <v>4000</v>
      </c>
      <c r="H3918" s="2">
        <f>VLOOKUP(E3918,Produtos!$A:$E,4,FALSE)</f>
        <v>1500</v>
      </c>
      <c r="I3918" s="2">
        <v>3</v>
      </c>
    </row>
    <row r="3919" spans="1:9" x14ac:dyDescent="0.25">
      <c r="A3919" s="2" t="str">
        <f>CONCATENATE(Códigos!S3918,Códigos!T3918,Códigos!U3918)</f>
        <v>svv3917v</v>
      </c>
      <c r="B3919" t="s">
        <v>340</v>
      </c>
      <c r="C3919" t="s">
        <v>477</v>
      </c>
      <c r="D3919" s="2" t="s">
        <v>478</v>
      </c>
      <c r="E3919" t="s">
        <v>476</v>
      </c>
      <c r="F3919" s="11">
        <v>43623</v>
      </c>
      <c r="G3919" s="2">
        <f>VLOOKUP(E3919,Produtos!$A:$E,5,FALSE)</f>
        <v>4000</v>
      </c>
      <c r="H3919" s="2">
        <f>VLOOKUP(E3919,Produtos!$A:$E,4,FALSE)</f>
        <v>1500</v>
      </c>
      <c r="I3919" s="2">
        <v>3</v>
      </c>
    </row>
    <row r="3920" spans="1:9" x14ac:dyDescent="0.25">
      <c r="A3920" s="2" t="str">
        <f>CONCATENATE(Códigos!S3919,Códigos!T3919,Códigos!U3919)</f>
        <v>svv3918v</v>
      </c>
      <c r="B3920" t="s">
        <v>340</v>
      </c>
      <c r="C3920" t="s">
        <v>477</v>
      </c>
      <c r="D3920" s="2" t="s">
        <v>478</v>
      </c>
      <c r="E3920" t="s">
        <v>476</v>
      </c>
      <c r="F3920" s="11">
        <v>43624</v>
      </c>
      <c r="G3920" s="2">
        <f>VLOOKUP(E3920,Produtos!$A:$E,5,FALSE)</f>
        <v>4000</v>
      </c>
      <c r="H3920" s="2">
        <f>VLOOKUP(E3920,Produtos!$A:$E,4,FALSE)</f>
        <v>1500</v>
      </c>
      <c r="I3920" s="2">
        <v>3</v>
      </c>
    </row>
    <row r="3921" spans="1:9" x14ac:dyDescent="0.25">
      <c r="A3921" s="2" t="str">
        <f>CONCATENATE(Códigos!S3920,Códigos!T3920,Códigos!U3920)</f>
        <v>svv3919v</v>
      </c>
      <c r="B3921" t="s">
        <v>340</v>
      </c>
      <c r="C3921" t="s">
        <v>477</v>
      </c>
      <c r="D3921" s="2" t="s">
        <v>478</v>
      </c>
      <c r="E3921" t="s">
        <v>476</v>
      </c>
      <c r="F3921" s="11">
        <v>43625</v>
      </c>
      <c r="G3921" s="2">
        <f>VLOOKUP(E3921,Produtos!$A:$E,5,FALSE)</f>
        <v>4000</v>
      </c>
      <c r="H3921" s="2">
        <f>VLOOKUP(E3921,Produtos!$A:$E,4,FALSE)</f>
        <v>1500</v>
      </c>
      <c r="I3921" s="2">
        <v>3</v>
      </c>
    </row>
    <row r="3922" spans="1:9" x14ac:dyDescent="0.25">
      <c r="A3922" s="2" t="str">
        <f>CONCATENATE(Códigos!S3921,Códigos!T3921,Códigos!U3921)</f>
        <v>svv3920v</v>
      </c>
      <c r="B3922" t="s">
        <v>340</v>
      </c>
      <c r="C3922" t="s">
        <v>477</v>
      </c>
      <c r="D3922" s="2" t="s">
        <v>478</v>
      </c>
      <c r="E3922" t="s">
        <v>476</v>
      </c>
      <c r="F3922" s="11">
        <v>43626</v>
      </c>
      <c r="G3922" s="2">
        <f>VLOOKUP(E3922,Produtos!$A:$E,5,FALSE)</f>
        <v>4000</v>
      </c>
      <c r="H3922" s="2">
        <f>VLOOKUP(E3922,Produtos!$A:$E,4,FALSE)</f>
        <v>1500</v>
      </c>
      <c r="I3922" s="2">
        <v>3</v>
      </c>
    </row>
    <row r="3923" spans="1:9" x14ac:dyDescent="0.25">
      <c r="A3923" s="2" t="str">
        <f>CONCATENATE(Códigos!S3922,Códigos!T3922,Códigos!U3922)</f>
        <v>svv3921v</v>
      </c>
      <c r="B3923" t="s">
        <v>340</v>
      </c>
      <c r="C3923" t="s">
        <v>477</v>
      </c>
      <c r="D3923" s="2" t="s">
        <v>478</v>
      </c>
      <c r="E3923" t="s">
        <v>476</v>
      </c>
      <c r="F3923" s="11">
        <v>43627</v>
      </c>
      <c r="G3923" s="2">
        <f>VLOOKUP(E3923,Produtos!$A:$E,5,FALSE)</f>
        <v>4000</v>
      </c>
      <c r="H3923" s="2">
        <f>VLOOKUP(E3923,Produtos!$A:$E,4,FALSE)</f>
        <v>1500</v>
      </c>
      <c r="I3923" s="2">
        <v>3</v>
      </c>
    </row>
    <row r="3924" spans="1:9" x14ac:dyDescent="0.25">
      <c r="A3924" s="2" t="str">
        <f>CONCATENATE(Códigos!S3923,Códigos!T3923,Códigos!U3923)</f>
        <v>svv3922v</v>
      </c>
      <c r="B3924" t="s">
        <v>340</v>
      </c>
      <c r="C3924" t="s">
        <v>351</v>
      </c>
      <c r="D3924" s="2" t="s">
        <v>352</v>
      </c>
      <c r="E3924" t="s">
        <v>476</v>
      </c>
      <c r="F3924" s="11">
        <v>43628</v>
      </c>
      <c r="G3924" s="2">
        <f>VLOOKUP(E3924,Produtos!$A:$E,5,FALSE)</f>
        <v>4000</v>
      </c>
      <c r="H3924" s="2">
        <f>VLOOKUP(E3924,Produtos!$A:$E,4,FALSE)</f>
        <v>1500</v>
      </c>
      <c r="I3924" s="2">
        <v>3</v>
      </c>
    </row>
    <row r="3925" spans="1:9" x14ac:dyDescent="0.25">
      <c r="A3925" s="2" t="str">
        <f>CONCATENATE(Códigos!S3924,Códigos!T3924,Códigos!U3924)</f>
        <v>svv3923v</v>
      </c>
      <c r="B3925" t="s">
        <v>340</v>
      </c>
      <c r="C3925" t="s">
        <v>351</v>
      </c>
      <c r="D3925" s="2" t="s">
        <v>352</v>
      </c>
      <c r="E3925" t="s">
        <v>476</v>
      </c>
      <c r="F3925" s="11">
        <v>43629</v>
      </c>
      <c r="G3925" s="2">
        <f>VLOOKUP(E3925,Produtos!$A:$E,5,FALSE)</f>
        <v>4000</v>
      </c>
      <c r="H3925" s="2">
        <f>VLOOKUP(E3925,Produtos!$A:$E,4,FALSE)</f>
        <v>1500</v>
      </c>
      <c r="I3925" s="2">
        <v>3</v>
      </c>
    </row>
    <row r="3926" spans="1:9" x14ac:dyDescent="0.25">
      <c r="A3926" s="2" t="str">
        <f>CONCATENATE(Códigos!S3925,Códigos!T3925,Códigos!U3925)</f>
        <v>svv3924v</v>
      </c>
      <c r="B3926" t="s">
        <v>340</v>
      </c>
      <c r="C3926" t="s">
        <v>351</v>
      </c>
      <c r="D3926" s="2" t="s">
        <v>352</v>
      </c>
      <c r="E3926" t="s">
        <v>476</v>
      </c>
      <c r="F3926" s="11">
        <v>43630</v>
      </c>
      <c r="G3926" s="2">
        <f>VLOOKUP(E3926,Produtos!$A:$E,5,FALSE)</f>
        <v>4000</v>
      </c>
      <c r="H3926" s="2">
        <f>VLOOKUP(E3926,Produtos!$A:$E,4,FALSE)</f>
        <v>1500</v>
      </c>
      <c r="I3926" s="2">
        <v>3</v>
      </c>
    </row>
    <row r="3927" spans="1:9" x14ac:dyDescent="0.25">
      <c r="A3927" s="2" t="str">
        <f>CONCATENATE(Códigos!S3926,Códigos!T3926,Códigos!U3926)</f>
        <v>svv3925v</v>
      </c>
      <c r="B3927" t="s">
        <v>340</v>
      </c>
      <c r="C3927" t="s">
        <v>351</v>
      </c>
      <c r="D3927" s="2" t="s">
        <v>352</v>
      </c>
      <c r="E3927" t="s">
        <v>476</v>
      </c>
      <c r="F3927" s="11">
        <v>43631</v>
      </c>
      <c r="G3927" s="2">
        <f>VLOOKUP(E3927,Produtos!$A:$E,5,FALSE)</f>
        <v>4000</v>
      </c>
      <c r="H3927" s="2">
        <f>VLOOKUP(E3927,Produtos!$A:$E,4,FALSE)</f>
        <v>1500</v>
      </c>
      <c r="I3927" s="2">
        <v>3</v>
      </c>
    </row>
    <row r="3928" spans="1:9" x14ac:dyDescent="0.25">
      <c r="A3928" s="2" t="str">
        <f>CONCATENATE(Códigos!S3927,Códigos!T3927,Códigos!U3927)</f>
        <v>svv3926v</v>
      </c>
      <c r="B3928" t="s">
        <v>340</v>
      </c>
      <c r="C3928" t="s">
        <v>351</v>
      </c>
      <c r="D3928" s="2" t="s">
        <v>352</v>
      </c>
      <c r="E3928" t="s">
        <v>476</v>
      </c>
      <c r="F3928" s="11">
        <v>43632</v>
      </c>
      <c r="G3928" s="2">
        <f>VLOOKUP(E3928,Produtos!$A:$E,5,FALSE)</f>
        <v>4000</v>
      </c>
      <c r="H3928" s="2">
        <f>VLOOKUP(E3928,Produtos!$A:$E,4,FALSE)</f>
        <v>1500</v>
      </c>
      <c r="I3928" s="2">
        <v>3</v>
      </c>
    </row>
    <row r="3929" spans="1:9" x14ac:dyDescent="0.25">
      <c r="A3929" s="2" t="str">
        <f>CONCATENATE(Códigos!S3928,Códigos!T3928,Códigos!U3928)</f>
        <v>svv3927v</v>
      </c>
      <c r="B3929" t="s">
        <v>340</v>
      </c>
      <c r="C3929" t="s">
        <v>351</v>
      </c>
      <c r="D3929" s="2" t="s">
        <v>352</v>
      </c>
      <c r="E3929" t="s">
        <v>476</v>
      </c>
      <c r="F3929" s="11">
        <v>43633</v>
      </c>
      <c r="G3929" s="2">
        <f>VLOOKUP(E3929,Produtos!$A:$E,5,FALSE)</f>
        <v>4000</v>
      </c>
      <c r="H3929" s="2">
        <f>VLOOKUP(E3929,Produtos!$A:$E,4,FALSE)</f>
        <v>1500</v>
      </c>
      <c r="I3929" s="2">
        <v>3</v>
      </c>
    </row>
    <row r="3930" spans="1:9" x14ac:dyDescent="0.25">
      <c r="A3930" s="2" t="str">
        <f>CONCATENATE(Códigos!S3929,Códigos!T3929,Códigos!U3929)</f>
        <v>svv3928v</v>
      </c>
      <c r="B3930" t="s">
        <v>340</v>
      </c>
      <c r="C3930" t="s">
        <v>351</v>
      </c>
      <c r="D3930" s="2" t="s">
        <v>352</v>
      </c>
      <c r="E3930" t="s">
        <v>476</v>
      </c>
      <c r="F3930" s="11">
        <v>43634</v>
      </c>
      <c r="G3930" s="2">
        <f>VLOOKUP(E3930,Produtos!$A:$E,5,FALSE)</f>
        <v>4000</v>
      </c>
      <c r="H3930" s="2">
        <f>VLOOKUP(E3930,Produtos!$A:$E,4,FALSE)</f>
        <v>1500</v>
      </c>
      <c r="I3930" s="2">
        <v>3</v>
      </c>
    </row>
    <row r="3931" spans="1:9" x14ac:dyDescent="0.25">
      <c r="A3931" s="2" t="str">
        <f>CONCATENATE(Códigos!S3930,Códigos!T3930,Códigos!U3930)</f>
        <v>svv3929v</v>
      </c>
      <c r="B3931" t="s">
        <v>340</v>
      </c>
      <c r="C3931" t="s">
        <v>351</v>
      </c>
      <c r="D3931" s="2" t="s">
        <v>352</v>
      </c>
      <c r="E3931" t="s">
        <v>476</v>
      </c>
      <c r="F3931" s="11">
        <v>43635</v>
      </c>
      <c r="G3931" s="2">
        <f>VLOOKUP(E3931,Produtos!$A:$E,5,FALSE)</f>
        <v>4000</v>
      </c>
      <c r="H3931" s="2">
        <f>VLOOKUP(E3931,Produtos!$A:$E,4,FALSE)</f>
        <v>1500</v>
      </c>
      <c r="I3931" s="2">
        <v>3</v>
      </c>
    </row>
    <row r="3932" spans="1:9" x14ac:dyDescent="0.25">
      <c r="A3932" s="2" t="str">
        <f>CONCATENATE(Códigos!S3931,Códigos!T3931,Códigos!U3931)</f>
        <v>svv3930v</v>
      </c>
      <c r="B3932" t="s">
        <v>340</v>
      </c>
      <c r="C3932" t="s">
        <v>351</v>
      </c>
      <c r="D3932" s="2" t="s">
        <v>352</v>
      </c>
      <c r="E3932" t="s">
        <v>476</v>
      </c>
      <c r="F3932" s="11">
        <v>43636</v>
      </c>
      <c r="G3932" s="2">
        <f>VLOOKUP(E3932,Produtos!$A:$E,5,FALSE)</f>
        <v>4000</v>
      </c>
      <c r="H3932" s="2">
        <f>VLOOKUP(E3932,Produtos!$A:$E,4,FALSE)</f>
        <v>1500</v>
      </c>
      <c r="I3932" s="2">
        <v>3</v>
      </c>
    </row>
    <row r="3933" spans="1:9" x14ac:dyDescent="0.25">
      <c r="A3933" s="2" t="str">
        <f>CONCATENATE(Códigos!S3932,Códigos!T3932,Códigos!U3932)</f>
        <v>svv3931v</v>
      </c>
      <c r="B3933" t="s">
        <v>340</v>
      </c>
      <c r="C3933" t="s">
        <v>351</v>
      </c>
      <c r="D3933" s="2" t="s">
        <v>352</v>
      </c>
      <c r="E3933" t="s">
        <v>476</v>
      </c>
      <c r="F3933" s="11">
        <v>43637</v>
      </c>
      <c r="G3933" s="2">
        <f>VLOOKUP(E3933,Produtos!$A:$E,5,FALSE)</f>
        <v>4000</v>
      </c>
      <c r="H3933" s="2">
        <f>VLOOKUP(E3933,Produtos!$A:$E,4,FALSE)</f>
        <v>1500</v>
      </c>
      <c r="I3933" s="2">
        <v>3</v>
      </c>
    </row>
    <row r="3934" spans="1:9" x14ac:dyDescent="0.25">
      <c r="A3934" s="2" t="str">
        <f>CONCATENATE(Códigos!S3933,Códigos!T3933,Códigos!U3933)</f>
        <v>svv3932v</v>
      </c>
      <c r="B3934" t="s">
        <v>340</v>
      </c>
      <c r="C3934" t="s">
        <v>351</v>
      </c>
      <c r="D3934" s="2" t="s">
        <v>352</v>
      </c>
      <c r="E3934" t="s">
        <v>476</v>
      </c>
      <c r="F3934" s="11">
        <v>43638</v>
      </c>
      <c r="G3934" s="2">
        <f>VLOOKUP(E3934,Produtos!$A:$E,5,FALSE)</f>
        <v>4000</v>
      </c>
      <c r="H3934" s="2">
        <f>VLOOKUP(E3934,Produtos!$A:$E,4,FALSE)</f>
        <v>1500</v>
      </c>
      <c r="I3934" s="2">
        <v>3</v>
      </c>
    </row>
    <row r="3935" spans="1:9" x14ac:dyDescent="0.25">
      <c r="A3935" s="2" t="str">
        <f>CONCATENATE(Códigos!S3934,Códigos!T3934,Códigos!U3934)</f>
        <v>svv3933v</v>
      </c>
      <c r="B3935" t="s">
        <v>340</v>
      </c>
      <c r="C3935" t="s">
        <v>351</v>
      </c>
      <c r="D3935" s="2" t="s">
        <v>352</v>
      </c>
      <c r="E3935" t="s">
        <v>476</v>
      </c>
      <c r="F3935" s="11">
        <v>43639</v>
      </c>
      <c r="G3935" s="2">
        <f>VLOOKUP(E3935,Produtos!$A:$E,5,FALSE)</f>
        <v>4000</v>
      </c>
      <c r="H3935" s="2">
        <f>VLOOKUP(E3935,Produtos!$A:$E,4,FALSE)</f>
        <v>1500</v>
      </c>
      <c r="I3935" s="2">
        <v>3</v>
      </c>
    </row>
    <row r="3936" spans="1:9" x14ac:dyDescent="0.25">
      <c r="A3936" s="2" t="str">
        <f>CONCATENATE(Códigos!S3935,Códigos!T3935,Códigos!U3935)</f>
        <v>svv3934v</v>
      </c>
      <c r="B3936" t="s">
        <v>340</v>
      </c>
      <c r="C3936" t="s">
        <v>351</v>
      </c>
      <c r="D3936" s="2" t="s">
        <v>352</v>
      </c>
      <c r="E3936" t="s">
        <v>476</v>
      </c>
      <c r="F3936" s="11">
        <v>43640</v>
      </c>
      <c r="G3936" s="2">
        <f>VLOOKUP(E3936,Produtos!$A:$E,5,FALSE)</f>
        <v>4000</v>
      </c>
      <c r="H3936" s="2">
        <f>VLOOKUP(E3936,Produtos!$A:$E,4,FALSE)</f>
        <v>1500</v>
      </c>
      <c r="I3936" s="2">
        <v>3</v>
      </c>
    </row>
    <row r="3937" spans="1:9" x14ac:dyDescent="0.25">
      <c r="A3937" s="2" t="str">
        <f>CONCATENATE(Códigos!S3936,Códigos!T3936,Códigos!U3936)</f>
        <v>svv3935v</v>
      </c>
      <c r="B3937" t="s">
        <v>340</v>
      </c>
      <c r="C3937" t="s">
        <v>351</v>
      </c>
      <c r="D3937" s="2" t="s">
        <v>352</v>
      </c>
      <c r="E3937" t="s">
        <v>476</v>
      </c>
      <c r="F3937" s="11">
        <v>43641</v>
      </c>
      <c r="G3937" s="2">
        <f>VLOOKUP(E3937,Produtos!$A:$E,5,FALSE)</f>
        <v>4000</v>
      </c>
      <c r="H3937" s="2">
        <f>VLOOKUP(E3937,Produtos!$A:$E,4,FALSE)</f>
        <v>1500</v>
      </c>
      <c r="I3937" s="2">
        <v>3</v>
      </c>
    </row>
    <row r="3938" spans="1:9" x14ac:dyDescent="0.25">
      <c r="A3938" s="2" t="str">
        <f>CONCATENATE(Códigos!S3937,Códigos!T3937,Códigos!U3937)</f>
        <v>svv3936v</v>
      </c>
      <c r="B3938" t="s">
        <v>340</v>
      </c>
      <c r="C3938" t="s">
        <v>351</v>
      </c>
      <c r="D3938" s="2" t="s">
        <v>352</v>
      </c>
      <c r="E3938" t="s">
        <v>476</v>
      </c>
      <c r="F3938" s="11">
        <v>43642</v>
      </c>
      <c r="G3938" s="2">
        <f>VLOOKUP(E3938,Produtos!$A:$E,5,FALSE)</f>
        <v>4000</v>
      </c>
      <c r="H3938" s="2">
        <f>VLOOKUP(E3938,Produtos!$A:$E,4,FALSE)</f>
        <v>1500</v>
      </c>
      <c r="I3938" s="2">
        <v>3</v>
      </c>
    </row>
    <row r="3939" spans="1:9" x14ac:dyDescent="0.25">
      <c r="A3939" s="2" t="str">
        <f>CONCATENATE(Códigos!S3938,Códigos!T3938,Códigos!U3938)</f>
        <v>svv3937v</v>
      </c>
      <c r="B3939" t="s">
        <v>340</v>
      </c>
      <c r="C3939" t="s">
        <v>351</v>
      </c>
      <c r="D3939" s="2" t="s">
        <v>352</v>
      </c>
      <c r="E3939" t="s">
        <v>476</v>
      </c>
      <c r="F3939" s="11">
        <v>43643</v>
      </c>
      <c r="G3939" s="2">
        <f>VLOOKUP(E3939,Produtos!$A:$E,5,FALSE)</f>
        <v>4000</v>
      </c>
      <c r="H3939" s="2">
        <f>VLOOKUP(E3939,Produtos!$A:$E,4,FALSE)</f>
        <v>1500</v>
      </c>
      <c r="I3939" s="2">
        <v>3</v>
      </c>
    </row>
    <row r="3940" spans="1:9" x14ac:dyDescent="0.25">
      <c r="A3940" s="2" t="str">
        <f>CONCATENATE(Códigos!S3939,Códigos!T3939,Códigos!U3939)</f>
        <v>svv3938v</v>
      </c>
      <c r="B3940" t="s">
        <v>340</v>
      </c>
      <c r="C3940" t="s">
        <v>351</v>
      </c>
      <c r="D3940" s="2" t="s">
        <v>352</v>
      </c>
      <c r="E3940" t="s">
        <v>476</v>
      </c>
      <c r="F3940" s="11">
        <v>43644</v>
      </c>
      <c r="G3940" s="2">
        <f>VLOOKUP(E3940,Produtos!$A:$E,5,FALSE)</f>
        <v>4000</v>
      </c>
      <c r="H3940" s="2">
        <f>VLOOKUP(E3940,Produtos!$A:$E,4,FALSE)</f>
        <v>1500</v>
      </c>
      <c r="I3940" s="2">
        <v>3</v>
      </c>
    </row>
    <row r="3941" spans="1:9" x14ac:dyDescent="0.25">
      <c r="A3941" s="2" t="str">
        <f>CONCATENATE(Códigos!S3940,Códigos!T3940,Códigos!U3940)</f>
        <v>svv3939v</v>
      </c>
      <c r="B3941" t="s">
        <v>340</v>
      </c>
      <c r="C3941" t="s">
        <v>475</v>
      </c>
      <c r="D3941" s="2" t="s">
        <v>384</v>
      </c>
      <c r="E3941" t="s">
        <v>474</v>
      </c>
      <c r="F3941" s="11">
        <v>43645</v>
      </c>
      <c r="G3941" s="2">
        <f>VLOOKUP(E3941,Produtos!$A:$E,5,FALSE)</f>
        <v>1800</v>
      </c>
      <c r="H3941" s="2">
        <f>VLOOKUP(E3941,Produtos!$A:$E,4,FALSE)</f>
        <v>800</v>
      </c>
      <c r="I3941" s="2">
        <v>3</v>
      </c>
    </row>
    <row r="3942" spans="1:9" x14ac:dyDescent="0.25">
      <c r="A3942" s="2" t="str">
        <f>CONCATENATE(Códigos!S3941,Códigos!T3941,Códigos!U3941)</f>
        <v>svv3940v</v>
      </c>
      <c r="B3942" t="s">
        <v>340</v>
      </c>
      <c r="C3942" t="s">
        <v>475</v>
      </c>
      <c r="D3942" s="2" t="s">
        <v>384</v>
      </c>
      <c r="E3942" t="s">
        <v>474</v>
      </c>
      <c r="F3942" s="11">
        <v>43646</v>
      </c>
      <c r="G3942" s="2">
        <f>VLOOKUP(E3942,Produtos!$A:$E,5,FALSE)</f>
        <v>1800</v>
      </c>
      <c r="H3942" s="2">
        <f>VLOOKUP(E3942,Produtos!$A:$E,4,FALSE)</f>
        <v>800</v>
      </c>
      <c r="I3942" s="2">
        <v>3</v>
      </c>
    </row>
    <row r="3943" spans="1:9" x14ac:dyDescent="0.25">
      <c r="A3943" s="2" t="str">
        <f>CONCATENATE(Códigos!S3942,Códigos!T3942,Códigos!U3942)</f>
        <v>svv3941v</v>
      </c>
      <c r="B3943" t="s">
        <v>340</v>
      </c>
      <c r="C3943" t="s">
        <v>475</v>
      </c>
      <c r="D3943" s="2" t="s">
        <v>384</v>
      </c>
      <c r="E3943" t="s">
        <v>474</v>
      </c>
      <c r="F3943" s="11">
        <v>43647</v>
      </c>
      <c r="G3943" s="2">
        <f>VLOOKUP(E3943,Produtos!$A:$E,5,FALSE)</f>
        <v>1800</v>
      </c>
      <c r="H3943" s="2">
        <f>VLOOKUP(E3943,Produtos!$A:$E,4,FALSE)</f>
        <v>800</v>
      </c>
      <c r="I3943" s="2">
        <v>3</v>
      </c>
    </row>
    <row r="3944" spans="1:9" x14ac:dyDescent="0.25">
      <c r="A3944" s="2" t="str">
        <f>CONCATENATE(Códigos!S3943,Códigos!T3943,Códigos!U3943)</f>
        <v>svv3942v</v>
      </c>
      <c r="B3944" t="s">
        <v>340</v>
      </c>
      <c r="C3944" t="s">
        <v>475</v>
      </c>
      <c r="D3944" s="2" t="s">
        <v>384</v>
      </c>
      <c r="E3944" t="s">
        <v>474</v>
      </c>
      <c r="F3944" s="11">
        <v>43648</v>
      </c>
      <c r="G3944" s="2">
        <f>VLOOKUP(E3944,Produtos!$A:$E,5,FALSE)</f>
        <v>1800</v>
      </c>
      <c r="H3944" s="2">
        <f>VLOOKUP(E3944,Produtos!$A:$E,4,FALSE)</f>
        <v>800</v>
      </c>
      <c r="I3944" s="2">
        <v>3</v>
      </c>
    </row>
    <row r="3945" spans="1:9" x14ac:dyDescent="0.25">
      <c r="A3945" s="2" t="str">
        <f>CONCATENATE(Códigos!S3944,Códigos!T3944,Códigos!U3944)</f>
        <v>svv3943v</v>
      </c>
      <c r="B3945" t="s">
        <v>340</v>
      </c>
      <c r="C3945" t="s">
        <v>475</v>
      </c>
      <c r="D3945" s="2" t="s">
        <v>384</v>
      </c>
      <c r="E3945" t="s">
        <v>474</v>
      </c>
      <c r="F3945" s="11">
        <v>43649</v>
      </c>
      <c r="G3945" s="2">
        <f>VLOOKUP(E3945,Produtos!$A:$E,5,FALSE)</f>
        <v>1800</v>
      </c>
      <c r="H3945" s="2">
        <f>VLOOKUP(E3945,Produtos!$A:$E,4,FALSE)</f>
        <v>800</v>
      </c>
      <c r="I3945" s="2">
        <v>3</v>
      </c>
    </row>
    <row r="3946" spans="1:9" x14ac:dyDescent="0.25">
      <c r="A3946" s="2" t="str">
        <f>CONCATENATE(Códigos!S3945,Códigos!T3945,Códigos!U3945)</f>
        <v>svv3944v</v>
      </c>
      <c r="B3946" t="s">
        <v>340</v>
      </c>
      <c r="C3946" t="s">
        <v>475</v>
      </c>
      <c r="D3946" s="2" t="s">
        <v>384</v>
      </c>
      <c r="E3946" t="s">
        <v>474</v>
      </c>
      <c r="F3946" s="11">
        <v>43650</v>
      </c>
      <c r="G3946" s="2">
        <f>VLOOKUP(E3946,Produtos!$A:$E,5,FALSE)</f>
        <v>1800</v>
      </c>
      <c r="H3946" s="2">
        <f>VLOOKUP(E3946,Produtos!$A:$E,4,FALSE)</f>
        <v>800</v>
      </c>
      <c r="I3946" s="2">
        <v>3</v>
      </c>
    </row>
    <row r="3947" spans="1:9" x14ac:dyDescent="0.25">
      <c r="A3947" s="2" t="str">
        <f>CONCATENATE(Códigos!S3946,Códigos!T3946,Códigos!U3946)</f>
        <v>svv3945v</v>
      </c>
      <c r="B3947" t="s">
        <v>340</v>
      </c>
      <c r="C3947" t="s">
        <v>475</v>
      </c>
      <c r="D3947" s="2" t="s">
        <v>384</v>
      </c>
      <c r="E3947" t="s">
        <v>474</v>
      </c>
      <c r="F3947" s="11">
        <v>43651</v>
      </c>
      <c r="G3947" s="2">
        <f>VLOOKUP(E3947,Produtos!$A:$E,5,FALSE)</f>
        <v>1800</v>
      </c>
      <c r="H3947" s="2">
        <f>VLOOKUP(E3947,Produtos!$A:$E,4,FALSE)</f>
        <v>800</v>
      </c>
      <c r="I3947" s="2">
        <v>3</v>
      </c>
    </row>
    <row r="3948" spans="1:9" x14ac:dyDescent="0.25">
      <c r="A3948" s="2" t="str">
        <f>CONCATENATE(Códigos!S3947,Códigos!T3947,Códigos!U3947)</f>
        <v>svv3946v</v>
      </c>
      <c r="B3948" t="s">
        <v>340</v>
      </c>
      <c r="C3948" t="s">
        <v>475</v>
      </c>
      <c r="D3948" s="2" t="s">
        <v>384</v>
      </c>
      <c r="E3948" t="s">
        <v>474</v>
      </c>
      <c r="F3948" s="11">
        <v>43652</v>
      </c>
      <c r="G3948" s="2">
        <f>VLOOKUP(E3948,Produtos!$A:$E,5,FALSE)</f>
        <v>1800</v>
      </c>
      <c r="H3948" s="2">
        <f>VLOOKUP(E3948,Produtos!$A:$E,4,FALSE)</f>
        <v>800</v>
      </c>
      <c r="I3948" s="2">
        <v>3</v>
      </c>
    </row>
    <row r="3949" spans="1:9" x14ac:dyDescent="0.25">
      <c r="A3949" s="2" t="str">
        <f>CONCATENATE(Códigos!S3948,Códigos!T3948,Códigos!U3948)</f>
        <v>svv3947v</v>
      </c>
      <c r="B3949" t="s">
        <v>340</v>
      </c>
      <c r="C3949" t="s">
        <v>475</v>
      </c>
      <c r="D3949" s="2" t="s">
        <v>384</v>
      </c>
      <c r="E3949" t="s">
        <v>474</v>
      </c>
      <c r="F3949" s="11">
        <v>43653</v>
      </c>
      <c r="G3949" s="2">
        <f>VLOOKUP(E3949,Produtos!$A:$E,5,FALSE)</f>
        <v>1800</v>
      </c>
      <c r="H3949" s="2">
        <f>VLOOKUP(E3949,Produtos!$A:$E,4,FALSE)</f>
        <v>800</v>
      </c>
      <c r="I3949" s="2">
        <v>3</v>
      </c>
    </row>
    <row r="3950" spans="1:9" x14ac:dyDescent="0.25">
      <c r="A3950" s="2" t="str">
        <f>CONCATENATE(Códigos!S3949,Códigos!T3949,Códigos!U3949)</f>
        <v>svv3948v</v>
      </c>
      <c r="B3950" t="s">
        <v>340</v>
      </c>
      <c r="C3950" t="s">
        <v>475</v>
      </c>
      <c r="D3950" s="2" t="s">
        <v>384</v>
      </c>
      <c r="E3950" t="s">
        <v>474</v>
      </c>
      <c r="F3950" s="11">
        <v>43654</v>
      </c>
      <c r="G3950" s="2">
        <f>VLOOKUP(E3950,Produtos!$A:$E,5,FALSE)</f>
        <v>1800</v>
      </c>
      <c r="H3950" s="2">
        <f>VLOOKUP(E3950,Produtos!$A:$E,4,FALSE)</f>
        <v>800</v>
      </c>
      <c r="I3950" s="2">
        <v>3</v>
      </c>
    </row>
    <row r="3951" spans="1:9" x14ac:dyDescent="0.25">
      <c r="A3951" s="2" t="str">
        <f>CONCATENATE(Códigos!S3950,Códigos!T3950,Códigos!U3950)</f>
        <v>svv3949v</v>
      </c>
      <c r="B3951" t="s">
        <v>340</v>
      </c>
      <c r="C3951" t="s">
        <v>475</v>
      </c>
      <c r="D3951" s="2" t="s">
        <v>384</v>
      </c>
      <c r="E3951" t="s">
        <v>474</v>
      </c>
      <c r="F3951" s="11">
        <v>43655</v>
      </c>
      <c r="G3951" s="2">
        <f>VLOOKUP(E3951,Produtos!$A:$E,5,FALSE)</f>
        <v>1800</v>
      </c>
      <c r="H3951" s="2">
        <f>VLOOKUP(E3951,Produtos!$A:$E,4,FALSE)</f>
        <v>800</v>
      </c>
      <c r="I3951" s="2">
        <v>3</v>
      </c>
    </row>
    <row r="3952" spans="1:9" x14ac:dyDescent="0.25">
      <c r="A3952" s="2" t="str">
        <f>CONCATENATE(Códigos!S3951,Códigos!T3951,Códigos!U3951)</f>
        <v>svv3950v</v>
      </c>
      <c r="B3952" t="s">
        <v>340</v>
      </c>
      <c r="C3952" t="s">
        <v>475</v>
      </c>
      <c r="D3952" s="2" t="s">
        <v>384</v>
      </c>
      <c r="E3952" t="s">
        <v>474</v>
      </c>
      <c r="F3952" s="11">
        <v>43656</v>
      </c>
      <c r="G3952" s="2">
        <f>VLOOKUP(E3952,Produtos!$A:$E,5,FALSE)</f>
        <v>1800</v>
      </c>
      <c r="H3952" s="2">
        <f>VLOOKUP(E3952,Produtos!$A:$E,4,FALSE)</f>
        <v>800</v>
      </c>
      <c r="I3952" s="2">
        <v>3</v>
      </c>
    </row>
    <row r="3953" spans="1:9" x14ac:dyDescent="0.25">
      <c r="A3953" s="2" t="str">
        <f>CONCATENATE(Códigos!S3952,Códigos!T3952,Códigos!U3952)</f>
        <v>svv3951v</v>
      </c>
      <c r="B3953" t="s">
        <v>340</v>
      </c>
      <c r="C3953" t="s">
        <v>475</v>
      </c>
      <c r="D3953" s="2" t="s">
        <v>384</v>
      </c>
      <c r="E3953" t="s">
        <v>474</v>
      </c>
      <c r="F3953" s="11">
        <v>43657</v>
      </c>
      <c r="G3953" s="2">
        <f>VLOOKUP(E3953,Produtos!$A:$E,5,FALSE)</f>
        <v>1800</v>
      </c>
      <c r="H3953" s="2">
        <f>VLOOKUP(E3953,Produtos!$A:$E,4,FALSE)</f>
        <v>800</v>
      </c>
      <c r="I3953" s="2">
        <v>3</v>
      </c>
    </row>
    <row r="3954" spans="1:9" x14ac:dyDescent="0.25">
      <c r="A3954" s="2" t="str">
        <f>CONCATENATE(Códigos!S3953,Códigos!T3953,Códigos!U3953)</f>
        <v>svv3952v</v>
      </c>
      <c r="B3954" t="s">
        <v>340</v>
      </c>
      <c r="C3954" t="s">
        <v>475</v>
      </c>
      <c r="D3954" s="2" t="s">
        <v>384</v>
      </c>
      <c r="E3954" t="s">
        <v>474</v>
      </c>
      <c r="F3954" s="11">
        <v>43658</v>
      </c>
      <c r="G3954" s="2">
        <f>VLOOKUP(E3954,Produtos!$A:$E,5,FALSE)</f>
        <v>1800</v>
      </c>
      <c r="H3954" s="2">
        <f>VLOOKUP(E3954,Produtos!$A:$E,4,FALSE)</f>
        <v>800</v>
      </c>
      <c r="I3954" s="2">
        <v>3</v>
      </c>
    </row>
    <row r="3955" spans="1:9" x14ac:dyDescent="0.25">
      <c r="A3955" s="2" t="str">
        <f>CONCATENATE(Códigos!S3954,Códigos!T3954,Códigos!U3954)</f>
        <v>svv3953v</v>
      </c>
      <c r="B3955" t="s">
        <v>340</v>
      </c>
      <c r="C3955" t="s">
        <v>475</v>
      </c>
      <c r="D3955" s="2" t="s">
        <v>384</v>
      </c>
      <c r="E3955" t="s">
        <v>474</v>
      </c>
      <c r="F3955" s="11">
        <v>43659</v>
      </c>
      <c r="G3955" s="2">
        <f>VLOOKUP(E3955,Produtos!$A:$E,5,FALSE)</f>
        <v>1800</v>
      </c>
      <c r="H3955" s="2">
        <f>VLOOKUP(E3955,Produtos!$A:$E,4,FALSE)</f>
        <v>800</v>
      </c>
      <c r="I3955" s="2">
        <v>3</v>
      </c>
    </row>
    <row r="3956" spans="1:9" x14ac:dyDescent="0.25">
      <c r="A3956" s="2" t="str">
        <f>CONCATENATE(Códigos!S3955,Códigos!T3955,Códigos!U3955)</f>
        <v>svv3954v</v>
      </c>
      <c r="B3956" t="s">
        <v>340</v>
      </c>
      <c r="C3956" t="s">
        <v>475</v>
      </c>
      <c r="D3956" s="2" t="s">
        <v>384</v>
      </c>
      <c r="E3956" t="s">
        <v>474</v>
      </c>
      <c r="F3956" s="11">
        <v>43660</v>
      </c>
      <c r="G3956" s="2">
        <f>VLOOKUP(E3956,Produtos!$A:$E,5,FALSE)</f>
        <v>1800</v>
      </c>
      <c r="H3956" s="2">
        <f>VLOOKUP(E3956,Produtos!$A:$E,4,FALSE)</f>
        <v>800</v>
      </c>
      <c r="I3956" s="2">
        <v>3</v>
      </c>
    </row>
    <row r="3957" spans="1:9" x14ac:dyDescent="0.25">
      <c r="A3957" s="2" t="str">
        <f>CONCATENATE(Códigos!S3956,Códigos!T3956,Códigos!U3956)</f>
        <v>svv3955v</v>
      </c>
      <c r="B3957" t="s">
        <v>340</v>
      </c>
      <c r="C3957" t="s">
        <v>475</v>
      </c>
      <c r="D3957" s="2" t="s">
        <v>384</v>
      </c>
      <c r="E3957" t="s">
        <v>474</v>
      </c>
      <c r="F3957" s="11">
        <v>43661</v>
      </c>
      <c r="G3957" s="2">
        <f>VLOOKUP(E3957,Produtos!$A:$E,5,FALSE)</f>
        <v>1800</v>
      </c>
      <c r="H3957" s="2">
        <f>VLOOKUP(E3957,Produtos!$A:$E,4,FALSE)</f>
        <v>800</v>
      </c>
      <c r="I3957" s="2">
        <v>3</v>
      </c>
    </row>
    <row r="3958" spans="1:9" x14ac:dyDescent="0.25">
      <c r="A3958" s="2" t="str">
        <f>CONCATENATE(Códigos!S3957,Códigos!T3957,Códigos!U3957)</f>
        <v>svv3956v</v>
      </c>
      <c r="B3958" t="s">
        <v>340</v>
      </c>
      <c r="C3958" t="s">
        <v>475</v>
      </c>
      <c r="D3958" s="2" t="s">
        <v>384</v>
      </c>
      <c r="E3958" t="s">
        <v>474</v>
      </c>
      <c r="F3958" s="11">
        <v>43662</v>
      </c>
      <c r="G3958" s="2">
        <f>VLOOKUP(E3958,Produtos!$A:$E,5,FALSE)</f>
        <v>1800</v>
      </c>
      <c r="H3958" s="2">
        <f>VLOOKUP(E3958,Produtos!$A:$E,4,FALSE)</f>
        <v>800</v>
      </c>
      <c r="I3958" s="2">
        <v>3</v>
      </c>
    </row>
    <row r="3959" spans="1:9" x14ac:dyDescent="0.25">
      <c r="A3959" s="2" t="str">
        <f>CONCATENATE(Códigos!S3958,Códigos!T3958,Códigos!U3958)</f>
        <v>svv3957v</v>
      </c>
      <c r="B3959" t="s">
        <v>340</v>
      </c>
      <c r="C3959" t="s">
        <v>475</v>
      </c>
      <c r="D3959" s="2" t="s">
        <v>384</v>
      </c>
      <c r="E3959" t="s">
        <v>474</v>
      </c>
      <c r="F3959" s="11">
        <v>43663</v>
      </c>
      <c r="G3959" s="2">
        <f>VLOOKUP(E3959,Produtos!$A:$E,5,FALSE)</f>
        <v>1800</v>
      </c>
      <c r="H3959" s="2">
        <f>VLOOKUP(E3959,Produtos!$A:$E,4,FALSE)</f>
        <v>800</v>
      </c>
      <c r="I3959" s="2">
        <v>3</v>
      </c>
    </row>
    <row r="3960" spans="1:9" x14ac:dyDescent="0.25">
      <c r="A3960" s="2" t="str">
        <f>CONCATENATE(Códigos!S3959,Códigos!T3959,Códigos!U3959)</f>
        <v>svv3958v</v>
      </c>
      <c r="B3960" t="s">
        <v>340</v>
      </c>
      <c r="C3960" t="s">
        <v>475</v>
      </c>
      <c r="D3960" s="2" t="s">
        <v>384</v>
      </c>
      <c r="E3960" t="s">
        <v>474</v>
      </c>
      <c r="F3960" s="11">
        <v>43664</v>
      </c>
      <c r="G3960" s="2">
        <f>VLOOKUP(E3960,Produtos!$A:$E,5,FALSE)</f>
        <v>1800</v>
      </c>
      <c r="H3960" s="2">
        <f>VLOOKUP(E3960,Produtos!$A:$E,4,FALSE)</f>
        <v>800</v>
      </c>
      <c r="I3960" s="2">
        <v>3</v>
      </c>
    </row>
    <row r="3961" spans="1:9" x14ac:dyDescent="0.25">
      <c r="A3961" s="2" t="str">
        <f>CONCATENATE(Códigos!S3960,Códigos!T3960,Códigos!U3960)</f>
        <v>svv3959v</v>
      </c>
      <c r="B3961" t="s">
        <v>341</v>
      </c>
      <c r="C3961" t="s">
        <v>475</v>
      </c>
      <c r="D3961" s="2" t="s">
        <v>384</v>
      </c>
      <c r="E3961" t="s">
        <v>474</v>
      </c>
      <c r="F3961" s="11">
        <v>43665</v>
      </c>
      <c r="G3961" s="2">
        <f>VLOOKUP(E3961,Produtos!$A:$E,5,FALSE)</f>
        <v>1800</v>
      </c>
      <c r="H3961" s="2">
        <f>VLOOKUP(E3961,Produtos!$A:$E,4,FALSE)</f>
        <v>800</v>
      </c>
      <c r="I3961" s="2">
        <v>3</v>
      </c>
    </row>
    <row r="3962" spans="1:9" x14ac:dyDescent="0.25">
      <c r="A3962" s="2" t="str">
        <f>CONCATENATE(Códigos!S3961,Códigos!T3961,Códigos!U3961)</f>
        <v>svv3960v</v>
      </c>
      <c r="B3962" t="s">
        <v>341</v>
      </c>
      <c r="C3962" t="s">
        <v>475</v>
      </c>
      <c r="D3962" s="2" t="s">
        <v>384</v>
      </c>
      <c r="E3962" t="s">
        <v>474</v>
      </c>
      <c r="F3962" s="11">
        <v>43666</v>
      </c>
      <c r="G3962" s="2">
        <f>VLOOKUP(E3962,Produtos!$A:$E,5,FALSE)</f>
        <v>1800</v>
      </c>
      <c r="H3962" s="2">
        <f>VLOOKUP(E3962,Produtos!$A:$E,4,FALSE)</f>
        <v>800</v>
      </c>
      <c r="I3962" s="2">
        <v>3</v>
      </c>
    </row>
    <row r="3963" spans="1:9" x14ac:dyDescent="0.25">
      <c r="A3963" s="2" t="str">
        <f>CONCATENATE(Códigos!S3962,Códigos!T3962,Códigos!U3962)</f>
        <v>svv3961v</v>
      </c>
      <c r="B3963" t="s">
        <v>341</v>
      </c>
      <c r="C3963" t="s">
        <v>475</v>
      </c>
      <c r="D3963" s="2" t="s">
        <v>384</v>
      </c>
      <c r="E3963" t="s">
        <v>474</v>
      </c>
      <c r="F3963" s="11">
        <v>43667</v>
      </c>
      <c r="G3963" s="2">
        <f>VLOOKUP(E3963,Produtos!$A:$E,5,FALSE)</f>
        <v>1800</v>
      </c>
      <c r="H3963" s="2">
        <f>VLOOKUP(E3963,Produtos!$A:$E,4,FALSE)</f>
        <v>800</v>
      </c>
      <c r="I3963" s="2">
        <v>3</v>
      </c>
    </row>
    <row r="3964" spans="1:9" x14ac:dyDescent="0.25">
      <c r="A3964" s="2" t="str">
        <f>CONCATENATE(Códigos!S3963,Códigos!T3963,Códigos!U3963)</f>
        <v>svv3962v</v>
      </c>
      <c r="B3964" t="s">
        <v>341</v>
      </c>
      <c r="C3964" t="s">
        <v>475</v>
      </c>
      <c r="D3964" s="2" t="s">
        <v>384</v>
      </c>
      <c r="E3964" t="s">
        <v>474</v>
      </c>
      <c r="F3964" s="11">
        <v>43668</v>
      </c>
      <c r="G3964" s="2">
        <f>VLOOKUP(E3964,Produtos!$A:$E,5,FALSE)</f>
        <v>1800</v>
      </c>
      <c r="H3964" s="2">
        <f>VLOOKUP(E3964,Produtos!$A:$E,4,FALSE)</f>
        <v>800</v>
      </c>
      <c r="I3964" s="2">
        <v>3</v>
      </c>
    </row>
    <row r="3965" spans="1:9" x14ac:dyDescent="0.25">
      <c r="A3965" s="2" t="str">
        <f>CONCATENATE(Códigos!S3964,Códigos!T3964,Códigos!U3964)</f>
        <v>svv3963v</v>
      </c>
      <c r="B3965" t="s">
        <v>341</v>
      </c>
      <c r="C3965" t="s">
        <v>475</v>
      </c>
      <c r="D3965" s="2" t="s">
        <v>384</v>
      </c>
      <c r="E3965" t="s">
        <v>474</v>
      </c>
      <c r="F3965" s="11">
        <v>43669</v>
      </c>
      <c r="G3965" s="2">
        <f>VLOOKUP(E3965,Produtos!$A:$E,5,FALSE)</f>
        <v>1800</v>
      </c>
      <c r="H3965" s="2">
        <f>VLOOKUP(E3965,Produtos!$A:$E,4,FALSE)</f>
        <v>800</v>
      </c>
      <c r="I3965" s="2">
        <v>3</v>
      </c>
    </row>
    <row r="3966" spans="1:9" x14ac:dyDescent="0.25">
      <c r="A3966" s="2" t="str">
        <f>CONCATENATE(Códigos!S3965,Códigos!T3965,Códigos!U3965)</f>
        <v>svv3964v</v>
      </c>
      <c r="B3966" t="s">
        <v>341</v>
      </c>
      <c r="C3966" t="s">
        <v>475</v>
      </c>
      <c r="D3966" s="2" t="s">
        <v>384</v>
      </c>
      <c r="E3966" t="s">
        <v>474</v>
      </c>
      <c r="F3966" s="11">
        <v>43670</v>
      </c>
      <c r="G3966" s="2">
        <f>VLOOKUP(E3966,Produtos!$A:$E,5,FALSE)</f>
        <v>1800</v>
      </c>
      <c r="H3966" s="2">
        <f>VLOOKUP(E3966,Produtos!$A:$E,4,FALSE)</f>
        <v>800</v>
      </c>
      <c r="I3966" s="2">
        <v>3</v>
      </c>
    </row>
    <row r="3967" spans="1:9" x14ac:dyDescent="0.25">
      <c r="A3967" s="2" t="str">
        <f>CONCATENATE(Códigos!S3966,Códigos!T3966,Códigos!U3966)</f>
        <v>svv3965v</v>
      </c>
      <c r="B3967" t="s">
        <v>341</v>
      </c>
      <c r="C3967" t="s">
        <v>475</v>
      </c>
      <c r="D3967" s="2" t="s">
        <v>384</v>
      </c>
      <c r="E3967" t="s">
        <v>474</v>
      </c>
      <c r="F3967" s="11">
        <v>43671</v>
      </c>
      <c r="G3967" s="2">
        <f>VLOOKUP(E3967,Produtos!$A:$E,5,FALSE)</f>
        <v>1800</v>
      </c>
      <c r="H3967" s="2">
        <f>VLOOKUP(E3967,Produtos!$A:$E,4,FALSE)</f>
        <v>800</v>
      </c>
      <c r="I3967" s="2">
        <v>3</v>
      </c>
    </row>
    <row r="3968" spans="1:9" x14ac:dyDescent="0.25">
      <c r="A3968" s="2" t="str">
        <f>CONCATENATE(Códigos!S3967,Códigos!T3967,Códigos!U3967)</f>
        <v>svv3966v</v>
      </c>
      <c r="B3968" t="s">
        <v>341</v>
      </c>
      <c r="C3968" t="s">
        <v>475</v>
      </c>
      <c r="D3968" s="2" t="s">
        <v>384</v>
      </c>
      <c r="E3968" t="s">
        <v>474</v>
      </c>
      <c r="F3968" s="11">
        <v>43672</v>
      </c>
      <c r="G3968" s="2">
        <f>VLOOKUP(E3968,Produtos!$A:$E,5,FALSE)</f>
        <v>1800</v>
      </c>
      <c r="H3968" s="2">
        <f>VLOOKUP(E3968,Produtos!$A:$E,4,FALSE)</f>
        <v>800</v>
      </c>
      <c r="I3968" s="2">
        <v>3</v>
      </c>
    </row>
    <row r="3969" spans="1:9" x14ac:dyDescent="0.25">
      <c r="A3969" s="2" t="str">
        <f>CONCATENATE(Códigos!S3968,Códigos!T3968,Códigos!U3968)</f>
        <v>svv3967v</v>
      </c>
      <c r="B3969" t="s">
        <v>341</v>
      </c>
      <c r="C3969" t="s">
        <v>475</v>
      </c>
      <c r="D3969" s="2" t="s">
        <v>384</v>
      </c>
      <c r="E3969" t="s">
        <v>474</v>
      </c>
      <c r="F3969" s="11">
        <v>43673</v>
      </c>
      <c r="G3969" s="2">
        <f>VLOOKUP(E3969,Produtos!$A:$E,5,FALSE)</f>
        <v>1800</v>
      </c>
      <c r="H3969" s="2">
        <f>VLOOKUP(E3969,Produtos!$A:$E,4,FALSE)</f>
        <v>800</v>
      </c>
      <c r="I3969" s="2">
        <v>3</v>
      </c>
    </row>
    <row r="3970" spans="1:9" x14ac:dyDescent="0.25">
      <c r="A3970" s="2" t="str">
        <f>CONCATENATE(Códigos!S3969,Códigos!T3969,Códigos!U3969)</f>
        <v>svv3968v</v>
      </c>
      <c r="B3970" t="s">
        <v>341</v>
      </c>
      <c r="C3970" t="s">
        <v>475</v>
      </c>
      <c r="D3970" s="2" t="s">
        <v>384</v>
      </c>
      <c r="E3970" t="s">
        <v>474</v>
      </c>
      <c r="F3970" s="11">
        <v>43674</v>
      </c>
      <c r="G3970" s="2">
        <f>VLOOKUP(E3970,Produtos!$A:$E,5,FALSE)</f>
        <v>1800</v>
      </c>
      <c r="H3970" s="2">
        <f>VLOOKUP(E3970,Produtos!$A:$E,4,FALSE)</f>
        <v>800</v>
      </c>
      <c r="I3970" s="2">
        <v>3</v>
      </c>
    </row>
    <row r="3971" spans="1:9" x14ac:dyDescent="0.25">
      <c r="A3971" s="2" t="str">
        <f>CONCATENATE(Códigos!S3970,Códigos!T3970,Códigos!U3970)</f>
        <v>svv3969v</v>
      </c>
      <c r="B3971" t="s">
        <v>341</v>
      </c>
      <c r="C3971" t="s">
        <v>471</v>
      </c>
      <c r="D3971" s="2" t="s">
        <v>472</v>
      </c>
      <c r="E3971" t="s">
        <v>474</v>
      </c>
      <c r="F3971" s="11">
        <v>43675</v>
      </c>
      <c r="G3971" s="2">
        <f>VLOOKUP(E3971,Produtos!$A:$E,5,FALSE)</f>
        <v>1800</v>
      </c>
      <c r="H3971" s="2">
        <f>VLOOKUP(E3971,Produtos!$A:$E,4,FALSE)</f>
        <v>800</v>
      </c>
      <c r="I3971" s="2">
        <v>3</v>
      </c>
    </row>
    <row r="3972" spans="1:9" x14ac:dyDescent="0.25">
      <c r="A3972" s="2" t="str">
        <f>CONCATENATE(Códigos!S3971,Códigos!T3971,Códigos!U3971)</f>
        <v>svv3970v</v>
      </c>
      <c r="B3972" t="s">
        <v>341</v>
      </c>
      <c r="C3972" t="s">
        <v>471</v>
      </c>
      <c r="D3972" s="2" t="s">
        <v>472</v>
      </c>
      <c r="E3972" t="s">
        <v>474</v>
      </c>
      <c r="F3972" s="11">
        <v>43676</v>
      </c>
      <c r="G3972" s="2">
        <f>VLOOKUP(E3972,Produtos!$A:$E,5,FALSE)</f>
        <v>1800</v>
      </c>
      <c r="H3972" s="2">
        <f>VLOOKUP(E3972,Produtos!$A:$E,4,FALSE)</f>
        <v>800</v>
      </c>
      <c r="I3972" s="2">
        <v>3</v>
      </c>
    </row>
    <row r="3973" spans="1:9" x14ac:dyDescent="0.25">
      <c r="A3973" s="2" t="str">
        <f>CONCATENATE(Códigos!S3972,Códigos!T3972,Códigos!U3972)</f>
        <v>svv3971v</v>
      </c>
      <c r="B3973" t="s">
        <v>341</v>
      </c>
      <c r="C3973" t="s">
        <v>471</v>
      </c>
      <c r="D3973" s="2" t="s">
        <v>472</v>
      </c>
      <c r="E3973" t="s">
        <v>474</v>
      </c>
      <c r="F3973" s="11">
        <v>43677</v>
      </c>
      <c r="G3973" s="2">
        <f>VLOOKUP(E3973,Produtos!$A:$E,5,FALSE)</f>
        <v>1800</v>
      </c>
      <c r="H3973" s="2">
        <f>VLOOKUP(E3973,Produtos!$A:$E,4,FALSE)</f>
        <v>800</v>
      </c>
      <c r="I3973" s="2">
        <v>3</v>
      </c>
    </row>
    <row r="3974" spans="1:9" x14ac:dyDescent="0.25">
      <c r="A3974" s="2" t="str">
        <f>CONCATENATE(Códigos!S3973,Códigos!T3973,Códigos!U3973)</f>
        <v>svv3972v</v>
      </c>
      <c r="B3974" t="s">
        <v>341</v>
      </c>
      <c r="C3974" t="s">
        <v>471</v>
      </c>
      <c r="D3974" s="2" t="s">
        <v>472</v>
      </c>
      <c r="E3974" t="s">
        <v>474</v>
      </c>
      <c r="F3974" s="11">
        <v>43678</v>
      </c>
      <c r="G3974" s="2">
        <f>VLOOKUP(E3974,Produtos!$A:$E,5,FALSE)</f>
        <v>1800</v>
      </c>
      <c r="H3974" s="2">
        <f>VLOOKUP(E3974,Produtos!$A:$E,4,FALSE)</f>
        <v>800</v>
      </c>
      <c r="I3974" s="2">
        <v>3</v>
      </c>
    </row>
    <row r="3975" spans="1:9" x14ac:dyDescent="0.25">
      <c r="A3975" s="2" t="str">
        <f>CONCATENATE(Códigos!S3974,Códigos!T3974,Códigos!U3974)</f>
        <v>svv3973v</v>
      </c>
      <c r="B3975" t="s">
        <v>341</v>
      </c>
      <c r="C3975" t="s">
        <v>471</v>
      </c>
      <c r="D3975" s="2" t="s">
        <v>472</v>
      </c>
      <c r="E3975" t="s">
        <v>474</v>
      </c>
      <c r="F3975" s="11">
        <v>43679</v>
      </c>
      <c r="G3975" s="2">
        <f>VLOOKUP(E3975,Produtos!$A:$E,5,FALSE)</f>
        <v>1800</v>
      </c>
      <c r="H3975" s="2">
        <f>VLOOKUP(E3975,Produtos!$A:$E,4,FALSE)</f>
        <v>800</v>
      </c>
      <c r="I3975" s="2">
        <v>3</v>
      </c>
    </row>
    <row r="3976" spans="1:9" x14ac:dyDescent="0.25">
      <c r="A3976" s="2" t="str">
        <f>CONCATENATE(Códigos!S3975,Códigos!T3975,Códigos!U3975)</f>
        <v>svv3974v</v>
      </c>
      <c r="B3976" t="s">
        <v>341</v>
      </c>
      <c r="C3976" t="s">
        <v>471</v>
      </c>
      <c r="D3976" s="2" t="s">
        <v>472</v>
      </c>
      <c r="E3976" t="s">
        <v>474</v>
      </c>
      <c r="F3976" s="11">
        <v>43680</v>
      </c>
      <c r="G3976" s="2">
        <f>VLOOKUP(E3976,Produtos!$A:$E,5,FALSE)</f>
        <v>1800</v>
      </c>
      <c r="H3976" s="2">
        <f>VLOOKUP(E3976,Produtos!$A:$E,4,FALSE)</f>
        <v>800</v>
      </c>
      <c r="I3976" s="2">
        <v>3</v>
      </c>
    </row>
    <row r="3977" spans="1:9" x14ac:dyDescent="0.25">
      <c r="A3977" s="2" t="str">
        <f>CONCATENATE(Códigos!S3976,Códigos!T3976,Códigos!U3976)</f>
        <v>svv3975v</v>
      </c>
      <c r="B3977" t="s">
        <v>341</v>
      </c>
      <c r="C3977" t="s">
        <v>471</v>
      </c>
      <c r="D3977" s="2" t="s">
        <v>472</v>
      </c>
      <c r="E3977" t="s">
        <v>473</v>
      </c>
      <c r="F3977" s="11">
        <v>43681</v>
      </c>
      <c r="G3977" s="2">
        <f>VLOOKUP(E3977,Produtos!$A:$E,5,FALSE)</f>
        <v>3200</v>
      </c>
      <c r="H3977" s="2">
        <f>VLOOKUP(E3977,Produtos!$A:$E,4,FALSE)</f>
        <v>1200</v>
      </c>
      <c r="I3977" s="2">
        <v>3</v>
      </c>
    </row>
    <row r="3978" spans="1:9" x14ac:dyDescent="0.25">
      <c r="A3978" s="2" t="str">
        <f>CONCATENATE(Códigos!S3977,Códigos!T3977,Códigos!U3977)</f>
        <v>svv3976v</v>
      </c>
      <c r="B3978" t="s">
        <v>341</v>
      </c>
      <c r="C3978" t="s">
        <v>471</v>
      </c>
      <c r="D3978" s="2" t="s">
        <v>472</v>
      </c>
      <c r="E3978" t="s">
        <v>473</v>
      </c>
      <c r="F3978" s="11">
        <v>43682</v>
      </c>
      <c r="G3978" s="2">
        <f>VLOOKUP(E3978,Produtos!$A:$E,5,FALSE)</f>
        <v>3200</v>
      </c>
      <c r="H3978" s="2">
        <f>VLOOKUP(E3978,Produtos!$A:$E,4,FALSE)</f>
        <v>1200</v>
      </c>
      <c r="I3978" s="2">
        <v>3</v>
      </c>
    </row>
    <row r="3979" spans="1:9" x14ac:dyDescent="0.25">
      <c r="A3979" s="2" t="str">
        <f>CONCATENATE(Códigos!S3978,Códigos!T3978,Códigos!U3978)</f>
        <v>svv3977v</v>
      </c>
      <c r="B3979" t="s">
        <v>341</v>
      </c>
      <c r="C3979" t="s">
        <v>471</v>
      </c>
      <c r="D3979" s="2" t="s">
        <v>472</v>
      </c>
      <c r="E3979" t="s">
        <v>473</v>
      </c>
      <c r="F3979" s="11">
        <v>43683</v>
      </c>
      <c r="G3979" s="2">
        <f>VLOOKUP(E3979,Produtos!$A:$E,5,FALSE)</f>
        <v>3200</v>
      </c>
      <c r="H3979" s="2">
        <f>VLOOKUP(E3979,Produtos!$A:$E,4,FALSE)</f>
        <v>1200</v>
      </c>
      <c r="I3979" s="2">
        <v>3</v>
      </c>
    </row>
    <row r="3980" spans="1:9" x14ac:dyDescent="0.25">
      <c r="A3980" s="2" t="str">
        <f>CONCATENATE(Códigos!S3979,Códigos!T3979,Códigos!U3979)</f>
        <v>svv3978v</v>
      </c>
      <c r="B3980" t="s">
        <v>341</v>
      </c>
      <c r="C3980" t="s">
        <v>471</v>
      </c>
      <c r="D3980" s="2" t="s">
        <v>472</v>
      </c>
      <c r="E3980" t="s">
        <v>473</v>
      </c>
      <c r="F3980" s="11">
        <v>43684</v>
      </c>
      <c r="G3980" s="2">
        <f>VLOOKUP(E3980,Produtos!$A:$E,5,FALSE)</f>
        <v>3200</v>
      </c>
      <c r="H3980" s="2">
        <f>VLOOKUP(E3980,Produtos!$A:$E,4,FALSE)</f>
        <v>1200</v>
      </c>
      <c r="I3980" s="2">
        <v>3</v>
      </c>
    </row>
    <row r="3981" spans="1:9" x14ac:dyDescent="0.25">
      <c r="A3981" s="2" t="str">
        <f>CONCATENATE(Códigos!S3980,Códigos!T3980,Códigos!U3980)</f>
        <v>svv3979v</v>
      </c>
      <c r="B3981" t="s">
        <v>341</v>
      </c>
      <c r="C3981" t="s">
        <v>471</v>
      </c>
      <c r="D3981" s="2" t="s">
        <v>472</v>
      </c>
      <c r="E3981" t="s">
        <v>473</v>
      </c>
      <c r="F3981" s="11">
        <v>43685</v>
      </c>
      <c r="G3981" s="2">
        <f>VLOOKUP(E3981,Produtos!$A:$E,5,FALSE)</f>
        <v>3200</v>
      </c>
      <c r="H3981" s="2">
        <f>VLOOKUP(E3981,Produtos!$A:$E,4,FALSE)</f>
        <v>1200</v>
      </c>
      <c r="I3981" s="2">
        <v>3</v>
      </c>
    </row>
    <row r="3982" spans="1:9" x14ac:dyDescent="0.25">
      <c r="A3982" s="2" t="str">
        <f>CONCATENATE(Códigos!S3981,Códigos!T3981,Códigos!U3981)</f>
        <v>svv3980v</v>
      </c>
      <c r="B3982" t="s">
        <v>341</v>
      </c>
      <c r="C3982" t="s">
        <v>471</v>
      </c>
      <c r="D3982" s="2" t="s">
        <v>472</v>
      </c>
      <c r="E3982" t="s">
        <v>473</v>
      </c>
      <c r="F3982" s="11">
        <v>43686</v>
      </c>
      <c r="G3982" s="2">
        <f>VLOOKUP(E3982,Produtos!$A:$E,5,FALSE)</f>
        <v>3200</v>
      </c>
      <c r="H3982" s="2">
        <f>VLOOKUP(E3982,Produtos!$A:$E,4,FALSE)</f>
        <v>1200</v>
      </c>
      <c r="I3982" s="2">
        <v>3</v>
      </c>
    </row>
    <row r="3983" spans="1:9" x14ac:dyDescent="0.25">
      <c r="A3983" s="2" t="str">
        <f>CONCATENATE(Códigos!S3982,Códigos!T3982,Códigos!U3982)</f>
        <v>svv3981v</v>
      </c>
      <c r="B3983" t="s">
        <v>341</v>
      </c>
      <c r="C3983" t="s">
        <v>471</v>
      </c>
      <c r="D3983" s="2" t="s">
        <v>472</v>
      </c>
      <c r="E3983" t="s">
        <v>473</v>
      </c>
      <c r="F3983" s="11">
        <v>43687</v>
      </c>
      <c r="G3983" s="2">
        <f>VLOOKUP(E3983,Produtos!$A:$E,5,FALSE)</f>
        <v>3200</v>
      </c>
      <c r="H3983" s="2">
        <f>VLOOKUP(E3983,Produtos!$A:$E,4,FALSE)</f>
        <v>1200</v>
      </c>
      <c r="I3983" s="2">
        <v>3</v>
      </c>
    </row>
    <row r="3984" spans="1:9" x14ac:dyDescent="0.25">
      <c r="A3984" s="2" t="str">
        <f>CONCATENATE(Códigos!S3983,Códigos!T3983,Códigos!U3983)</f>
        <v>svv3982v</v>
      </c>
      <c r="B3984" t="s">
        <v>341</v>
      </c>
      <c r="C3984" t="s">
        <v>471</v>
      </c>
      <c r="D3984" s="2" t="s">
        <v>472</v>
      </c>
      <c r="E3984" t="s">
        <v>473</v>
      </c>
      <c r="F3984" s="11">
        <v>43688</v>
      </c>
      <c r="G3984" s="2">
        <f>VLOOKUP(E3984,Produtos!$A:$E,5,FALSE)</f>
        <v>3200</v>
      </c>
      <c r="H3984" s="2">
        <f>VLOOKUP(E3984,Produtos!$A:$E,4,FALSE)</f>
        <v>1200</v>
      </c>
      <c r="I3984" s="2">
        <v>3</v>
      </c>
    </row>
    <row r="3985" spans="1:9" x14ac:dyDescent="0.25">
      <c r="A3985" s="2" t="str">
        <f>CONCATENATE(Códigos!S3984,Códigos!T3984,Códigos!U3984)</f>
        <v>svv3983v</v>
      </c>
      <c r="B3985" t="s">
        <v>341</v>
      </c>
      <c r="C3985" t="s">
        <v>471</v>
      </c>
      <c r="D3985" s="2" t="s">
        <v>472</v>
      </c>
      <c r="E3985" t="s">
        <v>473</v>
      </c>
      <c r="F3985" s="11">
        <v>43689</v>
      </c>
      <c r="G3985" s="2">
        <f>VLOOKUP(E3985,Produtos!$A:$E,5,FALSE)</f>
        <v>3200</v>
      </c>
      <c r="H3985" s="2">
        <f>VLOOKUP(E3985,Produtos!$A:$E,4,FALSE)</f>
        <v>1200</v>
      </c>
      <c r="I3985" s="2">
        <v>3</v>
      </c>
    </row>
    <row r="3986" spans="1:9" x14ac:dyDescent="0.25">
      <c r="A3986" s="2" t="str">
        <f>CONCATENATE(Códigos!S3985,Códigos!T3985,Códigos!U3985)</f>
        <v>svv3984v</v>
      </c>
      <c r="B3986" t="s">
        <v>341</v>
      </c>
      <c r="C3986" t="s">
        <v>471</v>
      </c>
      <c r="D3986" s="2" t="s">
        <v>472</v>
      </c>
      <c r="E3986" t="s">
        <v>473</v>
      </c>
      <c r="F3986" s="11">
        <v>43690</v>
      </c>
      <c r="G3986" s="2">
        <f>VLOOKUP(E3986,Produtos!$A:$E,5,FALSE)</f>
        <v>3200</v>
      </c>
      <c r="H3986" s="2">
        <f>VLOOKUP(E3986,Produtos!$A:$E,4,FALSE)</f>
        <v>1200</v>
      </c>
      <c r="I3986" s="2">
        <v>3</v>
      </c>
    </row>
    <row r="3987" spans="1:9" x14ac:dyDescent="0.25">
      <c r="A3987" s="2" t="str">
        <f>CONCATENATE(Códigos!S3986,Códigos!T3986,Códigos!U3986)</f>
        <v>svv3985v</v>
      </c>
      <c r="B3987" t="s">
        <v>341</v>
      </c>
      <c r="C3987" t="s">
        <v>471</v>
      </c>
      <c r="D3987" s="2" t="s">
        <v>472</v>
      </c>
      <c r="E3987" t="s">
        <v>473</v>
      </c>
      <c r="F3987" s="11">
        <v>43691</v>
      </c>
      <c r="G3987" s="2">
        <f>VLOOKUP(E3987,Produtos!$A:$E,5,FALSE)</f>
        <v>3200</v>
      </c>
      <c r="H3987" s="2">
        <f>VLOOKUP(E3987,Produtos!$A:$E,4,FALSE)</f>
        <v>1200</v>
      </c>
      <c r="I3987" s="2">
        <v>3</v>
      </c>
    </row>
    <row r="3988" spans="1:9" x14ac:dyDescent="0.25">
      <c r="A3988" s="2" t="str">
        <f>CONCATENATE(Códigos!S3987,Códigos!T3987,Códigos!U3987)</f>
        <v>svv3986v</v>
      </c>
      <c r="B3988" t="s">
        <v>341</v>
      </c>
      <c r="C3988" t="s">
        <v>471</v>
      </c>
      <c r="D3988" s="2" t="s">
        <v>472</v>
      </c>
      <c r="E3988" t="s">
        <v>473</v>
      </c>
      <c r="F3988" s="11">
        <v>43692</v>
      </c>
      <c r="G3988" s="2">
        <f>VLOOKUP(E3988,Produtos!$A:$E,5,FALSE)</f>
        <v>3200</v>
      </c>
      <c r="H3988" s="2">
        <f>VLOOKUP(E3988,Produtos!$A:$E,4,FALSE)</f>
        <v>1200</v>
      </c>
      <c r="I3988" s="2">
        <v>3</v>
      </c>
    </row>
    <row r="3989" spans="1:9" x14ac:dyDescent="0.25">
      <c r="A3989" s="2" t="str">
        <f>CONCATENATE(Códigos!S3988,Códigos!T3988,Códigos!U3988)</f>
        <v>svv3987v</v>
      </c>
      <c r="B3989" t="s">
        <v>341</v>
      </c>
      <c r="C3989" t="s">
        <v>471</v>
      </c>
      <c r="D3989" s="2" t="s">
        <v>472</v>
      </c>
      <c r="E3989" t="s">
        <v>473</v>
      </c>
      <c r="F3989" s="11">
        <v>43693</v>
      </c>
      <c r="G3989" s="2">
        <f>VLOOKUP(E3989,Produtos!$A:$E,5,FALSE)</f>
        <v>3200</v>
      </c>
      <c r="H3989" s="2">
        <f>VLOOKUP(E3989,Produtos!$A:$E,4,FALSE)</f>
        <v>1200</v>
      </c>
      <c r="I3989" s="2">
        <v>3</v>
      </c>
    </row>
    <row r="3990" spans="1:9" x14ac:dyDescent="0.25">
      <c r="A3990" s="2" t="str">
        <f>CONCATENATE(Códigos!S3989,Códigos!T3989,Códigos!U3989)</f>
        <v>svv3988v</v>
      </c>
      <c r="B3990" t="s">
        <v>341</v>
      </c>
      <c r="C3990" t="s">
        <v>471</v>
      </c>
      <c r="D3990" s="2" t="s">
        <v>472</v>
      </c>
      <c r="E3990" t="s">
        <v>468</v>
      </c>
      <c r="F3990" s="11">
        <v>43694</v>
      </c>
      <c r="G3990" s="2">
        <f>VLOOKUP(E3990,Produtos!$A:$E,5,FALSE)</f>
        <v>3000</v>
      </c>
      <c r="H3990" s="2">
        <f>VLOOKUP(E3990,Produtos!$A:$E,4,FALSE)</f>
        <v>1000</v>
      </c>
      <c r="I3990" s="2">
        <v>3</v>
      </c>
    </row>
    <row r="3991" spans="1:9" x14ac:dyDescent="0.25">
      <c r="A3991" s="2" t="str">
        <f>CONCATENATE(Códigos!S3990,Códigos!T3990,Códigos!U3990)</f>
        <v>svv3989v</v>
      </c>
      <c r="B3991" t="s">
        <v>341</v>
      </c>
      <c r="C3991" t="s">
        <v>471</v>
      </c>
      <c r="D3991" s="2" t="s">
        <v>472</v>
      </c>
      <c r="E3991" t="s">
        <v>468</v>
      </c>
      <c r="F3991" s="11">
        <v>43695</v>
      </c>
      <c r="G3991" s="2">
        <f>VLOOKUP(E3991,Produtos!$A:$E,5,FALSE)</f>
        <v>3000</v>
      </c>
      <c r="H3991" s="2">
        <f>VLOOKUP(E3991,Produtos!$A:$E,4,FALSE)</f>
        <v>1000</v>
      </c>
      <c r="I3991" s="2">
        <v>3</v>
      </c>
    </row>
    <row r="3992" spans="1:9" x14ac:dyDescent="0.25">
      <c r="A3992" s="2" t="str">
        <f>CONCATENATE(Códigos!S3991,Códigos!T3991,Códigos!U3991)</f>
        <v>svv3990v</v>
      </c>
      <c r="B3992" t="s">
        <v>341</v>
      </c>
      <c r="C3992" t="s">
        <v>470</v>
      </c>
      <c r="D3992" s="2" t="s">
        <v>361</v>
      </c>
      <c r="E3992" t="s">
        <v>468</v>
      </c>
      <c r="F3992" s="11">
        <v>43696</v>
      </c>
      <c r="G3992" s="2">
        <f>VLOOKUP(E3992,Produtos!$A:$E,5,FALSE)</f>
        <v>3000</v>
      </c>
      <c r="H3992" s="2">
        <f>VLOOKUP(E3992,Produtos!$A:$E,4,FALSE)</f>
        <v>1000</v>
      </c>
      <c r="I3992" s="2">
        <v>3</v>
      </c>
    </row>
    <row r="3993" spans="1:9" x14ac:dyDescent="0.25">
      <c r="A3993" s="2" t="str">
        <f>CONCATENATE(Códigos!S3992,Códigos!T3992,Códigos!U3992)</f>
        <v>svv3991v</v>
      </c>
      <c r="B3993" t="s">
        <v>341</v>
      </c>
      <c r="C3993" t="s">
        <v>470</v>
      </c>
      <c r="D3993" s="2" t="s">
        <v>361</v>
      </c>
      <c r="E3993" t="s">
        <v>468</v>
      </c>
      <c r="F3993" s="11">
        <v>43697</v>
      </c>
      <c r="G3993" s="2">
        <f>VLOOKUP(E3993,Produtos!$A:$E,5,FALSE)</f>
        <v>3000</v>
      </c>
      <c r="H3993" s="2">
        <f>VLOOKUP(E3993,Produtos!$A:$E,4,FALSE)</f>
        <v>1000</v>
      </c>
      <c r="I3993" s="2">
        <v>3</v>
      </c>
    </row>
    <row r="3994" spans="1:9" x14ac:dyDescent="0.25">
      <c r="A3994" s="2" t="str">
        <f>CONCATENATE(Códigos!S3993,Códigos!T3993,Códigos!U3993)</f>
        <v>svv3992v</v>
      </c>
      <c r="B3994" t="s">
        <v>341</v>
      </c>
      <c r="C3994" t="s">
        <v>470</v>
      </c>
      <c r="D3994" s="2" t="s">
        <v>361</v>
      </c>
      <c r="E3994" t="s">
        <v>468</v>
      </c>
      <c r="F3994" s="11">
        <v>43698</v>
      </c>
      <c r="G3994" s="2">
        <f>VLOOKUP(E3994,Produtos!$A:$E,5,FALSE)</f>
        <v>3000</v>
      </c>
      <c r="H3994" s="2">
        <f>VLOOKUP(E3994,Produtos!$A:$E,4,FALSE)</f>
        <v>1000</v>
      </c>
      <c r="I3994" s="2">
        <v>3</v>
      </c>
    </row>
    <row r="3995" spans="1:9" x14ac:dyDescent="0.25">
      <c r="A3995" s="2" t="str">
        <f>CONCATENATE(Códigos!S3994,Códigos!T3994,Códigos!U3994)</f>
        <v>svv3993v</v>
      </c>
      <c r="B3995" t="s">
        <v>341</v>
      </c>
      <c r="C3995" t="s">
        <v>470</v>
      </c>
      <c r="D3995" s="2" t="s">
        <v>361</v>
      </c>
      <c r="E3995" t="s">
        <v>468</v>
      </c>
      <c r="F3995" s="11">
        <v>43699</v>
      </c>
      <c r="G3995" s="2">
        <f>VLOOKUP(E3995,Produtos!$A:$E,5,FALSE)</f>
        <v>3000</v>
      </c>
      <c r="H3995" s="2">
        <f>VLOOKUP(E3995,Produtos!$A:$E,4,FALSE)</f>
        <v>1000</v>
      </c>
      <c r="I3995" s="2">
        <v>3</v>
      </c>
    </row>
    <row r="3996" spans="1:9" x14ac:dyDescent="0.25">
      <c r="A3996" s="2" t="str">
        <f>CONCATENATE(Códigos!S3995,Códigos!T3995,Códigos!U3995)</f>
        <v>svv3994v</v>
      </c>
      <c r="B3996" t="s">
        <v>341</v>
      </c>
      <c r="C3996" t="s">
        <v>470</v>
      </c>
      <c r="D3996" s="2" t="s">
        <v>361</v>
      </c>
      <c r="E3996" t="s">
        <v>468</v>
      </c>
      <c r="F3996" s="11">
        <v>43700</v>
      </c>
      <c r="G3996" s="2">
        <f>VLOOKUP(E3996,Produtos!$A:$E,5,FALSE)</f>
        <v>3000</v>
      </c>
      <c r="H3996" s="2">
        <f>VLOOKUP(E3996,Produtos!$A:$E,4,FALSE)</f>
        <v>1000</v>
      </c>
      <c r="I3996" s="2">
        <v>3</v>
      </c>
    </row>
    <row r="3997" spans="1:9" x14ac:dyDescent="0.25">
      <c r="A3997" s="2" t="str">
        <f>CONCATENATE(Códigos!S3996,Códigos!T3996,Códigos!U3996)</f>
        <v>svv3995v</v>
      </c>
      <c r="B3997" t="s">
        <v>341</v>
      </c>
      <c r="C3997" t="s">
        <v>470</v>
      </c>
      <c r="D3997" s="2" t="s">
        <v>361</v>
      </c>
      <c r="E3997" t="s">
        <v>468</v>
      </c>
      <c r="F3997" s="11">
        <v>43701</v>
      </c>
      <c r="G3997" s="2">
        <f>VLOOKUP(E3997,Produtos!$A:$E,5,FALSE)</f>
        <v>3000</v>
      </c>
      <c r="H3997" s="2">
        <f>VLOOKUP(E3997,Produtos!$A:$E,4,FALSE)</f>
        <v>1000</v>
      </c>
      <c r="I3997" s="2">
        <v>3</v>
      </c>
    </row>
    <row r="3998" spans="1:9" x14ac:dyDescent="0.25">
      <c r="A3998" s="2" t="str">
        <f>CONCATENATE(Códigos!S3997,Códigos!T3997,Códigos!U3997)</f>
        <v>svv3996v</v>
      </c>
      <c r="B3998" t="s">
        <v>341</v>
      </c>
      <c r="C3998" t="s">
        <v>470</v>
      </c>
      <c r="D3998" s="2" t="s">
        <v>361</v>
      </c>
      <c r="E3998" t="s">
        <v>468</v>
      </c>
      <c r="F3998" s="11">
        <v>43702</v>
      </c>
      <c r="G3998" s="2">
        <f>VLOOKUP(E3998,Produtos!$A:$E,5,FALSE)</f>
        <v>3000</v>
      </c>
      <c r="H3998" s="2">
        <f>VLOOKUP(E3998,Produtos!$A:$E,4,FALSE)</f>
        <v>1000</v>
      </c>
      <c r="I3998" s="2">
        <v>3</v>
      </c>
    </row>
    <row r="3999" spans="1:9" x14ac:dyDescent="0.25">
      <c r="A3999" s="2" t="str">
        <f>CONCATENATE(Códigos!S3998,Códigos!T3998,Códigos!U3998)</f>
        <v>svv3997v</v>
      </c>
      <c r="B3999" t="s">
        <v>341</v>
      </c>
      <c r="C3999" t="s">
        <v>470</v>
      </c>
      <c r="D3999" s="2" t="s">
        <v>361</v>
      </c>
      <c r="E3999" t="s">
        <v>468</v>
      </c>
      <c r="F3999" s="11">
        <v>43703</v>
      </c>
      <c r="G3999" s="2">
        <f>VLOOKUP(E3999,Produtos!$A:$E,5,FALSE)</f>
        <v>3000</v>
      </c>
      <c r="H3999" s="2">
        <f>VLOOKUP(E3999,Produtos!$A:$E,4,FALSE)</f>
        <v>1000</v>
      </c>
      <c r="I3999" s="2">
        <v>3</v>
      </c>
    </row>
    <row r="4000" spans="1:9" x14ac:dyDescent="0.25">
      <c r="A4000" s="2" t="str">
        <f>CONCATENATE(Códigos!S3999,Códigos!T3999,Códigos!U3999)</f>
        <v>svv3998v</v>
      </c>
      <c r="B4000" t="s">
        <v>341</v>
      </c>
      <c r="C4000" t="s">
        <v>470</v>
      </c>
      <c r="D4000" s="2" t="s">
        <v>361</v>
      </c>
      <c r="E4000" t="s">
        <v>468</v>
      </c>
      <c r="F4000" s="11">
        <v>43704</v>
      </c>
      <c r="G4000" s="2">
        <f>VLOOKUP(E4000,Produtos!$A:$E,5,FALSE)</f>
        <v>3000</v>
      </c>
      <c r="H4000" s="2">
        <f>VLOOKUP(E4000,Produtos!$A:$E,4,FALSE)</f>
        <v>1000</v>
      </c>
      <c r="I4000" s="2">
        <v>3</v>
      </c>
    </row>
    <row r="4001" spans="1:9" x14ac:dyDescent="0.25">
      <c r="A4001" s="2" t="str">
        <f>CONCATENATE(Códigos!S4000,Códigos!T4000,Códigos!U4000)</f>
        <v>svv3999v</v>
      </c>
      <c r="B4001" t="s">
        <v>346</v>
      </c>
      <c r="C4001" t="s">
        <v>458</v>
      </c>
      <c r="D4001" s="2" t="s">
        <v>459</v>
      </c>
      <c r="E4001" t="s">
        <v>457</v>
      </c>
      <c r="F4001" s="11">
        <v>43705</v>
      </c>
      <c r="G4001" s="2">
        <f>VLOOKUP(E4001,Tabela11[#All],5,FALSE)</f>
        <v>160</v>
      </c>
      <c r="H4001" s="2">
        <f>VLOOKUP(E4001,Produtos!$A:$E,4,FALSE)</f>
        <v>75</v>
      </c>
      <c r="I4001" s="2">
        <v>3</v>
      </c>
    </row>
    <row r="4002" spans="1:9" x14ac:dyDescent="0.25">
      <c r="A4002" s="2" t="str">
        <f>CONCATENATE(Códigos!S4001,Códigos!T4001,Códigos!U4001)</f>
        <v>svv4000v</v>
      </c>
      <c r="B4002" t="s">
        <v>346</v>
      </c>
      <c r="C4002" t="s">
        <v>458</v>
      </c>
      <c r="D4002" s="2" t="s">
        <v>459</v>
      </c>
      <c r="E4002" t="s">
        <v>457</v>
      </c>
      <c r="F4002" s="11">
        <v>43706</v>
      </c>
      <c r="G4002" s="2">
        <f>VLOOKUP(E4002,Tabela11[#All],5,FALSE)</f>
        <v>160</v>
      </c>
      <c r="H4002" s="2">
        <f>VLOOKUP(E4002,Produtos!$A:$E,4,FALSE)</f>
        <v>75</v>
      </c>
      <c r="I4002" s="2">
        <v>3</v>
      </c>
    </row>
    <row r="4003" spans="1:9" x14ac:dyDescent="0.25">
      <c r="A4003" s="2" t="str">
        <f>CONCATENATE(Códigos!S4002,Códigos!T4002,Códigos!U4002)</f>
        <v>svv4001v</v>
      </c>
      <c r="B4003" t="s">
        <v>346</v>
      </c>
      <c r="C4003" t="s">
        <v>458</v>
      </c>
      <c r="D4003" s="2" t="s">
        <v>459</v>
      </c>
      <c r="E4003" t="s">
        <v>457</v>
      </c>
      <c r="F4003" s="11">
        <v>43707</v>
      </c>
      <c r="G4003" s="2">
        <f>VLOOKUP(E4003,Tabela11[#All],5,FALSE)</f>
        <v>160</v>
      </c>
      <c r="H4003" s="2">
        <f>VLOOKUP(E4003,Produtos!$A:$E,4,FALSE)</f>
        <v>75</v>
      </c>
      <c r="I4003" s="2">
        <v>3</v>
      </c>
    </row>
    <row r="4004" spans="1:9" x14ac:dyDescent="0.25">
      <c r="A4004" s="2" t="str">
        <f>CONCATENATE(Códigos!S4003,Códigos!T4003,Códigos!U4003)</f>
        <v>svv4002v</v>
      </c>
      <c r="B4004" t="s">
        <v>346</v>
      </c>
      <c r="C4004" t="s">
        <v>458</v>
      </c>
      <c r="D4004" s="2" t="s">
        <v>459</v>
      </c>
      <c r="E4004" t="s">
        <v>457</v>
      </c>
      <c r="F4004" s="11">
        <v>43708</v>
      </c>
      <c r="G4004" s="2">
        <f>VLOOKUP(E4004,Tabela11[#All],5,FALSE)</f>
        <v>160</v>
      </c>
      <c r="H4004" s="2">
        <f>VLOOKUP(E4004,Produtos!$A:$E,4,FALSE)</f>
        <v>75</v>
      </c>
      <c r="I4004" s="2">
        <v>3</v>
      </c>
    </row>
    <row r="4005" spans="1:9" x14ac:dyDescent="0.25">
      <c r="A4005" s="2" t="str">
        <f>CONCATENATE(Códigos!S4004,Códigos!T4004,Códigos!U4004)</f>
        <v>svv4003v</v>
      </c>
      <c r="B4005" t="s">
        <v>346</v>
      </c>
      <c r="C4005" t="s">
        <v>458</v>
      </c>
      <c r="D4005" s="2" t="s">
        <v>459</v>
      </c>
      <c r="E4005" t="s">
        <v>457</v>
      </c>
      <c r="F4005" s="11">
        <v>43709</v>
      </c>
      <c r="G4005" s="2">
        <f>VLOOKUP(E4005,Tabela11[#All],5,FALSE)</f>
        <v>160</v>
      </c>
      <c r="H4005" s="2">
        <f>VLOOKUP(E4005,Produtos!$A:$E,4,FALSE)</f>
        <v>75</v>
      </c>
      <c r="I4005" s="2">
        <v>3</v>
      </c>
    </row>
    <row r="4006" spans="1:9" x14ac:dyDescent="0.25">
      <c r="A4006" s="2" t="str">
        <f>CONCATENATE(Códigos!S4005,Códigos!T4005,Códigos!U4005)</f>
        <v>svv4004v</v>
      </c>
      <c r="B4006" t="s">
        <v>346</v>
      </c>
      <c r="C4006" t="s">
        <v>458</v>
      </c>
      <c r="D4006" s="2" t="s">
        <v>459</v>
      </c>
      <c r="E4006" t="s">
        <v>457</v>
      </c>
      <c r="F4006" s="11">
        <v>43710</v>
      </c>
      <c r="G4006" s="2">
        <f>VLOOKUP(E4006,Tabela11[#All],5,FALSE)</f>
        <v>160</v>
      </c>
      <c r="H4006" s="2">
        <f>VLOOKUP(E4006,Produtos!$A:$E,4,FALSE)</f>
        <v>75</v>
      </c>
      <c r="I4006" s="2">
        <v>3</v>
      </c>
    </row>
    <row r="4007" spans="1:9" x14ac:dyDescent="0.25">
      <c r="A4007" s="2" t="str">
        <f>CONCATENATE(Códigos!S4006,Códigos!T4006,Códigos!U4006)</f>
        <v>svv4005v</v>
      </c>
      <c r="B4007" t="s">
        <v>346</v>
      </c>
      <c r="C4007" t="s">
        <v>458</v>
      </c>
      <c r="D4007" s="2" t="s">
        <v>459</v>
      </c>
      <c r="E4007" t="s">
        <v>457</v>
      </c>
      <c r="F4007" s="11">
        <v>43711</v>
      </c>
      <c r="G4007" s="2">
        <f>VLOOKUP(E4007,Tabela11[#All],5,FALSE)</f>
        <v>160</v>
      </c>
      <c r="H4007" s="2">
        <f>VLOOKUP(E4007,Produtos!$A:$E,4,FALSE)</f>
        <v>75</v>
      </c>
      <c r="I4007" s="2">
        <v>3</v>
      </c>
    </row>
    <row r="4008" spans="1:9" x14ac:dyDescent="0.25">
      <c r="A4008" s="2" t="str">
        <f>CONCATENATE(Códigos!S4007,Códigos!T4007,Códigos!U4007)</f>
        <v>svv4006v</v>
      </c>
      <c r="B4008" t="s">
        <v>346</v>
      </c>
      <c r="C4008" t="s">
        <v>458</v>
      </c>
      <c r="D4008" s="2" t="s">
        <v>459</v>
      </c>
      <c r="E4008" t="s">
        <v>457</v>
      </c>
      <c r="F4008" s="11">
        <v>43712</v>
      </c>
      <c r="G4008" s="2">
        <f>VLOOKUP(E4008,Tabela11[#All],5,FALSE)</f>
        <v>160</v>
      </c>
      <c r="H4008" s="2">
        <f>VLOOKUP(E4008,Produtos!$A:$E,4,FALSE)</f>
        <v>75</v>
      </c>
      <c r="I4008" s="2">
        <v>3</v>
      </c>
    </row>
    <row r="4009" spans="1:9" x14ac:dyDescent="0.25">
      <c r="A4009" s="2" t="str">
        <f>CONCATENATE(Códigos!S4008,Códigos!T4008,Códigos!U4008)</f>
        <v>svv4007v</v>
      </c>
      <c r="B4009" t="s">
        <v>346</v>
      </c>
      <c r="C4009" t="s">
        <v>458</v>
      </c>
      <c r="D4009" s="2" t="s">
        <v>459</v>
      </c>
      <c r="E4009" t="s">
        <v>457</v>
      </c>
      <c r="F4009" s="11">
        <v>43713</v>
      </c>
      <c r="G4009" s="2">
        <f>VLOOKUP(E4009,Tabela11[#All],5,FALSE)</f>
        <v>160</v>
      </c>
      <c r="H4009" s="2">
        <f>VLOOKUP(E4009,Produtos!$A:$E,4,FALSE)</f>
        <v>75</v>
      </c>
      <c r="I4009" s="2">
        <v>3</v>
      </c>
    </row>
    <row r="4010" spans="1:9" x14ac:dyDescent="0.25">
      <c r="A4010" s="2" t="str">
        <f>CONCATENATE(Códigos!S4009,Códigos!T4009,Códigos!U4009)</f>
        <v>svv4008v</v>
      </c>
      <c r="B4010" t="s">
        <v>346</v>
      </c>
      <c r="C4010" t="s">
        <v>458</v>
      </c>
      <c r="D4010" s="2" t="s">
        <v>459</v>
      </c>
      <c r="E4010" t="s">
        <v>457</v>
      </c>
      <c r="F4010" s="11">
        <v>43714</v>
      </c>
      <c r="G4010" s="2">
        <f>VLOOKUP(E4010,Tabela11[#All],5,FALSE)</f>
        <v>160</v>
      </c>
      <c r="H4010" s="2">
        <f>VLOOKUP(E4010,Produtos!$A:$E,4,FALSE)</f>
        <v>75</v>
      </c>
      <c r="I4010" s="2">
        <v>3</v>
      </c>
    </row>
    <row r="4011" spans="1:9" x14ac:dyDescent="0.25">
      <c r="A4011" s="2" t="str">
        <f>CONCATENATE(Códigos!S4010,Códigos!T4010,Códigos!U4010)</f>
        <v>svv4009v</v>
      </c>
      <c r="B4011" t="s">
        <v>346</v>
      </c>
      <c r="C4011" t="s">
        <v>458</v>
      </c>
      <c r="D4011" s="2" t="s">
        <v>459</v>
      </c>
      <c r="E4011" t="s">
        <v>457</v>
      </c>
      <c r="F4011" s="11">
        <v>43715</v>
      </c>
      <c r="G4011" s="2">
        <f>VLOOKUP(E4011,Tabela11[#All],5,FALSE)</f>
        <v>160</v>
      </c>
      <c r="H4011" s="2">
        <f>VLOOKUP(E4011,Produtos!$A:$E,4,FALSE)</f>
        <v>75</v>
      </c>
      <c r="I4011" s="2">
        <v>3</v>
      </c>
    </row>
    <row r="4012" spans="1:9" x14ac:dyDescent="0.25">
      <c r="A4012" s="2" t="str">
        <f>CONCATENATE(Códigos!S4011,Códigos!T4011,Códigos!U4011)</f>
        <v>svv4010v</v>
      </c>
      <c r="B4012" t="s">
        <v>346</v>
      </c>
      <c r="C4012" t="s">
        <v>458</v>
      </c>
      <c r="D4012" s="2" t="s">
        <v>459</v>
      </c>
      <c r="E4012" t="s">
        <v>457</v>
      </c>
      <c r="F4012" s="11">
        <v>43716</v>
      </c>
      <c r="G4012" s="2">
        <f>VLOOKUP(E4012,Tabela11[#All],5,FALSE)</f>
        <v>160</v>
      </c>
      <c r="H4012" s="2">
        <f>VLOOKUP(E4012,Produtos!$A:$E,4,FALSE)</f>
        <v>75</v>
      </c>
      <c r="I4012" s="2">
        <v>3</v>
      </c>
    </row>
    <row r="4013" spans="1:9" x14ac:dyDescent="0.25">
      <c r="A4013" s="2" t="str">
        <f>CONCATENATE(Códigos!S4012,Códigos!T4012,Códigos!U4012)</f>
        <v>svv4011v</v>
      </c>
      <c r="B4013" t="s">
        <v>346</v>
      </c>
      <c r="C4013" t="s">
        <v>458</v>
      </c>
      <c r="D4013" s="2" t="s">
        <v>459</v>
      </c>
      <c r="E4013" t="s">
        <v>457</v>
      </c>
      <c r="F4013" s="11">
        <v>43717</v>
      </c>
      <c r="G4013" s="2">
        <f>VLOOKUP(E4013,Tabela11[#All],5,FALSE)</f>
        <v>160</v>
      </c>
      <c r="H4013" s="2">
        <f>VLOOKUP(E4013,Produtos!$A:$E,4,FALSE)</f>
        <v>75</v>
      </c>
      <c r="I4013" s="2">
        <v>3</v>
      </c>
    </row>
    <row r="4014" spans="1:9" x14ac:dyDescent="0.25">
      <c r="A4014" s="2" t="str">
        <f>CONCATENATE(Códigos!S4013,Códigos!T4013,Códigos!U4013)</f>
        <v>svv4012v</v>
      </c>
      <c r="B4014" t="s">
        <v>346</v>
      </c>
      <c r="C4014" t="s">
        <v>458</v>
      </c>
      <c r="D4014" s="2" t="s">
        <v>459</v>
      </c>
      <c r="E4014" t="s">
        <v>457</v>
      </c>
      <c r="F4014" s="11">
        <v>43718</v>
      </c>
      <c r="G4014" s="2">
        <f>VLOOKUP(E4014,Tabela11[#All],5,FALSE)</f>
        <v>160</v>
      </c>
      <c r="H4014" s="2">
        <f>VLOOKUP(E4014,Produtos!$A:$E,4,FALSE)</f>
        <v>75</v>
      </c>
      <c r="I4014" s="2">
        <v>3</v>
      </c>
    </row>
    <row r="4015" spans="1:9" x14ac:dyDescent="0.25">
      <c r="A4015" s="2" t="str">
        <f>CONCATENATE(Códigos!S4014,Códigos!T4014,Códigos!U4014)</f>
        <v>svv4013v</v>
      </c>
      <c r="B4015" t="s">
        <v>346</v>
      </c>
      <c r="C4015" t="s">
        <v>458</v>
      </c>
      <c r="D4015" s="2" t="s">
        <v>459</v>
      </c>
      <c r="E4015" t="s">
        <v>457</v>
      </c>
      <c r="F4015" s="11">
        <v>43719</v>
      </c>
      <c r="G4015" s="2">
        <f>VLOOKUP(E4015,Tabela11[#All],5,FALSE)</f>
        <v>160</v>
      </c>
      <c r="H4015" s="2">
        <f>VLOOKUP(E4015,Produtos!$A:$E,4,FALSE)</f>
        <v>75</v>
      </c>
      <c r="I4015" s="2">
        <v>3</v>
      </c>
    </row>
    <row r="4016" spans="1:9" x14ac:dyDescent="0.25">
      <c r="A4016" s="2" t="str">
        <f>CONCATENATE(Códigos!S4015,Códigos!T4015,Códigos!U4015)</f>
        <v>svv4014v</v>
      </c>
      <c r="B4016" t="s">
        <v>346</v>
      </c>
      <c r="C4016" t="s">
        <v>458</v>
      </c>
      <c r="D4016" s="2" t="s">
        <v>459</v>
      </c>
      <c r="E4016" t="s">
        <v>457</v>
      </c>
      <c r="F4016" s="11">
        <v>43720</v>
      </c>
      <c r="G4016" s="2">
        <f>VLOOKUP(E4016,Tabela11[#All],5,FALSE)</f>
        <v>160</v>
      </c>
      <c r="H4016" s="2">
        <f>VLOOKUP(E4016,Produtos!$A:$E,4,FALSE)</f>
        <v>75</v>
      </c>
      <c r="I4016" s="2">
        <v>3</v>
      </c>
    </row>
    <row r="4017" spans="1:9" x14ac:dyDescent="0.25">
      <c r="A4017" s="2" t="str">
        <f>CONCATENATE(Códigos!S4016,Códigos!T4016,Códigos!U4016)</f>
        <v>svv4015v</v>
      </c>
      <c r="B4017" t="s">
        <v>346</v>
      </c>
      <c r="C4017" t="s">
        <v>458</v>
      </c>
      <c r="D4017" s="2" t="s">
        <v>459</v>
      </c>
      <c r="E4017" t="s">
        <v>457</v>
      </c>
      <c r="F4017" s="11">
        <v>43721</v>
      </c>
      <c r="G4017" s="2">
        <f>VLOOKUP(E4017,Tabela11[#All],5,FALSE)</f>
        <v>160</v>
      </c>
      <c r="H4017" s="2">
        <f>VLOOKUP(E4017,Produtos!$A:$E,4,FALSE)</f>
        <v>75</v>
      </c>
      <c r="I4017" s="2">
        <v>3</v>
      </c>
    </row>
    <row r="4018" spans="1:9" x14ac:dyDescent="0.25">
      <c r="A4018" s="2" t="str">
        <f>CONCATENATE(Códigos!S4017,Códigos!T4017,Códigos!U4017)</f>
        <v>svv4016v</v>
      </c>
      <c r="B4018" t="s">
        <v>346</v>
      </c>
      <c r="C4018" t="s">
        <v>458</v>
      </c>
      <c r="D4018" s="2" t="s">
        <v>459</v>
      </c>
      <c r="E4018" t="s">
        <v>457</v>
      </c>
      <c r="F4018" s="11">
        <v>43722</v>
      </c>
      <c r="G4018" s="2">
        <f>VLOOKUP(E4018,Tabela11[#All],5,FALSE)</f>
        <v>160</v>
      </c>
      <c r="H4018" s="2">
        <f>VLOOKUP(E4018,Produtos!$A:$E,4,FALSE)</f>
        <v>75</v>
      </c>
      <c r="I4018" s="2">
        <v>3</v>
      </c>
    </row>
    <row r="4019" spans="1:9" x14ac:dyDescent="0.25">
      <c r="A4019" s="2" t="str">
        <f>CONCATENATE(Códigos!S4018,Códigos!T4018,Códigos!U4018)</f>
        <v>svv4017v</v>
      </c>
      <c r="B4019" t="s">
        <v>371</v>
      </c>
      <c r="C4019" t="s">
        <v>458</v>
      </c>
      <c r="D4019" s="2" t="s">
        <v>459</v>
      </c>
      <c r="E4019" t="s">
        <v>457</v>
      </c>
      <c r="F4019" s="11">
        <v>43723</v>
      </c>
      <c r="G4019" s="2">
        <f>VLOOKUP(E4019,Tabela11[#All],5,FALSE)</f>
        <v>160</v>
      </c>
      <c r="H4019" s="2">
        <f>VLOOKUP(E4019,Produtos!$A:$E,4,FALSE)</f>
        <v>75</v>
      </c>
      <c r="I4019" s="2">
        <v>3</v>
      </c>
    </row>
    <row r="4020" spans="1:9" x14ac:dyDescent="0.25">
      <c r="A4020" s="2" t="str">
        <f>CONCATENATE(Códigos!S4019,Códigos!T4019,Códigos!U4019)</f>
        <v>svv4018v</v>
      </c>
      <c r="B4020" t="s">
        <v>371</v>
      </c>
      <c r="C4020" t="s">
        <v>458</v>
      </c>
      <c r="D4020" s="2" t="s">
        <v>459</v>
      </c>
      <c r="E4020" t="s">
        <v>457</v>
      </c>
      <c r="F4020" s="11">
        <v>43724</v>
      </c>
      <c r="G4020" s="2">
        <f>VLOOKUP(E4020,Tabela11[#All],5,FALSE)</f>
        <v>160</v>
      </c>
      <c r="H4020" s="2">
        <f>VLOOKUP(E4020,Produtos!$A:$E,4,FALSE)</f>
        <v>75</v>
      </c>
      <c r="I4020" s="2">
        <v>3</v>
      </c>
    </row>
    <row r="4021" spans="1:9" x14ac:dyDescent="0.25">
      <c r="A4021" s="2" t="str">
        <f>CONCATENATE(Códigos!S4020,Códigos!T4020,Códigos!U4020)</f>
        <v>svv4019v</v>
      </c>
      <c r="B4021" t="s">
        <v>371</v>
      </c>
      <c r="C4021" t="s">
        <v>458</v>
      </c>
      <c r="D4021" s="2" t="s">
        <v>459</v>
      </c>
      <c r="E4021" t="s">
        <v>457</v>
      </c>
      <c r="F4021" s="11">
        <v>43725</v>
      </c>
      <c r="G4021" s="2">
        <f>VLOOKUP(E4021,Tabela11[#All],5,FALSE)</f>
        <v>160</v>
      </c>
      <c r="H4021" s="2">
        <f>VLOOKUP(E4021,Produtos!$A:$E,4,FALSE)</f>
        <v>75</v>
      </c>
      <c r="I4021" s="2">
        <v>3</v>
      </c>
    </row>
    <row r="4022" spans="1:9" x14ac:dyDescent="0.25">
      <c r="A4022" s="2" t="str">
        <f>CONCATENATE(Códigos!S4021,Códigos!T4021,Códigos!U4021)</f>
        <v>svv4020v</v>
      </c>
      <c r="B4022" t="s">
        <v>371</v>
      </c>
      <c r="C4022" t="s">
        <v>458</v>
      </c>
      <c r="D4022" s="2" t="s">
        <v>459</v>
      </c>
      <c r="E4022" t="s">
        <v>457</v>
      </c>
      <c r="F4022" s="11">
        <v>43726</v>
      </c>
      <c r="G4022" s="2">
        <f>VLOOKUP(E4022,Tabela11[#All],5,FALSE)</f>
        <v>160</v>
      </c>
      <c r="H4022" s="2">
        <f>VLOOKUP(E4022,Produtos!$A:$E,4,FALSE)</f>
        <v>75</v>
      </c>
      <c r="I4022" s="2">
        <v>3</v>
      </c>
    </row>
    <row r="4023" spans="1:9" x14ac:dyDescent="0.25">
      <c r="A4023" s="2" t="str">
        <f>CONCATENATE(Códigos!S4022,Códigos!T4022,Códigos!U4022)</f>
        <v>svv4021v</v>
      </c>
      <c r="B4023" t="s">
        <v>371</v>
      </c>
      <c r="C4023" t="s">
        <v>458</v>
      </c>
      <c r="D4023" s="2" t="s">
        <v>459</v>
      </c>
      <c r="E4023" t="s">
        <v>457</v>
      </c>
      <c r="F4023" s="11">
        <v>43727</v>
      </c>
      <c r="G4023" s="2">
        <f>VLOOKUP(E4023,Tabela11[#All],5,FALSE)</f>
        <v>160</v>
      </c>
      <c r="H4023" s="2">
        <f>VLOOKUP(E4023,Produtos!$A:$E,4,FALSE)</f>
        <v>75</v>
      </c>
      <c r="I4023" s="2">
        <v>3</v>
      </c>
    </row>
    <row r="4024" spans="1:9" x14ac:dyDescent="0.25">
      <c r="A4024" s="2" t="str">
        <f>CONCATENATE(Códigos!S4023,Códigos!T4023,Códigos!U4023)</f>
        <v>svv4022v</v>
      </c>
      <c r="B4024" t="s">
        <v>371</v>
      </c>
      <c r="C4024" t="s">
        <v>458</v>
      </c>
      <c r="D4024" s="2" t="s">
        <v>459</v>
      </c>
      <c r="E4024" t="s">
        <v>457</v>
      </c>
      <c r="F4024" s="11">
        <v>43728</v>
      </c>
      <c r="G4024" s="2">
        <f>VLOOKUP(E4024,Tabela11[#All],5,FALSE)</f>
        <v>160</v>
      </c>
      <c r="H4024" s="2">
        <f>VLOOKUP(E4024,Produtos!$A:$E,4,FALSE)</f>
        <v>75</v>
      </c>
      <c r="I4024" s="2">
        <v>3</v>
      </c>
    </row>
    <row r="4025" spans="1:9" x14ac:dyDescent="0.25">
      <c r="A4025" s="2" t="str">
        <f>CONCATENATE(Códigos!S4024,Códigos!T4024,Códigos!U4024)</f>
        <v>svv4023v</v>
      </c>
      <c r="B4025" t="s">
        <v>371</v>
      </c>
      <c r="C4025" t="s">
        <v>458</v>
      </c>
      <c r="D4025" s="2" t="s">
        <v>459</v>
      </c>
      <c r="E4025" t="s">
        <v>457</v>
      </c>
      <c r="F4025" s="11">
        <v>43729</v>
      </c>
      <c r="G4025" s="2">
        <f>VLOOKUP(E4025,Tabela11[#All],5,FALSE)</f>
        <v>160</v>
      </c>
      <c r="H4025" s="2">
        <f>VLOOKUP(E4025,Produtos!$A:$E,4,FALSE)</f>
        <v>75</v>
      </c>
      <c r="I4025" s="2">
        <v>3</v>
      </c>
    </row>
    <row r="4026" spans="1:9" x14ac:dyDescent="0.25">
      <c r="A4026" s="2" t="str">
        <f>CONCATENATE(Códigos!S4025,Códigos!T4025,Códigos!U4025)</f>
        <v>svv4024v</v>
      </c>
      <c r="B4026" t="s">
        <v>371</v>
      </c>
      <c r="C4026" t="s">
        <v>458</v>
      </c>
      <c r="D4026" s="2" t="s">
        <v>459</v>
      </c>
      <c r="E4026" t="s">
        <v>457</v>
      </c>
      <c r="F4026" s="11">
        <v>43730</v>
      </c>
      <c r="G4026" s="2">
        <f>VLOOKUP(E4026,Tabela11[#All],5,FALSE)</f>
        <v>160</v>
      </c>
      <c r="H4026" s="2">
        <f>VLOOKUP(E4026,Produtos!$A:$E,4,FALSE)</f>
        <v>75</v>
      </c>
      <c r="I4026" s="2">
        <v>3</v>
      </c>
    </row>
    <row r="4027" spans="1:9" x14ac:dyDescent="0.25">
      <c r="A4027" s="2" t="str">
        <f>CONCATENATE(Códigos!S4026,Códigos!T4026,Códigos!U4026)</f>
        <v>svv4025v</v>
      </c>
      <c r="B4027" t="s">
        <v>371</v>
      </c>
      <c r="C4027" t="s">
        <v>458</v>
      </c>
      <c r="D4027" s="2" t="s">
        <v>459</v>
      </c>
      <c r="E4027" t="s">
        <v>457</v>
      </c>
      <c r="F4027" s="11">
        <v>43731</v>
      </c>
      <c r="G4027" s="2">
        <f>VLOOKUP(E4027,Tabela11[#All],5,FALSE)</f>
        <v>160</v>
      </c>
      <c r="H4027" s="2">
        <f>VLOOKUP(E4027,Produtos!$A:$E,4,FALSE)</f>
        <v>75</v>
      </c>
      <c r="I4027" s="2">
        <v>3</v>
      </c>
    </row>
    <row r="4028" spans="1:9" x14ac:dyDescent="0.25">
      <c r="A4028" s="2" t="str">
        <f>CONCATENATE(Códigos!S4027,Códigos!T4027,Códigos!U4027)</f>
        <v>svv4026v</v>
      </c>
      <c r="B4028" t="s">
        <v>371</v>
      </c>
      <c r="C4028" t="s">
        <v>458</v>
      </c>
      <c r="D4028" s="2" t="s">
        <v>459</v>
      </c>
      <c r="E4028" t="s">
        <v>457</v>
      </c>
      <c r="F4028" s="11">
        <v>43732</v>
      </c>
      <c r="G4028" s="2">
        <f>VLOOKUP(E4028,Tabela11[#All],5,FALSE)</f>
        <v>160</v>
      </c>
      <c r="H4028" s="2">
        <f>VLOOKUP(E4028,Produtos!$A:$E,4,FALSE)</f>
        <v>75</v>
      </c>
      <c r="I4028" s="2">
        <v>3</v>
      </c>
    </row>
    <row r="4029" spans="1:9" x14ac:dyDescent="0.25">
      <c r="A4029" s="2" t="str">
        <f>CONCATENATE(Códigos!S4028,Códigos!T4028,Códigos!U4028)</f>
        <v>svv4027v</v>
      </c>
      <c r="B4029" t="s">
        <v>371</v>
      </c>
      <c r="C4029" t="s">
        <v>447</v>
      </c>
      <c r="D4029" s="2" t="s">
        <v>448</v>
      </c>
      <c r="E4029" t="s">
        <v>457</v>
      </c>
      <c r="F4029" s="11">
        <v>43733</v>
      </c>
      <c r="G4029" s="2">
        <f>VLOOKUP(E4029,Tabela11[#All],5,FALSE)</f>
        <v>160</v>
      </c>
      <c r="H4029" s="2">
        <f>VLOOKUP(E4029,Produtos!$A:$E,4,FALSE)</f>
        <v>75</v>
      </c>
      <c r="I4029" s="2">
        <v>3</v>
      </c>
    </row>
    <row r="4030" spans="1:9" x14ac:dyDescent="0.25">
      <c r="A4030" s="2" t="str">
        <f>CONCATENATE(Códigos!S4029,Códigos!T4029,Códigos!U4029)</f>
        <v>svv4028v</v>
      </c>
      <c r="B4030" t="s">
        <v>371</v>
      </c>
      <c r="C4030" t="s">
        <v>447</v>
      </c>
      <c r="D4030" s="2" t="s">
        <v>448</v>
      </c>
      <c r="E4030" t="s">
        <v>457</v>
      </c>
      <c r="F4030" s="11">
        <v>43734</v>
      </c>
      <c r="G4030" s="2">
        <f>VLOOKUP(E4030,Tabela11[#All],5,FALSE)</f>
        <v>160</v>
      </c>
      <c r="H4030" s="2">
        <f>VLOOKUP(E4030,Produtos!$A:$E,4,FALSE)</f>
        <v>75</v>
      </c>
      <c r="I4030" s="2">
        <v>3</v>
      </c>
    </row>
    <row r="4031" spans="1:9" x14ac:dyDescent="0.25">
      <c r="A4031" s="2" t="str">
        <f>CONCATENATE(Códigos!S4030,Códigos!T4030,Códigos!U4030)</f>
        <v>svv4029v</v>
      </c>
      <c r="B4031" t="s">
        <v>371</v>
      </c>
      <c r="C4031" t="s">
        <v>447</v>
      </c>
      <c r="D4031" s="2" t="s">
        <v>448</v>
      </c>
      <c r="E4031" t="s">
        <v>457</v>
      </c>
      <c r="F4031" s="11">
        <v>43735</v>
      </c>
      <c r="G4031" s="2">
        <f>VLOOKUP(E4031,Tabela11[#All],5,FALSE)</f>
        <v>160</v>
      </c>
      <c r="H4031" s="2">
        <f>VLOOKUP(E4031,Produtos!$A:$E,4,FALSE)</f>
        <v>75</v>
      </c>
      <c r="I4031" s="2">
        <v>3</v>
      </c>
    </row>
    <row r="4032" spans="1:9" x14ac:dyDescent="0.25">
      <c r="A4032" s="2" t="str">
        <f>CONCATENATE(Códigos!S4031,Códigos!T4031,Códigos!U4031)</f>
        <v>svv4030v</v>
      </c>
      <c r="B4032" t="s">
        <v>371</v>
      </c>
      <c r="C4032" t="s">
        <v>447</v>
      </c>
      <c r="D4032" s="2" t="s">
        <v>448</v>
      </c>
      <c r="E4032" t="s">
        <v>457</v>
      </c>
      <c r="F4032" s="11">
        <v>43736</v>
      </c>
      <c r="G4032" s="2">
        <f>VLOOKUP(E4032,Tabela11[#All],5,FALSE)</f>
        <v>160</v>
      </c>
      <c r="H4032" s="2">
        <f>VLOOKUP(E4032,Produtos!$A:$E,4,FALSE)</f>
        <v>75</v>
      </c>
      <c r="I4032" s="2">
        <v>3</v>
      </c>
    </row>
    <row r="4033" spans="1:9" x14ac:dyDescent="0.25">
      <c r="A4033" s="2" t="str">
        <f>CONCATENATE(Códigos!S4032,Códigos!T4032,Códigos!U4032)</f>
        <v>svv4031v</v>
      </c>
      <c r="B4033" t="s">
        <v>371</v>
      </c>
      <c r="C4033" t="s">
        <v>447</v>
      </c>
      <c r="D4033" s="2" t="s">
        <v>448</v>
      </c>
      <c r="E4033" t="s">
        <v>457</v>
      </c>
      <c r="F4033" s="11">
        <v>43737</v>
      </c>
      <c r="G4033" s="2">
        <f>VLOOKUP(E4033,Tabela11[#All],5,FALSE)</f>
        <v>160</v>
      </c>
      <c r="H4033" s="2">
        <f>VLOOKUP(E4033,Produtos!$A:$E,4,FALSE)</f>
        <v>75</v>
      </c>
      <c r="I4033" s="2">
        <v>4</v>
      </c>
    </row>
    <row r="4034" spans="1:9" x14ac:dyDescent="0.25">
      <c r="A4034" s="2" t="str">
        <f>CONCATENATE(Códigos!S4033,Códigos!T4033,Códigos!U4033)</f>
        <v>svv4032v</v>
      </c>
      <c r="B4034" t="s">
        <v>371</v>
      </c>
      <c r="C4034" t="s">
        <v>447</v>
      </c>
      <c r="D4034" s="2" t="s">
        <v>448</v>
      </c>
      <c r="E4034" t="s">
        <v>333</v>
      </c>
      <c r="F4034" s="11">
        <v>43738</v>
      </c>
      <c r="G4034" s="2">
        <f>VLOOKUP(E4034,Tabela11[#All],5,FALSE)</f>
        <v>170</v>
      </c>
      <c r="H4034" s="2">
        <f>VLOOKUP(E4034,Produtos!$A:$E,4,FALSE)</f>
        <v>80</v>
      </c>
      <c r="I4034" s="2">
        <v>4</v>
      </c>
    </row>
    <row r="4035" spans="1:9" x14ac:dyDescent="0.25">
      <c r="A4035" s="2" t="str">
        <f>CONCATENATE(Códigos!S4034,Códigos!T4034,Códigos!U4034)</f>
        <v>svv4033v</v>
      </c>
      <c r="B4035" t="s">
        <v>371</v>
      </c>
      <c r="C4035" t="s">
        <v>447</v>
      </c>
      <c r="D4035" s="2" t="s">
        <v>448</v>
      </c>
      <c r="E4035" t="s">
        <v>333</v>
      </c>
      <c r="F4035" s="11">
        <v>43739</v>
      </c>
      <c r="G4035" s="2">
        <f>VLOOKUP(E4035,Tabela11[#All],5,FALSE)</f>
        <v>170</v>
      </c>
      <c r="H4035" s="2">
        <f>VLOOKUP(E4035,Produtos!$A:$E,4,FALSE)</f>
        <v>80</v>
      </c>
      <c r="I4035" s="2">
        <v>4</v>
      </c>
    </row>
    <row r="4036" spans="1:9" x14ac:dyDescent="0.25">
      <c r="A4036" s="2" t="str">
        <f>CONCATENATE(Códigos!S4035,Códigos!T4035,Códigos!U4035)</f>
        <v>svv4034v</v>
      </c>
      <c r="B4036" t="s">
        <v>371</v>
      </c>
      <c r="C4036" t="s">
        <v>447</v>
      </c>
      <c r="D4036" s="2" t="s">
        <v>448</v>
      </c>
      <c r="E4036" t="s">
        <v>333</v>
      </c>
      <c r="F4036" s="11">
        <v>43740</v>
      </c>
      <c r="G4036" s="2">
        <f>VLOOKUP(E4036,Tabela11[#All],5,FALSE)</f>
        <v>170</v>
      </c>
      <c r="H4036" s="2">
        <f>VLOOKUP(E4036,Produtos!$A:$E,4,FALSE)</f>
        <v>80</v>
      </c>
      <c r="I4036" s="2">
        <v>4</v>
      </c>
    </row>
    <row r="4037" spans="1:9" x14ac:dyDescent="0.25">
      <c r="A4037" s="2" t="str">
        <f>CONCATENATE(Códigos!S4036,Códigos!T4036,Códigos!U4036)</f>
        <v>svv4035v</v>
      </c>
      <c r="B4037" t="s">
        <v>371</v>
      </c>
      <c r="C4037" t="s">
        <v>447</v>
      </c>
      <c r="D4037" s="2" t="s">
        <v>448</v>
      </c>
      <c r="E4037" t="s">
        <v>333</v>
      </c>
      <c r="F4037" s="11">
        <v>43741</v>
      </c>
      <c r="G4037" s="2">
        <f>VLOOKUP(E4037,Tabela11[#All],5,FALSE)</f>
        <v>170</v>
      </c>
      <c r="H4037" s="2">
        <f>VLOOKUP(E4037,Produtos!$A:$E,4,FALSE)</f>
        <v>80</v>
      </c>
      <c r="I4037" s="2">
        <v>4</v>
      </c>
    </row>
    <row r="4038" spans="1:9" x14ac:dyDescent="0.25">
      <c r="A4038" s="2" t="str">
        <f>CONCATENATE(Códigos!S4037,Códigos!T4037,Códigos!U4037)</f>
        <v>svv4036v</v>
      </c>
      <c r="B4038" t="s">
        <v>371</v>
      </c>
      <c r="C4038" t="s">
        <v>447</v>
      </c>
      <c r="D4038" s="2" t="s">
        <v>448</v>
      </c>
      <c r="E4038" t="s">
        <v>333</v>
      </c>
      <c r="F4038" s="11">
        <v>43742</v>
      </c>
      <c r="G4038" s="2">
        <f>VLOOKUP(E4038,Tabela11[#All],5,FALSE)</f>
        <v>170</v>
      </c>
      <c r="H4038" s="2">
        <f>VLOOKUP(E4038,Produtos!$A:$E,4,FALSE)</f>
        <v>80</v>
      </c>
      <c r="I4038" s="2">
        <v>4</v>
      </c>
    </row>
    <row r="4039" spans="1:9" x14ac:dyDescent="0.25">
      <c r="A4039" s="2" t="str">
        <f>CONCATENATE(Códigos!S4038,Códigos!T4038,Códigos!U4038)</f>
        <v>svv4037v</v>
      </c>
      <c r="B4039" t="s">
        <v>371</v>
      </c>
      <c r="C4039" t="s">
        <v>447</v>
      </c>
      <c r="D4039" s="2" t="s">
        <v>448</v>
      </c>
      <c r="E4039" t="s">
        <v>333</v>
      </c>
      <c r="F4039" s="11">
        <v>43743</v>
      </c>
      <c r="G4039" s="2">
        <f>VLOOKUP(E4039,Tabela11[#All],5,FALSE)</f>
        <v>170</v>
      </c>
      <c r="H4039" s="2">
        <f>VLOOKUP(E4039,Produtos!$A:$E,4,FALSE)</f>
        <v>80</v>
      </c>
      <c r="I4039" s="2">
        <v>4</v>
      </c>
    </row>
    <row r="4040" spans="1:9" x14ac:dyDescent="0.25">
      <c r="A4040" s="2" t="str">
        <f>CONCATENATE(Códigos!S4039,Códigos!T4039,Códigos!U4039)</f>
        <v>svv4038v</v>
      </c>
      <c r="B4040" t="s">
        <v>371</v>
      </c>
      <c r="C4040" t="s">
        <v>447</v>
      </c>
      <c r="D4040" s="2" t="s">
        <v>448</v>
      </c>
      <c r="E4040" t="s">
        <v>333</v>
      </c>
      <c r="F4040" s="11">
        <v>43744</v>
      </c>
      <c r="G4040" s="2">
        <f>VLOOKUP(E4040,Tabela11[#All],5,FALSE)</f>
        <v>170</v>
      </c>
      <c r="H4040" s="2">
        <f>VLOOKUP(E4040,Produtos!$A:$E,4,FALSE)</f>
        <v>80</v>
      </c>
      <c r="I4040" s="2">
        <v>4</v>
      </c>
    </row>
    <row r="4041" spans="1:9" x14ac:dyDescent="0.25">
      <c r="A4041" s="2" t="str">
        <f>CONCATENATE(Códigos!S4040,Códigos!T4040,Códigos!U4040)</f>
        <v>svv4039v</v>
      </c>
      <c r="B4041" t="s">
        <v>371</v>
      </c>
      <c r="C4041" t="s">
        <v>447</v>
      </c>
      <c r="D4041" s="2" t="s">
        <v>448</v>
      </c>
      <c r="E4041" t="s">
        <v>333</v>
      </c>
      <c r="F4041" s="11">
        <v>43745</v>
      </c>
      <c r="G4041" s="2">
        <f>VLOOKUP(E4041,Tabela11[#All],5,FALSE)</f>
        <v>170</v>
      </c>
      <c r="H4041" s="2">
        <f>VLOOKUP(E4041,Produtos!$A:$E,4,FALSE)</f>
        <v>80</v>
      </c>
      <c r="I4041" s="2">
        <v>4</v>
      </c>
    </row>
    <row r="4042" spans="1:9" x14ac:dyDescent="0.25">
      <c r="A4042" s="2" t="str">
        <f>CONCATENATE(Códigos!S4041,Códigos!T4041,Códigos!U4041)</f>
        <v>svv4040v</v>
      </c>
      <c r="B4042" t="s">
        <v>371</v>
      </c>
      <c r="C4042" t="s">
        <v>447</v>
      </c>
      <c r="D4042" s="2" t="s">
        <v>448</v>
      </c>
      <c r="E4042" t="s">
        <v>333</v>
      </c>
      <c r="F4042" s="11">
        <v>43746</v>
      </c>
      <c r="G4042" s="2">
        <f>VLOOKUP(E4042,Tabela11[#All],5,FALSE)</f>
        <v>170</v>
      </c>
      <c r="H4042" s="2">
        <f>VLOOKUP(E4042,Produtos!$A:$E,4,FALSE)</f>
        <v>80</v>
      </c>
      <c r="I4042" s="2">
        <v>4</v>
      </c>
    </row>
    <row r="4043" spans="1:9" x14ac:dyDescent="0.25">
      <c r="A4043" s="2" t="str">
        <f>CONCATENATE(Códigos!S4042,Códigos!T4042,Códigos!U4042)</f>
        <v>svv4041v</v>
      </c>
      <c r="B4043" t="s">
        <v>371</v>
      </c>
      <c r="C4043" t="s">
        <v>447</v>
      </c>
      <c r="D4043" s="2" t="s">
        <v>448</v>
      </c>
      <c r="E4043" t="s">
        <v>333</v>
      </c>
      <c r="F4043" s="11">
        <v>43747</v>
      </c>
      <c r="G4043" s="2">
        <f>VLOOKUP(E4043,Tabela11[#All],5,FALSE)</f>
        <v>170</v>
      </c>
      <c r="H4043" s="2">
        <f>VLOOKUP(E4043,Produtos!$A:$E,4,FALSE)</f>
        <v>80</v>
      </c>
      <c r="I4043" s="2">
        <v>4</v>
      </c>
    </row>
    <row r="4044" spans="1:9" x14ac:dyDescent="0.25">
      <c r="A4044" s="2" t="str">
        <f>CONCATENATE(Códigos!S4043,Códigos!T4043,Códigos!U4043)</f>
        <v>svv4042v</v>
      </c>
      <c r="B4044" t="s">
        <v>371</v>
      </c>
      <c r="C4044" t="s">
        <v>447</v>
      </c>
      <c r="D4044" s="2" t="s">
        <v>448</v>
      </c>
      <c r="E4044" t="s">
        <v>333</v>
      </c>
      <c r="F4044" s="11">
        <v>43748</v>
      </c>
      <c r="G4044" s="2">
        <f>VLOOKUP(E4044,Tabela11[#All],5,FALSE)</f>
        <v>170</v>
      </c>
      <c r="H4044" s="2">
        <f>VLOOKUP(E4044,Produtos!$A:$E,4,FALSE)</f>
        <v>80</v>
      </c>
      <c r="I4044" s="2">
        <v>4</v>
      </c>
    </row>
    <row r="4045" spans="1:9" x14ac:dyDescent="0.25">
      <c r="A4045" s="2" t="str">
        <f>CONCATENATE(Códigos!S4044,Códigos!T4044,Códigos!U4044)</f>
        <v>svv4043v</v>
      </c>
      <c r="B4045" t="s">
        <v>371</v>
      </c>
      <c r="C4045" t="s">
        <v>447</v>
      </c>
      <c r="D4045" s="2" t="s">
        <v>448</v>
      </c>
      <c r="E4045" t="s">
        <v>333</v>
      </c>
      <c r="F4045" s="11">
        <v>43749</v>
      </c>
      <c r="G4045" s="2">
        <f>VLOOKUP(E4045,Tabela11[#All],5,FALSE)</f>
        <v>170</v>
      </c>
      <c r="H4045" s="2">
        <f>VLOOKUP(E4045,Produtos!$A:$E,4,FALSE)</f>
        <v>80</v>
      </c>
      <c r="I4045" s="2">
        <v>4</v>
      </c>
    </row>
    <row r="4046" spans="1:9" x14ac:dyDescent="0.25">
      <c r="A4046" s="2" t="str">
        <f>CONCATENATE(Códigos!S4045,Códigos!T4045,Códigos!U4045)</f>
        <v>svv4044v</v>
      </c>
      <c r="B4046" t="s">
        <v>371</v>
      </c>
      <c r="C4046" t="s">
        <v>447</v>
      </c>
      <c r="D4046" s="2" t="s">
        <v>448</v>
      </c>
      <c r="E4046" t="s">
        <v>333</v>
      </c>
      <c r="F4046" s="11">
        <v>43750</v>
      </c>
      <c r="G4046" s="2">
        <f>VLOOKUP(E4046,Tabela11[#All],5,FALSE)</f>
        <v>170</v>
      </c>
      <c r="H4046" s="2">
        <f>VLOOKUP(E4046,Produtos!$A:$E,4,FALSE)</f>
        <v>80</v>
      </c>
      <c r="I4046" s="2">
        <v>4</v>
      </c>
    </row>
    <row r="4047" spans="1:9" x14ac:dyDescent="0.25">
      <c r="A4047" s="2" t="str">
        <f>CONCATENATE(Códigos!S4046,Códigos!T4046,Códigos!U4046)</f>
        <v>svv4045v</v>
      </c>
      <c r="B4047" t="s">
        <v>371</v>
      </c>
      <c r="C4047" t="s">
        <v>447</v>
      </c>
      <c r="D4047" s="2" t="s">
        <v>448</v>
      </c>
      <c r="E4047" t="s">
        <v>333</v>
      </c>
      <c r="F4047" s="11">
        <v>43751</v>
      </c>
      <c r="G4047" s="2">
        <f>VLOOKUP(E4047,Tabela11[#All],5,FALSE)</f>
        <v>170</v>
      </c>
      <c r="H4047" s="2">
        <f>VLOOKUP(E4047,Produtos!$A:$E,4,FALSE)</f>
        <v>80</v>
      </c>
      <c r="I4047" s="2">
        <v>4</v>
      </c>
    </row>
    <row r="4048" spans="1:9" x14ac:dyDescent="0.25">
      <c r="A4048" s="2" t="str">
        <f>CONCATENATE(Códigos!S4047,Códigos!T4047,Códigos!U4047)</f>
        <v>svv4046v</v>
      </c>
      <c r="B4048" t="s">
        <v>371</v>
      </c>
      <c r="C4048" t="s">
        <v>447</v>
      </c>
      <c r="D4048" s="2" t="s">
        <v>448</v>
      </c>
      <c r="E4048" t="s">
        <v>333</v>
      </c>
      <c r="F4048" s="11">
        <v>43752</v>
      </c>
      <c r="G4048" s="2">
        <f>VLOOKUP(E4048,Tabela11[#All],5,FALSE)</f>
        <v>170</v>
      </c>
      <c r="H4048" s="2">
        <f>VLOOKUP(E4048,Produtos!$A:$E,4,FALSE)</f>
        <v>80</v>
      </c>
      <c r="I4048" s="2">
        <v>4</v>
      </c>
    </row>
    <row r="4049" spans="1:9" x14ac:dyDescent="0.25">
      <c r="A4049" s="2" t="str">
        <f>CONCATENATE(Códigos!S4048,Códigos!T4048,Códigos!U4048)</f>
        <v>svv4047v</v>
      </c>
      <c r="B4049" t="s">
        <v>371</v>
      </c>
      <c r="C4049" t="s">
        <v>447</v>
      </c>
      <c r="D4049" s="2" t="s">
        <v>448</v>
      </c>
      <c r="E4049" t="s">
        <v>333</v>
      </c>
      <c r="F4049" s="11">
        <v>43753</v>
      </c>
      <c r="G4049" s="2">
        <f>VLOOKUP(E4049,Tabela11[#All],5,FALSE)</f>
        <v>170</v>
      </c>
      <c r="H4049" s="2">
        <f>VLOOKUP(E4049,Produtos!$A:$E,4,FALSE)</f>
        <v>80</v>
      </c>
      <c r="I4049" s="2">
        <v>4</v>
      </c>
    </row>
    <row r="4050" spans="1:9" x14ac:dyDescent="0.25">
      <c r="A4050" s="2" t="str">
        <f>CONCATENATE(Códigos!S4049,Códigos!T4049,Códigos!U4049)</f>
        <v>svv4048v</v>
      </c>
      <c r="B4050" t="s">
        <v>371</v>
      </c>
      <c r="C4050" t="s">
        <v>447</v>
      </c>
      <c r="D4050" s="2" t="s">
        <v>448</v>
      </c>
      <c r="E4050" t="s">
        <v>324</v>
      </c>
      <c r="F4050" s="11">
        <v>43754</v>
      </c>
      <c r="G4050" s="2">
        <f>VLOOKUP(E4050,Tabela11[#All],5,FALSE)</f>
        <v>2600</v>
      </c>
      <c r="H4050" s="2">
        <f>VLOOKUP(E4050,Produtos!$A:$E,4,FALSE)</f>
        <v>2000</v>
      </c>
      <c r="I4050" s="2">
        <v>4</v>
      </c>
    </row>
    <row r="4051" spans="1:9" x14ac:dyDescent="0.25">
      <c r="A4051" s="2" t="str">
        <f>CONCATENATE(Códigos!S4050,Códigos!T4050,Códigos!U4050)</f>
        <v>svv4049v</v>
      </c>
      <c r="B4051" t="s">
        <v>371</v>
      </c>
      <c r="C4051" t="s">
        <v>447</v>
      </c>
      <c r="D4051" s="2" t="s">
        <v>448</v>
      </c>
      <c r="E4051" t="s">
        <v>324</v>
      </c>
      <c r="F4051" s="11">
        <v>43755</v>
      </c>
      <c r="G4051" s="2">
        <f>VLOOKUP(E4051,Tabela11[#All],5,FALSE)</f>
        <v>2600</v>
      </c>
      <c r="H4051" s="2">
        <f>VLOOKUP(E4051,Produtos!$A:$E,4,FALSE)</f>
        <v>2000</v>
      </c>
      <c r="I4051" s="2">
        <v>4</v>
      </c>
    </row>
    <row r="4052" spans="1:9" x14ac:dyDescent="0.25">
      <c r="A4052" s="2" t="str">
        <f>CONCATENATE(Códigos!S4051,Códigos!T4051,Códigos!U4051)</f>
        <v>svv4050v</v>
      </c>
      <c r="B4052" t="s">
        <v>371</v>
      </c>
      <c r="C4052" t="s">
        <v>447</v>
      </c>
      <c r="D4052" s="2" t="s">
        <v>448</v>
      </c>
      <c r="E4052" t="s">
        <v>324</v>
      </c>
      <c r="F4052" s="11">
        <v>43756</v>
      </c>
      <c r="G4052" s="2">
        <f>VLOOKUP(E4052,Tabela11[#All],5,FALSE)</f>
        <v>2600</v>
      </c>
      <c r="H4052" s="2">
        <f>VLOOKUP(E4052,Produtos!$A:$E,4,FALSE)</f>
        <v>2000</v>
      </c>
      <c r="I4052" s="2">
        <v>4</v>
      </c>
    </row>
    <row r="4053" spans="1:9" x14ac:dyDescent="0.25">
      <c r="A4053" s="2" t="str">
        <f>CONCATENATE(Códigos!S4052,Códigos!T4052,Códigos!U4052)</f>
        <v>svv4051v</v>
      </c>
      <c r="B4053" t="s">
        <v>371</v>
      </c>
      <c r="C4053" t="s">
        <v>447</v>
      </c>
      <c r="D4053" s="2" t="s">
        <v>448</v>
      </c>
      <c r="E4053" t="s">
        <v>324</v>
      </c>
      <c r="F4053" s="11">
        <v>43757</v>
      </c>
      <c r="G4053" s="2">
        <f>VLOOKUP(E4053,Tabela11[#All],5,FALSE)</f>
        <v>2600</v>
      </c>
      <c r="H4053" s="2">
        <f>VLOOKUP(E4053,Produtos!$A:$E,4,FALSE)</f>
        <v>2000</v>
      </c>
      <c r="I4053" s="2">
        <v>4</v>
      </c>
    </row>
    <row r="4054" spans="1:9" x14ac:dyDescent="0.25">
      <c r="A4054" s="2" t="str">
        <f>CONCATENATE(Códigos!S4053,Códigos!T4053,Códigos!U4053)</f>
        <v>svv4052v</v>
      </c>
      <c r="B4054" t="s">
        <v>371</v>
      </c>
      <c r="C4054" t="s">
        <v>447</v>
      </c>
      <c r="D4054" s="2" t="s">
        <v>448</v>
      </c>
      <c r="E4054" t="s">
        <v>324</v>
      </c>
      <c r="F4054" s="11">
        <v>43758</v>
      </c>
      <c r="G4054" s="2">
        <f>VLOOKUP(E4054,Tabela11[#All],5,FALSE)</f>
        <v>2600</v>
      </c>
      <c r="H4054" s="2">
        <f>VLOOKUP(E4054,Produtos!$A:$E,4,FALSE)</f>
        <v>2000</v>
      </c>
      <c r="I4054" s="2">
        <v>4</v>
      </c>
    </row>
    <row r="4055" spans="1:9" x14ac:dyDescent="0.25">
      <c r="A4055" s="2" t="str">
        <f>CONCATENATE(Códigos!S4054,Códigos!T4054,Códigos!U4054)</f>
        <v>svv4053v</v>
      </c>
      <c r="B4055" t="s">
        <v>371</v>
      </c>
      <c r="C4055" t="s">
        <v>447</v>
      </c>
      <c r="D4055" s="2" t="s">
        <v>448</v>
      </c>
      <c r="E4055" t="s">
        <v>324</v>
      </c>
      <c r="F4055" s="11">
        <v>43759</v>
      </c>
      <c r="G4055" s="2">
        <f>VLOOKUP(E4055,Tabela11[#All],5,FALSE)</f>
        <v>2600</v>
      </c>
      <c r="H4055" s="2">
        <f>VLOOKUP(E4055,Produtos!$A:$E,4,FALSE)</f>
        <v>2000</v>
      </c>
      <c r="I4055" s="2">
        <v>4</v>
      </c>
    </row>
    <row r="4056" spans="1:9" x14ac:dyDescent="0.25">
      <c r="A4056" s="2" t="str">
        <f>CONCATENATE(Códigos!S4055,Códigos!T4055,Códigos!U4055)</f>
        <v>svv4054v</v>
      </c>
      <c r="B4056" t="s">
        <v>371</v>
      </c>
      <c r="C4056" t="s">
        <v>447</v>
      </c>
      <c r="D4056" s="2" t="s">
        <v>448</v>
      </c>
      <c r="E4056" t="s">
        <v>324</v>
      </c>
      <c r="F4056" s="11">
        <v>43760</v>
      </c>
      <c r="G4056" s="2">
        <f>VLOOKUP(E4056,Tabela11[#All],5,FALSE)</f>
        <v>2600</v>
      </c>
      <c r="H4056" s="2">
        <f>VLOOKUP(E4056,Produtos!$A:$E,4,FALSE)</f>
        <v>2000</v>
      </c>
      <c r="I4056" s="2">
        <v>4</v>
      </c>
    </row>
    <row r="4057" spans="1:9" x14ac:dyDescent="0.25">
      <c r="A4057" s="2" t="str">
        <f>CONCATENATE(Códigos!S4056,Códigos!T4056,Códigos!U4056)</f>
        <v>svv4055v</v>
      </c>
      <c r="B4057" t="s">
        <v>371</v>
      </c>
      <c r="C4057" t="s">
        <v>447</v>
      </c>
      <c r="D4057" s="2" t="s">
        <v>448</v>
      </c>
      <c r="E4057" t="s">
        <v>324</v>
      </c>
      <c r="F4057" s="11">
        <v>43761</v>
      </c>
      <c r="G4057" s="2">
        <f>VLOOKUP(E4057,Tabela11[#All],5,FALSE)</f>
        <v>2600</v>
      </c>
      <c r="H4057" s="2">
        <f>VLOOKUP(E4057,Produtos!$A:$E,4,FALSE)</f>
        <v>2000</v>
      </c>
      <c r="I4057" s="2">
        <v>4</v>
      </c>
    </row>
    <row r="4058" spans="1:9" x14ac:dyDescent="0.25">
      <c r="A4058" s="2" t="str">
        <f>CONCATENATE(Códigos!S4057,Códigos!T4057,Códigos!U4057)</f>
        <v>svv4056v</v>
      </c>
      <c r="B4058" t="s">
        <v>371</v>
      </c>
      <c r="C4058" t="s">
        <v>447</v>
      </c>
      <c r="D4058" s="2" t="s">
        <v>448</v>
      </c>
      <c r="E4058" t="s">
        <v>324</v>
      </c>
      <c r="F4058" s="11">
        <v>43762</v>
      </c>
      <c r="G4058" s="2">
        <f>VLOOKUP(E4058,Tabela11[#All],5,FALSE)</f>
        <v>2600</v>
      </c>
      <c r="H4058" s="2">
        <f>VLOOKUP(E4058,Produtos!$A:$E,4,FALSE)</f>
        <v>2000</v>
      </c>
      <c r="I4058" s="2">
        <v>4</v>
      </c>
    </row>
    <row r="4059" spans="1:9" x14ac:dyDescent="0.25">
      <c r="A4059" s="2" t="str">
        <f>CONCATENATE(Códigos!S4058,Códigos!T4058,Códigos!U4058)</f>
        <v>svv4057v</v>
      </c>
      <c r="B4059" t="s">
        <v>371</v>
      </c>
      <c r="C4059" t="s">
        <v>447</v>
      </c>
      <c r="D4059" s="2" t="s">
        <v>448</v>
      </c>
      <c r="E4059" t="s">
        <v>324</v>
      </c>
      <c r="F4059" s="11">
        <v>43763</v>
      </c>
      <c r="G4059" s="2">
        <f>VLOOKUP(E4059,Tabela11[#All],5,FALSE)</f>
        <v>2600</v>
      </c>
      <c r="H4059" s="2">
        <f>VLOOKUP(E4059,Produtos!$A:$E,4,FALSE)</f>
        <v>2000</v>
      </c>
      <c r="I4059" s="2">
        <v>4</v>
      </c>
    </row>
    <row r="4060" spans="1:9" x14ac:dyDescent="0.25">
      <c r="A4060" s="2" t="str">
        <f>CONCATENATE(Códigos!S4059,Códigos!T4059,Códigos!U4059)</f>
        <v>svv4058v</v>
      </c>
      <c r="B4060" t="s">
        <v>371</v>
      </c>
      <c r="C4060" t="s">
        <v>447</v>
      </c>
      <c r="D4060" s="2" t="s">
        <v>448</v>
      </c>
      <c r="E4060" t="s">
        <v>324</v>
      </c>
      <c r="F4060" s="11">
        <v>43764</v>
      </c>
      <c r="G4060" s="2">
        <f>VLOOKUP(E4060,Tabela11[#All],5,FALSE)</f>
        <v>2600</v>
      </c>
      <c r="H4060" s="2">
        <f>VLOOKUP(E4060,Produtos!$A:$E,4,FALSE)</f>
        <v>2000</v>
      </c>
      <c r="I4060" s="2">
        <v>4</v>
      </c>
    </row>
    <row r="4061" spans="1:9" x14ac:dyDescent="0.25">
      <c r="A4061" s="2" t="str">
        <f>CONCATENATE(Códigos!S4060,Códigos!T4060,Códigos!U4060)</f>
        <v>svv4059v</v>
      </c>
      <c r="B4061" t="s">
        <v>371</v>
      </c>
      <c r="C4061" t="s">
        <v>447</v>
      </c>
      <c r="D4061" s="2" t="s">
        <v>448</v>
      </c>
      <c r="E4061" t="s">
        <v>324</v>
      </c>
      <c r="F4061" s="11">
        <v>43765</v>
      </c>
      <c r="G4061" s="2">
        <f>VLOOKUP(E4061,Tabela11[#All],5,FALSE)</f>
        <v>2600</v>
      </c>
      <c r="H4061" s="2">
        <f>VLOOKUP(E4061,Produtos!$A:$E,4,FALSE)</f>
        <v>2000</v>
      </c>
      <c r="I4061" s="2">
        <v>4</v>
      </c>
    </row>
    <row r="4062" spans="1:9" x14ac:dyDescent="0.25">
      <c r="A4062" s="2" t="str">
        <f>CONCATENATE(Códigos!S4061,Códigos!T4061,Códigos!U4061)</f>
        <v>svv4060v</v>
      </c>
      <c r="B4062" t="s">
        <v>371</v>
      </c>
      <c r="C4062" t="s">
        <v>447</v>
      </c>
      <c r="D4062" s="2" t="s">
        <v>448</v>
      </c>
      <c r="E4062" t="s">
        <v>324</v>
      </c>
      <c r="F4062" s="11">
        <v>43766</v>
      </c>
      <c r="G4062" s="2">
        <f>VLOOKUP(E4062,Tabela11[#All],5,FALSE)</f>
        <v>2600</v>
      </c>
      <c r="H4062" s="2">
        <f>VLOOKUP(E4062,Produtos!$A:$E,4,FALSE)</f>
        <v>2000</v>
      </c>
      <c r="I4062" s="2">
        <v>4</v>
      </c>
    </row>
    <row r="4063" spans="1:9" x14ac:dyDescent="0.25">
      <c r="A4063" s="2" t="str">
        <f>CONCATENATE(Códigos!S4062,Códigos!T4062,Códigos!U4062)</f>
        <v>svv4061v</v>
      </c>
      <c r="B4063" t="s">
        <v>371</v>
      </c>
      <c r="C4063" t="s">
        <v>447</v>
      </c>
      <c r="D4063" s="2" t="s">
        <v>448</v>
      </c>
      <c r="E4063" t="s">
        <v>324</v>
      </c>
      <c r="F4063" s="11">
        <v>43767</v>
      </c>
      <c r="G4063" s="2">
        <f>VLOOKUP(E4063,Tabela11[#All],5,FALSE)</f>
        <v>2600</v>
      </c>
      <c r="H4063" s="2">
        <f>VLOOKUP(E4063,Produtos!$A:$E,4,FALSE)</f>
        <v>2000</v>
      </c>
      <c r="I4063" s="2">
        <v>4</v>
      </c>
    </row>
    <row r="4064" spans="1:9" x14ac:dyDescent="0.25">
      <c r="A4064" s="2" t="str">
        <f>CONCATENATE(Códigos!S4063,Códigos!T4063,Códigos!U4063)</f>
        <v>svv4062v</v>
      </c>
      <c r="B4064" t="s">
        <v>371</v>
      </c>
      <c r="C4064" t="s">
        <v>447</v>
      </c>
      <c r="D4064" s="2" t="s">
        <v>448</v>
      </c>
      <c r="E4064" t="s">
        <v>324</v>
      </c>
      <c r="F4064" s="11">
        <v>43768</v>
      </c>
      <c r="G4064" s="2">
        <f>VLOOKUP(E4064,Tabela11[#All],5,FALSE)</f>
        <v>2600</v>
      </c>
      <c r="H4064" s="2">
        <f>VLOOKUP(E4064,Produtos!$A:$E,4,FALSE)</f>
        <v>2000</v>
      </c>
      <c r="I4064" s="2">
        <v>4</v>
      </c>
    </row>
    <row r="4065" spans="1:9" x14ac:dyDescent="0.25">
      <c r="A4065" s="2" t="str">
        <f>CONCATENATE(Códigos!S4064,Códigos!T4064,Códigos!U4064)</f>
        <v>svv4063v</v>
      </c>
      <c r="B4065" t="s">
        <v>371</v>
      </c>
      <c r="C4065" t="s">
        <v>447</v>
      </c>
      <c r="D4065" s="2" t="s">
        <v>448</v>
      </c>
      <c r="E4065" t="s">
        <v>324</v>
      </c>
      <c r="F4065" s="11">
        <v>43769</v>
      </c>
      <c r="G4065" s="2">
        <f>VLOOKUP(E4065,Tabela11[#All],5,FALSE)</f>
        <v>2600</v>
      </c>
      <c r="H4065" s="2">
        <f>VLOOKUP(E4065,Produtos!$A:$E,4,FALSE)</f>
        <v>2000</v>
      </c>
      <c r="I4065" s="2">
        <v>4</v>
      </c>
    </row>
    <row r="4066" spans="1:9" x14ac:dyDescent="0.25">
      <c r="A4066" s="2" t="str">
        <f>CONCATENATE(Códigos!S4065,Códigos!T4065,Códigos!U4065)</f>
        <v>svv4064v</v>
      </c>
      <c r="B4066" t="s">
        <v>371</v>
      </c>
      <c r="C4066" t="s">
        <v>447</v>
      </c>
      <c r="D4066" s="2" t="s">
        <v>448</v>
      </c>
      <c r="E4066" t="s">
        <v>324</v>
      </c>
      <c r="F4066" s="11">
        <v>43770</v>
      </c>
      <c r="G4066" s="2">
        <f>VLOOKUP(E4066,Tabela11[#All],5,FALSE)</f>
        <v>2600</v>
      </c>
      <c r="H4066" s="2">
        <f>VLOOKUP(E4066,Produtos!$A:$E,4,FALSE)</f>
        <v>2000</v>
      </c>
      <c r="I4066" s="2">
        <v>4</v>
      </c>
    </row>
    <row r="4067" spans="1:9" x14ac:dyDescent="0.25">
      <c r="A4067" s="2" t="str">
        <f>CONCATENATE(Códigos!S4066,Códigos!T4066,Códigos!U4066)</f>
        <v>svv4065v</v>
      </c>
      <c r="B4067" t="s">
        <v>371</v>
      </c>
      <c r="C4067" t="s">
        <v>447</v>
      </c>
      <c r="D4067" s="2" t="s">
        <v>448</v>
      </c>
      <c r="E4067" t="s">
        <v>324</v>
      </c>
      <c r="F4067" s="11">
        <v>43771</v>
      </c>
      <c r="G4067" s="2">
        <f>VLOOKUP(E4067,Tabela11[#All],5,FALSE)</f>
        <v>2600</v>
      </c>
      <c r="H4067" s="2">
        <f>VLOOKUP(E4067,Produtos!$A:$E,4,FALSE)</f>
        <v>2000</v>
      </c>
      <c r="I4067" s="2">
        <v>4</v>
      </c>
    </row>
    <row r="4068" spans="1:9" x14ac:dyDescent="0.25">
      <c r="A4068" s="2" t="str">
        <f>CONCATENATE(Códigos!S4067,Códigos!T4067,Códigos!U4067)</f>
        <v>svv4066v</v>
      </c>
      <c r="B4068" t="s">
        <v>371</v>
      </c>
      <c r="C4068" t="s">
        <v>447</v>
      </c>
      <c r="D4068" s="2" t="s">
        <v>448</v>
      </c>
      <c r="E4068" t="s">
        <v>324</v>
      </c>
      <c r="F4068" s="11">
        <v>43772</v>
      </c>
      <c r="G4068" s="2">
        <f>VLOOKUP(E4068,Tabela11[#All],5,FALSE)</f>
        <v>2600</v>
      </c>
      <c r="H4068" s="2">
        <f>VLOOKUP(E4068,Produtos!$A:$E,4,FALSE)</f>
        <v>2000</v>
      </c>
      <c r="I4068" s="2">
        <v>4</v>
      </c>
    </row>
    <row r="4069" spans="1:9" x14ac:dyDescent="0.25">
      <c r="A4069" s="2" t="str">
        <f>CONCATENATE(Códigos!S4068,Códigos!T4068,Códigos!U4068)</f>
        <v>svv4067v</v>
      </c>
      <c r="B4069" t="s">
        <v>371</v>
      </c>
      <c r="C4069" t="s">
        <v>447</v>
      </c>
      <c r="D4069" s="2" t="s">
        <v>448</v>
      </c>
      <c r="E4069" t="s">
        <v>324</v>
      </c>
      <c r="F4069" s="11">
        <v>43773</v>
      </c>
      <c r="G4069" s="2">
        <f>VLOOKUP(E4069,Tabela11[#All],5,FALSE)</f>
        <v>2600</v>
      </c>
      <c r="H4069" s="2">
        <f>VLOOKUP(E4069,Produtos!$A:$E,4,FALSE)</f>
        <v>2000</v>
      </c>
      <c r="I4069" s="2">
        <v>4</v>
      </c>
    </row>
    <row r="4070" spans="1:9" x14ac:dyDescent="0.25">
      <c r="A4070" s="2" t="str">
        <f>CONCATENATE(Códigos!S4069,Códigos!T4069,Códigos!U4069)</f>
        <v>svv4068v</v>
      </c>
      <c r="B4070" t="s">
        <v>371</v>
      </c>
      <c r="C4070" t="s">
        <v>447</v>
      </c>
      <c r="D4070" s="2" t="s">
        <v>448</v>
      </c>
      <c r="E4070" t="s">
        <v>324</v>
      </c>
      <c r="F4070" s="11">
        <v>43774</v>
      </c>
      <c r="G4070" s="2">
        <f>VLOOKUP(E4070,Tabela11[#All],5,FALSE)</f>
        <v>2600</v>
      </c>
      <c r="H4070" s="2">
        <f>VLOOKUP(E4070,Produtos!$A:$E,4,FALSE)</f>
        <v>2000</v>
      </c>
      <c r="I4070" s="2">
        <v>4</v>
      </c>
    </row>
    <row r="4071" spans="1:9" x14ac:dyDescent="0.25">
      <c r="A4071" s="2" t="str">
        <f>CONCATENATE(Códigos!S4070,Códigos!T4070,Códigos!U4070)</f>
        <v>svv4069v</v>
      </c>
      <c r="B4071" t="s">
        <v>371</v>
      </c>
      <c r="C4071" t="s">
        <v>447</v>
      </c>
      <c r="D4071" s="2" t="s">
        <v>448</v>
      </c>
      <c r="E4071" t="s">
        <v>324</v>
      </c>
      <c r="F4071" s="11">
        <v>43775</v>
      </c>
      <c r="G4071" s="2">
        <f>VLOOKUP(E4071,Tabela11[#All],5,FALSE)</f>
        <v>2600</v>
      </c>
      <c r="H4071" s="2">
        <f>VLOOKUP(E4071,Produtos!$A:$E,4,FALSE)</f>
        <v>2000</v>
      </c>
      <c r="I4071" s="2">
        <v>4</v>
      </c>
    </row>
    <row r="4072" spans="1:9" x14ac:dyDescent="0.25">
      <c r="A4072" s="2" t="str">
        <f>CONCATENATE(Códigos!S4071,Códigos!T4071,Códigos!U4071)</f>
        <v>svv4070v</v>
      </c>
      <c r="B4072" t="s">
        <v>371</v>
      </c>
      <c r="C4072" t="s">
        <v>447</v>
      </c>
      <c r="D4072" s="2" t="s">
        <v>448</v>
      </c>
      <c r="E4072" t="s">
        <v>324</v>
      </c>
      <c r="F4072" s="11">
        <v>43776</v>
      </c>
      <c r="G4072" s="2">
        <f>VLOOKUP(E4072,Tabela11[#All],5,FALSE)</f>
        <v>2600</v>
      </c>
      <c r="H4072" s="2">
        <f>VLOOKUP(E4072,Produtos!$A:$E,4,FALSE)</f>
        <v>2000</v>
      </c>
      <c r="I4072" s="2">
        <v>4</v>
      </c>
    </row>
    <row r="4073" spans="1:9" x14ac:dyDescent="0.25">
      <c r="A4073" s="2" t="str">
        <f>CONCATENATE(Códigos!S4072,Códigos!T4072,Códigos!U4072)</f>
        <v>svv4071v</v>
      </c>
      <c r="B4073" t="s">
        <v>371</v>
      </c>
      <c r="C4073" t="s">
        <v>447</v>
      </c>
      <c r="D4073" s="2" t="s">
        <v>448</v>
      </c>
      <c r="E4073" t="s">
        <v>324</v>
      </c>
      <c r="F4073" s="11">
        <v>43777</v>
      </c>
      <c r="G4073" s="2">
        <f>VLOOKUP(E4073,Tabela11[#All],5,FALSE)</f>
        <v>2600</v>
      </c>
      <c r="H4073" s="2">
        <f>VLOOKUP(E4073,Produtos!$A:$E,4,FALSE)</f>
        <v>2000</v>
      </c>
      <c r="I4073" s="2">
        <v>4</v>
      </c>
    </row>
    <row r="4074" spans="1:9" x14ac:dyDescent="0.25">
      <c r="A4074" s="2" t="str">
        <f>CONCATENATE(Códigos!S4073,Códigos!T4073,Códigos!U4073)</f>
        <v>svv4072v</v>
      </c>
      <c r="B4074" t="s">
        <v>371</v>
      </c>
      <c r="C4074" t="s">
        <v>447</v>
      </c>
      <c r="D4074" s="2" t="s">
        <v>448</v>
      </c>
      <c r="E4074" t="s">
        <v>324</v>
      </c>
      <c r="F4074" s="11">
        <v>43778</v>
      </c>
      <c r="G4074" s="2">
        <f>VLOOKUP(E4074,Tabela11[#All],5,FALSE)</f>
        <v>2600</v>
      </c>
      <c r="H4074" s="2">
        <f>VLOOKUP(E4074,Produtos!$A:$E,4,FALSE)</f>
        <v>2000</v>
      </c>
      <c r="I4074" s="2">
        <v>4</v>
      </c>
    </row>
    <row r="4075" spans="1:9" x14ac:dyDescent="0.25">
      <c r="A4075" s="2" t="str">
        <f>CONCATENATE(Códigos!S4074,Códigos!T4074,Códigos!U4074)</f>
        <v>svv4073v</v>
      </c>
      <c r="B4075" t="s">
        <v>371</v>
      </c>
      <c r="C4075" t="s">
        <v>447</v>
      </c>
      <c r="D4075" s="2" t="s">
        <v>448</v>
      </c>
      <c r="E4075" t="s">
        <v>324</v>
      </c>
      <c r="F4075" s="11">
        <v>43779</v>
      </c>
      <c r="G4075" s="2">
        <f>VLOOKUP(E4075,Tabela11[#All],5,FALSE)</f>
        <v>2600</v>
      </c>
      <c r="H4075" s="2">
        <f>VLOOKUP(E4075,Produtos!$A:$E,4,FALSE)</f>
        <v>2000</v>
      </c>
      <c r="I4075" s="2">
        <v>4</v>
      </c>
    </row>
    <row r="4076" spans="1:9" x14ac:dyDescent="0.25">
      <c r="A4076" s="2" t="str">
        <f>CONCATENATE(Códigos!S4075,Códigos!T4075,Códigos!U4075)</f>
        <v>svv4074v</v>
      </c>
      <c r="B4076" t="s">
        <v>371</v>
      </c>
      <c r="C4076" t="s">
        <v>447</v>
      </c>
      <c r="D4076" s="2" t="s">
        <v>448</v>
      </c>
      <c r="E4076" t="s">
        <v>324</v>
      </c>
      <c r="F4076" s="11">
        <v>43780</v>
      </c>
      <c r="G4076" s="2">
        <f>VLOOKUP(E4076,Tabela11[#All],5,FALSE)</f>
        <v>2600</v>
      </c>
      <c r="H4076" s="2">
        <f>VLOOKUP(E4076,Produtos!$A:$E,4,FALSE)</f>
        <v>2000</v>
      </c>
      <c r="I4076" s="2">
        <v>4</v>
      </c>
    </row>
    <row r="4077" spans="1:9" x14ac:dyDescent="0.25">
      <c r="A4077" s="2" t="str">
        <f>CONCATENATE(Códigos!S4076,Códigos!T4076,Códigos!U4076)</f>
        <v>svv4075v</v>
      </c>
      <c r="B4077" t="s">
        <v>371</v>
      </c>
      <c r="C4077" t="s">
        <v>447</v>
      </c>
      <c r="D4077" s="2" t="s">
        <v>448</v>
      </c>
      <c r="E4077" t="s">
        <v>324</v>
      </c>
      <c r="F4077" s="11">
        <v>43781</v>
      </c>
      <c r="G4077" s="2">
        <f>VLOOKUP(E4077,Tabela11[#All],5,FALSE)</f>
        <v>2600</v>
      </c>
      <c r="H4077" s="2">
        <f>VLOOKUP(E4077,Produtos!$A:$E,4,FALSE)</f>
        <v>2000</v>
      </c>
      <c r="I4077" s="2">
        <v>4</v>
      </c>
    </row>
    <row r="4078" spans="1:9" x14ac:dyDescent="0.25">
      <c r="A4078" s="2" t="str">
        <f>CONCATENATE(Códigos!S4077,Códigos!T4077,Códigos!U4077)</f>
        <v>svv4076v</v>
      </c>
      <c r="B4078" t="s">
        <v>371</v>
      </c>
      <c r="C4078" t="s">
        <v>447</v>
      </c>
      <c r="D4078" s="2" t="s">
        <v>448</v>
      </c>
      <c r="E4078" t="s">
        <v>324</v>
      </c>
      <c r="F4078" s="11">
        <v>43782</v>
      </c>
      <c r="G4078" s="2">
        <f>VLOOKUP(E4078,Tabela11[#All],5,FALSE)</f>
        <v>2600</v>
      </c>
      <c r="H4078" s="2">
        <f>VLOOKUP(E4078,Produtos!$A:$E,4,FALSE)</f>
        <v>2000</v>
      </c>
      <c r="I4078" s="2">
        <v>4</v>
      </c>
    </row>
    <row r="4079" spans="1:9" x14ac:dyDescent="0.25">
      <c r="A4079" s="2" t="str">
        <f>CONCATENATE(Códigos!S4078,Códigos!T4078,Códigos!U4078)</f>
        <v>svv4077v</v>
      </c>
      <c r="B4079" t="s">
        <v>371</v>
      </c>
      <c r="C4079" t="s">
        <v>447</v>
      </c>
      <c r="D4079" s="2" t="s">
        <v>448</v>
      </c>
      <c r="E4079" t="s">
        <v>324</v>
      </c>
      <c r="F4079" s="11">
        <v>43783</v>
      </c>
      <c r="G4079" s="2">
        <f>VLOOKUP(E4079,Tabela11[#All],5,FALSE)</f>
        <v>2600</v>
      </c>
      <c r="H4079" s="2">
        <f>VLOOKUP(E4079,Produtos!$A:$E,4,FALSE)</f>
        <v>2000</v>
      </c>
      <c r="I4079" s="2">
        <v>4</v>
      </c>
    </row>
    <row r="4080" spans="1:9" x14ac:dyDescent="0.25">
      <c r="A4080" s="2" t="str">
        <f>CONCATENATE(Códigos!S4079,Códigos!T4079,Códigos!U4079)</f>
        <v>svv4078v</v>
      </c>
      <c r="B4080" t="s">
        <v>371</v>
      </c>
      <c r="C4080" t="s">
        <v>447</v>
      </c>
      <c r="D4080" s="2" t="s">
        <v>448</v>
      </c>
      <c r="E4080" t="s">
        <v>324</v>
      </c>
      <c r="F4080" s="11">
        <v>43784</v>
      </c>
      <c r="G4080" s="2">
        <f>VLOOKUP(E4080,Tabela11[#All],5,FALSE)</f>
        <v>2600</v>
      </c>
      <c r="H4080" s="2">
        <f>VLOOKUP(E4080,Produtos!$A:$E,4,FALSE)</f>
        <v>2000</v>
      </c>
      <c r="I4080" s="2">
        <v>4</v>
      </c>
    </row>
    <row r="4081" spans="1:9" x14ac:dyDescent="0.25">
      <c r="A4081" s="2" t="str">
        <f>CONCATENATE(Códigos!S4080,Códigos!T4080,Códigos!U4080)</f>
        <v>svv4079v</v>
      </c>
      <c r="B4081" t="s">
        <v>371</v>
      </c>
      <c r="C4081" t="s">
        <v>447</v>
      </c>
      <c r="D4081" s="2" t="s">
        <v>448</v>
      </c>
      <c r="E4081" t="s">
        <v>324</v>
      </c>
      <c r="F4081" s="11">
        <v>43785</v>
      </c>
      <c r="G4081" s="2">
        <f>VLOOKUP(E4081,Tabela11[#All],5,FALSE)</f>
        <v>2600</v>
      </c>
      <c r="H4081" s="2">
        <f>VLOOKUP(E4081,Produtos!$A:$E,4,FALSE)</f>
        <v>2000</v>
      </c>
      <c r="I4081" s="2">
        <v>4</v>
      </c>
    </row>
    <row r="4082" spans="1:9" x14ac:dyDescent="0.25">
      <c r="A4082" s="2" t="str">
        <f>CONCATENATE(Códigos!S4081,Códigos!T4081,Códigos!U4081)</f>
        <v>svv4080v</v>
      </c>
      <c r="B4082" t="s">
        <v>371</v>
      </c>
      <c r="C4082" t="s">
        <v>447</v>
      </c>
      <c r="D4082" s="2" t="s">
        <v>448</v>
      </c>
      <c r="E4082" t="s">
        <v>324</v>
      </c>
      <c r="F4082" s="11">
        <v>43786</v>
      </c>
      <c r="G4082" s="2">
        <f>VLOOKUP(E4082,Tabela11[#All],5,FALSE)</f>
        <v>2600</v>
      </c>
      <c r="H4082" s="2">
        <f>VLOOKUP(E4082,Produtos!$A:$E,4,FALSE)</f>
        <v>2000</v>
      </c>
      <c r="I4082" s="2">
        <v>4</v>
      </c>
    </row>
    <row r="4083" spans="1:9" x14ac:dyDescent="0.25">
      <c r="A4083" s="2" t="str">
        <f>CONCATENATE(Códigos!S4082,Códigos!T4082,Códigos!U4082)</f>
        <v>svv4081v</v>
      </c>
      <c r="B4083" t="s">
        <v>371</v>
      </c>
      <c r="C4083" t="s">
        <v>447</v>
      </c>
      <c r="D4083" s="2" t="s">
        <v>448</v>
      </c>
      <c r="E4083" t="s">
        <v>324</v>
      </c>
      <c r="F4083" s="11">
        <v>43787</v>
      </c>
      <c r="G4083" s="2">
        <f>VLOOKUP(E4083,Tabela11[#All],5,FALSE)</f>
        <v>2600</v>
      </c>
      <c r="H4083" s="2">
        <f>VLOOKUP(E4083,Produtos!$A:$E,4,FALSE)</f>
        <v>2000</v>
      </c>
      <c r="I4083" s="2">
        <v>4</v>
      </c>
    </row>
    <row r="4084" spans="1:9" x14ac:dyDescent="0.25">
      <c r="A4084" s="2" t="str">
        <f>CONCATENATE(Códigos!S4083,Códigos!T4083,Códigos!U4083)</f>
        <v>svv4082v</v>
      </c>
      <c r="B4084" t="s">
        <v>371</v>
      </c>
      <c r="C4084" t="s">
        <v>447</v>
      </c>
      <c r="D4084" s="2" t="s">
        <v>448</v>
      </c>
      <c r="E4084" t="s">
        <v>324</v>
      </c>
      <c r="F4084" s="11">
        <v>43788</v>
      </c>
      <c r="G4084" s="2">
        <f>VLOOKUP(E4084,Tabela11[#All],5,FALSE)</f>
        <v>2600</v>
      </c>
      <c r="H4084" s="2">
        <f>VLOOKUP(E4084,Produtos!$A:$E,4,FALSE)</f>
        <v>2000</v>
      </c>
      <c r="I4084" s="2">
        <v>4</v>
      </c>
    </row>
    <row r="4085" spans="1:9" x14ac:dyDescent="0.25">
      <c r="A4085" s="2" t="str">
        <f>CONCATENATE(Códigos!S4084,Códigos!T4084,Códigos!U4084)</f>
        <v>svv4083v</v>
      </c>
      <c r="B4085" t="s">
        <v>456</v>
      </c>
      <c r="C4085" t="s">
        <v>447</v>
      </c>
      <c r="D4085" s="2" t="s">
        <v>448</v>
      </c>
      <c r="E4085" t="s">
        <v>324</v>
      </c>
      <c r="F4085" s="11">
        <v>43789</v>
      </c>
      <c r="G4085" s="2">
        <f>VLOOKUP(E4085,Tabela11[#All],5,FALSE)</f>
        <v>2600</v>
      </c>
      <c r="H4085" s="2">
        <f>VLOOKUP(E4085,Produtos!$A:$E,4,FALSE)</f>
        <v>2000</v>
      </c>
      <c r="I4085" s="2">
        <v>4</v>
      </c>
    </row>
    <row r="4086" spans="1:9" x14ac:dyDescent="0.25">
      <c r="A4086" s="2" t="str">
        <f>CONCATENATE(Códigos!S4085,Códigos!T4085,Códigos!U4085)</f>
        <v>svv4084v</v>
      </c>
      <c r="B4086" t="s">
        <v>456</v>
      </c>
      <c r="C4086" t="s">
        <v>447</v>
      </c>
      <c r="D4086" s="2" t="s">
        <v>448</v>
      </c>
      <c r="E4086" t="s">
        <v>324</v>
      </c>
      <c r="F4086" s="11">
        <v>43790</v>
      </c>
      <c r="G4086" s="2">
        <f>VLOOKUP(E4086,Tabela11[#All],5,FALSE)</f>
        <v>2600</v>
      </c>
      <c r="H4086" s="2">
        <f>VLOOKUP(E4086,Produtos!$A:$E,4,FALSE)</f>
        <v>2000</v>
      </c>
      <c r="I4086" s="2">
        <v>4</v>
      </c>
    </row>
    <row r="4087" spans="1:9" x14ac:dyDescent="0.25">
      <c r="A4087" s="2" t="str">
        <f>CONCATENATE(Códigos!S4086,Códigos!T4086,Códigos!U4086)</f>
        <v>svv4085v</v>
      </c>
      <c r="B4087" t="s">
        <v>456</v>
      </c>
      <c r="C4087" t="s">
        <v>447</v>
      </c>
      <c r="D4087" s="2" t="s">
        <v>448</v>
      </c>
      <c r="E4087" t="s">
        <v>324</v>
      </c>
      <c r="F4087" s="11">
        <v>43791</v>
      </c>
      <c r="G4087" s="2">
        <f>VLOOKUP(E4087,Tabela11[#All],5,FALSE)</f>
        <v>2600</v>
      </c>
      <c r="H4087" s="2">
        <f>VLOOKUP(E4087,Produtos!$A:$E,4,FALSE)</f>
        <v>2000</v>
      </c>
      <c r="I4087" s="2">
        <v>4</v>
      </c>
    </row>
    <row r="4088" spans="1:9" x14ac:dyDescent="0.25">
      <c r="A4088" s="2" t="str">
        <f>CONCATENATE(Códigos!S4087,Códigos!T4087,Códigos!U4087)</f>
        <v>svv4086v</v>
      </c>
      <c r="B4088" t="s">
        <v>456</v>
      </c>
      <c r="C4088" t="s">
        <v>447</v>
      </c>
      <c r="D4088" s="2" t="s">
        <v>448</v>
      </c>
      <c r="E4088" t="s">
        <v>324</v>
      </c>
      <c r="F4088" s="11">
        <v>43792</v>
      </c>
      <c r="G4088" s="2">
        <f>VLOOKUP(E4088,Tabela11[#All],5,FALSE)</f>
        <v>2600</v>
      </c>
      <c r="H4088" s="2">
        <f>VLOOKUP(E4088,Produtos!$A:$E,4,FALSE)</f>
        <v>2000</v>
      </c>
      <c r="I4088" s="2">
        <v>4</v>
      </c>
    </row>
    <row r="4089" spans="1:9" x14ac:dyDescent="0.25">
      <c r="A4089" s="2" t="str">
        <f>CONCATENATE(Códigos!S4088,Códigos!T4088,Códigos!U4088)</f>
        <v>svv4087v</v>
      </c>
      <c r="B4089" t="s">
        <v>456</v>
      </c>
      <c r="C4089" t="s">
        <v>447</v>
      </c>
      <c r="D4089" s="2" t="s">
        <v>448</v>
      </c>
      <c r="E4089" t="s">
        <v>324</v>
      </c>
      <c r="F4089" s="11">
        <v>43793</v>
      </c>
      <c r="G4089" s="2">
        <f>VLOOKUP(E4089,Tabela11[#All],5,FALSE)</f>
        <v>2600</v>
      </c>
      <c r="H4089" s="2">
        <f>VLOOKUP(E4089,Produtos!$A:$E,4,FALSE)</f>
        <v>2000</v>
      </c>
      <c r="I4089" s="2">
        <v>4</v>
      </c>
    </row>
    <row r="4090" spans="1:9" x14ac:dyDescent="0.25">
      <c r="A4090" s="2" t="str">
        <f>CONCATENATE(Códigos!S4089,Códigos!T4089,Códigos!U4089)</f>
        <v>svv4088v</v>
      </c>
      <c r="B4090" t="s">
        <v>456</v>
      </c>
      <c r="C4090" t="s">
        <v>447</v>
      </c>
      <c r="D4090" s="2" t="s">
        <v>448</v>
      </c>
      <c r="E4090" t="s">
        <v>324</v>
      </c>
      <c r="F4090" s="11">
        <v>43794</v>
      </c>
      <c r="G4090" s="2">
        <f>VLOOKUP(E4090,Tabela11[#All],5,FALSE)</f>
        <v>2600</v>
      </c>
      <c r="H4090" s="2">
        <f>VLOOKUP(E4090,Produtos!$A:$E,4,FALSE)</f>
        <v>2000</v>
      </c>
      <c r="I4090" s="2">
        <v>4</v>
      </c>
    </row>
    <row r="4091" spans="1:9" x14ac:dyDescent="0.25">
      <c r="A4091" s="2" t="str">
        <f>CONCATENATE(Códigos!S4090,Códigos!T4090,Códigos!U4090)</f>
        <v>svv4089v</v>
      </c>
      <c r="B4091" t="s">
        <v>456</v>
      </c>
      <c r="C4091" t="s">
        <v>447</v>
      </c>
      <c r="D4091" s="2" t="s">
        <v>448</v>
      </c>
      <c r="E4091" t="s">
        <v>324</v>
      </c>
      <c r="F4091" s="11">
        <v>43795</v>
      </c>
      <c r="G4091" s="2">
        <f>VLOOKUP(E4091,Tabela11[#All],5,FALSE)</f>
        <v>2600</v>
      </c>
      <c r="H4091" s="2">
        <f>VLOOKUP(E4091,Produtos!$A:$E,4,FALSE)</f>
        <v>2000</v>
      </c>
      <c r="I4091" s="2">
        <v>4</v>
      </c>
    </row>
    <row r="4092" spans="1:9" x14ac:dyDescent="0.25">
      <c r="A4092" s="2" t="str">
        <f>CONCATENATE(Códigos!S4091,Códigos!T4091,Códigos!U4091)</f>
        <v>svv4090v</v>
      </c>
      <c r="B4092" t="s">
        <v>456</v>
      </c>
      <c r="C4092" t="s">
        <v>447</v>
      </c>
      <c r="D4092" s="2" t="s">
        <v>448</v>
      </c>
      <c r="E4092" t="s">
        <v>324</v>
      </c>
      <c r="F4092" s="11">
        <v>43796</v>
      </c>
      <c r="G4092" s="2">
        <f>VLOOKUP(E4092,Tabela11[#All],5,FALSE)</f>
        <v>2600</v>
      </c>
      <c r="H4092" s="2">
        <f>VLOOKUP(E4092,Produtos!$A:$E,4,FALSE)</f>
        <v>2000</v>
      </c>
      <c r="I4092" s="2">
        <v>4</v>
      </c>
    </row>
    <row r="4093" spans="1:9" x14ac:dyDescent="0.25">
      <c r="A4093" s="2" t="str">
        <f>CONCATENATE(Códigos!S4092,Códigos!T4092,Códigos!U4092)</f>
        <v>svv4091v</v>
      </c>
      <c r="B4093" t="s">
        <v>456</v>
      </c>
      <c r="C4093" t="s">
        <v>447</v>
      </c>
      <c r="D4093" s="2" t="s">
        <v>448</v>
      </c>
      <c r="E4093" t="s">
        <v>324</v>
      </c>
      <c r="F4093" s="11">
        <v>43797</v>
      </c>
      <c r="G4093" s="2">
        <f>VLOOKUP(E4093,Tabela11[#All],5,FALSE)</f>
        <v>2600</v>
      </c>
      <c r="H4093" s="2">
        <f>VLOOKUP(E4093,Produtos!$A:$E,4,FALSE)</f>
        <v>2000</v>
      </c>
      <c r="I4093" s="2">
        <v>4</v>
      </c>
    </row>
    <row r="4094" spans="1:9" x14ac:dyDescent="0.25">
      <c r="A4094" s="2" t="str">
        <f>CONCATENATE(Códigos!S4093,Códigos!T4093,Códigos!U4093)</f>
        <v>svv4092v</v>
      </c>
      <c r="B4094" t="s">
        <v>456</v>
      </c>
      <c r="C4094" t="s">
        <v>447</v>
      </c>
      <c r="D4094" s="2" t="s">
        <v>448</v>
      </c>
      <c r="E4094" t="s">
        <v>324</v>
      </c>
      <c r="F4094" s="11">
        <v>43798</v>
      </c>
      <c r="G4094" s="2">
        <f>VLOOKUP(E4094,Tabela11[#All],5,FALSE)</f>
        <v>2600</v>
      </c>
      <c r="H4094" s="2">
        <f>VLOOKUP(E4094,Produtos!$A:$E,4,FALSE)</f>
        <v>2000</v>
      </c>
      <c r="I4094" s="2">
        <v>4</v>
      </c>
    </row>
    <row r="4095" spans="1:9" x14ac:dyDescent="0.25">
      <c r="A4095" s="2" t="str">
        <f>CONCATENATE(Códigos!S4094,Códigos!T4094,Códigos!U4094)</f>
        <v>svv4093v</v>
      </c>
      <c r="B4095" t="s">
        <v>456</v>
      </c>
      <c r="C4095" t="s">
        <v>447</v>
      </c>
      <c r="D4095" s="2" t="s">
        <v>448</v>
      </c>
      <c r="E4095" t="s">
        <v>324</v>
      </c>
      <c r="F4095" s="11">
        <v>43799</v>
      </c>
      <c r="G4095" s="2">
        <f>VLOOKUP(E4095,Tabela11[#All],5,FALSE)</f>
        <v>2600</v>
      </c>
      <c r="H4095" s="2">
        <f>VLOOKUP(E4095,Produtos!$A:$E,4,FALSE)</f>
        <v>2000</v>
      </c>
      <c r="I4095" s="2">
        <v>4</v>
      </c>
    </row>
    <row r="4096" spans="1:9" x14ac:dyDescent="0.25">
      <c r="A4096" s="2" t="str">
        <f>CONCATENATE(Códigos!S4095,Códigos!T4095,Códigos!U4095)</f>
        <v>svv4094v</v>
      </c>
      <c r="B4096" t="s">
        <v>456</v>
      </c>
      <c r="C4096" t="s">
        <v>447</v>
      </c>
      <c r="D4096" s="2" t="s">
        <v>448</v>
      </c>
      <c r="E4096" t="s">
        <v>324</v>
      </c>
      <c r="F4096" s="11">
        <v>43800</v>
      </c>
      <c r="G4096" s="2">
        <f>VLOOKUP(E4096,Tabela11[#All],5,FALSE)</f>
        <v>2600</v>
      </c>
      <c r="H4096" s="2">
        <f>VLOOKUP(E4096,Produtos!$A:$E,4,FALSE)</f>
        <v>2000</v>
      </c>
      <c r="I4096" s="2">
        <v>4</v>
      </c>
    </row>
    <row r="4097" spans="1:9" x14ac:dyDescent="0.25">
      <c r="A4097" s="2" t="str">
        <f>CONCATENATE(Códigos!S4096,Códigos!T4096,Códigos!U4096)</f>
        <v>svv4095v</v>
      </c>
      <c r="B4097" t="s">
        <v>456</v>
      </c>
      <c r="C4097" t="s">
        <v>447</v>
      </c>
      <c r="D4097" s="2" t="s">
        <v>448</v>
      </c>
      <c r="E4097" t="s">
        <v>324</v>
      </c>
      <c r="F4097" s="11">
        <v>43801</v>
      </c>
      <c r="G4097" s="2">
        <f>VLOOKUP(E4097,Tabela11[#All],5,FALSE)</f>
        <v>2600</v>
      </c>
      <c r="H4097" s="2">
        <f>VLOOKUP(E4097,Produtos!$A:$E,4,FALSE)</f>
        <v>2000</v>
      </c>
      <c r="I4097" s="2">
        <v>4</v>
      </c>
    </row>
    <row r="4098" spans="1:9" x14ac:dyDescent="0.25">
      <c r="A4098" s="2" t="str">
        <f>CONCATENATE(Códigos!S4097,Códigos!T4097,Códigos!U4097)</f>
        <v>svv4096v</v>
      </c>
      <c r="B4098" t="s">
        <v>456</v>
      </c>
      <c r="C4098" t="s">
        <v>447</v>
      </c>
      <c r="D4098" s="2" t="s">
        <v>448</v>
      </c>
      <c r="E4098" t="s">
        <v>324</v>
      </c>
      <c r="F4098" s="11">
        <v>43802</v>
      </c>
      <c r="G4098" s="2">
        <f>VLOOKUP(E4098,Tabela11[#All],5,FALSE)</f>
        <v>2600</v>
      </c>
      <c r="H4098" s="2">
        <f>VLOOKUP(E4098,Produtos!$A:$E,4,FALSE)</f>
        <v>2000</v>
      </c>
      <c r="I4098" s="2">
        <v>4</v>
      </c>
    </row>
    <row r="4099" spans="1:9" x14ac:dyDescent="0.25">
      <c r="A4099" s="2" t="str">
        <f>CONCATENATE(Códigos!S4098,Códigos!T4098,Códigos!U4098)</f>
        <v>svv4097v</v>
      </c>
      <c r="B4099" t="s">
        <v>456</v>
      </c>
      <c r="C4099" t="s">
        <v>447</v>
      </c>
      <c r="D4099" s="2" t="s">
        <v>448</v>
      </c>
      <c r="E4099" t="s">
        <v>324</v>
      </c>
      <c r="F4099" s="11">
        <v>43803</v>
      </c>
      <c r="G4099" s="2">
        <f>VLOOKUP(E4099,Tabela11[#All],5,FALSE)</f>
        <v>2600</v>
      </c>
      <c r="H4099" s="2">
        <f>VLOOKUP(E4099,Produtos!$A:$E,4,FALSE)</f>
        <v>2000</v>
      </c>
      <c r="I4099" s="2">
        <v>4</v>
      </c>
    </row>
    <row r="4100" spans="1:9" x14ac:dyDescent="0.25">
      <c r="A4100" s="2" t="str">
        <f>CONCATENATE(Códigos!S4099,Códigos!T4099,Códigos!U4099)</f>
        <v>svv4098v</v>
      </c>
      <c r="B4100" t="s">
        <v>456</v>
      </c>
      <c r="C4100" t="s">
        <v>447</v>
      </c>
      <c r="D4100" s="2" t="s">
        <v>448</v>
      </c>
      <c r="E4100" t="s">
        <v>324</v>
      </c>
      <c r="F4100" s="11">
        <v>43804</v>
      </c>
      <c r="G4100" s="2">
        <f>VLOOKUP(E4100,Tabela11[#All],5,FALSE)</f>
        <v>2600</v>
      </c>
      <c r="H4100" s="2">
        <f>VLOOKUP(E4100,Produtos!$A:$E,4,FALSE)</f>
        <v>2000</v>
      </c>
      <c r="I4100" s="2">
        <v>4</v>
      </c>
    </row>
    <row r="4101" spans="1:9" x14ac:dyDescent="0.25">
      <c r="A4101" s="2" t="str">
        <f>CONCATENATE(Códigos!S4100,Códigos!T4100,Códigos!U4100)</f>
        <v>svv4099v</v>
      </c>
      <c r="B4101" t="s">
        <v>456</v>
      </c>
      <c r="C4101" t="s">
        <v>447</v>
      </c>
      <c r="D4101" s="2" t="s">
        <v>448</v>
      </c>
      <c r="E4101" t="s">
        <v>324</v>
      </c>
      <c r="F4101" s="11">
        <v>43205</v>
      </c>
      <c r="G4101" s="2">
        <f>VLOOKUP(E4101,Tabela11[#All],5,FALSE)</f>
        <v>2600</v>
      </c>
      <c r="H4101" s="2">
        <f>VLOOKUP(E4101,Produtos!$A:$E,4,FALSE)</f>
        <v>2000</v>
      </c>
      <c r="I4101" s="2">
        <v>4</v>
      </c>
    </row>
    <row r="4102" spans="1:9" x14ac:dyDescent="0.25">
      <c r="A4102" s="2" t="str">
        <f>CONCATENATE(Códigos!S4101,Códigos!T4101,Códigos!U4101)</f>
        <v>svv4100v</v>
      </c>
      <c r="B4102" t="s">
        <v>456</v>
      </c>
      <c r="C4102" t="s">
        <v>447</v>
      </c>
      <c r="D4102" s="2" t="s">
        <v>448</v>
      </c>
      <c r="E4102" t="s">
        <v>324</v>
      </c>
      <c r="F4102" s="11">
        <v>43206</v>
      </c>
      <c r="G4102" s="2">
        <f>VLOOKUP(E4102,Tabela11[#All],5,FALSE)</f>
        <v>2600</v>
      </c>
      <c r="H4102" s="2">
        <f>VLOOKUP(E4102,Produtos!$A:$E,4,FALSE)</f>
        <v>2000</v>
      </c>
      <c r="I4102" s="2">
        <v>4</v>
      </c>
    </row>
    <row r="4103" spans="1:9" x14ac:dyDescent="0.25">
      <c r="A4103" s="2" t="str">
        <f>CONCATENATE(Códigos!S4102,Códigos!T4102,Códigos!U4102)</f>
        <v>svv4101v</v>
      </c>
      <c r="B4103" t="s">
        <v>456</v>
      </c>
      <c r="C4103" t="s">
        <v>447</v>
      </c>
      <c r="D4103" s="2" t="s">
        <v>448</v>
      </c>
      <c r="E4103" t="s">
        <v>324</v>
      </c>
      <c r="F4103" s="11">
        <v>43207</v>
      </c>
      <c r="G4103" s="2">
        <f>VLOOKUP(E4103,Tabela11[#All],5,FALSE)</f>
        <v>2600</v>
      </c>
      <c r="H4103" s="2">
        <f>VLOOKUP(E4103,Produtos!$A:$E,4,FALSE)</f>
        <v>2000</v>
      </c>
      <c r="I4103" s="2">
        <v>4</v>
      </c>
    </row>
    <row r="4104" spans="1:9" x14ac:dyDescent="0.25">
      <c r="A4104" s="2" t="str">
        <f>CONCATENATE(Códigos!S4103,Códigos!T4103,Códigos!U4103)</f>
        <v>svv4102v</v>
      </c>
      <c r="B4104" t="s">
        <v>456</v>
      </c>
      <c r="C4104" t="s">
        <v>447</v>
      </c>
      <c r="D4104" s="2" t="s">
        <v>448</v>
      </c>
      <c r="E4104" t="s">
        <v>324</v>
      </c>
      <c r="F4104" s="11">
        <v>43208</v>
      </c>
      <c r="G4104" s="2">
        <f>VLOOKUP(E4104,Tabela11[#All],5,FALSE)</f>
        <v>2600</v>
      </c>
      <c r="H4104" s="2">
        <f>VLOOKUP(E4104,Produtos!$A:$E,4,FALSE)</f>
        <v>2000</v>
      </c>
      <c r="I4104" s="2">
        <v>2</v>
      </c>
    </row>
    <row r="4105" spans="1:9" x14ac:dyDescent="0.25">
      <c r="A4105" s="2" t="str">
        <f>CONCATENATE(Códigos!S4104,Códigos!T4104,Códigos!U4104)</f>
        <v>svv4103v</v>
      </c>
      <c r="B4105" t="s">
        <v>456</v>
      </c>
      <c r="C4105" t="s">
        <v>447</v>
      </c>
      <c r="D4105" s="2" t="s">
        <v>448</v>
      </c>
      <c r="E4105" t="s">
        <v>324</v>
      </c>
      <c r="F4105" s="11">
        <v>43209</v>
      </c>
      <c r="G4105" s="2">
        <f>VLOOKUP(E4105,Tabela11[#All],5,FALSE)</f>
        <v>2600</v>
      </c>
      <c r="H4105" s="2">
        <f>VLOOKUP(E4105,Produtos!$A:$E,4,FALSE)</f>
        <v>2000</v>
      </c>
      <c r="I4105" s="2">
        <v>2</v>
      </c>
    </row>
    <row r="4106" spans="1:9" x14ac:dyDescent="0.25">
      <c r="A4106" s="2" t="str">
        <f>CONCATENATE(Códigos!S4105,Códigos!T4105,Códigos!U4105)</f>
        <v>svv4104v</v>
      </c>
      <c r="B4106" t="s">
        <v>456</v>
      </c>
      <c r="C4106" t="s">
        <v>447</v>
      </c>
      <c r="D4106" s="2" t="s">
        <v>448</v>
      </c>
      <c r="E4106" t="s">
        <v>324</v>
      </c>
      <c r="F4106" s="11">
        <v>43210</v>
      </c>
      <c r="G4106" s="2">
        <f>VLOOKUP(E4106,Tabela11[#All],5,FALSE)</f>
        <v>2600</v>
      </c>
      <c r="H4106" s="2">
        <f>VLOOKUP(E4106,Produtos!$A:$E,4,FALSE)</f>
        <v>2000</v>
      </c>
      <c r="I4106" s="2">
        <v>2</v>
      </c>
    </row>
    <row r="4107" spans="1:9" x14ac:dyDescent="0.25">
      <c r="A4107" s="2" t="str">
        <f>CONCATENATE(Códigos!S4106,Códigos!T4106,Códigos!U4106)</f>
        <v>svv4105v</v>
      </c>
      <c r="B4107" t="s">
        <v>456</v>
      </c>
      <c r="C4107" t="s">
        <v>447</v>
      </c>
      <c r="D4107" s="2" t="s">
        <v>448</v>
      </c>
      <c r="E4107" t="s">
        <v>324</v>
      </c>
      <c r="F4107" s="11">
        <v>43211</v>
      </c>
      <c r="G4107" s="2">
        <f>VLOOKUP(E4107,Tabela11[#All],5,FALSE)</f>
        <v>2600</v>
      </c>
      <c r="H4107" s="2">
        <f>VLOOKUP(E4107,Produtos!$A:$E,4,FALSE)</f>
        <v>2000</v>
      </c>
      <c r="I4107" s="2">
        <v>2</v>
      </c>
    </row>
    <row r="4108" spans="1:9" x14ac:dyDescent="0.25">
      <c r="A4108" s="2" t="str">
        <f>CONCATENATE(Códigos!S4107,Códigos!T4107,Códigos!U4107)</f>
        <v>svv4106v</v>
      </c>
      <c r="B4108" t="s">
        <v>456</v>
      </c>
      <c r="C4108" t="s">
        <v>447</v>
      </c>
      <c r="D4108" s="2" t="s">
        <v>448</v>
      </c>
      <c r="E4108" t="s">
        <v>324</v>
      </c>
      <c r="F4108" s="11">
        <v>43212</v>
      </c>
      <c r="G4108" s="2">
        <f>VLOOKUP(E4108,Tabela11[#All],5,FALSE)</f>
        <v>2600</v>
      </c>
      <c r="H4108" s="2">
        <f>VLOOKUP(E4108,Produtos!$A:$E,4,FALSE)</f>
        <v>2000</v>
      </c>
      <c r="I4108" s="2">
        <v>2</v>
      </c>
    </row>
    <row r="4109" spans="1:9" x14ac:dyDescent="0.25">
      <c r="A4109" s="2" t="str">
        <f>CONCATENATE(Códigos!S4108,Códigos!T4108,Códigos!U4108)</f>
        <v>svv4107v</v>
      </c>
      <c r="B4109" t="s">
        <v>456</v>
      </c>
      <c r="C4109" t="s">
        <v>447</v>
      </c>
      <c r="D4109" s="2" t="s">
        <v>448</v>
      </c>
      <c r="E4109" t="s">
        <v>324</v>
      </c>
      <c r="F4109" s="11">
        <v>43213</v>
      </c>
      <c r="G4109" s="2">
        <f>VLOOKUP(E4109,Tabela11[#All],5,FALSE)</f>
        <v>2600</v>
      </c>
      <c r="H4109" s="2">
        <f>VLOOKUP(E4109,Produtos!$A:$E,4,FALSE)</f>
        <v>2000</v>
      </c>
      <c r="I4109" s="2">
        <v>2</v>
      </c>
    </row>
    <row r="4110" spans="1:9" x14ac:dyDescent="0.25">
      <c r="A4110" s="2" t="str">
        <f>CONCATENATE(Códigos!S4109,Códigos!T4109,Códigos!U4109)</f>
        <v>svv4108v</v>
      </c>
      <c r="B4110" t="s">
        <v>456</v>
      </c>
      <c r="C4110" t="s">
        <v>438</v>
      </c>
      <c r="D4110" s="2" t="s">
        <v>359</v>
      </c>
      <c r="E4110" t="s">
        <v>324</v>
      </c>
      <c r="F4110" s="11">
        <v>43214</v>
      </c>
      <c r="G4110" s="2">
        <f>VLOOKUP(E4110,Tabela11[#All],5,FALSE)</f>
        <v>2600</v>
      </c>
      <c r="H4110" s="2">
        <f>VLOOKUP(E4110,Produtos!$A:$E,4,FALSE)</f>
        <v>2000</v>
      </c>
      <c r="I4110" s="2">
        <v>2</v>
      </c>
    </row>
    <row r="4111" spans="1:9" x14ac:dyDescent="0.25">
      <c r="A4111" s="2" t="str">
        <f>CONCATENATE(Códigos!S4110,Códigos!T4110,Códigos!U4110)</f>
        <v>svv4109v</v>
      </c>
      <c r="B4111" t="s">
        <v>456</v>
      </c>
      <c r="C4111" t="s">
        <v>438</v>
      </c>
      <c r="D4111" s="2" t="s">
        <v>359</v>
      </c>
      <c r="E4111" t="s">
        <v>324</v>
      </c>
      <c r="F4111" s="11">
        <v>43215</v>
      </c>
      <c r="G4111" s="2">
        <f>VLOOKUP(E4111,Tabela11[#All],5,FALSE)</f>
        <v>2600</v>
      </c>
      <c r="H4111" s="2">
        <f>VLOOKUP(E4111,Produtos!$A:$E,4,FALSE)</f>
        <v>2000</v>
      </c>
      <c r="I4111" s="2">
        <v>2</v>
      </c>
    </row>
    <row r="4112" spans="1:9" x14ac:dyDescent="0.25">
      <c r="A4112" s="2" t="str">
        <f>CONCATENATE(Códigos!S4111,Códigos!T4111,Códigos!U4111)</f>
        <v>svv4110v</v>
      </c>
      <c r="B4112" t="s">
        <v>456</v>
      </c>
      <c r="C4112" t="s">
        <v>438</v>
      </c>
      <c r="D4112" s="2" t="s">
        <v>359</v>
      </c>
      <c r="E4112" t="s">
        <v>324</v>
      </c>
      <c r="F4112" s="11">
        <v>43216</v>
      </c>
      <c r="G4112" s="2">
        <f>VLOOKUP(E4112,Tabela11[#All],5,FALSE)</f>
        <v>2600</v>
      </c>
      <c r="H4112" s="2">
        <f>VLOOKUP(E4112,Produtos!$A:$E,4,FALSE)</f>
        <v>2000</v>
      </c>
      <c r="I4112" s="2">
        <v>2</v>
      </c>
    </row>
    <row r="4113" spans="1:9" x14ac:dyDescent="0.25">
      <c r="A4113" s="2" t="str">
        <f>CONCATENATE(Códigos!S4112,Códigos!T4112,Códigos!U4112)</f>
        <v>svv4111v</v>
      </c>
      <c r="B4113" t="s">
        <v>456</v>
      </c>
      <c r="C4113" t="s">
        <v>438</v>
      </c>
      <c r="D4113" s="2" t="s">
        <v>359</v>
      </c>
      <c r="E4113" t="s">
        <v>324</v>
      </c>
      <c r="F4113" s="11">
        <v>43217</v>
      </c>
      <c r="G4113" s="2">
        <f>VLOOKUP(E4113,Tabela11[#All],5,FALSE)</f>
        <v>2600</v>
      </c>
      <c r="H4113" s="2">
        <f>VLOOKUP(E4113,Produtos!$A:$E,4,FALSE)</f>
        <v>2000</v>
      </c>
      <c r="I4113" s="2">
        <v>2</v>
      </c>
    </row>
    <row r="4114" spans="1:9" x14ac:dyDescent="0.25">
      <c r="A4114" s="2" t="str">
        <f>CONCATENATE(Códigos!S4113,Códigos!T4113,Códigos!U4113)</f>
        <v>svv4112v</v>
      </c>
      <c r="B4114" t="s">
        <v>456</v>
      </c>
      <c r="C4114" t="s">
        <v>438</v>
      </c>
      <c r="D4114" s="2" t="s">
        <v>359</v>
      </c>
      <c r="E4114" t="s">
        <v>324</v>
      </c>
      <c r="F4114" s="11">
        <v>43218</v>
      </c>
      <c r="G4114" s="2">
        <f>VLOOKUP(E4114,Tabela11[#All],5,FALSE)</f>
        <v>2600</v>
      </c>
      <c r="H4114" s="2">
        <f>VLOOKUP(E4114,Produtos!$A:$E,4,FALSE)</f>
        <v>2000</v>
      </c>
      <c r="I4114" s="2">
        <v>2</v>
      </c>
    </row>
    <row r="4115" spans="1:9" x14ac:dyDescent="0.25">
      <c r="A4115" s="2" t="str">
        <f>CONCATENATE(Códigos!S4114,Códigos!T4114,Códigos!U4114)</f>
        <v>svv4113v</v>
      </c>
      <c r="B4115" t="s">
        <v>456</v>
      </c>
      <c r="C4115" t="s">
        <v>438</v>
      </c>
      <c r="D4115" s="2" t="s">
        <v>359</v>
      </c>
      <c r="E4115" t="s">
        <v>324</v>
      </c>
      <c r="F4115" s="11">
        <v>43219</v>
      </c>
      <c r="G4115" s="2">
        <f>VLOOKUP(E4115,Tabela11[#All],5,FALSE)</f>
        <v>2600</v>
      </c>
      <c r="H4115" s="2">
        <f>VLOOKUP(E4115,Produtos!$A:$E,4,FALSE)</f>
        <v>2000</v>
      </c>
      <c r="I4115" s="2">
        <v>2</v>
      </c>
    </row>
    <row r="4116" spans="1:9" x14ac:dyDescent="0.25">
      <c r="A4116" s="2" t="str">
        <f>CONCATENATE(Códigos!S4115,Códigos!T4115,Códigos!U4115)</f>
        <v>svv4114v</v>
      </c>
      <c r="B4116" t="s">
        <v>456</v>
      </c>
      <c r="C4116" t="s">
        <v>438</v>
      </c>
      <c r="D4116" s="2" t="s">
        <v>359</v>
      </c>
      <c r="E4116" t="s">
        <v>334</v>
      </c>
      <c r="F4116" s="11">
        <v>43220</v>
      </c>
      <c r="G4116" s="2">
        <f>VLOOKUP(E4116,Tabela11[#All],5,FALSE)</f>
        <v>1900</v>
      </c>
      <c r="H4116" s="2">
        <f>VLOOKUP(E4116,Produtos!$A:$E,4,FALSE)</f>
        <v>1250</v>
      </c>
      <c r="I4116" s="2">
        <v>2</v>
      </c>
    </row>
    <row r="4117" spans="1:9" x14ac:dyDescent="0.25">
      <c r="A4117" s="2" t="str">
        <f>CONCATENATE(Códigos!S4116,Códigos!T4116,Códigos!U4116)</f>
        <v>svv4115v</v>
      </c>
      <c r="B4117" t="s">
        <v>456</v>
      </c>
      <c r="C4117" t="s">
        <v>438</v>
      </c>
      <c r="D4117" s="2" t="s">
        <v>359</v>
      </c>
      <c r="E4117" t="s">
        <v>334</v>
      </c>
      <c r="F4117" s="11">
        <v>43221</v>
      </c>
      <c r="G4117" s="2">
        <f>VLOOKUP(E4117,Tabela11[#All],5,FALSE)</f>
        <v>1900</v>
      </c>
      <c r="H4117" s="2">
        <f>VLOOKUP(E4117,Produtos!$A:$E,4,FALSE)</f>
        <v>1250</v>
      </c>
      <c r="I4117" s="2">
        <v>2</v>
      </c>
    </row>
    <row r="4118" spans="1:9" x14ac:dyDescent="0.25">
      <c r="A4118" s="2" t="str">
        <f>CONCATENATE(Códigos!S4117,Códigos!T4117,Códigos!U4117)</f>
        <v>svv4116v</v>
      </c>
      <c r="B4118" t="s">
        <v>456</v>
      </c>
      <c r="C4118" t="s">
        <v>438</v>
      </c>
      <c r="D4118" s="2" t="s">
        <v>359</v>
      </c>
      <c r="E4118" t="s">
        <v>334</v>
      </c>
      <c r="F4118" s="11">
        <v>43222</v>
      </c>
      <c r="G4118" s="2">
        <f>VLOOKUP(E4118,Tabela11[#All],5,FALSE)</f>
        <v>1900</v>
      </c>
      <c r="H4118" s="2">
        <f>VLOOKUP(E4118,Produtos!$A:$E,4,FALSE)</f>
        <v>1250</v>
      </c>
      <c r="I4118" s="2">
        <v>2</v>
      </c>
    </row>
    <row r="4119" spans="1:9" x14ac:dyDescent="0.25">
      <c r="A4119" s="2" t="str">
        <f>CONCATENATE(Códigos!S4118,Códigos!T4118,Códigos!U4118)</f>
        <v>svv4117v</v>
      </c>
      <c r="B4119" t="s">
        <v>456</v>
      </c>
      <c r="C4119" t="s">
        <v>438</v>
      </c>
      <c r="D4119" s="2" t="s">
        <v>359</v>
      </c>
      <c r="E4119" t="s">
        <v>334</v>
      </c>
      <c r="F4119" s="11">
        <v>43223</v>
      </c>
      <c r="G4119" s="2">
        <f>VLOOKUP(E4119,Tabela11[#All],5,FALSE)</f>
        <v>1900</v>
      </c>
      <c r="H4119" s="2">
        <f>VLOOKUP(E4119,Produtos!$A:$E,4,FALSE)</f>
        <v>1250</v>
      </c>
      <c r="I4119" s="2">
        <v>2</v>
      </c>
    </row>
    <row r="4120" spans="1:9" x14ac:dyDescent="0.25">
      <c r="A4120" s="2" t="str">
        <f>CONCATENATE(Códigos!S4119,Códigos!T4119,Códigos!U4119)</f>
        <v>svv4118v</v>
      </c>
      <c r="B4120" t="s">
        <v>456</v>
      </c>
      <c r="C4120" t="s">
        <v>438</v>
      </c>
      <c r="D4120" s="2" t="s">
        <v>359</v>
      </c>
      <c r="E4120" t="s">
        <v>334</v>
      </c>
      <c r="F4120" s="11">
        <v>43224</v>
      </c>
      <c r="G4120" s="2">
        <f>VLOOKUP(E4120,Tabela11[#All],5,FALSE)</f>
        <v>1900</v>
      </c>
      <c r="H4120" s="2">
        <f>VLOOKUP(E4120,Produtos!$A:$E,4,FALSE)</f>
        <v>1250</v>
      </c>
      <c r="I4120" s="2">
        <v>5</v>
      </c>
    </row>
    <row r="4121" spans="1:9" x14ac:dyDescent="0.25">
      <c r="A4121" s="2" t="str">
        <f>CONCATENATE(Códigos!S4120,Códigos!T4120,Códigos!U4120)</f>
        <v>svv4119v</v>
      </c>
      <c r="B4121" t="s">
        <v>456</v>
      </c>
      <c r="C4121" t="s">
        <v>438</v>
      </c>
      <c r="D4121" s="2" t="s">
        <v>359</v>
      </c>
      <c r="E4121" t="s">
        <v>334</v>
      </c>
      <c r="F4121" s="11">
        <v>43225</v>
      </c>
      <c r="G4121" s="2">
        <f>VLOOKUP(E4121,Tabela11[#All],5,FALSE)</f>
        <v>1900</v>
      </c>
      <c r="H4121" s="2">
        <f>VLOOKUP(E4121,Produtos!$A:$E,4,FALSE)</f>
        <v>1250</v>
      </c>
      <c r="I4121" s="2">
        <v>5</v>
      </c>
    </row>
    <row r="4122" spans="1:9" x14ac:dyDescent="0.25">
      <c r="A4122" s="2" t="str">
        <f>CONCATENATE(Códigos!S4121,Códigos!T4121,Códigos!U4121)</f>
        <v>svv4120v</v>
      </c>
      <c r="B4122" t="s">
        <v>456</v>
      </c>
      <c r="C4122" t="s">
        <v>438</v>
      </c>
      <c r="D4122" s="2" t="s">
        <v>359</v>
      </c>
      <c r="E4122" t="s">
        <v>334</v>
      </c>
      <c r="F4122" s="11">
        <v>43226</v>
      </c>
      <c r="G4122" s="2">
        <f>VLOOKUP(E4122,Tabela11[#All],5,FALSE)</f>
        <v>1900</v>
      </c>
      <c r="H4122" s="2">
        <f>VLOOKUP(E4122,Produtos!$A:$E,4,FALSE)</f>
        <v>1250</v>
      </c>
      <c r="I4122" s="2">
        <v>5</v>
      </c>
    </row>
    <row r="4123" spans="1:9" x14ac:dyDescent="0.25">
      <c r="A4123" s="2" t="str">
        <f>CONCATENATE(Códigos!S4122,Códigos!T4122,Códigos!U4122)</f>
        <v>svv4121v</v>
      </c>
      <c r="B4123" t="s">
        <v>456</v>
      </c>
      <c r="C4123" t="s">
        <v>438</v>
      </c>
      <c r="D4123" s="2" t="s">
        <v>359</v>
      </c>
      <c r="E4123" t="s">
        <v>355</v>
      </c>
      <c r="F4123" s="11">
        <v>43227</v>
      </c>
      <c r="G4123" s="2">
        <f>VLOOKUP(E4123,Tabela11[#All],5,FALSE)</f>
        <v>1300</v>
      </c>
      <c r="H4123" s="2">
        <f>VLOOKUP(E4123,Produtos!$A:$E,4,FALSE)</f>
        <v>1000</v>
      </c>
      <c r="I4123" s="2">
        <v>5</v>
      </c>
    </row>
    <row r="4124" spans="1:9" x14ac:dyDescent="0.25">
      <c r="A4124" s="2" t="str">
        <f>CONCATENATE(Códigos!S4123,Códigos!T4123,Códigos!U4123)</f>
        <v>svv4122v</v>
      </c>
      <c r="B4124" t="s">
        <v>456</v>
      </c>
      <c r="C4124" t="s">
        <v>438</v>
      </c>
      <c r="D4124" s="2" t="s">
        <v>359</v>
      </c>
      <c r="E4124" t="s">
        <v>355</v>
      </c>
      <c r="F4124" s="11">
        <v>43228</v>
      </c>
      <c r="G4124" s="2">
        <f>VLOOKUP(E4124,Tabela11[#All],5,FALSE)</f>
        <v>1300</v>
      </c>
      <c r="H4124" s="2">
        <f>VLOOKUP(E4124,Produtos!$A:$E,4,FALSE)</f>
        <v>1000</v>
      </c>
      <c r="I4124" s="2">
        <v>5</v>
      </c>
    </row>
    <row r="4125" spans="1:9" x14ac:dyDescent="0.25">
      <c r="A4125" s="2" t="str">
        <f>CONCATENATE(Códigos!S4124,Códigos!T4124,Códigos!U4124)</f>
        <v>svv4123v</v>
      </c>
      <c r="B4125" t="s">
        <v>456</v>
      </c>
      <c r="C4125" t="s">
        <v>438</v>
      </c>
      <c r="D4125" s="2" t="s">
        <v>359</v>
      </c>
      <c r="E4125" t="s">
        <v>355</v>
      </c>
      <c r="F4125" s="11">
        <v>43229</v>
      </c>
      <c r="G4125" s="2">
        <f>VLOOKUP(E4125,Tabela11[#All],5,FALSE)</f>
        <v>1300</v>
      </c>
      <c r="H4125" s="2">
        <f>VLOOKUP(E4125,Produtos!$A:$E,4,FALSE)</f>
        <v>1000</v>
      </c>
      <c r="I4125" s="2">
        <v>5</v>
      </c>
    </row>
    <row r="4126" spans="1:9" x14ac:dyDescent="0.25">
      <c r="A4126" s="2" t="str">
        <f>CONCATENATE(Códigos!S4125,Códigos!T4125,Códigos!U4125)</f>
        <v>svv4124v</v>
      </c>
      <c r="B4126" t="s">
        <v>456</v>
      </c>
      <c r="C4126" t="s">
        <v>438</v>
      </c>
      <c r="D4126" s="2" t="s">
        <v>359</v>
      </c>
      <c r="E4126" t="s">
        <v>355</v>
      </c>
      <c r="F4126" s="11">
        <v>43230</v>
      </c>
      <c r="G4126" s="2">
        <f>VLOOKUP(E4126,Tabela11[#All],5,FALSE)</f>
        <v>1300</v>
      </c>
      <c r="H4126" s="2">
        <f>VLOOKUP(E4126,Produtos!$A:$E,4,FALSE)</f>
        <v>1000</v>
      </c>
      <c r="I4126" s="2">
        <v>5</v>
      </c>
    </row>
    <row r="4127" spans="1:9" x14ac:dyDescent="0.25">
      <c r="A4127" s="2" t="str">
        <f>CONCATENATE(Códigos!S4126,Códigos!T4126,Códigos!U4126)</f>
        <v>svv4125v</v>
      </c>
      <c r="B4127" t="s">
        <v>456</v>
      </c>
      <c r="C4127" t="s">
        <v>438</v>
      </c>
      <c r="D4127" s="2" t="s">
        <v>359</v>
      </c>
      <c r="E4127" t="s">
        <v>355</v>
      </c>
      <c r="F4127" s="11">
        <v>43231</v>
      </c>
      <c r="G4127" s="2">
        <f>VLOOKUP(E4127,Tabela11[#All],5,FALSE)</f>
        <v>1300</v>
      </c>
      <c r="H4127" s="2">
        <f>VLOOKUP(E4127,Produtos!$A:$E,4,FALSE)</f>
        <v>1000</v>
      </c>
      <c r="I4127" s="2">
        <v>5</v>
      </c>
    </row>
    <row r="4128" spans="1:9" x14ac:dyDescent="0.25">
      <c r="A4128" s="2" t="str">
        <f>CONCATENATE(Códigos!S4127,Códigos!T4127,Códigos!U4127)</f>
        <v>svv4126v</v>
      </c>
      <c r="B4128" t="s">
        <v>456</v>
      </c>
      <c r="C4128" t="s">
        <v>438</v>
      </c>
      <c r="D4128" s="2" t="s">
        <v>359</v>
      </c>
      <c r="E4128" t="s">
        <v>355</v>
      </c>
      <c r="F4128" s="11">
        <v>43232</v>
      </c>
      <c r="G4128" s="2">
        <f>VLOOKUP(E4128,Tabela11[#All],5,FALSE)</f>
        <v>1300</v>
      </c>
      <c r="H4128" s="2">
        <f>VLOOKUP(E4128,Produtos!$A:$E,4,FALSE)</f>
        <v>1000</v>
      </c>
      <c r="I4128" s="2">
        <v>5</v>
      </c>
    </row>
    <row r="4129" spans="1:9" x14ac:dyDescent="0.25">
      <c r="A4129" s="2" t="str">
        <f>CONCATENATE(Códigos!S4128,Códigos!T4128,Códigos!U4128)</f>
        <v>svv4127v</v>
      </c>
      <c r="B4129" t="s">
        <v>456</v>
      </c>
      <c r="C4129" t="s">
        <v>447</v>
      </c>
      <c r="D4129" s="2" t="s">
        <v>448</v>
      </c>
      <c r="E4129" t="s">
        <v>355</v>
      </c>
      <c r="F4129" s="11">
        <v>43233</v>
      </c>
      <c r="G4129" s="2">
        <f>VLOOKUP(E4129,Tabela11[#All],5,FALSE)</f>
        <v>1300</v>
      </c>
      <c r="H4129" s="2">
        <f>VLOOKUP(E4129,Produtos!$A:$E,4,FALSE)</f>
        <v>1000</v>
      </c>
      <c r="I4129" s="2">
        <v>5</v>
      </c>
    </row>
    <row r="4130" spans="1:9" x14ac:dyDescent="0.25">
      <c r="A4130" s="2" t="str">
        <f>CONCATENATE(Códigos!S4129,Códigos!T4129,Códigos!U4129)</f>
        <v>svv4128v</v>
      </c>
      <c r="B4130" t="s">
        <v>456</v>
      </c>
      <c r="C4130" t="s">
        <v>447</v>
      </c>
      <c r="D4130" s="2" t="s">
        <v>448</v>
      </c>
      <c r="E4130" t="s">
        <v>355</v>
      </c>
      <c r="F4130" s="11">
        <v>43234</v>
      </c>
      <c r="G4130" s="2">
        <f>VLOOKUP(E4130,Tabela11[#All],5,FALSE)</f>
        <v>1300</v>
      </c>
      <c r="H4130" s="2">
        <f>VLOOKUP(E4130,Produtos!$A:$E,4,FALSE)</f>
        <v>1000</v>
      </c>
      <c r="I4130" s="2">
        <v>5</v>
      </c>
    </row>
    <row r="4131" spans="1:9" x14ac:dyDescent="0.25">
      <c r="A4131" s="2" t="str">
        <f>CONCATENATE(Códigos!S4130,Códigos!T4130,Códigos!U4130)</f>
        <v>svv4129v</v>
      </c>
      <c r="B4131" t="s">
        <v>456</v>
      </c>
      <c r="C4131" t="s">
        <v>447</v>
      </c>
      <c r="D4131" s="2" t="s">
        <v>448</v>
      </c>
      <c r="E4131" t="s">
        <v>355</v>
      </c>
      <c r="F4131" s="11">
        <v>43235</v>
      </c>
      <c r="G4131" s="2">
        <f>VLOOKUP(E4131,Tabela11[#All],5,FALSE)</f>
        <v>1300</v>
      </c>
      <c r="H4131" s="2">
        <f>VLOOKUP(E4131,Produtos!$A:$E,4,FALSE)</f>
        <v>1000</v>
      </c>
      <c r="I4131" s="2">
        <v>5</v>
      </c>
    </row>
    <row r="4132" spans="1:9" x14ac:dyDescent="0.25">
      <c r="A4132" s="2" t="str">
        <f>CONCATENATE(Códigos!S4131,Códigos!T4131,Códigos!U4131)</f>
        <v>svv4130v</v>
      </c>
      <c r="B4132" t="s">
        <v>456</v>
      </c>
      <c r="C4132" t="s">
        <v>447</v>
      </c>
      <c r="D4132" s="2" t="s">
        <v>448</v>
      </c>
      <c r="E4132" t="s">
        <v>355</v>
      </c>
      <c r="F4132" s="11">
        <v>43236</v>
      </c>
      <c r="G4132" s="2">
        <f>VLOOKUP(E4132,Tabela11[#All],5,FALSE)</f>
        <v>1300</v>
      </c>
      <c r="H4132" s="2">
        <f>VLOOKUP(E4132,Produtos!$A:$E,4,FALSE)</f>
        <v>1000</v>
      </c>
      <c r="I4132" s="2">
        <v>5</v>
      </c>
    </row>
    <row r="4133" spans="1:9" x14ac:dyDescent="0.25">
      <c r="A4133" s="2" t="str">
        <f>CONCATENATE(Códigos!S4132,Códigos!T4132,Códigos!U4132)</f>
        <v>svv4131v</v>
      </c>
      <c r="B4133" t="s">
        <v>456</v>
      </c>
      <c r="C4133" t="s">
        <v>447</v>
      </c>
      <c r="D4133" s="2" t="s">
        <v>448</v>
      </c>
      <c r="E4133" t="s">
        <v>355</v>
      </c>
      <c r="F4133" s="11">
        <v>43237</v>
      </c>
      <c r="G4133" s="2">
        <f>VLOOKUP(E4133,Tabela11[#All],5,FALSE)</f>
        <v>1300</v>
      </c>
      <c r="H4133" s="2">
        <f>VLOOKUP(E4133,Produtos!$A:$E,4,FALSE)</f>
        <v>1000</v>
      </c>
      <c r="I4133" s="2">
        <v>5</v>
      </c>
    </row>
    <row r="4134" spans="1:9" x14ac:dyDescent="0.25">
      <c r="A4134" s="2" t="str">
        <f>CONCATENATE(Códigos!S4133,Códigos!T4133,Códigos!U4133)</f>
        <v>svv4132v</v>
      </c>
      <c r="B4134" t="s">
        <v>452</v>
      </c>
      <c r="C4134" t="s">
        <v>447</v>
      </c>
      <c r="D4134" s="2" t="s">
        <v>448</v>
      </c>
      <c r="E4134" t="s">
        <v>454</v>
      </c>
      <c r="F4134" s="11">
        <v>43238</v>
      </c>
      <c r="G4134" s="14">
        <f t="array" ref="G4134">VLOOKUP(E4134,Produtos!$A:$E,5,FALSE)</f>
        <v>45</v>
      </c>
      <c r="H4134" s="14">
        <f>VLOOKUP(E4134,Produtos!$A:$E,4,FALSE)</f>
        <v>20</v>
      </c>
      <c r="I4134" s="2">
        <v>2</v>
      </c>
    </row>
    <row r="4135" spans="1:9" x14ac:dyDescent="0.25">
      <c r="A4135" s="2" t="str">
        <f>CONCATENATE(Códigos!S4134,Códigos!T4134,Códigos!U4134)</f>
        <v>svv4133v</v>
      </c>
      <c r="B4135" t="s">
        <v>452</v>
      </c>
      <c r="C4135" t="s">
        <v>447</v>
      </c>
      <c r="D4135" s="2" t="s">
        <v>448</v>
      </c>
      <c r="E4135" t="s">
        <v>454</v>
      </c>
      <c r="F4135" s="11">
        <v>44202</v>
      </c>
      <c r="G4135" s="14">
        <f t="array" ref="G4135">VLOOKUP(E4135,Produtos!$A:$E,5,FALSE)</f>
        <v>45</v>
      </c>
      <c r="H4135" s="14">
        <f>VLOOKUP(E4135,Produtos!$A:$E,4,FALSE)</f>
        <v>20</v>
      </c>
      <c r="I4135" s="2">
        <v>2</v>
      </c>
    </row>
    <row r="4136" spans="1:9" x14ac:dyDescent="0.25">
      <c r="A4136" s="2" t="str">
        <f>CONCATENATE(Códigos!S4135,Códigos!T4135,Códigos!U4135)</f>
        <v>svv4134v</v>
      </c>
      <c r="B4136" t="s">
        <v>452</v>
      </c>
      <c r="C4136" t="s">
        <v>447</v>
      </c>
      <c r="D4136" s="2" t="s">
        <v>448</v>
      </c>
      <c r="E4136" t="s">
        <v>454</v>
      </c>
      <c r="F4136" s="11">
        <v>44203</v>
      </c>
      <c r="G4136" s="14">
        <f t="array" ref="G4136">VLOOKUP(E4136,Produtos!$A:$E,5,FALSE)</f>
        <v>45</v>
      </c>
      <c r="H4136" s="14">
        <f>VLOOKUP(E4136,Produtos!$A:$E,4,FALSE)</f>
        <v>20</v>
      </c>
      <c r="I4136" s="2">
        <v>2</v>
      </c>
    </row>
    <row r="4137" spans="1:9" x14ac:dyDescent="0.25">
      <c r="A4137" s="2" t="str">
        <f>CONCATENATE(Códigos!S4136,Códigos!T4136,Códigos!U4136)</f>
        <v>svv4135v</v>
      </c>
      <c r="B4137" t="s">
        <v>452</v>
      </c>
      <c r="C4137" t="s">
        <v>447</v>
      </c>
      <c r="D4137" s="2" t="s">
        <v>448</v>
      </c>
      <c r="E4137" t="s">
        <v>454</v>
      </c>
      <c r="F4137" s="11">
        <v>44204</v>
      </c>
      <c r="G4137" s="14">
        <f t="array" ref="G4137">VLOOKUP(E4137,Produtos!$A:$E,5,FALSE)</f>
        <v>45</v>
      </c>
      <c r="H4137" s="14">
        <f>VLOOKUP(E4137,Produtos!$A:$E,4,FALSE)</f>
        <v>20</v>
      </c>
      <c r="I4137" s="2">
        <v>2</v>
      </c>
    </row>
    <row r="4138" spans="1:9" x14ac:dyDescent="0.25">
      <c r="A4138" s="2" t="str">
        <f>CONCATENATE(Códigos!S4137,Códigos!T4137,Códigos!U4137)</f>
        <v>svv4136v</v>
      </c>
      <c r="B4138" t="s">
        <v>452</v>
      </c>
      <c r="C4138" t="s">
        <v>447</v>
      </c>
      <c r="D4138" s="2" t="s">
        <v>448</v>
      </c>
      <c r="E4138" t="s">
        <v>454</v>
      </c>
      <c r="F4138" s="11">
        <v>44205</v>
      </c>
      <c r="G4138" s="14">
        <f t="array" ref="G4138">VLOOKUP(E4138,Produtos!$A:$E,5,FALSE)</f>
        <v>45</v>
      </c>
      <c r="H4138" s="14">
        <f>VLOOKUP(E4138,Produtos!$A:$E,4,FALSE)</f>
        <v>20</v>
      </c>
      <c r="I4138" s="2">
        <v>2</v>
      </c>
    </row>
    <row r="4139" spans="1:9" x14ac:dyDescent="0.25">
      <c r="A4139" s="2" t="str">
        <f>CONCATENATE(Códigos!S4138,Códigos!T4138,Códigos!U4138)</f>
        <v>svv4137v</v>
      </c>
      <c r="B4139" t="s">
        <v>452</v>
      </c>
      <c r="C4139" t="s">
        <v>447</v>
      </c>
      <c r="D4139" s="2" t="s">
        <v>448</v>
      </c>
      <c r="E4139" t="s">
        <v>454</v>
      </c>
      <c r="F4139" s="11">
        <v>44206</v>
      </c>
      <c r="G4139" s="14">
        <f t="array" ref="G4139">VLOOKUP(E4139,Produtos!$A:$E,5,FALSE)</f>
        <v>45</v>
      </c>
      <c r="H4139" s="14">
        <f>VLOOKUP(E4139,Produtos!$A:$E,4,FALSE)</f>
        <v>20</v>
      </c>
      <c r="I4139" s="2">
        <v>2</v>
      </c>
    </row>
    <row r="4140" spans="1:9" x14ac:dyDescent="0.25">
      <c r="A4140" s="2" t="str">
        <f>CONCATENATE(Códigos!S4139,Códigos!T4139,Códigos!U4139)</f>
        <v>svv4138v</v>
      </c>
      <c r="B4140" t="s">
        <v>452</v>
      </c>
      <c r="C4140" t="s">
        <v>447</v>
      </c>
      <c r="D4140" s="2" t="s">
        <v>448</v>
      </c>
      <c r="E4140" t="s">
        <v>454</v>
      </c>
      <c r="F4140" s="11">
        <v>44207</v>
      </c>
      <c r="G4140" s="14">
        <f t="array" ref="G4140">VLOOKUP(E4140,Produtos!$A:$E,5,FALSE)</f>
        <v>45</v>
      </c>
      <c r="H4140" s="14">
        <f>VLOOKUP(E4140,Produtos!$A:$E,4,FALSE)</f>
        <v>20</v>
      </c>
      <c r="I4140" s="2">
        <v>2</v>
      </c>
    </row>
    <row r="4141" spans="1:9" x14ac:dyDescent="0.25">
      <c r="A4141" s="2" t="str">
        <f>CONCATENATE(Códigos!S4140,Códigos!T4140,Códigos!U4140)</f>
        <v>svv4139v</v>
      </c>
      <c r="B4141" t="s">
        <v>452</v>
      </c>
      <c r="C4141" t="s">
        <v>447</v>
      </c>
      <c r="D4141" s="2" t="s">
        <v>448</v>
      </c>
      <c r="E4141" t="s">
        <v>454</v>
      </c>
      <c r="F4141" s="11">
        <v>44208</v>
      </c>
      <c r="G4141" s="14">
        <f t="array" ref="G4141">VLOOKUP(E4141,Produtos!$A:$E,5,FALSE)</f>
        <v>45</v>
      </c>
      <c r="H4141" s="14">
        <f>VLOOKUP(E4141,Produtos!$A:$E,4,FALSE)</f>
        <v>20</v>
      </c>
      <c r="I4141" s="2">
        <v>2</v>
      </c>
    </row>
    <row r="4142" spans="1:9" x14ac:dyDescent="0.25">
      <c r="A4142" s="2" t="str">
        <f>CONCATENATE(Códigos!S4141,Códigos!T4141,Códigos!U4141)</f>
        <v>svv4140v</v>
      </c>
      <c r="B4142" t="s">
        <v>452</v>
      </c>
      <c r="C4142" t="s">
        <v>447</v>
      </c>
      <c r="D4142" s="2" t="s">
        <v>448</v>
      </c>
      <c r="E4142" t="s">
        <v>454</v>
      </c>
      <c r="F4142" s="11">
        <v>44209</v>
      </c>
      <c r="G4142" s="14">
        <f t="array" ref="G4142">VLOOKUP(E4142,Produtos!$A:$E,5,FALSE)</f>
        <v>45</v>
      </c>
      <c r="H4142" s="14">
        <f>VLOOKUP(E4142,Produtos!$A:$E,4,FALSE)</f>
        <v>20</v>
      </c>
      <c r="I4142" s="2">
        <v>2</v>
      </c>
    </row>
    <row r="4143" spans="1:9" x14ac:dyDescent="0.25">
      <c r="A4143" s="2" t="str">
        <f>CONCATENATE(Códigos!S4142,Códigos!T4142,Códigos!U4142)</f>
        <v>svv4141v</v>
      </c>
      <c r="B4143" t="s">
        <v>452</v>
      </c>
      <c r="C4143" t="s">
        <v>447</v>
      </c>
      <c r="D4143" s="2" t="s">
        <v>448</v>
      </c>
      <c r="E4143" t="s">
        <v>454</v>
      </c>
      <c r="F4143" s="11">
        <v>44210</v>
      </c>
      <c r="G4143" s="14">
        <f t="array" ref="G4143">VLOOKUP(E4143,Produtos!$A:$E,5,FALSE)</f>
        <v>45</v>
      </c>
      <c r="H4143" s="14">
        <f>VLOOKUP(E4143,Produtos!$A:$E,4,FALSE)</f>
        <v>20</v>
      </c>
      <c r="I4143" s="2">
        <v>2</v>
      </c>
    </row>
    <row r="4144" spans="1:9" x14ac:dyDescent="0.25">
      <c r="A4144" s="2" t="str">
        <f>CONCATENATE(Códigos!S4143,Códigos!T4143,Códigos!U4143)</f>
        <v>svv4142v</v>
      </c>
      <c r="B4144" t="s">
        <v>452</v>
      </c>
      <c r="C4144" t="s">
        <v>447</v>
      </c>
      <c r="D4144" s="2" t="s">
        <v>448</v>
      </c>
      <c r="E4144" t="s">
        <v>454</v>
      </c>
      <c r="F4144" s="11">
        <v>44211</v>
      </c>
      <c r="G4144" s="14">
        <f t="array" ref="G4144">VLOOKUP(E4144,Produtos!$A:$E,5,FALSE)</f>
        <v>45</v>
      </c>
      <c r="H4144" s="14">
        <f>VLOOKUP(E4144,Produtos!$A:$E,4,FALSE)</f>
        <v>20</v>
      </c>
      <c r="I4144" s="2">
        <v>2</v>
      </c>
    </row>
    <row r="4145" spans="1:9" x14ac:dyDescent="0.25">
      <c r="A4145" s="2" t="str">
        <f>CONCATENATE(Códigos!S4144,Códigos!T4144,Códigos!U4144)</f>
        <v>svv4143v</v>
      </c>
      <c r="B4145" t="s">
        <v>452</v>
      </c>
      <c r="C4145" t="s">
        <v>447</v>
      </c>
      <c r="D4145" s="2" t="s">
        <v>448</v>
      </c>
      <c r="E4145" t="s">
        <v>454</v>
      </c>
      <c r="F4145" s="11">
        <v>44212</v>
      </c>
      <c r="G4145" s="14">
        <f t="array" ref="G4145">VLOOKUP(E4145,Produtos!$A:$E,5,FALSE)</f>
        <v>45</v>
      </c>
      <c r="H4145" s="14">
        <f>VLOOKUP(E4145,Produtos!$A:$E,4,FALSE)</f>
        <v>20</v>
      </c>
      <c r="I4145" s="2">
        <v>2</v>
      </c>
    </row>
    <row r="4146" spans="1:9" x14ac:dyDescent="0.25">
      <c r="A4146" s="2" t="str">
        <f>CONCATENATE(Códigos!S4145,Códigos!T4145,Códigos!U4145)</f>
        <v>svv4144v</v>
      </c>
      <c r="B4146" t="s">
        <v>452</v>
      </c>
      <c r="C4146" t="s">
        <v>447</v>
      </c>
      <c r="D4146" s="2" t="s">
        <v>448</v>
      </c>
      <c r="E4146" t="s">
        <v>455</v>
      </c>
      <c r="F4146" s="11">
        <v>44213</v>
      </c>
      <c r="G4146" s="14">
        <f t="array" ref="G4146">VLOOKUP(E4146,Produtos!$A:$E,5,FALSE)</f>
        <v>90</v>
      </c>
      <c r="H4146" s="14">
        <f>VLOOKUP(E4146,Produtos!$A:$E,4,FALSE)</f>
        <v>50</v>
      </c>
      <c r="I4146" s="2">
        <v>2</v>
      </c>
    </row>
    <row r="4147" spans="1:9" x14ac:dyDescent="0.25">
      <c r="A4147" s="2" t="str">
        <f>CONCATENATE(Códigos!S4146,Códigos!T4146,Códigos!U4146)</f>
        <v>svv4145v</v>
      </c>
      <c r="B4147" t="s">
        <v>452</v>
      </c>
      <c r="C4147" t="s">
        <v>447</v>
      </c>
      <c r="D4147" s="2" t="s">
        <v>448</v>
      </c>
      <c r="E4147" t="s">
        <v>455</v>
      </c>
      <c r="F4147" s="11">
        <v>44214</v>
      </c>
      <c r="G4147" s="14">
        <f t="array" ref="G4147">VLOOKUP(E4147,Produtos!$A:$E,5,FALSE)</f>
        <v>90</v>
      </c>
      <c r="H4147" s="14">
        <f>VLOOKUP(E4147,Produtos!$A:$E,4,FALSE)</f>
        <v>50</v>
      </c>
      <c r="I4147" s="2">
        <v>2</v>
      </c>
    </row>
    <row r="4148" spans="1:9" x14ac:dyDescent="0.25">
      <c r="A4148" s="2" t="str">
        <f>CONCATENATE(Códigos!S4147,Códigos!T4147,Códigos!U4147)</f>
        <v>svv4146v</v>
      </c>
      <c r="B4148" t="s">
        <v>452</v>
      </c>
      <c r="C4148" t="s">
        <v>447</v>
      </c>
      <c r="D4148" s="2" t="s">
        <v>448</v>
      </c>
      <c r="E4148" t="s">
        <v>455</v>
      </c>
      <c r="F4148" s="11">
        <v>44215</v>
      </c>
      <c r="G4148" s="14">
        <f t="array" ref="G4148">VLOOKUP(E4148,Produtos!$A:$E,5,FALSE)</f>
        <v>90</v>
      </c>
      <c r="H4148" s="14">
        <f>VLOOKUP(E4148,Produtos!$A:$E,4,FALSE)</f>
        <v>50</v>
      </c>
      <c r="I4148" s="2">
        <v>2</v>
      </c>
    </row>
    <row r="4149" spans="1:9" x14ac:dyDescent="0.25">
      <c r="A4149" s="2" t="str">
        <f>CONCATENATE(Códigos!S4148,Códigos!T4148,Códigos!U4148)</f>
        <v>svv4147v</v>
      </c>
      <c r="B4149" t="s">
        <v>452</v>
      </c>
      <c r="C4149" t="s">
        <v>447</v>
      </c>
      <c r="D4149" s="2" t="s">
        <v>448</v>
      </c>
      <c r="E4149" t="s">
        <v>455</v>
      </c>
      <c r="F4149" s="11">
        <v>44216</v>
      </c>
      <c r="G4149" s="14">
        <f t="array" ref="G4149">VLOOKUP(E4149,Produtos!$A:$E,5,FALSE)</f>
        <v>90</v>
      </c>
      <c r="H4149" s="14">
        <f>VLOOKUP(E4149,Produtos!$A:$E,4,FALSE)</f>
        <v>50</v>
      </c>
      <c r="I4149" s="2">
        <v>2</v>
      </c>
    </row>
    <row r="4150" spans="1:9" x14ac:dyDescent="0.25">
      <c r="A4150" s="2" t="str">
        <f>CONCATENATE(Códigos!S4149,Códigos!T4149,Códigos!U4149)</f>
        <v>svv4148v</v>
      </c>
      <c r="B4150" t="s">
        <v>452</v>
      </c>
      <c r="C4150" t="s">
        <v>447</v>
      </c>
      <c r="D4150" s="2" t="s">
        <v>448</v>
      </c>
      <c r="E4150" t="s">
        <v>455</v>
      </c>
      <c r="F4150" s="11">
        <v>44217</v>
      </c>
      <c r="G4150" s="14">
        <f t="array" ref="G4150">VLOOKUP(E4150,Produtos!$A:$E,5,FALSE)</f>
        <v>90</v>
      </c>
      <c r="H4150" s="14">
        <f>VLOOKUP(E4150,Produtos!$A:$E,4,FALSE)</f>
        <v>50</v>
      </c>
      <c r="I4150" s="2">
        <v>2</v>
      </c>
    </row>
    <row r="4151" spans="1:9" x14ac:dyDescent="0.25">
      <c r="A4151" s="2" t="str">
        <f>CONCATENATE(Códigos!S4150,Códigos!T4150,Códigos!U4150)</f>
        <v>svv4149v</v>
      </c>
      <c r="B4151" t="s">
        <v>452</v>
      </c>
      <c r="C4151" t="s">
        <v>447</v>
      </c>
      <c r="D4151" s="2" t="s">
        <v>448</v>
      </c>
      <c r="E4151" t="s">
        <v>455</v>
      </c>
      <c r="F4151" s="11">
        <v>44218</v>
      </c>
      <c r="G4151" s="14">
        <f t="array" ref="G4151">VLOOKUP(E4151,Produtos!$A:$E,5,FALSE)</f>
        <v>90</v>
      </c>
      <c r="H4151" s="14">
        <f>VLOOKUP(E4151,Produtos!$A:$E,4,FALSE)</f>
        <v>50</v>
      </c>
      <c r="I4151" s="2">
        <v>2</v>
      </c>
    </row>
    <row r="4152" spans="1:9" x14ac:dyDescent="0.25">
      <c r="A4152" s="2" t="str">
        <f>CONCATENATE(Códigos!S4151,Códigos!T4151,Códigos!U4151)</f>
        <v>svv4150v</v>
      </c>
      <c r="B4152" t="s">
        <v>452</v>
      </c>
      <c r="C4152" t="s">
        <v>447</v>
      </c>
      <c r="D4152" s="2" t="s">
        <v>448</v>
      </c>
      <c r="E4152" t="s">
        <v>455</v>
      </c>
      <c r="F4152" s="11">
        <v>44219</v>
      </c>
      <c r="G4152" s="14">
        <f t="array" ref="G4152">VLOOKUP(E4152,Produtos!$A:$E,5,FALSE)</f>
        <v>90</v>
      </c>
      <c r="H4152" s="14">
        <f>VLOOKUP(E4152,Produtos!$A:$E,4,FALSE)</f>
        <v>50</v>
      </c>
      <c r="I4152" s="2">
        <v>2</v>
      </c>
    </row>
    <row r="4153" spans="1:9" x14ac:dyDescent="0.25">
      <c r="A4153" s="2" t="str">
        <f>CONCATENATE(Códigos!S4152,Códigos!T4152,Códigos!U4152)</f>
        <v>svv4151v</v>
      </c>
      <c r="B4153" t="s">
        <v>452</v>
      </c>
      <c r="C4153" t="s">
        <v>447</v>
      </c>
      <c r="D4153" s="2" t="s">
        <v>448</v>
      </c>
      <c r="E4153" t="s">
        <v>455</v>
      </c>
      <c r="F4153" s="11">
        <v>44220</v>
      </c>
      <c r="G4153" s="14">
        <f t="array" ref="G4153">VLOOKUP(E4153,Produtos!$A:$E,5,FALSE)</f>
        <v>90</v>
      </c>
      <c r="H4153" s="14">
        <f>VLOOKUP(E4153,Produtos!$A:$E,4,FALSE)</f>
        <v>50</v>
      </c>
      <c r="I4153" s="2">
        <v>2</v>
      </c>
    </row>
    <row r="4154" spans="1:9" x14ac:dyDescent="0.25">
      <c r="A4154" s="2" t="str">
        <f>CONCATENATE(Códigos!S4153,Códigos!T4153,Códigos!U4153)</f>
        <v>svv4152v</v>
      </c>
      <c r="B4154" t="s">
        <v>452</v>
      </c>
      <c r="C4154" t="s">
        <v>447</v>
      </c>
      <c r="D4154" s="2" t="s">
        <v>448</v>
      </c>
      <c r="E4154" t="s">
        <v>455</v>
      </c>
      <c r="F4154" s="11">
        <v>44221</v>
      </c>
      <c r="G4154" s="14">
        <f t="array" ref="G4154">VLOOKUP(E4154,Produtos!$A:$E,5,FALSE)</f>
        <v>90</v>
      </c>
      <c r="H4154" s="14">
        <f>VLOOKUP(E4154,Produtos!$A:$E,4,FALSE)</f>
        <v>50</v>
      </c>
      <c r="I4154" s="2">
        <v>2</v>
      </c>
    </row>
    <row r="4155" spans="1:9" x14ac:dyDescent="0.25">
      <c r="A4155" s="2" t="str">
        <f>CONCATENATE(Códigos!S4154,Códigos!T4154,Códigos!U4154)</f>
        <v>svv4153v</v>
      </c>
      <c r="B4155" t="s">
        <v>452</v>
      </c>
      <c r="C4155" t="s">
        <v>447</v>
      </c>
      <c r="D4155" s="2" t="s">
        <v>448</v>
      </c>
      <c r="E4155" t="s">
        <v>455</v>
      </c>
      <c r="F4155" s="11">
        <v>44222</v>
      </c>
      <c r="G4155" s="14">
        <f t="array" ref="G4155">VLOOKUP(E4155,Produtos!$A:$E,5,FALSE)</f>
        <v>90</v>
      </c>
      <c r="H4155" s="14">
        <f>VLOOKUP(E4155,Produtos!$A:$E,4,FALSE)</f>
        <v>50</v>
      </c>
      <c r="I4155" s="2">
        <v>2</v>
      </c>
    </row>
    <row r="4156" spans="1:9" x14ac:dyDescent="0.25">
      <c r="A4156" s="2" t="str">
        <f>CONCATENATE(Códigos!S4155,Códigos!T4155,Códigos!U4155)</f>
        <v>svv4154v</v>
      </c>
      <c r="B4156" t="s">
        <v>452</v>
      </c>
      <c r="C4156" t="s">
        <v>447</v>
      </c>
      <c r="D4156" s="2" t="s">
        <v>448</v>
      </c>
      <c r="E4156" t="s">
        <v>455</v>
      </c>
      <c r="F4156" s="11">
        <v>44223</v>
      </c>
      <c r="G4156" s="14">
        <f t="array" ref="G4156">VLOOKUP(E4156,Produtos!$A:$E,5,FALSE)</f>
        <v>90</v>
      </c>
      <c r="H4156" s="14">
        <f>VLOOKUP(E4156,Produtos!$A:$E,4,FALSE)</f>
        <v>50</v>
      </c>
      <c r="I4156" s="2">
        <v>2</v>
      </c>
    </row>
    <row r="4157" spans="1:9" x14ac:dyDescent="0.25">
      <c r="A4157" s="2" t="str">
        <f>CONCATENATE(Códigos!S4156,Códigos!T4156,Códigos!U4156)</f>
        <v>svv4155v</v>
      </c>
      <c r="B4157" t="s">
        <v>452</v>
      </c>
      <c r="C4157" t="s">
        <v>447</v>
      </c>
      <c r="D4157" s="2" t="s">
        <v>448</v>
      </c>
      <c r="E4157" t="s">
        <v>455</v>
      </c>
      <c r="F4157" s="11">
        <v>44224</v>
      </c>
      <c r="G4157" s="14">
        <f t="array" ref="G4157">VLOOKUP(E4157,Produtos!$A:$E,5,FALSE)</f>
        <v>90</v>
      </c>
      <c r="H4157" s="14">
        <f>VLOOKUP(E4157,Produtos!$A:$E,4,FALSE)</f>
        <v>50</v>
      </c>
      <c r="I4157" s="2">
        <v>2</v>
      </c>
    </row>
    <row r="4158" spans="1:9" x14ac:dyDescent="0.25">
      <c r="A4158" s="2" t="str">
        <f>CONCATENATE(Códigos!S4157,Códigos!T4157,Códigos!U4157)</f>
        <v>svv4156v</v>
      </c>
      <c r="B4158" t="s">
        <v>452</v>
      </c>
      <c r="C4158" t="s">
        <v>447</v>
      </c>
      <c r="D4158" s="2" t="s">
        <v>448</v>
      </c>
      <c r="E4158" t="s">
        <v>455</v>
      </c>
      <c r="F4158" s="11">
        <v>44225</v>
      </c>
      <c r="G4158" s="14">
        <f t="array" ref="G4158">VLOOKUP(E4158,Produtos!$A:$E,5,FALSE)</f>
        <v>90</v>
      </c>
      <c r="H4158" s="14">
        <f>VLOOKUP(E4158,Produtos!$A:$E,4,FALSE)</f>
        <v>50</v>
      </c>
      <c r="I4158" s="2">
        <v>2</v>
      </c>
    </row>
    <row r="4159" spans="1:9" x14ac:dyDescent="0.25">
      <c r="A4159" s="2" t="str">
        <f>CONCATENATE(Códigos!S4158,Códigos!T4158,Códigos!U4158)</f>
        <v>svv4157v</v>
      </c>
      <c r="B4159" t="s">
        <v>452</v>
      </c>
      <c r="C4159" t="s">
        <v>447</v>
      </c>
      <c r="D4159" s="2" t="s">
        <v>448</v>
      </c>
      <c r="E4159" t="s">
        <v>455</v>
      </c>
      <c r="F4159" s="11">
        <v>44226</v>
      </c>
      <c r="G4159" s="14">
        <f t="array" ref="G4159">VLOOKUP(E4159,Produtos!$A:$E,5,FALSE)</f>
        <v>90</v>
      </c>
      <c r="H4159" s="14">
        <f>VLOOKUP(E4159,Produtos!$A:$E,4,FALSE)</f>
        <v>50</v>
      </c>
      <c r="I4159" s="2">
        <v>2</v>
      </c>
    </row>
    <row r="4160" spans="1:9" x14ac:dyDescent="0.25">
      <c r="A4160" s="2" t="str">
        <f>CONCATENATE(Códigos!S4159,Códigos!T4159,Códigos!U4159)</f>
        <v>svv4158v</v>
      </c>
      <c r="B4160" t="s">
        <v>452</v>
      </c>
      <c r="C4160" t="s">
        <v>447</v>
      </c>
      <c r="D4160" s="2" t="s">
        <v>448</v>
      </c>
      <c r="E4160" t="s">
        <v>455</v>
      </c>
      <c r="F4160" s="11">
        <v>44227</v>
      </c>
      <c r="G4160" s="14">
        <f t="array" ref="G4160">VLOOKUP(E4160,Produtos!$A:$E,5,FALSE)</f>
        <v>90</v>
      </c>
      <c r="H4160" s="14">
        <f>VLOOKUP(E4160,Produtos!$A:$E,4,FALSE)</f>
        <v>50</v>
      </c>
      <c r="I4160" s="2">
        <v>2</v>
      </c>
    </row>
    <row r="4161" spans="1:9" x14ac:dyDescent="0.25">
      <c r="A4161" s="2" t="str">
        <f>CONCATENATE(Códigos!S4160,Códigos!T4160,Códigos!U4160)</f>
        <v>svv4159v</v>
      </c>
      <c r="B4161" t="s">
        <v>452</v>
      </c>
      <c r="C4161" t="s">
        <v>447</v>
      </c>
      <c r="D4161" s="2" t="s">
        <v>448</v>
      </c>
      <c r="E4161" t="s">
        <v>455</v>
      </c>
      <c r="F4161" s="11">
        <v>44228</v>
      </c>
      <c r="G4161" s="14">
        <f t="array" ref="G4161">VLOOKUP(E4161,Produtos!$A:$E,5,FALSE)</f>
        <v>90</v>
      </c>
      <c r="H4161" s="14">
        <f>VLOOKUP(E4161,Produtos!$A:$E,4,FALSE)</f>
        <v>50</v>
      </c>
      <c r="I4161" s="2">
        <v>2</v>
      </c>
    </row>
    <row r="4162" spans="1:9" x14ac:dyDescent="0.25">
      <c r="A4162" s="2" t="str">
        <f>CONCATENATE(Códigos!S4161,Códigos!T4161,Códigos!U4161)</f>
        <v>svv4160v</v>
      </c>
      <c r="B4162" t="s">
        <v>452</v>
      </c>
      <c r="C4162" t="s">
        <v>447</v>
      </c>
      <c r="D4162" s="2" t="s">
        <v>448</v>
      </c>
      <c r="E4162" t="s">
        <v>455</v>
      </c>
      <c r="F4162" s="11">
        <v>44229</v>
      </c>
      <c r="G4162" s="14">
        <f t="array" ref="G4162">VLOOKUP(E4162,Produtos!$A:$E,5,FALSE)</f>
        <v>90</v>
      </c>
      <c r="H4162" s="14">
        <f>VLOOKUP(E4162,Produtos!$A:$E,4,FALSE)</f>
        <v>50</v>
      </c>
      <c r="I4162" s="2">
        <v>2</v>
      </c>
    </row>
    <row r="4163" spans="1:9" x14ac:dyDescent="0.25">
      <c r="A4163" s="2" t="str">
        <f>CONCATENATE(Códigos!S4162,Códigos!T4162,Códigos!U4162)</f>
        <v>svv4161v</v>
      </c>
      <c r="B4163" t="s">
        <v>452</v>
      </c>
      <c r="C4163" t="s">
        <v>447</v>
      </c>
      <c r="D4163" s="2" t="s">
        <v>448</v>
      </c>
      <c r="E4163" t="s">
        <v>455</v>
      </c>
      <c r="F4163" s="11">
        <v>44230</v>
      </c>
      <c r="G4163" s="14">
        <f t="array" ref="G4163">VLOOKUP(E4163,Produtos!$A:$E,5,FALSE)</f>
        <v>90</v>
      </c>
      <c r="H4163" s="14">
        <f>VLOOKUP(E4163,Produtos!$A:$E,4,FALSE)</f>
        <v>50</v>
      </c>
      <c r="I4163" s="2">
        <v>2</v>
      </c>
    </row>
    <row r="4164" spans="1:9" x14ac:dyDescent="0.25">
      <c r="A4164" s="2" t="str">
        <f>CONCATENATE(Códigos!S4163,Códigos!T4163,Códigos!U4163)</f>
        <v>svv4162v</v>
      </c>
      <c r="B4164" t="s">
        <v>452</v>
      </c>
      <c r="C4164" t="s">
        <v>447</v>
      </c>
      <c r="D4164" s="2" t="s">
        <v>448</v>
      </c>
      <c r="E4164" t="s">
        <v>455</v>
      </c>
      <c r="F4164" s="11">
        <v>44231</v>
      </c>
      <c r="G4164" s="14">
        <f t="array" ref="G4164">VLOOKUP(E4164,Produtos!$A:$E,5,FALSE)</f>
        <v>90</v>
      </c>
      <c r="H4164" s="14">
        <f>VLOOKUP(E4164,Produtos!$A:$E,4,FALSE)</f>
        <v>50</v>
      </c>
      <c r="I4164" s="2">
        <v>2</v>
      </c>
    </row>
    <row r="4165" spans="1:9" x14ac:dyDescent="0.25">
      <c r="A4165" s="2" t="str">
        <f>CONCATENATE(Códigos!S4164,Códigos!T4164,Códigos!U4164)</f>
        <v>svv4163v</v>
      </c>
      <c r="B4165" t="s">
        <v>452</v>
      </c>
      <c r="C4165" t="s">
        <v>447</v>
      </c>
      <c r="D4165" s="2" t="s">
        <v>448</v>
      </c>
      <c r="E4165" t="s">
        <v>455</v>
      </c>
      <c r="F4165" s="11">
        <v>44232</v>
      </c>
      <c r="G4165" s="14">
        <f t="array" ref="G4165">VLOOKUP(E4165,Produtos!$A:$E,5,FALSE)</f>
        <v>90</v>
      </c>
      <c r="H4165" s="14">
        <f>VLOOKUP(E4165,Produtos!$A:$E,4,FALSE)</f>
        <v>50</v>
      </c>
      <c r="I4165" s="2">
        <v>2</v>
      </c>
    </row>
    <row r="4166" spans="1:9" x14ac:dyDescent="0.25">
      <c r="A4166" s="2" t="str">
        <f>CONCATENATE(Códigos!S4165,Códigos!T4165,Códigos!U4165)</f>
        <v>svv4164v</v>
      </c>
      <c r="B4166" t="s">
        <v>452</v>
      </c>
      <c r="C4166" t="s">
        <v>447</v>
      </c>
      <c r="D4166" s="2" t="s">
        <v>448</v>
      </c>
      <c r="E4166" t="s">
        <v>455</v>
      </c>
      <c r="F4166" s="11">
        <v>44233</v>
      </c>
      <c r="G4166" s="14">
        <f t="array" ref="G4166">VLOOKUP(E4166,Produtos!$A:$E,5,FALSE)</f>
        <v>90</v>
      </c>
      <c r="H4166" s="14">
        <f>VLOOKUP(E4166,Produtos!$A:$E,4,FALSE)</f>
        <v>50</v>
      </c>
      <c r="I4166" s="2">
        <v>2</v>
      </c>
    </row>
    <row r="4167" spans="1:9" x14ac:dyDescent="0.25">
      <c r="A4167" s="2" t="str">
        <f>CONCATENATE(Códigos!S4166,Códigos!T4166,Códigos!U4166)</f>
        <v>svv4165v</v>
      </c>
      <c r="B4167" t="s">
        <v>452</v>
      </c>
      <c r="C4167" t="s">
        <v>447</v>
      </c>
      <c r="D4167" s="2" t="s">
        <v>448</v>
      </c>
      <c r="E4167" t="s">
        <v>455</v>
      </c>
      <c r="F4167" s="11">
        <v>44234</v>
      </c>
      <c r="G4167" s="14">
        <f t="array" ref="G4167">VLOOKUP(E4167,Produtos!$A:$E,5,FALSE)</f>
        <v>90</v>
      </c>
      <c r="H4167" s="14">
        <f>VLOOKUP(E4167,Produtos!$A:$E,4,FALSE)</f>
        <v>50</v>
      </c>
      <c r="I4167" s="2">
        <v>2</v>
      </c>
    </row>
    <row r="4168" spans="1:9" x14ac:dyDescent="0.25">
      <c r="A4168" s="2" t="str">
        <f>CONCATENATE(Códigos!S4167,Códigos!T4167,Códigos!U4167)</f>
        <v>svv4166v</v>
      </c>
      <c r="B4168" t="s">
        <v>452</v>
      </c>
      <c r="C4168" t="s">
        <v>447</v>
      </c>
      <c r="D4168" s="2" t="s">
        <v>448</v>
      </c>
      <c r="E4168" t="s">
        <v>455</v>
      </c>
      <c r="F4168" s="11">
        <v>44235</v>
      </c>
      <c r="G4168" s="14">
        <f t="array" ref="G4168">VLOOKUP(E4168,Produtos!$A:$E,5,FALSE)</f>
        <v>90</v>
      </c>
      <c r="H4168" s="14">
        <f>VLOOKUP(E4168,Produtos!$A:$E,4,FALSE)</f>
        <v>50</v>
      </c>
      <c r="I4168" s="2">
        <v>4</v>
      </c>
    </row>
    <row r="4169" spans="1:9" x14ac:dyDescent="0.25">
      <c r="A4169" s="2" t="str">
        <f>CONCATENATE(Códigos!S4168,Códigos!T4168,Códigos!U4168)</f>
        <v>svv4167v</v>
      </c>
      <c r="B4169" t="s">
        <v>452</v>
      </c>
      <c r="C4169" t="s">
        <v>447</v>
      </c>
      <c r="D4169" s="2" t="s">
        <v>448</v>
      </c>
      <c r="E4169" t="s">
        <v>455</v>
      </c>
      <c r="F4169" s="11">
        <v>44236</v>
      </c>
      <c r="G4169" s="14">
        <f t="array" ref="G4169">VLOOKUP(E4169,Produtos!$A:$E,5,FALSE)</f>
        <v>90</v>
      </c>
      <c r="H4169" s="14">
        <f>VLOOKUP(E4169,Produtos!$A:$E,4,FALSE)</f>
        <v>50</v>
      </c>
      <c r="I4169" s="2">
        <v>4</v>
      </c>
    </row>
    <row r="4170" spans="1:9" x14ac:dyDescent="0.25">
      <c r="A4170" s="2" t="str">
        <f>CONCATENATE(Códigos!S4169,Códigos!T4169,Códigos!U4169)</f>
        <v>svv4168v</v>
      </c>
      <c r="B4170" t="s">
        <v>452</v>
      </c>
      <c r="C4170" t="s">
        <v>447</v>
      </c>
      <c r="D4170" s="2" t="s">
        <v>448</v>
      </c>
      <c r="E4170" t="s">
        <v>455</v>
      </c>
      <c r="F4170" s="11">
        <v>44237</v>
      </c>
      <c r="G4170" s="14">
        <f t="array" ref="G4170">VLOOKUP(E4170,Produtos!$A:$E,5,FALSE)</f>
        <v>90</v>
      </c>
      <c r="H4170" s="14">
        <f>VLOOKUP(E4170,Produtos!$A:$E,4,FALSE)</f>
        <v>50</v>
      </c>
      <c r="I4170" s="2">
        <v>4</v>
      </c>
    </row>
    <row r="4171" spans="1:9" x14ac:dyDescent="0.25">
      <c r="A4171" s="2" t="str">
        <f>CONCATENATE(Códigos!S4170,Códigos!T4170,Códigos!U4170)</f>
        <v>svv4169v</v>
      </c>
      <c r="B4171" t="s">
        <v>452</v>
      </c>
      <c r="C4171" t="s">
        <v>447</v>
      </c>
      <c r="D4171" s="2" t="s">
        <v>448</v>
      </c>
      <c r="E4171" t="s">
        <v>455</v>
      </c>
      <c r="F4171" s="11">
        <v>44238</v>
      </c>
      <c r="G4171" s="14">
        <f t="array" ref="G4171">VLOOKUP(E4171,Produtos!$A:$E,5,FALSE)</f>
        <v>90</v>
      </c>
      <c r="H4171" s="14">
        <f>VLOOKUP(E4171,Produtos!$A:$E,4,FALSE)</f>
        <v>50</v>
      </c>
      <c r="I4171" s="2">
        <v>4</v>
      </c>
    </row>
    <row r="4172" spans="1:9" x14ac:dyDescent="0.25">
      <c r="A4172" s="2" t="str">
        <f>CONCATENATE(Códigos!S4171,Códigos!T4171,Códigos!U4171)</f>
        <v>svv4170v</v>
      </c>
      <c r="B4172" t="s">
        <v>452</v>
      </c>
      <c r="C4172" t="s">
        <v>447</v>
      </c>
      <c r="D4172" s="2" t="s">
        <v>448</v>
      </c>
      <c r="E4172" t="s">
        <v>455</v>
      </c>
      <c r="F4172" s="11">
        <v>44239</v>
      </c>
      <c r="G4172" s="14">
        <f t="array" ref="G4172">VLOOKUP(E4172,Produtos!$A:$E,5,FALSE)</f>
        <v>90</v>
      </c>
      <c r="H4172" s="14">
        <f>VLOOKUP(E4172,Produtos!$A:$E,4,FALSE)</f>
        <v>50</v>
      </c>
      <c r="I4172" s="2">
        <v>4</v>
      </c>
    </row>
    <row r="4173" spans="1:9" x14ac:dyDescent="0.25">
      <c r="A4173" s="2" t="str">
        <f>CONCATENATE(Códigos!S4172,Códigos!T4172,Códigos!U4172)</f>
        <v>svv4171v</v>
      </c>
      <c r="B4173" t="s">
        <v>452</v>
      </c>
      <c r="C4173" t="s">
        <v>447</v>
      </c>
      <c r="D4173" s="2" t="s">
        <v>448</v>
      </c>
      <c r="E4173" t="s">
        <v>455</v>
      </c>
      <c r="F4173" s="11">
        <v>44240</v>
      </c>
      <c r="G4173" s="14">
        <f t="array" ref="G4173">VLOOKUP(E4173,Produtos!$A:$E,5,FALSE)</f>
        <v>90</v>
      </c>
      <c r="H4173" s="14">
        <f>VLOOKUP(E4173,Produtos!$A:$E,4,FALSE)</f>
        <v>50</v>
      </c>
      <c r="I4173" s="2">
        <v>4</v>
      </c>
    </row>
    <row r="4174" spans="1:9" x14ac:dyDescent="0.25">
      <c r="A4174" s="2" t="str">
        <f>CONCATENATE(Códigos!S4173,Códigos!T4173,Códigos!U4173)</f>
        <v>svv4172v</v>
      </c>
      <c r="B4174" t="s">
        <v>452</v>
      </c>
      <c r="C4174" t="s">
        <v>447</v>
      </c>
      <c r="D4174" s="2" t="s">
        <v>448</v>
      </c>
      <c r="E4174" t="s">
        <v>455</v>
      </c>
      <c r="F4174" s="11">
        <v>44241</v>
      </c>
      <c r="G4174" s="14">
        <f t="array" ref="G4174">VLOOKUP(E4174,Produtos!$A:$E,5,FALSE)</f>
        <v>90</v>
      </c>
      <c r="H4174" s="14">
        <f>VLOOKUP(E4174,Produtos!$A:$E,4,FALSE)</f>
        <v>50</v>
      </c>
      <c r="I4174" s="2">
        <v>4</v>
      </c>
    </row>
    <row r="4175" spans="1:9" x14ac:dyDescent="0.25">
      <c r="A4175" s="2" t="str">
        <f>CONCATENATE(Códigos!S4174,Códigos!T4174,Códigos!U4174)</f>
        <v>svv4173v</v>
      </c>
      <c r="B4175" t="s">
        <v>452</v>
      </c>
      <c r="C4175" t="s">
        <v>447</v>
      </c>
      <c r="D4175" s="2" t="s">
        <v>448</v>
      </c>
      <c r="E4175" t="s">
        <v>455</v>
      </c>
      <c r="F4175" s="11">
        <v>44242</v>
      </c>
      <c r="G4175" s="14">
        <f t="array" ref="G4175">VLOOKUP(E4175,Produtos!$A:$E,5,FALSE)</f>
        <v>90</v>
      </c>
      <c r="H4175" s="14">
        <f>VLOOKUP(E4175,Produtos!$A:$E,4,FALSE)</f>
        <v>50</v>
      </c>
      <c r="I4175" s="2">
        <v>4</v>
      </c>
    </row>
    <row r="4176" spans="1:9" x14ac:dyDescent="0.25">
      <c r="A4176" s="2" t="str">
        <f>CONCATENATE(Códigos!S4175,Códigos!T4175,Códigos!U4175)</f>
        <v>svv4174v</v>
      </c>
      <c r="B4176" t="s">
        <v>452</v>
      </c>
      <c r="C4176" t="s">
        <v>447</v>
      </c>
      <c r="D4176" s="2" t="s">
        <v>448</v>
      </c>
      <c r="E4176" t="s">
        <v>455</v>
      </c>
      <c r="F4176" s="11">
        <v>44243</v>
      </c>
      <c r="G4176" s="14">
        <f t="array" ref="G4176">VLOOKUP(E4176,Produtos!$A:$E,5,FALSE)</f>
        <v>90</v>
      </c>
      <c r="H4176" s="14">
        <f>VLOOKUP(E4176,Produtos!$A:$E,4,FALSE)</f>
        <v>50</v>
      </c>
      <c r="I4176" s="2">
        <v>4</v>
      </c>
    </row>
    <row r="4177" spans="1:9" x14ac:dyDescent="0.25">
      <c r="A4177" s="2" t="str">
        <f>CONCATENATE(Códigos!S4176,Códigos!T4176,Códigos!U4176)</f>
        <v>svv4175v</v>
      </c>
      <c r="B4177" t="s">
        <v>452</v>
      </c>
      <c r="C4177" t="s">
        <v>447</v>
      </c>
      <c r="D4177" s="2" t="s">
        <v>448</v>
      </c>
      <c r="E4177" t="s">
        <v>455</v>
      </c>
      <c r="F4177" s="11">
        <v>44244</v>
      </c>
      <c r="G4177" s="14">
        <f t="array" ref="G4177">VLOOKUP(E4177,Produtos!$A:$E,5,FALSE)</f>
        <v>90</v>
      </c>
      <c r="H4177" s="14">
        <f>VLOOKUP(E4177,Produtos!$A:$E,4,FALSE)</f>
        <v>50</v>
      </c>
      <c r="I4177" s="2">
        <v>4</v>
      </c>
    </row>
    <row r="4178" spans="1:9" x14ac:dyDescent="0.25">
      <c r="A4178" s="2" t="str">
        <f>CONCATENATE(Códigos!S4177,Códigos!T4177,Códigos!U4177)</f>
        <v>svv4176v</v>
      </c>
      <c r="B4178" t="s">
        <v>452</v>
      </c>
      <c r="C4178" t="s">
        <v>447</v>
      </c>
      <c r="D4178" s="2" t="s">
        <v>448</v>
      </c>
      <c r="E4178" t="s">
        <v>455</v>
      </c>
      <c r="F4178" s="11">
        <v>44245</v>
      </c>
      <c r="G4178" s="14">
        <f t="array" ref="G4178">VLOOKUP(E4178,Produtos!$A:$E,5,FALSE)</f>
        <v>90</v>
      </c>
      <c r="H4178" s="14">
        <f>VLOOKUP(E4178,Produtos!$A:$E,4,FALSE)</f>
        <v>50</v>
      </c>
      <c r="I4178" s="2">
        <v>4</v>
      </c>
    </row>
    <row r="4179" spans="1:9" x14ac:dyDescent="0.25">
      <c r="A4179" s="2" t="str">
        <f>CONCATENATE(Códigos!S4178,Códigos!T4178,Códigos!U4178)</f>
        <v>svv4177v</v>
      </c>
      <c r="B4179" t="s">
        <v>452</v>
      </c>
      <c r="C4179" t="s">
        <v>447</v>
      </c>
      <c r="D4179" s="2" t="s">
        <v>448</v>
      </c>
      <c r="E4179" t="s">
        <v>455</v>
      </c>
      <c r="F4179" s="11">
        <v>44246</v>
      </c>
      <c r="G4179" s="14">
        <f t="array" ref="G4179">VLOOKUP(E4179,Produtos!$A:$E,5,FALSE)</f>
        <v>90</v>
      </c>
      <c r="H4179" s="14">
        <f>VLOOKUP(E4179,Produtos!$A:$E,4,FALSE)</f>
        <v>50</v>
      </c>
      <c r="I4179" s="2">
        <v>4</v>
      </c>
    </row>
    <row r="4180" spans="1:9" x14ac:dyDescent="0.25">
      <c r="A4180" s="2" t="str">
        <f>CONCATENATE(Códigos!S4179,Códigos!T4179,Códigos!U4179)</f>
        <v>svv4178v</v>
      </c>
      <c r="B4180" t="s">
        <v>452</v>
      </c>
      <c r="C4180" t="s">
        <v>447</v>
      </c>
      <c r="D4180" s="2" t="s">
        <v>448</v>
      </c>
      <c r="E4180" t="s">
        <v>455</v>
      </c>
      <c r="F4180" s="11">
        <v>44247</v>
      </c>
      <c r="G4180" s="14">
        <f t="array" ref="G4180">VLOOKUP(E4180,Produtos!$A:$E,5,FALSE)</f>
        <v>90</v>
      </c>
      <c r="H4180" s="14">
        <f>VLOOKUP(E4180,Produtos!$A:$E,4,FALSE)</f>
        <v>50</v>
      </c>
      <c r="I4180" s="2">
        <v>4</v>
      </c>
    </row>
    <row r="4181" spans="1:9" x14ac:dyDescent="0.25">
      <c r="A4181" s="2" t="str">
        <f>CONCATENATE(Códigos!S4180,Códigos!T4180,Códigos!U4180)</f>
        <v>svv4179v</v>
      </c>
      <c r="B4181" t="s">
        <v>452</v>
      </c>
      <c r="C4181" t="s">
        <v>447</v>
      </c>
      <c r="D4181" s="2" t="s">
        <v>448</v>
      </c>
      <c r="E4181" t="s">
        <v>455</v>
      </c>
      <c r="F4181" s="11">
        <v>44248</v>
      </c>
      <c r="G4181" s="14">
        <f t="array" ref="G4181">VLOOKUP(E4181,Produtos!$A:$E,5,FALSE)</f>
        <v>90</v>
      </c>
      <c r="H4181" s="14">
        <f>VLOOKUP(E4181,Produtos!$A:$E,4,FALSE)</f>
        <v>50</v>
      </c>
      <c r="I4181" s="2">
        <v>4</v>
      </c>
    </row>
    <row r="4182" spans="1:9" x14ac:dyDescent="0.25">
      <c r="A4182" s="2" t="str">
        <f>CONCATENATE(Códigos!S4181,Códigos!T4181,Códigos!U4181)</f>
        <v>svv4180v</v>
      </c>
      <c r="B4182" t="s">
        <v>451</v>
      </c>
      <c r="C4182" t="s">
        <v>447</v>
      </c>
      <c r="D4182" s="2" t="s">
        <v>448</v>
      </c>
      <c r="E4182" t="s">
        <v>455</v>
      </c>
      <c r="F4182" s="11">
        <v>44249</v>
      </c>
      <c r="G4182" s="14">
        <f t="array" ref="G4182">VLOOKUP(E4182,Produtos!$A:$E,5,FALSE)</f>
        <v>90</v>
      </c>
      <c r="H4182" s="14">
        <f>VLOOKUP(E4182,Produtos!$A:$E,4,FALSE)</f>
        <v>50</v>
      </c>
      <c r="I4182" s="2">
        <v>4</v>
      </c>
    </row>
    <row r="4183" spans="1:9" x14ac:dyDescent="0.25">
      <c r="A4183" s="2" t="str">
        <f>CONCATENATE(Códigos!S4182,Códigos!T4182,Códigos!U4182)</f>
        <v>svv4181v</v>
      </c>
      <c r="B4183" t="s">
        <v>451</v>
      </c>
      <c r="C4183" t="s">
        <v>447</v>
      </c>
      <c r="D4183" s="2" t="s">
        <v>448</v>
      </c>
      <c r="E4183" t="s">
        <v>455</v>
      </c>
      <c r="F4183" s="11">
        <v>44250</v>
      </c>
      <c r="G4183" s="14">
        <f t="array" ref="G4183">VLOOKUP(E4183,Produtos!$A:$E,5,FALSE)</f>
        <v>90</v>
      </c>
      <c r="H4183" s="14">
        <f>VLOOKUP(E4183,Produtos!$A:$E,4,FALSE)</f>
        <v>50</v>
      </c>
      <c r="I4183" s="2">
        <v>4</v>
      </c>
    </row>
    <row r="4184" spans="1:9" x14ac:dyDescent="0.25">
      <c r="A4184" s="2" t="str">
        <f>CONCATENATE(Códigos!S4183,Códigos!T4183,Códigos!U4183)</f>
        <v>svv4182v</v>
      </c>
      <c r="B4184" t="s">
        <v>451</v>
      </c>
      <c r="C4184" t="s">
        <v>447</v>
      </c>
      <c r="D4184" s="2" t="s">
        <v>448</v>
      </c>
      <c r="E4184" t="s">
        <v>455</v>
      </c>
      <c r="F4184" s="11">
        <v>44251</v>
      </c>
      <c r="G4184" s="14">
        <f t="array" ref="G4184">VLOOKUP(E4184,Produtos!$A:$E,5,FALSE)</f>
        <v>90</v>
      </c>
      <c r="H4184" s="14">
        <f>VLOOKUP(E4184,Produtos!$A:$E,4,FALSE)</f>
        <v>50</v>
      </c>
      <c r="I4184" s="2">
        <v>3</v>
      </c>
    </row>
    <row r="4185" spans="1:9" x14ac:dyDescent="0.25">
      <c r="A4185" s="2" t="str">
        <f>CONCATENATE(Códigos!S4184,Códigos!T4184,Códigos!U4184)</f>
        <v>svv4183v</v>
      </c>
      <c r="B4185" t="s">
        <v>451</v>
      </c>
      <c r="C4185" t="s">
        <v>447</v>
      </c>
      <c r="D4185" s="2" t="s">
        <v>448</v>
      </c>
      <c r="E4185" t="s">
        <v>455</v>
      </c>
      <c r="F4185" s="11">
        <v>44252</v>
      </c>
      <c r="G4185" s="14">
        <f t="array" ref="G4185">VLOOKUP(E4185,Produtos!$A:$E,5,FALSE)</f>
        <v>90</v>
      </c>
      <c r="H4185" s="14">
        <f>VLOOKUP(E4185,Produtos!$A:$E,4,FALSE)</f>
        <v>50</v>
      </c>
      <c r="I4185" s="2">
        <v>3</v>
      </c>
    </row>
    <row r="4186" spans="1:9" x14ac:dyDescent="0.25">
      <c r="A4186" s="2" t="str">
        <f>CONCATENATE(Códigos!S4185,Códigos!T4185,Códigos!U4185)</f>
        <v>svv4184v</v>
      </c>
      <c r="B4186" t="s">
        <v>451</v>
      </c>
      <c r="C4186" t="s">
        <v>447</v>
      </c>
      <c r="D4186" s="2" t="s">
        <v>448</v>
      </c>
      <c r="E4186" t="s">
        <v>455</v>
      </c>
      <c r="F4186" s="11">
        <v>44253</v>
      </c>
      <c r="G4186" s="14">
        <f t="array" ref="G4186">VLOOKUP(E4186,Produtos!$A:$E,5,FALSE)</f>
        <v>90</v>
      </c>
      <c r="H4186" s="14">
        <f>VLOOKUP(E4186,Produtos!$A:$E,4,FALSE)</f>
        <v>50</v>
      </c>
      <c r="I4186" s="2">
        <v>3</v>
      </c>
    </row>
    <row r="4187" spans="1:9" x14ac:dyDescent="0.25">
      <c r="A4187" s="2" t="str">
        <f>CONCATENATE(Códigos!S4186,Códigos!T4186,Códigos!U4186)</f>
        <v>svv4185v</v>
      </c>
      <c r="B4187" t="s">
        <v>451</v>
      </c>
      <c r="C4187" t="s">
        <v>447</v>
      </c>
      <c r="D4187" s="2" t="s">
        <v>448</v>
      </c>
      <c r="E4187" t="s">
        <v>455</v>
      </c>
      <c r="F4187" s="11">
        <v>44254</v>
      </c>
      <c r="G4187" s="14">
        <f t="array" ref="G4187">VLOOKUP(E4187,Produtos!$A:$E,5,FALSE)</f>
        <v>90</v>
      </c>
      <c r="H4187" s="14">
        <f>VLOOKUP(E4187,Produtos!$A:$E,4,FALSE)</f>
        <v>50</v>
      </c>
      <c r="I4187" s="2">
        <v>3</v>
      </c>
    </row>
    <row r="4188" spans="1:9" x14ac:dyDescent="0.25">
      <c r="A4188" s="2" t="str">
        <f>CONCATENATE(Códigos!S4187,Códigos!T4187,Códigos!U4187)</f>
        <v>svv4186v</v>
      </c>
      <c r="B4188" t="s">
        <v>451</v>
      </c>
      <c r="C4188" t="s">
        <v>447</v>
      </c>
      <c r="D4188" s="2" t="s">
        <v>448</v>
      </c>
      <c r="E4188" t="s">
        <v>455</v>
      </c>
      <c r="F4188" s="11">
        <v>44255</v>
      </c>
      <c r="G4188" s="14">
        <f t="array" ref="G4188">VLOOKUP(E4188,Produtos!$A:$E,5,FALSE)</f>
        <v>90</v>
      </c>
      <c r="H4188" s="14">
        <f>VLOOKUP(E4188,Produtos!$A:$E,4,FALSE)</f>
        <v>50</v>
      </c>
      <c r="I4188" s="2">
        <v>3</v>
      </c>
    </row>
    <row r="4189" spans="1:9" x14ac:dyDescent="0.25">
      <c r="A4189" s="2" t="str">
        <f>CONCATENATE(Códigos!S4188,Códigos!T4188,Códigos!U4188)</f>
        <v>svv4187v</v>
      </c>
      <c r="B4189" t="s">
        <v>451</v>
      </c>
      <c r="C4189" t="s">
        <v>447</v>
      </c>
      <c r="D4189" s="2" t="s">
        <v>448</v>
      </c>
      <c r="E4189" t="s">
        <v>455</v>
      </c>
      <c r="F4189" s="11">
        <v>44256</v>
      </c>
      <c r="G4189" s="14">
        <f t="array" ref="G4189">VLOOKUP(E4189,Produtos!$A:$E,5,FALSE)</f>
        <v>90</v>
      </c>
      <c r="H4189" s="14">
        <f>VLOOKUP(E4189,Produtos!$A:$E,4,FALSE)</f>
        <v>50</v>
      </c>
      <c r="I4189" s="2">
        <v>3</v>
      </c>
    </row>
    <row r="4190" spans="1:9" x14ac:dyDescent="0.25">
      <c r="A4190" s="2" t="str">
        <f>CONCATENATE(Códigos!S4189,Códigos!T4189,Códigos!U4189)</f>
        <v>svv4188v</v>
      </c>
      <c r="B4190" t="s">
        <v>451</v>
      </c>
      <c r="C4190" t="s">
        <v>447</v>
      </c>
      <c r="D4190" s="2" t="s">
        <v>448</v>
      </c>
      <c r="E4190" t="s">
        <v>455</v>
      </c>
      <c r="F4190" s="11">
        <v>44257</v>
      </c>
      <c r="G4190" s="14">
        <f t="array" ref="G4190">VLOOKUP(E4190,Produtos!$A:$E,5,FALSE)</f>
        <v>90</v>
      </c>
      <c r="H4190" s="14">
        <f>VLOOKUP(E4190,Produtos!$A:$E,4,FALSE)</f>
        <v>50</v>
      </c>
      <c r="I4190" s="2">
        <v>3</v>
      </c>
    </row>
    <row r="4191" spans="1:9" x14ac:dyDescent="0.25">
      <c r="A4191" s="2" t="str">
        <f>CONCATENATE(Códigos!S4190,Códigos!T4190,Códigos!U4190)</f>
        <v>svv4189v</v>
      </c>
      <c r="B4191" t="s">
        <v>451</v>
      </c>
      <c r="C4191" t="s">
        <v>447</v>
      </c>
      <c r="D4191" s="2" t="s">
        <v>448</v>
      </c>
      <c r="E4191" t="s">
        <v>454</v>
      </c>
      <c r="F4191" s="11">
        <v>44258</v>
      </c>
      <c r="G4191" s="14">
        <f t="array" ref="G4191">VLOOKUP(E4191,Produtos!$A:$E,5,FALSE)</f>
        <v>45</v>
      </c>
      <c r="H4191" s="14">
        <f>VLOOKUP(E4191,Produtos!$A:$E,4,FALSE)</f>
        <v>20</v>
      </c>
      <c r="I4191" s="2">
        <v>3</v>
      </c>
    </row>
    <row r="4192" spans="1:9" x14ac:dyDescent="0.25">
      <c r="A4192" s="2" t="str">
        <f>CONCATENATE(Códigos!S4191,Códigos!T4191,Códigos!U4191)</f>
        <v>svv4190v</v>
      </c>
      <c r="B4192" t="s">
        <v>451</v>
      </c>
      <c r="C4192" t="s">
        <v>447</v>
      </c>
      <c r="D4192" s="2" t="s">
        <v>448</v>
      </c>
      <c r="E4192" t="s">
        <v>454</v>
      </c>
      <c r="F4192" s="11">
        <v>44259</v>
      </c>
      <c r="G4192" s="14">
        <f t="array" ref="G4192">VLOOKUP(E4192,Produtos!$A:$E,5,FALSE)</f>
        <v>45</v>
      </c>
      <c r="H4192" s="14">
        <f>VLOOKUP(E4192,Produtos!$A:$E,4,FALSE)</f>
        <v>20</v>
      </c>
      <c r="I4192" s="2">
        <v>3</v>
      </c>
    </row>
    <row r="4193" spans="1:9" x14ac:dyDescent="0.25">
      <c r="A4193" s="2" t="str">
        <f>CONCATENATE(Códigos!S4192,Códigos!T4192,Códigos!U4192)</f>
        <v>svv4191v</v>
      </c>
      <c r="B4193" t="s">
        <v>451</v>
      </c>
      <c r="C4193" t="s">
        <v>447</v>
      </c>
      <c r="D4193" s="2" t="s">
        <v>448</v>
      </c>
      <c r="E4193" t="s">
        <v>454</v>
      </c>
      <c r="F4193" s="11">
        <v>44260</v>
      </c>
      <c r="G4193" s="14">
        <f t="array" ref="G4193">VLOOKUP(E4193,Produtos!$A:$E,5,FALSE)</f>
        <v>45</v>
      </c>
      <c r="H4193" s="14">
        <f>VLOOKUP(E4193,Produtos!$A:$E,4,FALSE)</f>
        <v>20</v>
      </c>
      <c r="I4193" s="2">
        <v>3</v>
      </c>
    </row>
    <row r="4194" spans="1:9" x14ac:dyDescent="0.25">
      <c r="A4194" s="2" t="str">
        <f>CONCATENATE(Códigos!S4193,Códigos!T4193,Códigos!U4193)</f>
        <v>svv4192v</v>
      </c>
      <c r="B4194" t="s">
        <v>451</v>
      </c>
      <c r="C4194" t="s">
        <v>447</v>
      </c>
      <c r="D4194" s="2" t="s">
        <v>448</v>
      </c>
      <c r="E4194" t="s">
        <v>454</v>
      </c>
      <c r="F4194" s="11">
        <v>44261</v>
      </c>
      <c r="G4194" s="14">
        <f t="array" ref="G4194">VLOOKUP(E4194,Produtos!$A:$E,5,FALSE)</f>
        <v>45</v>
      </c>
      <c r="H4194" s="14">
        <f>VLOOKUP(E4194,Produtos!$A:$E,4,FALSE)</f>
        <v>20</v>
      </c>
      <c r="I4194" s="2">
        <v>3</v>
      </c>
    </row>
    <row r="4195" spans="1:9" x14ac:dyDescent="0.25">
      <c r="A4195" s="2" t="str">
        <f>CONCATENATE(Códigos!S4194,Códigos!T4194,Códigos!U4194)</f>
        <v>svv4193v</v>
      </c>
      <c r="B4195" t="s">
        <v>451</v>
      </c>
      <c r="C4195" t="s">
        <v>447</v>
      </c>
      <c r="D4195" s="2" t="s">
        <v>448</v>
      </c>
      <c r="E4195" t="s">
        <v>454</v>
      </c>
      <c r="F4195" s="11">
        <v>44262</v>
      </c>
      <c r="G4195" s="14">
        <f t="array" ref="G4195">VLOOKUP(E4195,Produtos!$A:$E,5,FALSE)</f>
        <v>45</v>
      </c>
      <c r="H4195" s="14">
        <f>VLOOKUP(E4195,Produtos!$A:$E,4,FALSE)</f>
        <v>20</v>
      </c>
      <c r="I4195" s="2">
        <v>3</v>
      </c>
    </row>
    <row r="4196" spans="1:9" x14ac:dyDescent="0.25">
      <c r="A4196" s="2" t="str">
        <f>CONCATENATE(Códigos!S4195,Códigos!T4195,Códigos!U4195)</f>
        <v>svv4194v</v>
      </c>
      <c r="B4196" t="s">
        <v>451</v>
      </c>
      <c r="C4196" t="s">
        <v>447</v>
      </c>
      <c r="D4196" s="2" t="s">
        <v>448</v>
      </c>
      <c r="E4196" t="s">
        <v>454</v>
      </c>
      <c r="F4196" s="11">
        <v>44263</v>
      </c>
      <c r="G4196" s="14">
        <f t="array" ref="G4196">VLOOKUP(E4196,Produtos!$A:$E,5,FALSE)</f>
        <v>45</v>
      </c>
      <c r="H4196" s="14">
        <f>VLOOKUP(E4196,Produtos!$A:$E,4,FALSE)</f>
        <v>20</v>
      </c>
      <c r="I4196" s="2">
        <v>3</v>
      </c>
    </row>
    <row r="4197" spans="1:9" x14ac:dyDescent="0.25">
      <c r="A4197" s="2" t="str">
        <f>CONCATENATE(Códigos!S4196,Códigos!T4196,Códigos!U4196)</f>
        <v>svv4195v</v>
      </c>
      <c r="B4197" t="s">
        <v>451</v>
      </c>
      <c r="C4197" t="s">
        <v>447</v>
      </c>
      <c r="D4197" s="2" t="s">
        <v>448</v>
      </c>
      <c r="E4197" t="s">
        <v>454</v>
      </c>
      <c r="F4197" s="11">
        <v>44264</v>
      </c>
      <c r="G4197" s="14">
        <f t="array" ref="G4197">VLOOKUP(E4197,Produtos!$A:$E,5,FALSE)</f>
        <v>45</v>
      </c>
      <c r="H4197" s="14">
        <f>VLOOKUP(E4197,Produtos!$A:$E,4,FALSE)</f>
        <v>20</v>
      </c>
      <c r="I4197" s="2">
        <v>3</v>
      </c>
    </row>
    <row r="4198" spans="1:9" x14ac:dyDescent="0.25">
      <c r="A4198" s="2" t="str">
        <f>CONCATENATE(Códigos!S4197,Códigos!T4197,Códigos!U4197)</f>
        <v>svv4196v</v>
      </c>
      <c r="B4198" t="s">
        <v>451</v>
      </c>
      <c r="C4198" t="s">
        <v>447</v>
      </c>
      <c r="D4198" s="2" t="s">
        <v>448</v>
      </c>
      <c r="E4198" t="s">
        <v>454</v>
      </c>
      <c r="F4198" s="11">
        <v>44265</v>
      </c>
      <c r="G4198" s="14">
        <f t="array" ref="G4198">VLOOKUP(E4198,Produtos!$A:$E,5,FALSE)</f>
        <v>45</v>
      </c>
      <c r="H4198" s="14">
        <f>VLOOKUP(E4198,Produtos!$A:$E,4,FALSE)</f>
        <v>20</v>
      </c>
      <c r="I4198" s="2">
        <v>3</v>
      </c>
    </row>
    <row r="4199" spans="1:9" x14ac:dyDescent="0.25">
      <c r="A4199" s="2" t="str">
        <f>CONCATENATE(Códigos!S4198,Códigos!T4198,Códigos!U4198)</f>
        <v>svv4197v</v>
      </c>
      <c r="B4199" t="s">
        <v>451</v>
      </c>
      <c r="C4199" t="s">
        <v>447</v>
      </c>
      <c r="D4199" s="2" t="s">
        <v>448</v>
      </c>
      <c r="E4199" t="s">
        <v>454</v>
      </c>
      <c r="F4199" s="11">
        <v>44266</v>
      </c>
      <c r="G4199" s="14">
        <f t="array" ref="G4199">VLOOKUP(E4199,Produtos!$A:$E,5,FALSE)</f>
        <v>45</v>
      </c>
      <c r="H4199" s="14">
        <f>VLOOKUP(E4199,Produtos!$A:$E,4,FALSE)</f>
        <v>20</v>
      </c>
      <c r="I4199" s="2">
        <v>3</v>
      </c>
    </row>
    <row r="4200" spans="1:9" x14ac:dyDescent="0.25">
      <c r="A4200" s="2" t="str">
        <f>CONCATENATE(Códigos!S4199,Códigos!T4199,Códigos!U4199)</f>
        <v>svv4198v</v>
      </c>
      <c r="B4200" t="s">
        <v>451</v>
      </c>
      <c r="C4200" t="s">
        <v>447</v>
      </c>
      <c r="D4200" s="2" t="s">
        <v>448</v>
      </c>
      <c r="E4200" t="s">
        <v>454</v>
      </c>
      <c r="F4200" s="11">
        <v>44267</v>
      </c>
      <c r="G4200" s="14">
        <f t="array" ref="G4200">VLOOKUP(E4200,Produtos!$A:$E,5,FALSE)</f>
        <v>45</v>
      </c>
      <c r="H4200" s="14">
        <f>VLOOKUP(E4200,Produtos!$A:$E,4,FALSE)</f>
        <v>20</v>
      </c>
      <c r="I4200" s="2">
        <v>3</v>
      </c>
    </row>
    <row r="4201" spans="1:9" x14ac:dyDescent="0.25">
      <c r="A4201" s="2" t="str">
        <f>CONCATENATE(Códigos!S4200,Códigos!T4200,Códigos!U4200)</f>
        <v>svv4199v</v>
      </c>
      <c r="B4201" t="s">
        <v>451</v>
      </c>
      <c r="C4201" t="s">
        <v>447</v>
      </c>
      <c r="D4201" s="2" t="s">
        <v>448</v>
      </c>
      <c r="E4201" t="s">
        <v>454</v>
      </c>
      <c r="F4201" s="11">
        <v>44268</v>
      </c>
      <c r="G4201" s="14">
        <f t="array" ref="G4201">VLOOKUP(E4201,Produtos!$A:$E,5,FALSE)</f>
        <v>45</v>
      </c>
      <c r="H4201" s="14">
        <f>VLOOKUP(E4201,Produtos!$A:$E,4,FALSE)</f>
        <v>20</v>
      </c>
      <c r="I4201" s="2">
        <v>3</v>
      </c>
    </row>
    <row r="4202" spans="1:9" x14ac:dyDescent="0.25">
      <c r="A4202" s="2" t="str">
        <f>CONCATENATE(Códigos!S4201,Códigos!T4201,Códigos!U4201)</f>
        <v>svv4200v</v>
      </c>
      <c r="B4202" t="s">
        <v>451</v>
      </c>
      <c r="C4202" t="s">
        <v>447</v>
      </c>
      <c r="D4202" s="2" t="s">
        <v>448</v>
      </c>
      <c r="E4202" t="s">
        <v>454</v>
      </c>
      <c r="F4202" s="11">
        <v>44269</v>
      </c>
      <c r="G4202" s="14">
        <f t="array" ref="G4202">VLOOKUP(E4202,Produtos!$A:$E,5,FALSE)</f>
        <v>45</v>
      </c>
      <c r="H4202" s="14">
        <f>VLOOKUP(E4202,Produtos!$A:$E,4,FALSE)</f>
        <v>20</v>
      </c>
      <c r="I4202" s="2">
        <v>3</v>
      </c>
    </row>
    <row r="4203" spans="1:9" x14ac:dyDescent="0.25">
      <c r="A4203" s="2" t="str">
        <f>CONCATENATE(Códigos!S4202,Códigos!T4202,Códigos!U4202)</f>
        <v>svv4201v</v>
      </c>
      <c r="B4203" t="s">
        <v>451</v>
      </c>
      <c r="C4203" t="s">
        <v>447</v>
      </c>
      <c r="D4203" s="2" t="s">
        <v>448</v>
      </c>
      <c r="E4203" t="s">
        <v>454</v>
      </c>
      <c r="F4203" s="11">
        <v>44270</v>
      </c>
      <c r="G4203" s="14">
        <f t="array" ref="G4203">VLOOKUP(E4203,Produtos!$A:$E,5,FALSE)</f>
        <v>45</v>
      </c>
      <c r="H4203" s="14">
        <f>VLOOKUP(E4203,Produtos!$A:$E,4,FALSE)</f>
        <v>20</v>
      </c>
      <c r="I4203" s="2">
        <v>3</v>
      </c>
    </row>
    <row r="4204" spans="1:9" x14ac:dyDescent="0.25">
      <c r="A4204" s="2" t="str">
        <f>CONCATENATE(Códigos!S4203,Códigos!T4203,Códigos!U4203)</f>
        <v>svv4202v</v>
      </c>
      <c r="B4204" t="s">
        <v>451</v>
      </c>
      <c r="C4204" t="s">
        <v>447</v>
      </c>
      <c r="D4204" s="2" t="s">
        <v>448</v>
      </c>
      <c r="E4204" t="s">
        <v>454</v>
      </c>
      <c r="F4204" s="11">
        <v>44271</v>
      </c>
      <c r="G4204" s="14">
        <f t="array" ref="G4204">VLOOKUP(E4204,Produtos!$A:$E,5,FALSE)</f>
        <v>45</v>
      </c>
      <c r="H4204" s="14">
        <f>VLOOKUP(E4204,Produtos!$A:$E,4,FALSE)</f>
        <v>20</v>
      </c>
      <c r="I4204" s="2">
        <v>3</v>
      </c>
    </row>
    <row r="4205" spans="1:9" x14ac:dyDescent="0.25">
      <c r="A4205" s="2" t="str">
        <f>CONCATENATE(Códigos!S4204,Códigos!T4204,Códigos!U4204)</f>
        <v>svv4203v</v>
      </c>
      <c r="B4205" t="s">
        <v>451</v>
      </c>
      <c r="C4205" t="s">
        <v>447</v>
      </c>
      <c r="D4205" s="2" t="s">
        <v>448</v>
      </c>
      <c r="E4205" t="s">
        <v>454</v>
      </c>
      <c r="F4205" s="11">
        <v>44272</v>
      </c>
      <c r="G4205" s="14">
        <f t="array" ref="G4205">VLOOKUP(E4205,Produtos!$A:$E,5,FALSE)</f>
        <v>45</v>
      </c>
      <c r="H4205" s="14">
        <f>VLOOKUP(E4205,Produtos!$A:$E,4,FALSE)</f>
        <v>20</v>
      </c>
      <c r="I4205" s="2">
        <v>3</v>
      </c>
    </row>
    <row r="4206" spans="1:9" x14ac:dyDescent="0.25">
      <c r="A4206" s="2" t="str">
        <f>CONCATENATE(Códigos!S4205,Códigos!T4205,Códigos!U4205)</f>
        <v>svv4204v</v>
      </c>
      <c r="B4206" t="s">
        <v>451</v>
      </c>
      <c r="C4206" t="s">
        <v>447</v>
      </c>
      <c r="D4206" s="2" t="s">
        <v>448</v>
      </c>
      <c r="E4206" t="s">
        <v>454</v>
      </c>
      <c r="F4206" s="11">
        <v>44273</v>
      </c>
      <c r="G4206" s="14">
        <f t="array" ref="G4206">VLOOKUP(E4206,Produtos!$A:$E,5,FALSE)</f>
        <v>45</v>
      </c>
      <c r="H4206" s="14">
        <f>VLOOKUP(E4206,Produtos!$A:$E,4,FALSE)</f>
        <v>20</v>
      </c>
      <c r="I4206" s="2">
        <v>3</v>
      </c>
    </row>
    <row r="4207" spans="1:9" x14ac:dyDescent="0.25">
      <c r="A4207" s="2" t="str">
        <f>CONCATENATE(Códigos!S4206,Códigos!T4206,Códigos!U4206)</f>
        <v>svv4205v</v>
      </c>
      <c r="B4207" t="s">
        <v>451</v>
      </c>
      <c r="C4207" t="s">
        <v>447</v>
      </c>
      <c r="D4207" s="2" t="s">
        <v>448</v>
      </c>
      <c r="E4207" t="s">
        <v>454</v>
      </c>
      <c r="F4207" s="11">
        <v>44274</v>
      </c>
      <c r="G4207" s="14">
        <f t="array" ref="G4207">VLOOKUP(E4207,Produtos!$A:$E,5,FALSE)</f>
        <v>45</v>
      </c>
      <c r="H4207" s="14">
        <f>VLOOKUP(E4207,Produtos!$A:$E,4,FALSE)</f>
        <v>20</v>
      </c>
      <c r="I4207" s="2">
        <v>3</v>
      </c>
    </row>
    <row r="4208" spans="1:9" x14ac:dyDescent="0.25">
      <c r="A4208" s="2" t="str">
        <f>CONCATENATE(Códigos!S4207,Códigos!T4207,Códigos!U4207)</f>
        <v>svv4206v</v>
      </c>
      <c r="B4208" t="s">
        <v>451</v>
      </c>
      <c r="C4208" t="s">
        <v>447</v>
      </c>
      <c r="D4208" s="2" t="s">
        <v>448</v>
      </c>
      <c r="E4208" t="s">
        <v>453</v>
      </c>
      <c r="F4208" s="11">
        <v>44275</v>
      </c>
      <c r="G4208" s="14">
        <f t="array" ref="G4208">VLOOKUP(E4208,Produtos!$A:$E,5,FALSE)</f>
        <v>80</v>
      </c>
      <c r="H4208" s="14">
        <f>VLOOKUP(E4208,Produtos!$A:$E,4,FALSE)</f>
        <v>50</v>
      </c>
      <c r="I4208" s="2">
        <v>3</v>
      </c>
    </row>
    <row r="4209" spans="1:9" x14ac:dyDescent="0.25">
      <c r="A4209" s="2" t="str">
        <f>CONCATENATE(Códigos!S4208,Códigos!T4208,Códigos!U4208)</f>
        <v>svv4207v</v>
      </c>
      <c r="B4209" t="s">
        <v>451</v>
      </c>
      <c r="C4209" t="s">
        <v>447</v>
      </c>
      <c r="D4209" s="2" t="s">
        <v>448</v>
      </c>
      <c r="E4209" t="s">
        <v>453</v>
      </c>
      <c r="F4209" s="11">
        <v>44276</v>
      </c>
      <c r="G4209" s="14">
        <f t="array" ref="G4209">VLOOKUP(E4209,Produtos!$A:$E,5,FALSE)</f>
        <v>80</v>
      </c>
      <c r="H4209" s="14">
        <f>VLOOKUP(E4209,Produtos!$A:$E,4,FALSE)</f>
        <v>50</v>
      </c>
      <c r="I4209" s="2">
        <v>3</v>
      </c>
    </row>
    <row r="4210" spans="1:9" x14ac:dyDescent="0.25">
      <c r="A4210" s="2" t="str">
        <f>CONCATENATE(Códigos!S4209,Códigos!T4209,Códigos!U4209)</f>
        <v>svv4208v</v>
      </c>
      <c r="B4210" t="s">
        <v>451</v>
      </c>
      <c r="C4210" t="s">
        <v>447</v>
      </c>
      <c r="D4210" s="2" t="s">
        <v>448</v>
      </c>
      <c r="E4210" t="s">
        <v>453</v>
      </c>
      <c r="F4210" s="11">
        <v>44277</v>
      </c>
      <c r="G4210" s="14">
        <f t="array" ref="G4210">VLOOKUP(E4210,Produtos!$A:$E,5,FALSE)</f>
        <v>80</v>
      </c>
      <c r="H4210" s="14">
        <f>VLOOKUP(E4210,Produtos!$A:$E,4,FALSE)</f>
        <v>50</v>
      </c>
      <c r="I4210" s="2">
        <v>3</v>
      </c>
    </row>
    <row r="4211" spans="1:9" x14ac:dyDescent="0.25">
      <c r="A4211" s="2" t="str">
        <f>CONCATENATE(Códigos!S4210,Códigos!T4210,Códigos!U4210)</f>
        <v>svv4209v</v>
      </c>
      <c r="B4211" t="s">
        <v>451</v>
      </c>
      <c r="C4211" t="s">
        <v>447</v>
      </c>
      <c r="D4211" s="2" t="s">
        <v>448</v>
      </c>
      <c r="E4211" t="s">
        <v>453</v>
      </c>
      <c r="F4211" s="11">
        <v>44278</v>
      </c>
      <c r="G4211" s="14">
        <f t="array" ref="G4211">VLOOKUP(E4211,Produtos!$A:$E,5,FALSE)</f>
        <v>80</v>
      </c>
      <c r="H4211" s="14">
        <f>VLOOKUP(E4211,Produtos!$A:$E,4,FALSE)</f>
        <v>50</v>
      </c>
      <c r="I4211" s="2">
        <v>3</v>
      </c>
    </row>
    <row r="4212" spans="1:9" x14ac:dyDescent="0.25">
      <c r="A4212" s="2" t="str">
        <f>CONCATENATE(Códigos!S4211,Códigos!T4211,Códigos!U4211)</f>
        <v>svv4210v</v>
      </c>
      <c r="B4212" t="s">
        <v>451</v>
      </c>
      <c r="C4212" t="s">
        <v>447</v>
      </c>
      <c r="D4212" s="2" t="s">
        <v>448</v>
      </c>
      <c r="E4212" t="s">
        <v>453</v>
      </c>
      <c r="F4212" s="11">
        <v>44279</v>
      </c>
      <c r="G4212" s="14">
        <f t="array" ref="G4212">VLOOKUP(E4212,Produtos!$A:$E,5,FALSE)</f>
        <v>80</v>
      </c>
      <c r="H4212" s="14">
        <f>VLOOKUP(E4212,Produtos!$A:$E,4,FALSE)</f>
        <v>50</v>
      </c>
      <c r="I4212" s="2">
        <v>3</v>
      </c>
    </row>
    <row r="4213" spans="1:9" x14ac:dyDescent="0.25">
      <c r="A4213" s="2" t="str">
        <f>CONCATENATE(Códigos!S4212,Códigos!T4212,Códigos!U4212)</f>
        <v>svv4211v</v>
      </c>
      <c r="B4213" t="s">
        <v>451</v>
      </c>
      <c r="C4213" t="s">
        <v>447</v>
      </c>
      <c r="D4213" s="2" t="s">
        <v>448</v>
      </c>
      <c r="E4213" t="s">
        <v>453</v>
      </c>
      <c r="F4213" s="11">
        <v>44280</v>
      </c>
      <c r="G4213" s="14">
        <f t="array" ref="G4213">VLOOKUP(E4213,Produtos!$A:$E,5,FALSE)</f>
        <v>80</v>
      </c>
      <c r="H4213" s="14">
        <f>VLOOKUP(E4213,Produtos!$A:$E,4,FALSE)</f>
        <v>50</v>
      </c>
      <c r="I4213" s="2">
        <v>3</v>
      </c>
    </row>
    <row r="4214" spans="1:9" x14ac:dyDescent="0.25">
      <c r="A4214" s="2" t="str">
        <f>CONCATENATE(Códigos!S4213,Códigos!T4213,Códigos!U4213)</f>
        <v>svv4212v</v>
      </c>
      <c r="B4214" t="s">
        <v>451</v>
      </c>
      <c r="C4214" t="s">
        <v>447</v>
      </c>
      <c r="D4214" s="2" t="s">
        <v>448</v>
      </c>
      <c r="E4214" t="s">
        <v>453</v>
      </c>
      <c r="F4214" s="11">
        <v>44281</v>
      </c>
      <c r="G4214" s="14">
        <f t="array" ref="G4214">VLOOKUP(E4214,Produtos!$A:$E,5,FALSE)</f>
        <v>80</v>
      </c>
      <c r="H4214" s="14">
        <f>VLOOKUP(E4214,Produtos!$A:$E,4,FALSE)</f>
        <v>50</v>
      </c>
      <c r="I4214" s="2">
        <v>3</v>
      </c>
    </row>
    <row r="4215" spans="1:9" x14ac:dyDescent="0.25">
      <c r="A4215" s="2" t="str">
        <f>CONCATENATE(Códigos!S4214,Códigos!T4214,Códigos!U4214)</f>
        <v>svv4213v</v>
      </c>
      <c r="B4215" t="s">
        <v>451</v>
      </c>
      <c r="C4215" t="s">
        <v>447</v>
      </c>
      <c r="D4215" s="2" t="s">
        <v>448</v>
      </c>
      <c r="E4215" t="s">
        <v>453</v>
      </c>
      <c r="F4215" s="11">
        <v>44282</v>
      </c>
      <c r="G4215" s="14">
        <f t="array" ref="G4215">VLOOKUP(E4215,Produtos!$A:$E,5,FALSE)</f>
        <v>80</v>
      </c>
      <c r="H4215" s="14">
        <f>VLOOKUP(E4215,Produtos!$A:$E,4,FALSE)</f>
        <v>50</v>
      </c>
      <c r="I4215" s="2">
        <v>3</v>
      </c>
    </row>
    <row r="4216" spans="1:9" x14ac:dyDescent="0.25">
      <c r="A4216" s="2" t="str">
        <f>CONCATENATE(Códigos!S4215,Códigos!T4215,Códigos!U4215)</f>
        <v>svv4214v</v>
      </c>
      <c r="B4216" t="s">
        <v>451</v>
      </c>
      <c r="C4216" t="s">
        <v>447</v>
      </c>
      <c r="D4216" s="2" t="s">
        <v>448</v>
      </c>
      <c r="E4216" t="s">
        <v>453</v>
      </c>
      <c r="F4216" s="11">
        <v>44283</v>
      </c>
      <c r="G4216" s="14">
        <f t="array" ref="G4216">VLOOKUP(E4216,Produtos!$A:$E,5,FALSE)</f>
        <v>80</v>
      </c>
      <c r="H4216" s="14">
        <f>VLOOKUP(E4216,Produtos!$A:$E,4,FALSE)</f>
        <v>50</v>
      </c>
      <c r="I4216" s="2">
        <v>3</v>
      </c>
    </row>
    <row r="4217" spans="1:9" x14ac:dyDescent="0.25">
      <c r="A4217" s="2" t="str">
        <f>CONCATENATE(Códigos!S4216,Códigos!T4216,Códigos!U4216)</f>
        <v>svv4215v</v>
      </c>
      <c r="B4217" t="s">
        <v>451</v>
      </c>
      <c r="C4217" t="s">
        <v>447</v>
      </c>
      <c r="D4217" s="2" t="s">
        <v>448</v>
      </c>
      <c r="E4217" t="s">
        <v>453</v>
      </c>
      <c r="F4217" s="11">
        <v>44284</v>
      </c>
      <c r="G4217" s="14">
        <f t="array" ref="G4217">VLOOKUP(E4217,Produtos!$A:$E,5,FALSE)</f>
        <v>80</v>
      </c>
      <c r="H4217" s="14">
        <f>VLOOKUP(E4217,Produtos!$A:$E,4,FALSE)</f>
        <v>50</v>
      </c>
      <c r="I4217" s="2">
        <v>3</v>
      </c>
    </row>
    <row r="4218" spans="1:9" x14ac:dyDescent="0.25">
      <c r="A4218" s="2" t="str">
        <f>CONCATENATE(Códigos!S4217,Códigos!T4217,Códigos!U4217)</f>
        <v>svv4216v</v>
      </c>
      <c r="B4218" t="s">
        <v>451</v>
      </c>
      <c r="C4218" t="s">
        <v>447</v>
      </c>
      <c r="D4218" s="2" t="s">
        <v>448</v>
      </c>
      <c r="E4218" t="s">
        <v>453</v>
      </c>
      <c r="F4218" s="11">
        <v>44285</v>
      </c>
      <c r="G4218" s="14">
        <f t="array" ref="G4218">VLOOKUP(E4218,Produtos!$A:$E,5,FALSE)</f>
        <v>80</v>
      </c>
      <c r="H4218" s="14">
        <f>VLOOKUP(E4218,Produtos!$A:$E,4,FALSE)</f>
        <v>50</v>
      </c>
      <c r="I4218" s="2">
        <v>3</v>
      </c>
    </row>
    <row r="4219" spans="1:9" x14ac:dyDescent="0.25">
      <c r="A4219" s="2" t="str">
        <f>CONCATENATE(Códigos!S4218,Códigos!T4218,Códigos!U4218)</f>
        <v>svv4217v</v>
      </c>
      <c r="B4219" t="s">
        <v>451</v>
      </c>
      <c r="C4219" t="s">
        <v>447</v>
      </c>
      <c r="D4219" s="2" t="s">
        <v>448</v>
      </c>
      <c r="E4219" t="s">
        <v>453</v>
      </c>
      <c r="F4219" s="11">
        <v>44286</v>
      </c>
      <c r="G4219" s="14">
        <f t="array" ref="G4219">VLOOKUP(E4219,Produtos!$A:$E,5,FALSE)</f>
        <v>80</v>
      </c>
      <c r="H4219" s="14">
        <f>VLOOKUP(E4219,Produtos!$A:$E,4,FALSE)</f>
        <v>50</v>
      </c>
      <c r="I4219" s="2">
        <v>3</v>
      </c>
    </row>
    <row r="4220" spans="1:9" x14ac:dyDescent="0.25">
      <c r="A4220" s="2" t="str">
        <f>CONCATENATE(Códigos!S4219,Códigos!T4219,Códigos!U4219)</f>
        <v>svv4218v</v>
      </c>
      <c r="B4220" t="s">
        <v>451</v>
      </c>
      <c r="C4220" t="s">
        <v>447</v>
      </c>
      <c r="D4220" s="2" t="s">
        <v>448</v>
      </c>
      <c r="E4220" t="s">
        <v>453</v>
      </c>
      <c r="F4220" s="11">
        <v>44287</v>
      </c>
      <c r="G4220" s="14">
        <f t="array" ref="G4220">VLOOKUP(E4220,Produtos!$A:$E,5,FALSE)</f>
        <v>80</v>
      </c>
      <c r="H4220" s="14">
        <f>VLOOKUP(E4220,Produtos!$A:$E,4,FALSE)</f>
        <v>50</v>
      </c>
      <c r="I4220" s="2">
        <v>3</v>
      </c>
    </row>
    <row r="4221" spans="1:9" x14ac:dyDescent="0.25">
      <c r="A4221" s="2" t="str">
        <f>CONCATENATE(Códigos!S4220,Códigos!T4220,Códigos!U4220)</f>
        <v>svv4219v</v>
      </c>
      <c r="B4221" t="s">
        <v>451</v>
      </c>
      <c r="C4221" t="s">
        <v>447</v>
      </c>
      <c r="D4221" s="2" t="s">
        <v>448</v>
      </c>
      <c r="E4221" t="s">
        <v>453</v>
      </c>
      <c r="F4221" s="11">
        <v>44288</v>
      </c>
      <c r="G4221" s="14">
        <f t="array" ref="G4221">VLOOKUP(E4221,Produtos!$A:$E,5,FALSE)</f>
        <v>80</v>
      </c>
      <c r="H4221" s="14">
        <f>VLOOKUP(E4221,Produtos!$A:$E,4,FALSE)</f>
        <v>50</v>
      </c>
      <c r="I4221" s="2">
        <v>3</v>
      </c>
    </row>
    <row r="4222" spans="1:9" x14ac:dyDescent="0.25">
      <c r="A4222" s="2" t="str">
        <f>CONCATENATE(Códigos!S4221,Códigos!T4221,Códigos!U4221)</f>
        <v>svv4220v</v>
      </c>
      <c r="B4222" t="s">
        <v>451</v>
      </c>
      <c r="C4222" t="s">
        <v>447</v>
      </c>
      <c r="D4222" s="2" t="s">
        <v>448</v>
      </c>
      <c r="E4222" t="s">
        <v>453</v>
      </c>
      <c r="F4222" s="11">
        <v>44289</v>
      </c>
      <c r="G4222" s="14">
        <f t="array" ref="G4222">VLOOKUP(E4222,Produtos!$A:$E,5,FALSE)</f>
        <v>80</v>
      </c>
      <c r="H4222" s="14">
        <f>VLOOKUP(E4222,Produtos!$A:$E,4,FALSE)</f>
        <v>50</v>
      </c>
      <c r="I4222" s="2">
        <v>3</v>
      </c>
    </row>
    <row r="4223" spans="1:9" x14ac:dyDescent="0.25">
      <c r="A4223" s="2" t="str">
        <f>CONCATENATE(Códigos!S4222,Códigos!T4222,Códigos!U4222)</f>
        <v>svv4221v</v>
      </c>
      <c r="B4223" t="s">
        <v>451</v>
      </c>
      <c r="C4223" t="s">
        <v>447</v>
      </c>
      <c r="D4223" s="2" t="s">
        <v>448</v>
      </c>
      <c r="E4223" t="s">
        <v>453</v>
      </c>
      <c r="F4223" s="11">
        <v>44290</v>
      </c>
      <c r="G4223" s="14">
        <f t="array" ref="G4223">VLOOKUP(E4223,Produtos!$A:$E,5,FALSE)</f>
        <v>80</v>
      </c>
      <c r="H4223" s="14">
        <f>VLOOKUP(E4223,Produtos!$A:$E,4,FALSE)</f>
        <v>50</v>
      </c>
      <c r="I4223" s="2">
        <v>3</v>
      </c>
    </row>
    <row r="4224" spans="1:9" x14ac:dyDescent="0.25">
      <c r="A4224" s="2" t="str">
        <f>CONCATENATE(Códigos!S4223,Códigos!T4223,Códigos!U4223)</f>
        <v>svv4222v</v>
      </c>
      <c r="B4224" t="s">
        <v>451</v>
      </c>
      <c r="C4224" t="s">
        <v>447</v>
      </c>
      <c r="D4224" s="2" t="s">
        <v>448</v>
      </c>
      <c r="E4224" t="s">
        <v>453</v>
      </c>
      <c r="F4224" s="11">
        <v>44291</v>
      </c>
      <c r="G4224" s="14">
        <f t="array" ref="G4224">VLOOKUP(E4224,Produtos!$A:$E,5,FALSE)</f>
        <v>80</v>
      </c>
      <c r="H4224" s="14">
        <f>VLOOKUP(E4224,Produtos!$A:$E,4,FALSE)</f>
        <v>50</v>
      </c>
      <c r="I4224" s="2">
        <v>3</v>
      </c>
    </row>
    <row r="4225" spans="1:9" x14ac:dyDescent="0.25">
      <c r="A4225" s="2" t="str">
        <f>CONCATENATE(Códigos!S4224,Códigos!T4224,Códigos!U4224)</f>
        <v>svv4223v</v>
      </c>
      <c r="B4225" t="s">
        <v>451</v>
      </c>
      <c r="C4225" t="s">
        <v>447</v>
      </c>
      <c r="D4225" s="2" t="s">
        <v>448</v>
      </c>
      <c r="E4225" t="s">
        <v>453</v>
      </c>
      <c r="F4225" s="11">
        <v>44292</v>
      </c>
      <c r="G4225" s="14">
        <f t="array" ref="G4225">VLOOKUP(E4225,Produtos!$A:$E,5,FALSE)</f>
        <v>80</v>
      </c>
      <c r="H4225" s="14">
        <f>VLOOKUP(E4225,Produtos!$A:$E,4,FALSE)</f>
        <v>50</v>
      </c>
      <c r="I4225" s="2">
        <v>3</v>
      </c>
    </row>
    <row r="4226" spans="1:9" x14ac:dyDescent="0.25">
      <c r="A4226" s="2" t="str">
        <f>CONCATENATE(Códigos!S4225,Códigos!T4225,Códigos!U4225)</f>
        <v>svv4224v</v>
      </c>
      <c r="B4226" t="s">
        <v>451</v>
      </c>
      <c r="C4226" t="s">
        <v>447</v>
      </c>
      <c r="D4226" s="2" t="s">
        <v>448</v>
      </c>
      <c r="E4226" t="s">
        <v>453</v>
      </c>
      <c r="F4226" s="11">
        <v>44293</v>
      </c>
      <c r="G4226" s="14">
        <f t="array" ref="G4226">VLOOKUP(E4226,Produtos!$A:$E,5,FALSE)</f>
        <v>80</v>
      </c>
      <c r="H4226" s="14">
        <f>VLOOKUP(E4226,Produtos!$A:$E,4,FALSE)</f>
        <v>50</v>
      </c>
      <c r="I4226" s="2">
        <v>3</v>
      </c>
    </row>
    <row r="4227" spans="1:9" x14ac:dyDescent="0.25">
      <c r="A4227" s="2" t="str">
        <f>CONCATENATE(Códigos!S4226,Códigos!T4226,Códigos!U4226)</f>
        <v>svv4225v</v>
      </c>
      <c r="B4227" t="s">
        <v>451</v>
      </c>
      <c r="C4227" t="s">
        <v>447</v>
      </c>
      <c r="D4227" s="2" t="s">
        <v>448</v>
      </c>
      <c r="E4227" t="s">
        <v>453</v>
      </c>
      <c r="F4227" s="11">
        <v>44294</v>
      </c>
      <c r="G4227" s="14">
        <f t="array" ref="G4227">VLOOKUP(E4227,Produtos!$A:$E,5,FALSE)</f>
        <v>80</v>
      </c>
      <c r="H4227" s="14">
        <f>VLOOKUP(E4227,Produtos!$A:$E,4,FALSE)</f>
        <v>50</v>
      </c>
      <c r="I4227" s="2">
        <v>3</v>
      </c>
    </row>
    <row r="4228" spans="1:9" x14ac:dyDescent="0.25">
      <c r="A4228" s="2" t="str">
        <f>CONCATENATE(Códigos!S4227,Códigos!T4227,Códigos!U4227)</f>
        <v>svv4226v</v>
      </c>
      <c r="B4228" t="s">
        <v>451</v>
      </c>
      <c r="C4228" t="s">
        <v>447</v>
      </c>
      <c r="D4228" s="2" t="s">
        <v>448</v>
      </c>
      <c r="E4228" t="s">
        <v>453</v>
      </c>
      <c r="F4228" s="11">
        <v>44295</v>
      </c>
      <c r="G4228" s="14">
        <f t="array" ref="G4228">VLOOKUP(E4228,Produtos!$A:$E,5,FALSE)</f>
        <v>80</v>
      </c>
      <c r="H4228" s="14">
        <f>VLOOKUP(E4228,Produtos!$A:$E,4,FALSE)</f>
        <v>50</v>
      </c>
      <c r="I4228" s="2">
        <v>3</v>
      </c>
    </row>
    <row r="4229" spans="1:9" x14ac:dyDescent="0.25">
      <c r="A4229" s="2" t="str">
        <f>CONCATENATE(Códigos!S4228,Códigos!T4228,Códigos!U4228)</f>
        <v>svv4227v</v>
      </c>
      <c r="B4229" t="s">
        <v>451</v>
      </c>
      <c r="C4229" t="s">
        <v>447</v>
      </c>
      <c r="D4229" s="2" t="s">
        <v>448</v>
      </c>
      <c r="E4229" t="s">
        <v>453</v>
      </c>
      <c r="F4229" s="11">
        <v>44296</v>
      </c>
      <c r="G4229" s="14">
        <f t="array" ref="G4229">VLOOKUP(E4229,Produtos!$A:$E,5,FALSE)</f>
        <v>80</v>
      </c>
      <c r="H4229" s="14">
        <f>VLOOKUP(E4229,Produtos!$A:$E,4,FALSE)</f>
        <v>50</v>
      </c>
      <c r="I4229" s="2">
        <v>3</v>
      </c>
    </row>
    <row r="4230" spans="1:9" x14ac:dyDescent="0.25">
      <c r="A4230" s="2" t="str">
        <f>CONCATENATE(Códigos!S4229,Códigos!T4229,Códigos!U4229)</f>
        <v>svv4228v</v>
      </c>
      <c r="B4230" t="s">
        <v>451</v>
      </c>
      <c r="C4230" t="s">
        <v>447</v>
      </c>
      <c r="D4230" s="2" t="s">
        <v>448</v>
      </c>
      <c r="E4230" t="s">
        <v>453</v>
      </c>
      <c r="F4230" s="11">
        <v>44297</v>
      </c>
      <c r="G4230" s="14">
        <f t="array" ref="G4230">VLOOKUP(E4230,Produtos!$A:$E,5,FALSE)</f>
        <v>80</v>
      </c>
      <c r="H4230" s="14">
        <f>VLOOKUP(E4230,Produtos!$A:$E,4,FALSE)</f>
        <v>50</v>
      </c>
      <c r="I4230" s="2">
        <v>3</v>
      </c>
    </row>
    <row r="4231" spans="1:9" x14ac:dyDescent="0.25">
      <c r="A4231" s="2" t="str">
        <f>CONCATENATE(Códigos!S4230,Códigos!T4230,Códigos!U4230)</f>
        <v>svv4229v</v>
      </c>
      <c r="B4231" t="s">
        <v>451</v>
      </c>
      <c r="C4231" t="s">
        <v>447</v>
      </c>
      <c r="D4231" s="2" t="s">
        <v>448</v>
      </c>
      <c r="E4231" t="s">
        <v>453</v>
      </c>
      <c r="F4231" s="11">
        <v>44298</v>
      </c>
      <c r="G4231" s="14">
        <f t="array" ref="G4231">VLOOKUP(E4231,Produtos!$A:$E,5,FALSE)</f>
        <v>80</v>
      </c>
      <c r="H4231" s="14">
        <f>VLOOKUP(E4231,Produtos!$A:$E,4,FALSE)</f>
        <v>50</v>
      </c>
      <c r="I4231" s="2">
        <v>3</v>
      </c>
    </row>
    <row r="4232" spans="1:9" x14ac:dyDescent="0.25">
      <c r="A4232" s="2" t="str">
        <f>CONCATENATE(Códigos!S4231,Códigos!T4231,Códigos!U4231)</f>
        <v>svv4230v</v>
      </c>
      <c r="B4232" t="s">
        <v>451</v>
      </c>
      <c r="C4232" t="s">
        <v>447</v>
      </c>
      <c r="D4232" s="2" t="s">
        <v>448</v>
      </c>
      <c r="E4232" t="s">
        <v>453</v>
      </c>
      <c r="F4232" s="11">
        <v>44299</v>
      </c>
      <c r="G4232" s="14">
        <f t="array" ref="G4232">VLOOKUP(E4232,Produtos!$A:$E,5,FALSE)</f>
        <v>80</v>
      </c>
      <c r="H4232" s="14">
        <f>VLOOKUP(E4232,Produtos!$A:$E,4,FALSE)</f>
        <v>50</v>
      </c>
      <c r="I4232" s="2">
        <v>1</v>
      </c>
    </row>
    <row r="4233" spans="1:9" x14ac:dyDescent="0.25">
      <c r="A4233" s="2" t="str">
        <f>CONCATENATE(Códigos!S4232,Códigos!T4232,Códigos!U4232)</f>
        <v>svv4231v</v>
      </c>
      <c r="B4233" t="s">
        <v>451</v>
      </c>
      <c r="C4233" t="s">
        <v>447</v>
      </c>
      <c r="D4233" s="2" t="s">
        <v>448</v>
      </c>
      <c r="E4233" t="s">
        <v>453</v>
      </c>
      <c r="F4233" s="11">
        <v>44300</v>
      </c>
      <c r="G4233" s="14">
        <f t="array" ref="G4233">VLOOKUP(E4233,Produtos!$A:$E,5,FALSE)</f>
        <v>80</v>
      </c>
      <c r="H4233" s="14">
        <f>VLOOKUP(E4233,Produtos!$A:$E,4,FALSE)</f>
        <v>50</v>
      </c>
      <c r="I4233" s="2">
        <v>1</v>
      </c>
    </row>
    <row r="4234" spans="1:9" x14ac:dyDescent="0.25">
      <c r="A4234" s="2" t="str">
        <f>CONCATENATE(Códigos!S4233,Códigos!T4233,Códigos!U4233)</f>
        <v>svv4232v</v>
      </c>
      <c r="B4234" t="s">
        <v>451</v>
      </c>
      <c r="C4234" t="s">
        <v>447</v>
      </c>
      <c r="D4234" s="2" t="s">
        <v>448</v>
      </c>
      <c r="E4234" t="s">
        <v>453</v>
      </c>
      <c r="F4234" s="11">
        <v>44301</v>
      </c>
      <c r="G4234" s="14">
        <f t="array" ref="G4234">VLOOKUP(E4234,Produtos!$A:$E,5,FALSE)</f>
        <v>80</v>
      </c>
      <c r="H4234" s="14">
        <f>VLOOKUP(E4234,Produtos!$A:$E,4,FALSE)</f>
        <v>50</v>
      </c>
      <c r="I4234" s="2">
        <v>1</v>
      </c>
    </row>
    <row r="4235" spans="1:9" x14ac:dyDescent="0.25">
      <c r="A4235" s="2" t="str">
        <f>CONCATENATE(Códigos!S4234,Códigos!T4234,Códigos!U4234)</f>
        <v>svv4233v</v>
      </c>
      <c r="B4235" t="s">
        <v>451</v>
      </c>
      <c r="C4235" t="s">
        <v>447</v>
      </c>
      <c r="D4235" s="2" t="s">
        <v>448</v>
      </c>
      <c r="E4235" t="s">
        <v>453</v>
      </c>
      <c r="F4235" s="11">
        <v>44302</v>
      </c>
      <c r="G4235" s="14">
        <f t="array" ref="G4235">VLOOKUP(E4235,Produtos!$A:$E,5,FALSE)</f>
        <v>80</v>
      </c>
      <c r="H4235" s="14">
        <f>VLOOKUP(E4235,Produtos!$A:$E,4,FALSE)</f>
        <v>50</v>
      </c>
      <c r="I4235" s="2">
        <v>1</v>
      </c>
    </row>
    <row r="4236" spans="1:9" x14ac:dyDescent="0.25">
      <c r="A4236" s="2" t="str">
        <f>CONCATENATE(Códigos!S4235,Códigos!T4235,Códigos!U4235)</f>
        <v>svv4234v</v>
      </c>
      <c r="B4236" t="s">
        <v>451</v>
      </c>
      <c r="C4236" t="s">
        <v>447</v>
      </c>
      <c r="D4236" s="2" t="s">
        <v>448</v>
      </c>
      <c r="E4236" t="s">
        <v>453</v>
      </c>
      <c r="F4236" s="11">
        <v>44303</v>
      </c>
      <c r="G4236" s="14">
        <f t="array" ref="G4236">VLOOKUP(E4236,Produtos!$A:$E,5,FALSE)</f>
        <v>80</v>
      </c>
      <c r="H4236" s="14">
        <f>VLOOKUP(E4236,Produtos!$A:$E,4,FALSE)</f>
        <v>50</v>
      </c>
      <c r="I4236" s="2">
        <v>1</v>
      </c>
    </row>
    <row r="4237" spans="1:9" x14ac:dyDescent="0.25">
      <c r="A4237" s="2" t="str">
        <f>CONCATENATE(Códigos!S4236,Códigos!T4236,Códigos!U4236)</f>
        <v>svv4235v</v>
      </c>
      <c r="B4237" t="s">
        <v>451</v>
      </c>
      <c r="C4237" t="s">
        <v>447</v>
      </c>
      <c r="D4237" s="2" t="s">
        <v>448</v>
      </c>
      <c r="E4237" t="s">
        <v>453</v>
      </c>
      <c r="F4237" s="11">
        <v>44304</v>
      </c>
      <c r="G4237" s="14">
        <f t="array" ref="G4237">VLOOKUP(E4237,Produtos!$A:$E,5,FALSE)</f>
        <v>80</v>
      </c>
      <c r="H4237" s="14">
        <f>VLOOKUP(E4237,Produtos!$A:$E,4,FALSE)</f>
        <v>50</v>
      </c>
      <c r="I4237" s="2">
        <v>1</v>
      </c>
    </row>
    <row r="4238" spans="1:9" x14ac:dyDescent="0.25">
      <c r="A4238" s="2" t="str">
        <f>CONCATENATE(Códigos!S4237,Códigos!T4237,Códigos!U4237)</f>
        <v>svv4236v</v>
      </c>
      <c r="B4238" t="s">
        <v>451</v>
      </c>
      <c r="C4238" t="s">
        <v>447</v>
      </c>
      <c r="D4238" s="2" t="s">
        <v>448</v>
      </c>
      <c r="E4238" t="s">
        <v>453</v>
      </c>
      <c r="F4238" s="11">
        <v>44305</v>
      </c>
      <c r="G4238" s="14">
        <f t="array" ref="G4238">VLOOKUP(E4238,Produtos!$A:$E,5,FALSE)</f>
        <v>80</v>
      </c>
      <c r="H4238" s="14">
        <f>VLOOKUP(E4238,Produtos!$A:$E,4,FALSE)</f>
        <v>50</v>
      </c>
      <c r="I4238" s="2">
        <v>1</v>
      </c>
    </row>
    <row r="4239" spans="1:9" x14ac:dyDescent="0.25">
      <c r="A4239" s="2" t="str">
        <f>CONCATENATE(Códigos!S4238,Códigos!T4238,Códigos!U4238)</f>
        <v>svv4237v</v>
      </c>
      <c r="B4239" t="s">
        <v>451</v>
      </c>
      <c r="C4239" t="s">
        <v>447</v>
      </c>
      <c r="D4239" s="2" t="s">
        <v>448</v>
      </c>
      <c r="E4239" t="s">
        <v>453</v>
      </c>
      <c r="F4239" s="11">
        <v>44306</v>
      </c>
      <c r="G4239" s="14">
        <f t="array" ref="G4239">VLOOKUP(E4239,Produtos!$A:$E,5,FALSE)</f>
        <v>80</v>
      </c>
      <c r="H4239" s="14">
        <f>VLOOKUP(E4239,Produtos!$A:$E,4,FALSE)</f>
        <v>50</v>
      </c>
      <c r="I4239" s="2">
        <v>1</v>
      </c>
    </row>
    <row r="4240" spans="1:9" x14ac:dyDescent="0.25">
      <c r="A4240" s="2" t="str">
        <f>CONCATENATE(Códigos!S4239,Códigos!T4239,Códigos!U4239)</f>
        <v>svv4238v</v>
      </c>
      <c r="B4240" t="s">
        <v>451</v>
      </c>
      <c r="C4240" t="s">
        <v>447</v>
      </c>
      <c r="D4240" s="2" t="s">
        <v>448</v>
      </c>
      <c r="E4240" t="s">
        <v>453</v>
      </c>
      <c r="F4240" s="11">
        <v>44307</v>
      </c>
      <c r="G4240" s="14">
        <f t="array" ref="G4240">VLOOKUP(E4240,Produtos!$A:$E,5,FALSE)</f>
        <v>80</v>
      </c>
      <c r="H4240" s="14">
        <f>VLOOKUP(E4240,Produtos!$A:$E,4,FALSE)</f>
        <v>50</v>
      </c>
      <c r="I4240" s="2">
        <v>1</v>
      </c>
    </row>
    <row r="4241" spans="1:9" x14ac:dyDescent="0.25">
      <c r="A4241" s="2" t="str">
        <f>CONCATENATE(Códigos!S4240,Códigos!T4240,Códigos!U4240)</f>
        <v>svv4239v</v>
      </c>
      <c r="B4241" t="s">
        <v>342</v>
      </c>
      <c r="C4241" t="s">
        <v>447</v>
      </c>
      <c r="D4241" s="2" t="s">
        <v>448</v>
      </c>
      <c r="E4241" t="s">
        <v>439</v>
      </c>
      <c r="F4241" s="11">
        <v>44308</v>
      </c>
      <c r="G4241" s="14">
        <f t="array" ref="G4241">VLOOKUP(E4241,Produtos!$A:$E,5,FALSE)</f>
        <v>1800</v>
      </c>
      <c r="H4241" s="14">
        <f>VLOOKUP(E4241,Produtos!$A:$E,4,FALSE)</f>
        <v>1000</v>
      </c>
      <c r="I4241" s="2">
        <v>1</v>
      </c>
    </row>
    <row r="4242" spans="1:9" x14ac:dyDescent="0.25">
      <c r="A4242" s="2" t="str">
        <f>CONCATENATE(Códigos!S4241,Códigos!T4241,Códigos!U4241)</f>
        <v>svv4240v</v>
      </c>
      <c r="B4242" t="s">
        <v>342</v>
      </c>
      <c r="C4242" t="s">
        <v>447</v>
      </c>
      <c r="D4242" s="2" t="s">
        <v>448</v>
      </c>
      <c r="E4242" t="s">
        <v>439</v>
      </c>
      <c r="F4242" s="11">
        <v>44309</v>
      </c>
      <c r="G4242" s="14">
        <f t="array" ref="G4242">VLOOKUP(E4242,Produtos!$A:$E,5,FALSE)</f>
        <v>1800</v>
      </c>
      <c r="H4242" s="14">
        <f>VLOOKUP(E4242,Produtos!$A:$E,4,FALSE)</f>
        <v>1000</v>
      </c>
      <c r="I4242" s="2">
        <v>1</v>
      </c>
    </row>
    <row r="4243" spans="1:9" x14ac:dyDescent="0.25">
      <c r="A4243" s="2" t="str">
        <f>CONCATENATE(Códigos!S4242,Códigos!T4242,Códigos!U4242)</f>
        <v>svv4241v</v>
      </c>
      <c r="B4243" t="s">
        <v>342</v>
      </c>
      <c r="C4243" t="s">
        <v>447</v>
      </c>
      <c r="D4243" s="2" t="s">
        <v>448</v>
      </c>
      <c r="E4243" t="s">
        <v>439</v>
      </c>
      <c r="F4243" s="11">
        <v>44310</v>
      </c>
      <c r="G4243" s="14">
        <f t="array" ref="G4243">VLOOKUP(E4243,Produtos!$A:$E,5,FALSE)</f>
        <v>1800</v>
      </c>
      <c r="H4243" s="14">
        <f>VLOOKUP(E4243,Produtos!$A:$E,4,FALSE)</f>
        <v>1000</v>
      </c>
      <c r="I4243" s="2">
        <v>1</v>
      </c>
    </row>
    <row r="4244" spans="1:9" x14ac:dyDescent="0.25">
      <c r="A4244" s="2" t="str">
        <f>CONCATENATE(Códigos!S4243,Códigos!T4243,Códigos!U4243)</f>
        <v>svv4242v</v>
      </c>
      <c r="B4244" t="s">
        <v>342</v>
      </c>
      <c r="C4244" t="s">
        <v>447</v>
      </c>
      <c r="D4244" s="2" t="s">
        <v>448</v>
      </c>
      <c r="E4244" t="s">
        <v>439</v>
      </c>
      <c r="F4244" s="11">
        <v>44311</v>
      </c>
      <c r="G4244" s="14">
        <f t="array" ref="G4244">VLOOKUP(E4244,Produtos!$A:$E,5,FALSE)</f>
        <v>1800</v>
      </c>
      <c r="H4244" s="14">
        <f>VLOOKUP(E4244,Produtos!$A:$E,4,FALSE)</f>
        <v>1000</v>
      </c>
      <c r="I4244" s="2">
        <v>1</v>
      </c>
    </row>
    <row r="4245" spans="1:9" x14ac:dyDescent="0.25">
      <c r="A4245" s="2" t="str">
        <f>CONCATENATE(Códigos!S4244,Códigos!T4244,Códigos!U4244)</f>
        <v>svv4243v</v>
      </c>
      <c r="B4245" t="s">
        <v>342</v>
      </c>
      <c r="C4245" t="s">
        <v>447</v>
      </c>
      <c r="D4245" s="2" t="s">
        <v>448</v>
      </c>
      <c r="E4245" t="s">
        <v>439</v>
      </c>
      <c r="F4245" s="11">
        <v>44312</v>
      </c>
      <c r="G4245" s="14">
        <f t="array" ref="G4245">VLOOKUP(E4245,Produtos!$A:$E,5,FALSE)</f>
        <v>1800</v>
      </c>
      <c r="H4245" s="14">
        <f>VLOOKUP(E4245,Produtos!$A:$E,4,FALSE)</f>
        <v>1000</v>
      </c>
      <c r="I4245" s="2">
        <v>1</v>
      </c>
    </row>
    <row r="4246" spans="1:9" x14ac:dyDescent="0.25">
      <c r="A4246" s="2" t="str">
        <f>CONCATENATE(Códigos!S4245,Códigos!T4245,Códigos!U4245)</f>
        <v>svv4244v</v>
      </c>
      <c r="B4246" t="s">
        <v>342</v>
      </c>
      <c r="C4246" t="s">
        <v>447</v>
      </c>
      <c r="D4246" s="2" t="s">
        <v>448</v>
      </c>
      <c r="E4246" t="s">
        <v>439</v>
      </c>
      <c r="F4246" s="11">
        <v>44313</v>
      </c>
      <c r="G4246" s="14">
        <f t="array" ref="G4246">VLOOKUP(E4246,Produtos!$A:$E,5,FALSE)</f>
        <v>1800</v>
      </c>
      <c r="H4246" s="14">
        <f>VLOOKUP(E4246,Produtos!$A:$E,4,FALSE)</f>
        <v>1000</v>
      </c>
      <c r="I4246" s="2">
        <v>1</v>
      </c>
    </row>
    <row r="4247" spans="1:9" x14ac:dyDescent="0.25">
      <c r="A4247" s="2" t="str">
        <f>CONCATENATE(Códigos!S4246,Códigos!T4246,Códigos!U4246)</f>
        <v>svv4245v</v>
      </c>
      <c r="B4247" t="s">
        <v>342</v>
      </c>
      <c r="C4247" t="s">
        <v>447</v>
      </c>
      <c r="D4247" s="2" t="s">
        <v>448</v>
      </c>
      <c r="E4247" t="s">
        <v>439</v>
      </c>
      <c r="F4247" s="11">
        <v>44314</v>
      </c>
      <c r="G4247" s="14">
        <f t="array" ref="G4247">VLOOKUP(E4247,Produtos!$A:$E,5,FALSE)</f>
        <v>1800</v>
      </c>
      <c r="H4247" s="14">
        <f>VLOOKUP(E4247,Produtos!$A:$E,4,FALSE)</f>
        <v>1000</v>
      </c>
      <c r="I4247" s="2">
        <v>1</v>
      </c>
    </row>
    <row r="4248" spans="1:9" x14ac:dyDescent="0.25">
      <c r="A4248" s="2" t="str">
        <f>CONCATENATE(Códigos!S4247,Códigos!T4247,Códigos!U4247)</f>
        <v>svv4246v</v>
      </c>
      <c r="B4248" t="s">
        <v>342</v>
      </c>
      <c r="C4248" t="s">
        <v>447</v>
      </c>
      <c r="D4248" s="2" t="s">
        <v>448</v>
      </c>
      <c r="E4248" t="s">
        <v>439</v>
      </c>
      <c r="F4248" s="11">
        <v>44315</v>
      </c>
      <c r="G4248" s="14">
        <f t="array" ref="G4248">VLOOKUP(E4248,Produtos!$A:$E,5,FALSE)</f>
        <v>1800</v>
      </c>
      <c r="H4248" s="14">
        <f>VLOOKUP(E4248,Produtos!$A:$E,4,FALSE)</f>
        <v>1000</v>
      </c>
      <c r="I4248" s="2">
        <v>1</v>
      </c>
    </row>
    <row r="4249" spans="1:9" x14ac:dyDescent="0.25">
      <c r="A4249" s="2" t="str">
        <f>CONCATENATE(Códigos!S4248,Códigos!T4248,Códigos!U4248)</f>
        <v>svv4247v</v>
      </c>
      <c r="B4249" t="s">
        <v>342</v>
      </c>
      <c r="C4249" t="s">
        <v>447</v>
      </c>
      <c r="D4249" s="2" t="s">
        <v>448</v>
      </c>
      <c r="E4249" t="s">
        <v>439</v>
      </c>
      <c r="F4249" s="11">
        <v>44316</v>
      </c>
      <c r="G4249" s="14">
        <f t="array" ref="G4249">VLOOKUP(E4249,Produtos!$A:$E,5,FALSE)</f>
        <v>1800</v>
      </c>
      <c r="H4249" s="14">
        <f>VLOOKUP(E4249,Produtos!$A:$E,4,FALSE)</f>
        <v>1000</v>
      </c>
      <c r="I4249" s="2">
        <v>1</v>
      </c>
    </row>
    <row r="4250" spans="1:9" x14ac:dyDescent="0.25">
      <c r="A4250" s="2" t="str">
        <f>CONCATENATE(Códigos!S4249,Códigos!T4249,Códigos!U4249)</f>
        <v>svv4248v</v>
      </c>
      <c r="B4250" t="s">
        <v>342</v>
      </c>
      <c r="C4250" t="s">
        <v>447</v>
      </c>
      <c r="D4250" s="2" t="s">
        <v>448</v>
      </c>
      <c r="E4250" t="s">
        <v>439</v>
      </c>
      <c r="F4250" s="11">
        <v>44317</v>
      </c>
      <c r="G4250" s="14">
        <f t="array" ref="G4250">VLOOKUP(E4250,Produtos!$A:$E,5,FALSE)</f>
        <v>1800</v>
      </c>
      <c r="H4250" s="14">
        <f>VLOOKUP(E4250,Produtos!$A:$E,4,FALSE)</f>
        <v>1000</v>
      </c>
      <c r="I4250" s="2">
        <v>2</v>
      </c>
    </row>
    <row r="4251" spans="1:9" x14ac:dyDescent="0.25">
      <c r="A4251" s="2" t="str">
        <f>CONCATENATE(Códigos!S4250,Códigos!T4250,Códigos!U4250)</f>
        <v>svv4249v</v>
      </c>
      <c r="B4251" t="s">
        <v>342</v>
      </c>
      <c r="C4251" t="s">
        <v>447</v>
      </c>
      <c r="D4251" s="2" t="s">
        <v>448</v>
      </c>
      <c r="E4251" t="s">
        <v>439</v>
      </c>
      <c r="F4251" s="11">
        <v>44318</v>
      </c>
      <c r="G4251" s="14">
        <f t="array" ref="G4251">VLOOKUP(E4251,Produtos!$A:$E,5,FALSE)</f>
        <v>1800</v>
      </c>
      <c r="H4251" s="14">
        <f>VLOOKUP(E4251,Produtos!$A:$E,4,FALSE)</f>
        <v>1000</v>
      </c>
      <c r="I4251" s="2">
        <v>2</v>
      </c>
    </row>
    <row r="4252" spans="1:9" x14ac:dyDescent="0.25">
      <c r="A4252" s="2" t="str">
        <f>CONCATENATE(Códigos!S4251,Códigos!T4251,Códigos!U4251)</f>
        <v>svv4250v</v>
      </c>
      <c r="B4252" t="s">
        <v>342</v>
      </c>
      <c r="C4252" t="s">
        <v>447</v>
      </c>
      <c r="D4252" s="2" t="s">
        <v>448</v>
      </c>
      <c r="E4252" t="s">
        <v>439</v>
      </c>
      <c r="F4252" s="11">
        <v>44319</v>
      </c>
      <c r="G4252" s="14">
        <f t="array" ref="G4252">VLOOKUP(E4252,Produtos!$A:$E,5,FALSE)</f>
        <v>1800</v>
      </c>
      <c r="H4252" s="14">
        <f>VLOOKUP(E4252,Produtos!$A:$E,4,FALSE)</f>
        <v>1000</v>
      </c>
      <c r="I4252" s="2">
        <v>2</v>
      </c>
    </row>
    <row r="4253" spans="1:9" x14ac:dyDescent="0.25">
      <c r="A4253" s="2" t="str">
        <f>CONCATENATE(Códigos!S4252,Códigos!T4252,Códigos!U4252)</f>
        <v>svv4251v</v>
      </c>
      <c r="B4253" t="s">
        <v>342</v>
      </c>
      <c r="C4253" t="s">
        <v>447</v>
      </c>
      <c r="D4253" s="2" t="s">
        <v>448</v>
      </c>
      <c r="E4253" t="s">
        <v>439</v>
      </c>
      <c r="F4253" s="11">
        <v>44320</v>
      </c>
      <c r="G4253" s="14">
        <f t="array" ref="G4253">VLOOKUP(E4253,Produtos!$A:$E,5,FALSE)</f>
        <v>1800</v>
      </c>
      <c r="H4253" s="14">
        <f>VLOOKUP(E4253,Produtos!$A:$E,4,FALSE)</f>
        <v>1000</v>
      </c>
      <c r="I4253" s="2">
        <v>2</v>
      </c>
    </row>
    <row r="4254" spans="1:9" x14ac:dyDescent="0.25">
      <c r="A4254" s="2" t="str">
        <f>CONCATENATE(Códigos!S4253,Códigos!T4253,Códigos!U4253)</f>
        <v>svv4252v</v>
      </c>
      <c r="B4254" t="s">
        <v>342</v>
      </c>
      <c r="C4254" t="s">
        <v>447</v>
      </c>
      <c r="D4254" s="2" t="s">
        <v>448</v>
      </c>
      <c r="E4254" t="s">
        <v>439</v>
      </c>
      <c r="F4254" s="11">
        <v>44321</v>
      </c>
      <c r="G4254" s="14">
        <f t="array" ref="G4254">VLOOKUP(E4254,Produtos!$A:$E,5,FALSE)</f>
        <v>1800</v>
      </c>
      <c r="H4254" s="14">
        <f>VLOOKUP(E4254,Produtos!$A:$E,4,FALSE)</f>
        <v>1000</v>
      </c>
      <c r="I4254" s="2">
        <v>2</v>
      </c>
    </row>
    <row r="4255" spans="1:9" x14ac:dyDescent="0.25">
      <c r="A4255" s="2" t="str">
        <f>CONCATENATE(Códigos!S4254,Códigos!T4254,Códigos!U4254)</f>
        <v>svv4253v</v>
      </c>
      <c r="B4255" t="s">
        <v>342</v>
      </c>
      <c r="C4255" t="s">
        <v>447</v>
      </c>
      <c r="D4255" s="2" t="s">
        <v>448</v>
      </c>
      <c r="E4255" t="s">
        <v>439</v>
      </c>
      <c r="F4255" s="11">
        <v>44322</v>
      </c>
      <c r="G4255" s="14">
        <f t="array" ref="G4255">VLOOKUP(E4255,Produtos!$A:$E,5,FALSE)</f>
        <v>1800</v>
      </c>
      <c r="H4255" s="14">
        <f>VLOOKUP(E4255,Produtos!$A:$E,4,FALSE)</f>
        <v>1000</v>
      </c>
      <c r="I4255" s="2">
        <v>2</v>
      </c>
    </row>
    <row r="4256" spans="1:9" x14ac:dyDescent="0.25">
      <c r="A4256" s="2" t="str">
        <f>CONCATENATE(Códigos!S4255,Códigos!T4255,Códigos!U4255)</f>
        <v>svv4254v</v>
      </c>
      <c r="B4256" t="s">
        <v>342</v>
      </c>
      <c r="C4256" t="s">
        <v>447</v>
      </c>
      <c r="D4256" s="2" t="s">
        <v>448</v>
      </c>
      <c r="E4256" t="s">
        <v>439</v>
      </c>
      <c r="F4256" s="11">
        <v>44323</v>
      </c>
      <c r="G4256" s="14">
        <f t="array" ref="G4256">VLOOKUP(E4256,Produtos!$A:$E,5,FALSE)</f>
        <v>1800</v>
      </c>
      <c r="H4256" s="14">
        <f>VLOOKUP(E4256,Produtos!$A:$E,4,FALSE)</f>
        <v>1000</v>
      </c>
      <c r="I4256" s="2">
        <v>2</v>
      </c>
    </row>
    <row r="4257" spans="1:9" x14ac:dyDescent="0.25">
      <c r="A4257" s="2" t="str">
        <f>CONCATENATE(Códigos!S4256,Códigos!T4256,Códigos!U4256)</f>
        <v>svv4255v</v>
      </c>
      <c r="B4257" t="s">
        <v>342</v>
      </c>
      <c r="C4257" t="s">
        <v>447</v>
      </c>
      <c r="D4257" s="2" t="s">
        <v>448</v>
      </c>
      <c r="E4257" t="s">
        <v>439</v>
      </c>
      <c r="F4257" s="11">
        <v>44324</v>
      </c>
      <c r="G4257" s="14">
        <f t="array" ref="G4257">VLOOKUP(E4257,Produtos!$A:$E,5,FALSE)</f>
        <v>1800</v>
      </c>
      <c r="H4257" s="14">
        <f>VLOOKUP(E4257,Produtos!$A:$E,4,FALSE)</f>
        <v>1000</v>
      </c>
      <c r="I4257" s="2">
        <v>2</v>
      </c>
    </row>
    <row r="4258" spans="1:9" x14ac:dyDescent="0.25">
      <c r="A4258" s="2" t="str">
        <f>CONCATENATE(Códigos!S4257,Códigos!T4257,Códigos!U4257)</f>
        <v>svv4256v</v>
      </c>
      <c r="B4258" t="s">
        <v>342</v>
      </c>
      <c r="C4258" t="s">
        <v>447</v>
      </c>
      <c r="D4258" s="2" t="s">
        <v>448</v>
      </c>
      <c r="E4258" t="s">
        <v>439</v>
      </c>
      <c r="F4258" s="11">
        <v>44325</v>
      </c>
      <c r="G4258" s="14">
        <f t="array" ref="G4258">VLOOKUP(E4258,Produtos!$A:$E,5,FALSE)</f>
        <v>1800</v>
      </c>
      <c r="H4258" s="14">
        <f>VLOOKUP(E4258,Produtos!$A:$E,4,FALSE)</f>
        <v>1000</v>
      </c>
      <c r="I4258" s="2">
        <v>2</v>
      </c>
    </row>
    <row r="4259" spans="1:9" x14ac:dyDescent="0.25">
      <c r="A4259" s="2" t="str">
        <f>CONCATENATE(Códigos!S4258,Códigos!T4258,Códigos!U4258)</f>
        <v>svv4257v</v>
      </c>
      <c r="B4259" t="s">
        <v>342</v>
      </c>
      <c r="C4259" t="s">
        <v>447</v>
      </c>
      <c r="D4259" s="2" t="s">
        <v>448</v>
      </c>
      <c r="E4259" t="s">
        <v>439</v>
      </c>
      <c r="F4259" s="11">
        <v>44326</v>
      </c>
      <c r="G4259" s="14">
        <f t="array" ref="G4259">VLOOKUP(E4259,Produtos!$A:$E,5,FALSE)</f>
        <v>1800</v>
      </c>
      <c r="H4259" s="14">
        <f>VLOOKUP(E4259,Produtos!$A:$E,4,FALSE)</f>
        <v>1000</v>
      </c>
      <c r="I4259" s="2">
        <v>2</v>
      </c>
    </row>
    <row r="4260" spans="1:9" x14ac:dyDescent="0.25">
      <c r="A4260" s="2" t="str">
        <f>CONCATENATE(Códigos!S4259,Códigos!T4259,Códigos!U4259)</f>
        <v>svv4258v</v>
      </c>
      <c r="B4260" t="s">
        <v>342</v>
      </c>
      <c r="C4260" t="s">
        <v>447</v>
      </c>
      <c r="D4260" s="2" t="s">
        <v>448</v>
      </c>
      <c r="E4260" t="s">
        <v>439</v>
      </c>
      <c r="F4260" s="11">
        <v>44327</v>
      </c>
      <c r="G4260" s="14">
        <f t="array" ref="G4260">VLOOKUP(E4260,Produtos!$A:$E,5,FALSE)</f>
        <v>1800</v>
      </c>
      <c r="H4260" s="14">
        <f>VLOOKUP(E4260,Produtos!$A:$E,4,FALSE)</f>
        <v>1000</v>
      </c>
      <c r="I4260" s="2">
        <v>2</v>
      </c>
    </row>
    <row r="4261" spans="1:9" x14ac:dyDescent="0.25">
      <c r="A4261" s="2" t="str">
        <f>CONCATENATE(Códigos!S4260,Códigos!T4260,Códigos!U4260)</f>
        <v>svv4259v</v>
      </c>
      <c r="B4261" t="s">
        <v>342</v>
      </c>
      <c r="C4261" t="s">
        <v>447</v>
      </c>
      <c r="D4261" s="2" t="s">
        <v>448</v>
      </c>
      <c r="E4261" t="s">
        <v>436</v>
      </c>
      <c r="F4261" s="11">
        <v>44328</v>
      </c>
      <c r="G4261" s="14">
        <f t="array" ref="G4261">VLOOKUP(E4261,Produtos!$A:$E,5,FALSE)</f>
        <v>1000</v>
      </c>
      <c r="H4261" s="14">
        <f>VLOOKUP(E4261,Produtos!$A:$E,4,FALSE)</f>
        <v>600</v>
      </c>
      <c r="I4261" s="2">
        <v>2</v>
      </c>
    </row>
    <row r="4262" spans="1:9" x14ac:dyDescent="0.25">
      <c r="A4262" s="2" t="str">
        <f>CONCATENATE(Códigos!S4261,Códigos!T4261,Códigos!U4261)</f>
        <v>svv4260v</v>
      </c>
      <c r="B4262" t="s">
        <v>342</v>
      </c>
      <c r="C4262" t="s">
        <v>447</v>
      </c>
      <c r="D4262" s="2" t="s">
        <v>448</v>
      </c>
      <c r="E4262" t="s">
        <v>436</v>
      </c>
      <c r="F4262" s="11">
        <v>44329</v>
      </c>
      <c r="G4262" s="14">
        <f t="array" ref="G4262">VLOOKUP(E4262,Produtos!$A:$E,5,FALSE)</f>
        <v>1000</v>
      </c>
      <c r="H4262" s="14">
        <f>VLOOKUP(E4262,Produtos!$A:$E,4,FALSE)</f>
        <v>600</v>
      </c>
      <c r="I4262" s="2">
        <v>2</v>
      </c>
    </row>
    <row r="4263" spans="1:9" x14ac:dyDescent="0.25">
      <c r="A4263" s="2" t="str">
        <f>CONCATENATE(Códigos!S4262,Códigos!T4262,Códigos!U4262)</f>
        <v>svv4261v</v>
      </c>
      <c r="B4263" t="s">
        <v>342</v>
      </c>
      <c r="C4263" t="s">
        <v>447</v>
      </c>
      <c r="D4263" s="2" t="s">
        <v>448</v>
      </c>
      <c r="E4263" t="s">
        <v>443</v>
      </c>
      <c r="F4263" s="11">
        <v>44330</v>
      </c>
      <c r="G4263" s="14">
        <f t="array" ref="G4263">VLOOKUP(E4263,Produtos!$A:$E,5,FALSE)</f>
        <v>1300</v>
      </c>
      <c r="H4263" s="14">
        <f>VLOOKUP(E4263,Produtos!$A:$E,4,FALSE)</f>
        <v>800</v>
      </c>
      <c r="I4263" s="2">
        <v>2</v>
      </c>
    </row>
    <row r="4264" spans="1:9" x14ac:dyDescent="0.25">
      <c r="A4264" s="2" t="str">
        <f>CONCATENATE(Códigos!S4263,Códigos!T4263,Códigos!U4263)</f>
        <v>svv4262v</v>
      </c>
      <c r="B4264" t="s">
        <v>342</v>
      </c>
      <c r="C4264" t="s">
        <v>447</v>
      </c>
      <c r="D4264" s="2" t="s">
        <v>448</v>
      </c>
      <c r="E4264" t="s">
        <v>443</v>
      </c>
      <c r="F4264" s="11">
        <v>44331</v>
      </c>
      <c r="G4264" s="14">
        <f t="array" ref="G4264">VLOOKUP(E4264,Produtos!$A:$E,5,FALSE)</f>
        <v>1300</v>
      </c>
      <c r="H4264" s="14">
        <f>VLOOKUP(E4264,Produtos!$A:$E,4,FALSE)</f>
        <v>800</v>
      </c>
      <c r="I4264" s="2">
        <v>2</v>
      </c>
    </row>
    <row r="4265" spans="1:9" x14ac:dyDescent="0.25">
      <c r="A4265" s="2" t="str">
        <f>CONCATENATE(Códigos!S4264,Códigos!T4264,Códigos!U4264)</f>
        <v>svv4263v</v>
      </c>
      <c r="B4265" t="s">
        <v>342</v>
      </c>
      <c r="C4265" t="s">
        <v>447</v>
      </c>
      <c r="D4265" s="2" t="s">
        <v>448</v>
      </c>
      <c r="E4265" t="s">
        <v>443</v>
      </c>
      <c r="F4265" s="11">
        <v>44332</v>
      </c>
      <c r="G4265" s="14">
        <f t="array" ref="G4265">VLOOKUP(E4265,Produtos!$A:$E,5,FALSE)</f>
        <v>1300</v>
      </c>
      <c r="H4265" s="14">
        <f>VLOOKUP(E4265,Produtos!$A:$E,4,FALSE)</f>
        <v>800</v>
      </c>
      <c r="I4265" s="2">
        <v>2</v>
      </c>
    </row>
    <row r="4266" spans="1:9" x14ac:dyDescent="0.25">
      <c r="A4266" s="2" t="str">
        <f>CONCATENATE(Códigos!S4265,Códigos!T4265,Códigos!U4265)</f>
        <v>svv4264v</v>
      </c>
      <c r="B4266" t="s">
        <v>342</v>
      </c>
      <c r="C4266" t="s">
        <v>447</v>
      </c>
      <c r="D4266" s="2" t="s">
        <v>448</v>
      </c>
      <c r="E4266" t="s">
        <v>443</v>
      </c>
      <c r="F4266" s="11">
        <v>44333</v>
      </c>
      <c r="G4266" s="14">
        <f t="array" ref="G4266">VLOOKUP(E4266,Produtos!$A:$E,5,FALSE)</f>
        <v>1300</v>
      </c>
      <c r="H4266" s="14">
        <f>VLOOKUP(E4266,Produtos!$A:$E,4,FALSE)</f>
        <v>800</v>
      </c>
      <c r="I4266" s="2">
        <v>2</v>
      </c>
    </row>
    <row r="4267" spans="1:9" x14ac:dyDescent="0.25">
      <c r="A4267" s="2" t="str">
        <f>CONCATENATE(Códigos!S4266,Códigos!T4266,Códigos!U4266)</f>
        <v>svv4265v</v>
      </c>
      <c r="B4267" t="s">
        <v>342</v>
      </c>
      <c r="C4267" t="s">
        <v>447</v>
      </c>
      <c r="D4267" s="2" t="s">
        <v>448</v>
      </c>
      <c r="E4267" t="s">
        <v>443</v>
      </c>
      <c r="F4267" s="11">
        <v>44334</v>
      </c>
      <c r="G4267" s="14">
        <f t="array" ref="G4267">VLOOKUP(E4267,Produtos!$A:$E,5,FALSE)</f>
        <v>1300</v>
      </c>
      <c r="H4267" s="14">
        <f>VLOOKUP(E4267,Produtos!$A:$E,4,FALSE)</f>
        <v>800</v>
      </c>
      <c r="I4267" s="2">
        <v>2</v>
      </c>
    </row>
    <row r="4268" spans="1:9" x14ac:dyDescent="0.25">
      <c r="A4268" s="2" t="str">
        <f>CONCATENATE(Códigos!S4267,Códigos!T4267,Códigos!U4267)</f>
        <v>svv4266v</v>
      </c>
      <c r="B4268" t="s">
        <v>342</v>
      </c>
      <c r="C4268" t="s">
        <v>447</v>
      </c>
      <c r="D4268" s="2" t="s">
        <v>448</v>
      </c>
      <c r="E4268" t="s">
        <v>443</v>
      </c>
      <c r="F4268" s="11">
        <v>44335</v>
      </c>
      <c r="G4268" s="14">
        <f t="array" ref="G4268">VLOOKUP(E4268,Produtos!$A:$E,5,FALSE)</f>
        <v>1300</v>
      </c>
      <c r="H4268" s="14">
        <f>VLOOKUP(E4268,Produtos!$A:$E,4,FALSE)</f>
        <v>800</v>
      </c>
      <c r="I4268" s="2">
        <v>2</v>
      </c>
    </row>
    <row r="4269" spans="1:9" x14ac:dyDescent="0.25">
      <c r="A4269" s="2" t="str">
        <f>CONCATENATE(Códigos!S4268,Códigos!T4268,Códigos!U4268)</f>
        <v>svv4267v</v>
      </c>
      <c r="B4269" t="s">
        <v>342</v>
      </c>
      <c r="C4269" t="s">
        <v>447</v>
      </c>
      <c r="D4269" s="2" t="s">
        <v>448</v>
      </c>
      <c r="E4269" t="s">
        <v>443</v>
      </c>
      <c r="F4269" s="11">
        <v>44336</v>
      </c>
      <c r="G4269" s="14">
        <f t="array" ref="G4269">VLOOKUP(E4269,Produtos!$A:$E,5,FALSE)</f>
        <v>1300</v>
      </c>
      <c r="H4269" s="14">
        <f>VLOOKUP(E4269,Produtos!$A:$E,4,FALSE)</f>
        <v>800</v>
      </c>
      <c r="I4269" s="2">
        <v>2</v>
      </c>
    </row>
    <row r="4270" spans="1:9" x14ac:dyDescent="0.25">
      <c r="A4270" s="2" t="str">
        <f>CONCATENATE(Códigos!S4269,Códigos!T4269,Códigos!U4269)</f>
        <v>svv4268v</v>
      </c>
      <c r="B4270" t="s">
        <v>342</v>
      </c>
      <c r="C4270" t="s">
        <v>447</v>
      </c>
      <c r="D4270" s="2" t="s">
        <v>448</v>
      </c>
      <c r="E4270" t="s">
        <v>443</v>
      </c>
      <c r="F4270" s="11">
        <v>44337</v>
      </c>
      <c r="G4270" s="14">
        <f t="array" ref="G4270">VLOOKUP(E4270,Produtos!$A:$E,5,FALSE)</f>
        <v>1300</v>
      </c>
      <c r="H4270" s="14">
        <f>VLOOKUP(E4270,Produtos!$A:$E,4,FALSE)</f>
        <v>800</v>
      </c>
      <c r="I4270" s="2">
        <v>2</v>
      </c>
    </row>
    <row r="4271" spans="1:9" x14ac:dyDescent="0.25">
      <c r="A4271" s="2" t="str">
        <f>CONCATENATE(Códigos!S4270,Códigos!T4270,Códigos!U4270)</f>
        <v>svv4269v</v>
      </c>
      <c r="B4271" t="s">
        <v>342</v>
      </c>
      <c r="C4271" t="s">
        <v>447</v>
      </c>
      <c r="D4271" s="2" t="s">
        <v>448</v>
      </c>
      <c r="E4271" t="s">
        <v>443</v>
      </c>
      <c r="F4271" s="11">
        <v>44338</v>
      </c>
      <c r="G4271" s="14">
        <f t="array" ref="G4271">VLOOKUP(E4271,Produtos!$A:$E,5,FALSE)</f>
        <v>1300</v>
      </c>
      <c r="H4271" s="14">
        <f>VLOOKUP(E4271,Produtos!$A:$E,4,FALSE)</f>
        <v>800</v>
      </c>
      <c r="I4271" s="2">
        <v>2</v>
      </c>
    </row>
    <row r="4272" spans="1:9" x14ac:dyDescent="0.25">
      <c r="A4272" s="2" t="str">
        <f>CONCATENATE(Códigos!S4271,Códigos!T4271,Códigos!U4271)</f>
        <v>svv4270v</v>
      </c>
      <c r="B4272" t="s">
        <v>342</v>
      </c>
      <c r="C4272" t="s">
        <v>447</v>
      </c>
      <c r="D4272" s="2" t="s">
        <v>448</v>
      </c>
      <c r="E4272" t="s">
        <v>443</v>
      </c>
      <c r="F4272" s="11">
        <v>44339</v>
      </c>
      <c r="G4272" s="14">
        <f t="array" ref="G4272">VLOOKUP(E4272,Produtos!$A:$E,5,FALSE)</f>
        <v>1300</v>
      </c>
      <c r="H4272" s="14">
        <f>VLOOKUP(E4272,Produtos!$A:$E,4,FALSE)</f>
        <v>800</v>
      </c>
      <c r="I4272" s="2">
        <v>2</v>
      </c>
    </row>
    <row r="4273" spans="1:9" x14ac:dyDescent="0.25">
      <c r="A4273" s="2" t="str">
        <f>CONCATENATE(Códigos!S4272,Códigos!T4272,Códigos!U4272)</f>
        <v>svv4271v</v>
      </c>
      <c r="B4273" t="s">
        <v>342</v>
      </c>
      <c r="C4273" t="s">
        <v>447</v>
      </c>
      <c r="D4273" s="2" t="s">
        <v>448</v>
      </c>
      <c r="E4273" t="s">
        <v>443</v>
      </c>
      <c r="F4273" s="11">
        <v>44340</v>
      </c>
      <c r="G4273" s="14">
        <f t="array" ref="G4273">VLOOKUP(E4273,Produtos!$A:$E,5,FALSE)</f>
        <v>1300</v>
      </c>
      <c r="H4273" s="14">
        <f>VLOOKUP(E4273,Produtos!$A:$E,4,FALSE)</f>
        <v>800</v>
      </c>
      <c r="I4273" s="2">
        <v>2</v>
      </c>
    </row>
    <row r="4274" spans="1:9" x14ac:dyDescent="0.25">
      <c r="A4274" s="2" t="str">
        <f>CONCATENATE(Códigos!S4273,Códigos!T4273,Códigos!U4273)</f>
        <v>svv4272v</v>
      </c>
      <c r="B4274" t="s">
        <v>342</v>
      </c>
      <c r="C4274" t="s">
        <v>447</v>
      </c>
      <c r="D4274" s="2" t="s">
        <v>448</v>
      </c>
      <c r="E4274" t="s">
        <v>443</v>
      </c>
      <c r="F4274" s="11">
        <v>44341</v>
      </c>
      <c r="G4274" s="14">
        <f t="array" ref="G4274">VLOOKUP(E4274,Produtos!$A:$E,5,FALSE)</f>
        <v>1300</v>
      </c>
      <c r="H4274" s="14">
        <f>VLOOKUP(E4274,Produtos!$A:$E,4,FALSE)</f>
        <v>800</v>
      </c>
      <c r="I4274" s="2">
        <v>2</v>
      </c>
    </row>
    <row r="4275" spans="1:9" x14ac:dyDescent="0.25">
      <c r="A4275" s="2" t="str">
        <f>CONCATENATE(Códigos!S4274,Códigos!T4274,Códigos!U4274)</f>
        <v>svv4273v</v>
      </c>
      <c r="B4275" t="s">
        <v>342</v>
      </c>
      <c r="C4275" t="s">
        <v>447</v>
      </c>
      <c r="D4275" s="2" t="s">
        <v>448</v>
      </c>
      <c r="E4275" t="s">
        <v>443</v>
      </c>
      <c r="F4275" s="11">
        <v>44342</v>
      </c>
      <c r="G4275" s="14">
        <f t="array" ref="G4275">VLOOKUP(E4275,Produtos!$A:$E,5,FALSE)</f>
        <v>1300</v>
      </c>
      <c r="H4275" s="14">
        <f>VLOOKUP(E4275,Produtos!$A:$E,4,FALSE)</f>
        <v>800</v>
      </c>
      <c r="I4275" s="2">
        <v>2</v>
      </c>
    </row>
    <row r="4276" spans="1:9" x14ac:dyDescent="0.25">
      <c r="A4276" s="2" t="str">
        <f>CONCATENATE(Códigos!S4275,Códigos!T4275,Códigos!U4275)</f>
        <v>svv4274v</v>
      </c>
      <c r="B4276" t="s">
        <v>342</v>
      </c>
      <c r="C4276" t="s">
        <v>447</v>
      </c>
      <c r="D4276" s="2" t="s">
        <v>448</v>
      </c>
      <c r="E4276" t="s">
        <v>443</v>
      </c>
      <c r="F4276" s="11">
        <v>44343</v>
      </c>
      <c r="G4276" s="14">
        <f t="array" ref="G4276">VLOOKUP(E4276,Produtos!$A:$E,5,FALSE)</f>
        <v>1300</v>
      </c>
      <c r="H4276" s="14">
        <f>VLOOKUP(E4276,Produtos!$A:$E,4,FALSE)</f>
        <v>800</v>
      </c>
      <c r="I4276" s="2">
        <v>2</v>
      </c>
    </row>
    <row r="4277" spans="1:9" x14ac:dyDescent="0.25">
      <c r="A4277" s="2" t="str">
        <f>CONCATENATE(Códigos!S4276,Códigos!T4276,Códigos!U4276)</f>
        <v>svv4275v</v>
      </c>
      <c r="B4277" t="s">
        <v>342</v>
      </c>
      <c r="C4277" t="s">
        <v>447</v>
      </c>
      <c r="D4277" s="2" t="s">
        <v>448</v>
      </c>
      <c r="E4277" t="s">
        <v>443</v>
      </c>
      <c r="F4277" s="11">
        <v>44344</v>
      </c>
      <c r="G4277" s="14">
        <f t="array" ref="G4277">VLOOKUP(E4277,Produtos!$A:$E,5,FALSE)</f>
        <v>1300</v>
      </c>
      <c r="H4277" s="14">
        <f>VLOOKUP(E4277,Produtos!$A:$E,4,FALSE)</f>
        <v>800</v>
      </c>
      <c r="I4277" s="2">
        <v>2</v>
      </c>
    </row>
    <row r="4278" spans="1:9" x14ac:dyDescent="0.25">
      <c r="A4278" s="2" t="str">
        <f>CONCATENATE(Códigos!S4277,Códigos!T4277,Códigos!U4277)</f>
        <v>svv4276v</v>
      </c>
      <c r="B4278" t="s">
        <v>342</v>
      </c>
      <c r="C4278" t="s">
        <v>447</v>
      </c>
      <c r="D4278" s="2" t="s">
        <v>448</v>
      </c>
      <c r="E4278" t="s">
        <v>443</v>
      </c>
      <c r="F4278" s="11">
        <v>44345</v>
      </c>
      <c r="G4278" s="14">
        <f t="array" ref="G4278">VLOOKUP(E4278,Produtos!$A:$E,5,FALSE)</f>
        <v>1300</v>
      </c>
      <c r="H4278" s="14">
        <f>VLOOKUP(E4278,Produtos!$A:$E,4,FALSE)</f>
        <v>800</v>
      </c>
      <c r="I4278" s="2">
        <v>2</v>
      </c>
    </row>
    <row r="4279" spans="1:9" x14ac:dyDescent="0.25">
      <c r="A4279" s="2" t="str">
        <f>CONCATENATE(Códigos!S4278,Códigos!T4278,Códigos!U4278)</f>
        <v>svv4277v</v>
      </c>
      <c r="B4279" t="s">
        <v>342</v>
      </c>
      <c r="C4279" t="s">
        <v>447</v>
      </c>
      <c r="D4279" s="2" t="s">
        <v>448</v>
      </c>
      <c r="E4279" t="s">
        <v>443</v>
      </c>
      <c r="F4279" s="11">
        <v>44346</v>
      </c>
      <c r="G4279" s="14">
        <f t="array" ref="G4279">VLOOKUP(E4279,Produtos!$A:$E,5,FALSE)</f>
        <v>1300</v>
      </c>
      <c r="H4279" s="14">
        <f>VLOOKUP(E4279,Produtos!$A:$E,4,FALSE)</f>
        <v>800</v>
      </c>
      <c r="I4279" s="2">
        <v>2</v>
      </c>
    </row>
    <row r="4280" spans="1:9" x14ac:dyDescent="0.25">
      <c r="A4280" s="2" t="str">
        <f>CONCATENATE(Códigos!S4279,Códigos!T4279,Códigos!U4279)</f>
        <v>svv4278v</v>
      </c>
      <c r="B4280" t="s">
        <v>342</v>
      </c>
      <c r="C4280" t="s">
        <v>447</v>
      </c>
      <c r="D4280" s="2" t="s">
        <v>448</v>
      </c>
      <c r="E4280" t="s">
        <v>449</v>
      </c>
      <c r="F4280" s="11">
        <v>44347</v>
      </c>
      <c r="G4280" s="14">
        <f t="array" ref="G4280">VLOOKUP(E4280,Produtos!$A:$E,5,FALSE)</f>
        <v>800</v>
      </c>
      <c r="H4280" s="14">
        <f>VLOOKUP(E4280,Produtos!$A:$E,4,FALSE)</f>
        <v>300</v>
      </c>
      <c r="I4280" s="2">
        <v>2</v>
      </c>
    </row>
    <row r="4281" spans="1:9" x14ac:dyDescent="0.25">
      <c r="A4281" s="2" t="str">
        <f>CONCATENATE(Códigos!S4280,Códigos!T4280,Códigos!U4280)</f>
        <v>svv4279v</v>
      </c>
      <c r="B4281" t="s">
        <v>342</v>
      </c>
      <c r="C4281" t="s">
        <v>447</v>
      </c>
      <c r="D4281" s="2" t="s">
        <v>448</v>
      </c>
      <c r="E4281" t="s">
        <v>449</v>
      </c>
      <c r="F4281" s="11">
        <v>44348</v>
      </c>
      <c r="G4281" s="14">
        <f t="array" ref="G4281">VLOOKUP(E4281,Produtos!$A:$E,5,FALSE)</f>
        <v>800</v>
      </c>
      <c r="H4281" s="14">
        <f>VLOOKUP(E4281,Produtos!$A:$E,4,FALSE)</f>
        <v>300</v>
      </c>
      <c r="I4281" s="2">
        <v>2</v>
      </c>
    </row>
    <row r="4282" spans="1:9" x14ac:dyDescent="0.25">
      <c r="A4282" s="2" t="str">
        <f>CONCATENATE(Códigos!S4281,Códigos!T4281,Códigos!U4281)</f>
        <v>svv4280v</v>
      </c>
      <c r="B4282" t="s">
        <v>342</v>
      </c>
      <c r="C4282" t="s">
        <v>447</v>
      </c>
      <c r="D4282" s="2" t="s">
        <v>448</v>
      </c>
      <c r="E4282" t="s">
        <v>449</v>
      </c>
      <c r="F4282" s="11">
        <v>44349</v>
      </c>
      <c r="G4282" s="14">
        <f t="array" ref="G4282">VLOOKUP(E4282,Produtos!$A:$E,5,FALSE)</f>
        <v>800</v>
      </c>
      <c r="H4282" s="14">
        <f>VLOOKUP(E4282,Produtos!$A:$E,4,FALSE)</f>
        <v>300</v>
      </c>
      <c r="I4282" s="2">
        <v>2</v>
      </c>
    </row>
    <row r="4283" spans="1:9" x14ac:dyDescent="0.25">
      <c r="A4283" s="2" t="str">
        <f>CONCATENATE(Códigos!S4282,Códigos!T4282,Códigos!U4282)</f>
        <v>svv4281v</v>
      </c>
      <c r="B4283" t="s">
        <v>342</v>
      </c>
      <c r="C4283" t="s">
        <v>447</v>
      </c>
      <c r="D4283" s="2" t="s">
        <v>448</v>
      </c>
      <c r="E4283" t="s">
        <v>449</v>
      </c>
      <c r="F4283" s="11">
        <v>44350</v>
      </c>
      <c r="G4283" s="14">
        <f t="array" ref="G4283">VLOOKUP(E4283,Produtos!$A:$E,5,FALSE)</f>
        <v>800</v>
      </c>
      <c r="H4283" s="14">
        <f>VLOOKUP(E4283,Produtos!$A:$E,4,FALSE)</f>
        <v>300</v>
      </c>
      <c r="I4283" s="2">
        <v>2</v>
      </c>
    </row>
    <row r="4284" spans="1:9" x14ac:dyDescent="0.25">
      <c r="A4284" s="2" t="str">
        <f>CONCATENATE(Códigos!S4283,Códigos!T4283,Códigos!U4283)</f>
        <v>svv4282v</v>
      </c>
      <c r="B4284" t="s">
        <v>342</v>
      </c>
      <c r="C4284" t="s">
        <v>447</v>
      </c>
      <c r="D4284" s="2" t="s">
        <v>448</v>
      </c>
      <c r="E4284" t="s">
        <v>449</v>
      </c>
      <c r="F4284" s="11">
        <v>44351</v>
      </c>
      <c r="G4284" s="14">
        <f t="array" ref="G4284">VLOOKUP(E4284,Produtos!$A:$E,5,FALSE)</f>
        <v>800</v>
      </c>
      <c r="H4284" s="14">
        <f>VLOOKUP(E4284,Produtos!$A:$E,4,FALSE)</f>
        <v>300</v>
      </c>
      <c r="I4284" s="2">
        <v>2</v>
      </c>
    </row>
    <row r="4285" spans="1:9" x14ac:dyDescent="0.25">
      <c r="A4285" s="2" t="str">
        <f>CONCATENATE(Códigos!S4284,Códigos!T4284,Códigos!U4284)</f>
        <v>svv4283v</v>
      </c>
      <c r="B4285" t="s">
        <v>342</v>
      </c>
      <c r="C4285" t="s">
        <v>447</v>
      </c>
      <c r="D4285" s="2" t="s">
        <v>448</v>
      </c>
      <c r="E4285" t="s">
        <v>449</v>
      </c>
      <c r="F4285" s="11">
        <v>44352</v>
      </c>
      <c r="G4285" s="14">
        <f t="array" ref="G4285">VLOOKUP(E4285,Produtos!$A:$E,5,FALSE)</f>
        <v>800</v>
      </c>
      <c r="H4285" s="14">
        <f>VLOOKUP(E4285,Produtos!$A:$E,4,FALSE)</f>
        <v>300</v>
      </c>
      <c r="I4285" s="2">
        <v>2</v>
      </c>
    </row>
    <row r="4286" spans="1:9" x14ac:dyDescent="0.25">
      <c r="A4286" s="2" t="str">
        <f>CONCATENATE(Códigos!S4285,Códigos!T4285,Códigos!U4285)</f>
        <v>svv4284v</v>
      </c>
      <c r="B4286" t="s">
        <v>342</v>
      </c>
      <c r="C4286" t="s">
        <v>447</v>
      </c>
      <c r="D4286" s="2" t="s">
        <v>448</v>
      </c>
      <c r="E4286" t="s">
        <v>449</v>
      </c>
      <c r="F4286" s="11">
        <v>44353</v>
      </c>
      <c r="G4286" s="14">
        <f t="array" ref="G4286">VLOOKUP(E4286,Produtos!$A:$E,5,FALSE)</f>
        <v>800</v>
      </c>
      <c r="H4286" s="14">
        <f>VLOOKUP(E4286,Produtos!$A:$E,4,FALSE)</f>
        <v>300</v>
      </c>
      <c r="I4286" s="2">
        <v>2</v>
      </c>
    </row>
    <row r="4287" spans="1:9" x14ac:dyDescent="0.25">
      <c r="A4287" s="2" t="str">
        <f>CONCATENATE(Códigos!S4286,Códigos!T4286,Códigos!U4286)</f>
        <v>svv4285v</v>
      </c>
      <c r="B4287" t="s">
        <v>342</v>
      </c>
      <c r="C4287" t="s">
        <v>447</v>
      </c>
      <c r="D4287" s="2" t="s">
        <v>448</v>
      </c>
      <c r="E4287" t="s">
        <v>449</v>
      </c>
      <c r="F4287" s="11">
        <v>44354</v>
      </c>
      <c r="G4287" s="14">
        <f t="array" ref="G4287">VLOOKUP(E4287,Produtos!$A:$E,5,FALSE)</f>
        <v>800</v>
      </c>
      <c r="H4287" s="14">
        <f>VLOOKUP(E4287,Produtos!$A:$E,4,FALSE)</f>
        <v>300</v>
      </c>
      <c r="I4287" s="2">
        <v>3</v>
      </c>
    </row>
    <row r="4288" spans="1:9" x14ac:dyDescent="0.25">
      <c r="A4288" s="2" t="str">
        <f>CONCATENATE(Códigos!S4287,Códigos!T4287,Códigos!U4287)</f>
        <v>svv4286v</v>
      </c>
      <c r="B4288" t="s">
        <v>342</v>
      </c>
      <c r="C4288" t="s">
        <v>447</v>
      </c>
      <c r="D4288" s="2" t="s">
        <v>448</v>
      </c>
      <c r="E4288" t="s">
        <v>449</v>
      </c>
      <c r="F4288" s="11">
        <v>44355</v>
      </c>
      <c r="G4288" s="14">
        <f t="array" ref="G4288">VLOOKUP(E4288,Produtos!$A:$E,5,FALSE)</f>
        <v>800</v>
      </c>
      <c r="H4288" s="14">
        <f>VLOOKUP(E4288,Produtos!$A:$E,4,FALSE)</f>
        <v>300</v>
      </c>
      <c r="I4288" s="2">
        <v>3</v>
      </c>
    </row>
    <row r="4289" spans="1:9" x14ac:dyDescent="0.25">
      <c r="A4289" s="2" t="str">
        <f>CONCATENATE(Códigos!S4288,Códigos!T4288,Códigos!U4288)</f>
        <v>svv4287v</v>
      </c>
      <c r="B4289" t="s">
        <v>341</v>
      </c>
      <c r="C4289" t="s">
        <v>447</v>
      </c>
      <c r="D4289" s="2" t="s">
        <v>448</v>
      </c>
      <c r="E4289" t="s">
        <v>449</v>
      </c>
      <c r="F4289" s="11">
        <v>44356</v>
      </c>
      <c r="G4289" s="14">
        <f t="array" ref="G4289">VLOOKUP(E4289,Produtos!$A:$E,5,FALSE)</f>
        <v>800</v>
      </c>
      <c r="H4289" s="14">
        <f>VLOOKUP(E4289,Produtos!$A:$E,4,FALSE)</f>
        <v>300</v>
      </c>
      <c r="I4289" s="2">
        <v>3</v>
      </c>
    </row>
    <row r="4290" spans="1:9" x14ac:dyDescent="0.25">
      <c r="A4290" s="2" t="str">
        <f>CONCATENATE(Códigos!S4289,Códigos!T4289,Códigos!U4289)</f>
        <v>svv4288v</v>
      </c>
      <c r="B4290" t="s">
        <v>341</v>
      </c>
      <c r="C4290" t="s">
        <v>447</v>
      </c>
      <c r="D4290" s="2" t="s">
        <v>448</v>
      </c>
      <c r="E4290" t="s">
        <v>449</v>
      </c>
      <c r="F4290" s="11">
        <v>44357</v>
      </c>
      <c r="G4290" s="14">
        <f t="array" ref="G4290">VLOOKUP(E4290,Produtos!$A:$E,5,FALSE)</f>
        <v>800</v>
      </c>
      <c r="H4290" s="14">
        <f>VLOOKUP(E4290,Produtos!$A:$E,4,FALSE)</f>
        <v>300</v>
      </c>
      <c r="I4290" s="2">
        <v>3</v>
      </c>
    </row>
    <row r="4291" spans="1:9" x14ac:dyDescent="0.25">
      <c r="A4291" s="2" t="str">
        <f>CONCATENATE(Códigos!S4290,Códigos!T4290,Códigos!U4290)</f>
        <v>svv4289v</v>
      </c>
      <c r="B4291" t="s">
        <v>341</v>
      </c>
      <c r="C4291" t="s">
        <v>447</v>
      </c>
      <c r="D4291" s="2" t="s">
        <v>448</v>
      </c>
      <c r="E4291" t="s">
        <v>449</v>
      </c>
      <c r="F4291" s="11">
        <v>44358</v>
      </c>
      <c r="G4291" s="14">
        <f t="array" ref="G4291">VLOOKUP(E4291,Produtos!$A:$E,5,FALSE)</f>
        <v>800</v>
      </c>
      <c r="H4291" s="14">
        <f>VLOOKUP(E4291,Produtos!$A:$E,4,FALSE)</f>
        <v>300</v>
      </c>
      <c r="I4291" s="2">
        <v>3</v>
      </c>
    </row>
    <row r="4292" spans="1:9" x14ac:dyDescent="0.25">
      <c r="A4292" s="2" t="str">
        <f>CONCATENATE(Códigos!S4291,Códigos!T4291,Códigos!U4291)</f>
        <v>svv4290v</v>
      </c>
      <c r="B4292" t="s">
        <v>341</v>
      </c>
      <c r="C4292" t="s">
        <v>447</v>
      </c>
      <c r="D4292" s="2" t="s">
        <v>448</v>
      </c>
      <c r="E4292" t="s">
        <v>449</v>
      </c>
      <c r="F4292" s="11">
        <v>44359</v>
      </c>
      <c r="G4292" s="14">
        <f t="array" ref="G4292">VLOOKUP(E4292,Produtos!$A:$E,5,FALSE)</f>
        <v>800</v>
      </c>
      <c r="H4292" s="14">
        <f>VLOOKUP(E4292,Produtos!$A:$E,4,FALSE)</f>
        <v>300</v>
      </c>
      <c r="I4292" s="2">
        <v>3</v>
      </c>
    </row>
    <row r="4293" spans="1:9" x14ac:dyDescent="0.25">
      <c r="A4293" s="2" t="str">
        <f>CONCATENATE(Códigos!S4292,Códigos!T4292,Códigos!U4292)</f>
        <v>svv4291v</v>
      </c>
      <c r="B4293" t="s">
        <v>341</v>
      </c>
      <c r="C4293" t="s">
        <v>447</v>
      </c>
      <c r="D4293" s="2" t="s">
        <v>448</v>
      </c>
      <c r="E4293" t="s">
        <v>449</v>
      </c>
      <c r="F4293" s="11">
        <v>44360</v>
      </c>
      <c r="G4293" s="14">
        <f t="array" ref="G4293">VLOOKUP(E4293,Produtos!$A:$E,5,FALSE)</f>
        <v>800</v>
      </c>
      <c r="H4293" s="14">
        <f>VLOOKUP(E4293,Produtos!$A:$E,4,FALSE)</f>
        <v>300</v>
      </c>
      <c r="I4293" s="2">
        <v>3</v>
      </c>
    </row>
    <row r="4294" spans="1:9" x14ac:dyDescent="0.25">
      <c r="A4294" s="2" t="str">
        <f>CONCATENATE(Códigos!S4293,Códigos!T4293,Códigos!U4293)</f>
        <v>svv4292v</v>
      </c>
      <c r="B4294" t="s">
        <v>341</v>
      </c>
      <c r="C4294" t="s">
        <v>447</v>
      </c>
      <c r="D4294" s="2" t="s">
        <v>448</v>
      </c>
      <c r="E4294" t="s">
        <v>449</v>
      </c>
      <c r="F4294" s="11">
        <v>44361</v>
      </c>
      <c r="G4294" s="14">
        <f t="array" ref="G4294">VLOOKUP(E4294,Produtos!$A:$E,5,FALSE)</f>
        <v>800</v>
      </c>
      <c r="H4294" s="14">
        <f>VLOOKUP(E4294,Produtos!$A:$E,4,FALSE)</f>
        <v>300</v>
      </c>
      <c r="I4294" s="2">
        <v>3</v>
      </c>
    </row>
    <row r="4295" spans="1:9" x14ac:dyDescent="0.25">
      <c r="A4295" s="2" t="str">
        <f>CONCATENATE(Códigos!S4294,Códigos!T4294,Códigos!U4294)</f>
        <v>svv4293v</v>
      </c>
      <c r="B4295" t="s">
        <v>341</v>
      </c>
      <c r="C4295" t="s">
        <v>447</v>
      </c>
      <c r="D4295" s="2" t="s">
        <v>448</v>
      </c>
      <c r="E4295" t="s">
        <v>449</v>
      </c>
      <c r="F4295" s="11">
        <v>44362</v>
      </c>
      <c r="G4295" s="14">
        <f t="array" ref="G4295">VLOOKUP(E4295,Produtos!$A:$E,5,FALSE)</f>
        <v>800</v>
      </c>
      <c r="H4295" s="14">
        <f>VLOOKUP(E4295,Produtos!$A:$E,4,FALSE)</f>
        <v>300</v>
      </c>
      <c r="I4295" s="2">
        <v>3</v>
      </c>
    </row>
    <row r="4296" spans="1:9" x14ac:dyDescent="0.25">
      <c r="A4296" s="2" t="str">
        <f>CONCATENATE(Códigos!S4295,Códigos!T4295,Códigos!U4295)</f>
        <v>svv4294v</v>
      </c>
      <c r="B4296" t="s">
        <v>341</v>
      </c>
      <c r="C4296" t="s">
        <v>447</v>
      </c>
      <c r="D4296" s="2" t="s">
        <v>448</v>
      </c>
      <c r="E4296" t="s">
        <v>449</v>
      </c>
      <c r="F4296" s="11">
        <v>44363</v>
      </c>
      <c r="G4296" s="14">
        <f t="array" ref="G4296">VLOOKUP(E4296,Produtos!$A:$E,5,FALSE)</f>
        <v>800</v>
      </c>
      <c r="H4296" s="14">
        <f>VLOOKUP(E4296,Produtos!$A:$E,4,FALSE)</f>
        <v>300</v>
      </c>
      <c r="I4296" s="2">
        <v>3</v>
      </c>
    </row>
    <row r="4297" spans="1:9" x14ac:dyDescent="0.25">
      <c r="A4297" s="2" t="str">
        <f>CONCATENATE(Códigos!S4296,Códigos!T4296,Códigos!U4296)</f>
        <v>svv4295v</v>
      </c>
      <c r="B4297" t="s">
        <v>341</v>
      </c>
      <c r="C4297" t="s">
        <v>447</v>
      </c>
      <c r="D4297" s="2" t="s">
        <v>448</v>
      </c>
      <c r="E4297" t="s">
        <v>449</v>
      </c>
      <c r="F4297" s="11">
        <v>44364</v>
      </c>
      <c r="G4297" s="14">
        <f t="array" ref="G4297">VLOOKUP(E4297,Produtos!$A:$E,5,FALSE)</f>
        <v>800</v>
      </c>
      <c r="H4297" s="14">
        <f>VLOOKUP(E4297,Produtos!$A:$E,4,FALSE)</f>
        <v>300</v>
      </c>
      <c r="I4297" s="2">
        <v>3</v>
      </c>
    </row>
    <row r="4298" spans="1:9" x14ac:dyDescent="0.25">
      <c r="A4298" s="2" t="str">
        <f>CONCATENATE(Códigos!S4297,Códigos!T4297,Códigos!U4297)</f>
        <v>svv4296v</v>
      </c>
      <c r="B4298" t="s">
        <v>341</v>
      </c>
      <c r="C4298" t="s">
        <v>447</v>
      </c>
      <c r="D4298" s="2" t="s">
        <v>448</v>
      </c>
      <c r="E4298" t="s">
        <v>449</v>
      </c>
      <c r="F4298" s="11">
        <v>44365</v>
      </c>
      <c r="G4298" s="14">
        <f t="array" ref="G4298">VLOOKUP(E4298,Produtos!$A:$E,5,FALSE)</f>
        <v>800</v>
      </c>
      <c r="H4298" s="14">
        <f>VLOOKUP(E4298,Produtos!$A:$E,4,FALSE)</f>
        <v>300</v>
      </c>
      <c r="I4298" s="2">
        <v>3</v>
      </c>
    </row>
    <row r="4299" spans="1:9" x14ac:dyDescent="0.25">
      <c r="A4299" s="2" t="str">
        <f>CONCATENATE(Códigos!S4298,Códigos!T4298,Códigos!U4298)</f>
        <v>svv4297v</v>
      </c>
      <c r="B4299" t="s">
        <v>341</v>
      </c>
      <c r="C4299" t="s">
        <v>447</v>
      </c>
      <c r="D4299" s="2" t="s">
        <v>448</v>
      </c>
      <c r="E4299" t="s">
        <v>449</v>
      </c>
      <c r="F4299" s="11">
        <v>44366</v>
      </c>
      <c r="G4299" s="14">
        <f t="array" ref="G4299">VLOOKUP(E4299,Produtos!$A:$E,5,FALSE)</f>
        <v>800</v>
      </c>
      <c r="H4299" s="14">
        <f>VLOOKUP(E4299,Produtos!$A:$E,4,FALSE)</f>
        <v>300</v>
      </c>
      <c r="I4299" s="2">
        <v>3</v>
      </c>
    </row>
    <row r="4300" spans="1:9" x14ac:dyDescent="0.25">
      <c r="A4300" s="2" t="str">
        <f>CONCATENATE(Códigos!S4299,Códigos!T4299,Códigos!U4299)</f>
        <v>svv4298v</v>
      </c>
      <c r="B4300" t="s">
        <v>341</v>
      </c>
      <c r="C4300" t="s">
        <v>447</v>
      </c>
      <c r="D4300" s="2" t="s">
        <v>448</v>
      </c>
      <c r="E4300" t="s">
        <v>449</v>
      </c>
      <c r="F4300" s="11">
        <v>44367</v>
      </c>
      <c r="G4300" s="14">
        <f t="array" ref="G4300">VLOOKUP(E4300,Produtos!$A:$E,5,FALSE)</f>
        <v>800</v>
      </c>
      <c r="H4300" s="14">
        <f>VLOOKUP(E4300,Produtos!$A:$E,4,FALSE)</f>
        <v>300</v>
      </c>
      <c r="I4300" s="2">
        <v>3</v>
      </c>
    </row>
    <row r="4301" spans="1:9" x14ac:dyDescent="0.25">
      <c r="A4301" s="2" t="str">
        <f>CONCATENATE(Códigos!S4300,Códigos!T4300,Códigos!U4300)</f>
        <v>svv4299v</v>
      </c>
      <c r="B4301" t="s">
        <v>341</v>
      </c>
      <c r="C4301" t="s">
        <v>447</v>
      </c>
      <c r="D4301" s="2" t="s">
        <v>448</v>
      </c>
      <c r="E4301" t="s">
        <v>449</v>
      </c>
      <c r="F4301" s="11">
        <v>44368</v>
      </c>
      <c r="G4301" s="14">
        <f t="array" ref="G4301">VLOOKUP(E4301,Produtos!$A:$E,5,FALSE)</f>
        <v>800</v>
      </c>
      <c r="H4301" s="14">
        <f>VLOOKUP(E4301,Produtos!$A:$E,4,FALSE)</f>
        <v>300</v>
      </c>
      <c r="I4301" s="2">
        <v>3</v>
      </c>
    </row>
    <row r="4302" spans="1:9" x14ac:dyDescent="0.25">
      <c r="A4302" s="2" t="str">
        <f>CONCATENATE(Códigos!S4301,Códigos!T4301,Códigos!U4301)</f>
        <v>svv4300v</v>
      </c>
      <c r="B4302" t="s">
        <v>341</v>
      </c>
      <c r="C4302" t="s">
        <v>447</v>
      </c>
      <c r="D4302" s="2" t="s">
        <v>448</v>
      </c>
      <c r="E4302" t="s">
        <v>449</v>
      </c>
      <c r="F4302" s="11">
        <v>44369</v>
      </c>
      <c r="G4302" s="14">
        <f t="array" ref="G4302">VLOOKUP(E4302,Produtos!$A:$E,5,FALSE)</f>
        <v>800</v>
      </c>
      <c r="H4302" s="14">
        <f>VLOOKUP(E4302,Produtos!$A:$E,4,FALSE)</f>
        <v>300</v>
      </c>
      <c r="I4302" s="2">
        <v>3</v>
      </c>
    </row>
    <row r="4303" spans="1:9" x14ac:dyDescent="0.25">
      <c r="A4303" s="2" t="str">
        <f>CONCATENATE(Códigos!S4302,Códigos!T4302,Códigos!U4302)</f>
        <v>svv4301v</v>
      </c>
      <c r="B4303" t="s">
        <v>341</v>
      </c>
      <c r="C4303" t="s">
        <v>447</v>
      </c>
      <c r="D4303" s="2" t="s">
        <v>448</v>
      </c>
      <c r="E4303" t="s">
        <v>449</v>
      </c>
      <c r="F4303" s="11">
        <v>44370</v>
      </c>
      <c r="G4303" s="14">
        <f t="array" ref="G4303">VLOOKUP(E4303,Produtos!$A:$E,5,FALSE)</f>
        <v>800</v>
      </c>
      <c r="H4303" s="14">
        <f>VLOOKUP(E4303,Produtos!$A:$E,4,FALSE)</f>
        <v>300</v>
      </c>
      <c r="I4303" s="2">
        <v>3</v>
      </c>
    </row>
    <row r="4304" spans="1:9" x14ac:dyDescent="0.25">
      <c r="A4304" s="2" t="str">
        <f>CONCATENATE(Códigos!S4303,Códigos!T4303,Códigos!U4303)</f>
        <v>svv4302v</v>
      </c>
      <c r="B4304" t="s">
        <v>341</v>
      </c>
      <c r="C4304" t="s">
        <v>447</v>
      </c>
      <c r="D4304" s="2" t="s">
        <v>448</v>
      </c>
      <c r="E4304" t="s">
        <v>449</v>
      </c>
      <c r="F4304" s="11">
        <v>44371</v>
      </c>
      <c r="G4304" s="14">
        <f t="array" ref="G4304">VLOOKUP(E4304,Produtos!$A:$E,5,FALSE)</f>
        <v>800</v>
      </c>
      <c r="H4304" s="14">
        <f>VLOOKUP(E4304,Produtos!$A:$E,4,FALSE)</f>
        <v>300</v>
      </c>
      <c r="I4304" s="2">
        <v>3</v>
      </c>
    </row>
    <row r="4305" spans="1:9" x14ac:dyDescent="0.25">
      <c r="A4305" s="2" t="str">
        <f>CONCATENATE(Códigos!S4304,Códigos!T4304,Códigos!U4304)</f>
        <v>svv4303v</v>
      </c>
      <c r="B4305" t="s">
        <v>341</v>
      </c>
      <c r="C4305" t="s">
        <v>447</v>
      </c>
      <c r="D4305" s="2" t="s">
        <v>448</v>
      </c>
      <c r="E4305" t="s">
        <v>449</v>
      </c>
      <c r="F4305" s="11">
        <v>44372</v>
      </c>
      <c r="G4305" s="14">
        <f t="array" ref="G4305">VLOOKUP(E4305,Produtos!$A:$E,5,FALSE)</f>
        <v>800</v>
      </c>
      <c r="H4305" s="14">
        <f>VLOOKUP(E4305,Produtos!$A:$E,4,FALSE)</f>
        <v>300</v>
      </c>
      <c r="I4305" s="2">
        <v>3</v>
      </c>
    </row>
    <row r="4306" spans="1:9" x14ac:dyDescent="0.25">
      <c r="A4306" s="2" t="str">
        <f>CONCATENATE(Códigos!S4305,Códigos!T4305,Códigos!U4305)</f>
        <v>svv4304v</v>
      </c>
      <c r="B4306" t="s">
        <v>341</v>
      </c>
      <c r="C4306" t="s">
        <v>447</v>
      </c>
      <c r="D4306" s="2" t="s">
        <v>448</v>
      </c>
      <c r="E4306" t="s">
        <v>449</v>
      </c>
      <c r="F4306" s="11">
        <v>44373</v>
      </c>
      <c r="G4306" s="14">
        <f t="array" ref="G4306">VLOOKUP(E4306,Produtos!$A:$E,5,FALSE)</f>
        <v>800</v>
      </c>
      <c r="H4306" s="14">
        <f>VLOOKUP(E4306,Produtos!$A:$E,4,FALSE)</f>
        <v>300</v>
      </c>
      <c r="I4306" s="2">
        <v>3</v>
      </c>
    </row>
    <row r="4307" spans="1:9" x14ac:dyDescent="0.25">
      <c r="A4307" s="2" t="str">
        <f>CONCATENATE(Códigos!S4306,Códigos!T4306,Códigos!U4306)</f>
        <v>svv4305v</v>
      </c>
      <c r="B4307" t="s">
        <v>341</v>
      </c>
      <c r="C4307" t="s">
        <v>447</v>
      </c>
      <c r="D4307" s="2" t="s">
        <v>448</v>
      </c>
      <c r="E4307" t="s">
        <v>450</v>
      </c>
      <c r="F4307" s="11">
        <v>44374</v>
      </c>
      <c r="G4307" s="14">
        <f t="array" ref="G4307">VLOOKUP(E4307,Produtos!$A:$E,5,FALSE)</f>
        <v>700</v>
      </c>
      <c r="H4307" s="14">
        <f>VLOOKUP(E4307,Produtos!$A:$E,4,FALSE)</f>
        <v>350</v>
      </c>
      <c r="I4307" s="2">
        <v>3</v>
      </c>
    </row>
    <row r="4308" spans="1:9" x14ac:dyDescent="0.25">
      <c r="A4308" s="2" t="str">
        <f>CONCATENATE(Códigos!S4307,Códigos!T4307,Códigos!U4307)</f>
        <v>svv4306v</v>
      </c>
      <c r="B4308" t="s">
        <v>341</v>
      </c>
      <c r="C4308" t="s">
        <v>447</v>
      </c>
      <c r="D4308" s="2" t="s">
        <v>448</v>
      </c>
      <c r="E4308" t="s">
        <v>450</v>
      </c>
      <c r="F4308" s="11">
        <v>44375</v>
      </c>
      <c r="G4308" s="14">
        <f t="array" ref="G4308">VLOOKUP(E4308,Produtos!$A:$E,5,FALSE)</f>
        <v>700</v>
      </c>
      <c r="H4308" s="14">
        <f>VLOOKUP(E4308,Produtos!$A:$E,4,FALSE)</f>
        <v>350</v>
      </c>
      <c r="I4308" s="2">
        <v>3</v>
      </c>
    </row>
    <row r="4309" spans="1:9" x14ac:dyDescent="0.25">
      <c r="A4309" s="2" t="str">
        <f>CONCATENATE(Códigos!S4308,Códigos!T4308,Códigos!U4308)</f>
        <v>svv4307v</v>
      </c>
      <c r="B4309" t="s">
        <v>341</v>
      </c>
      <c r="C4309" t="s">
        <v>447</v>
      </c>
      <c r="D4309" s="2" t="s">
        <v>448</v>
      </c>
      <c r="E4309" t="s">
        <v>450</v>
      </c>
      <c r="F4309" s="11">
        <v>44376</v>
      </c>
      <c r="G4309" s="14">
        <f t="array" ref="G4309">VLOOKUP(E4309,Produtos!$A:$E,5,FALSE)</f>
        <v>700</v>
      </c>
      <c r="H4309" s="14">
        <f>VLOOKUP(E4309,Produtos!$A:$E,4,FALSE)</f>
        <v>350</v>
      </c>
      <c r="I4309" s="2">
        <v>3</v>
      </c>
    </row>
    <row r="4310" spans="1:9" x14ac:dyDescent="0.25">
      <c r="A4310" s="2" t="str">
        <f>CONCATENATE(Códigos!S4309,Códigos!T4309,Códigos!U4309)</f>
        <v>svv4308v</v>
      </c>
      <c r="B4310" t="s">
        <v>341</v>
      </c>
      <c r="C4310" t="s">
        <v>447</v>
      </c>
      <c r="D4310" s="2" t="s">
        <v>448</v>
      </c>
      <c r="E4310" t="s">
        <v>450</v>
      </c>
      <c r="F4310" s="11">
        <v>44377</v>
      </c>
      <c r="G4310" s="14">
        <f t="array" ref="G4310">VLOOKUP(E4310,Produtos!$A:$E,5,FALSE)</f>
        <v>700</v>
      </c>
      <c r="H4310" s="14">
        <f>VLOOKUP(E4310,Produtos!$A:$E,4,FALSE)</f>
        <v>350</v>
      </c>
      <c r="I4310" s="2">
        <v>3</v>
      </c>
    </row>
    <row r="4311" spans="1:9" x14ac:dyDescent="0.25">
      <c r="A4311" s="2" t="str">
        <f>CONCATENATE(Códigos!S4310,Códigos!T4310,Códigos!U4310)</f>
        <v>svv4309v</v>
      </c>
      <c r="B4311" t="s">
        <v>341</v>
      </c>
      <c r="C4311" t="s">
        <v>447</v>
      </c>
      <c r="D4311" s="2" t="s">
        <v>448</v>
      </c>
      <c r="E4311" t="s">
        <v>450</v>
      </c>
      <c r="F4311" s="11">
        <v>44378</v>
      </c>
      <c r="G4311" s="14">
        <f t="array" ref="G4311">VLOOKUP(E4311,Produtos!$A:$E,5,FALSE)</f>
        <v>700</v>
      </c>
      <c r="H4311" s="14">
        <f>VLOOKUP(E4311,Produtos!$A:$E,4,FALSE)</f>
        <v>350</v>
      </c>
      <c r="I4311" s="2">
        <v>3</v>
      </c>
    </row>
    <row r="4312" spans="1:9" x14ac:dyDescent="0.25">
      <c r="A4312" s="2" t="str">
        <f>CONCATENATE(Códigos!S4311,Códigos!T4311,Códigos!U4311)</f>
        <v>svv4310v</v>
      </c>
      <c r="B4312" t="s">
        <v>341</v>
      </c>
      <c r="C4312" t="s">
        <v>447</v>
      </c>
      <c r="D4312" s="2" t="s">
        <v>448</v>
      </c>
      <c r="E4312" t="s">
        <v>450</v>
      </c>
      <c r="F4312" s="11">
        <v>44379</v>
      </c>
      <c r="G4312" s="14">
        <f t="array" ref="G4312">VLOOKUP(E4312,Produtos!$A:$E,5,FALSE)</f>
        <v>700</v>
      </c>
      <c r="H4312" s="14">
        <f>VLOOKUP(E4312,Produtos!$A:$E,4,FALSE)</f>
        <v>350</v>
      </c>
      <c r="I4312" s="2">
        <v>3</v>
      </c>
    </row>
    <row r="4313" spans="1:9" x14ac:dyDescent="0.25">
      <c r="A4313" s="2" t="str">
        <f>CONCATENATE(Códigos!S4312,Códigos!T4312,Códigos!U4312)</f>
        <v>svv4311v</v>
      </c>
      <c r="B4313" t="s">
        <v>341</v>
      </c>
      <c r="C4313" t="s">
        <v>447</v>
      </c>
      <c r="D4313" s="2" t="s">
        <v>448</v>
      </c>
      <c r="E4313" t="s">
        <v>450</v>
      </c>
      <c r="F4313" s="11">
        <v>44380</v>
      </c>
      <c r="G4313" s="14">
        <f t="array" ref="G4313">VLOOKUP(E4313,Produtos!$A:$E,5,FALSE)</f>
        <v>700</v>
      </c>
      <c r="H4313" s="14">
        <f>VLOOKUP(E4313,Produtos!$A:$E,4,FALSE)</f>
        <v>350</v>
      </c>
      <c r="I4313" s="2">
        <v>3</v>
      </c>
    </row>
    <row r="4314" spans="1:9" x14ac:dyDescent="0.25">
      <c r="A4314" s="2" t="str">
        <f>CONCATENATE(Códigos!S4313,Códigos!T4313,Códigos!U4313)</f>
        <v>svv4312v</v>
      </c>
      <c r="B4314" t="s">
        <v>341</v>
      </c>
      <c r="C4314" t="s">
        <v>447</v>
      </c>
      <c r="D4314" s="2" t="s">
        <v>448</v>
      </c>
      <c r="E4314" t="s">
        <v>450</v>
      </c>
      <c r="F4314" s="11">
        <v>44381</v>
      </c>
      <c r="G4314" s="14">
        <f t="array" ref="G4314">VLOOKUP(E4314,Produtos!$A:$E,5,FALSE)</f>
        <v>700</v>
      </c>
      <c r="H4314" s="14">
        <f>VLOOKUP(E4314,Produtos!$A:$E,4,FALSE)</f>
        <v>350</v>
      </c>
      <c r="I4314" s="2">
        <v>3</v>
      </c>
    </row>
    <row r="4315" spans="1:9" x14ac:dyDescent="0.25">
      <c r="A4315" s="2" t="str">
        <f>CONCATENATE(Códigos!S4314,Códigos!T4314,Códigos!U4314)</f>
        <v>svv4313v</v>
      </c>
      <c r="B4315" t="s">
        <v>341</v>
      </c>
      <c r="C4315" t="s">
        <v>447</v>
      </c>
      <c r="D4315" s="2" t="s">
        <v>448</v>
      </c>
      <c r="E4315" t="s">
        <v>450</v>
      </c>
      <c r="F4315" s="11">
        <v>44382</v>
      </c>
      <c r="G4315" s="14">
        <f t="array" ref="G4315">VLOOKUP(E4315,Produtos!$A:$E,5,FALSE)</f>
        <v>700</v>
      </c>
      <c r="H4315" s="14">
        <f>VLOOKUP(E4315,Produtos!$A:$E,4,FALSE)</f>
        <v>350</v>
      </c>
      <c r="I4315" s="2">
        <v>3</v>
      </c>
    </row>
    <row r="4316" spans="1:9" x14ac:dyDescent="0.25">
      <c r="A4316" s="2" t="str">
        <f>CONCATENATE(Códigos!S4315,Códigos!T4315,Códigos!U4315)</f>
        <v>svv4314v</v>
      </c>
      <c r="B4316" t="s">
        <v>341</v>
      </c>
      <c r="C4316" t="s">
        <v>447</v>
      </c>
      <c r="D4316" s="2" t="s">
        <v>448</v>
      </c>
      <c r="E4316" t="s">
        <v>450</v>
      </c>
      <c r="F4316" s="11">
        <v>44383</v>
      </c>
      <c r="G4316" s="14">
        <f t="array" ref="G4316">VLOOKUP(E4316,Produtos!$A:$E,5,FALSE)</f>
        <v>700</v>
      </c>
      <c r="H4316" s="14">
        <f>VLOOKUP(E4316,Produtos!$A:$E,4,FALSE)</f>
        <v>350</v>
      </c>
      <c r="I4316" s="2">
        <v>3</v>
      </c>
    </row>
    <row r="4317" spans="1:9" x14ac:dyDescent="0.25">
      <c r="A4317" s="2" t="str">
        <f>CONCATENATE(Códigos!S4316,Códigos!T4316,Códigos!U4316)</f>
        <v>svv4315v</v>
      </c>
      <c r="B4317" t="s">
        <v>341</v>
      </c>
      <c r="C4317" t="s">
        <v>447</v>
      </c>
      <c r="D4317" s="2" t="s">
        <v>448</v>
      </c>
      <c r="E4317" t="s">
        <v>450</v>
      </c>
      <c r="F4317" s="11">
        <v>44384</v>
      </c>
      <c r="G4317" s="14">
        <f t="array" ref="G4317">VLOOKUP(E4317,Produtos!$A:$E,5,FALSE)</f>
        <v>700</v>
      </c>
      <c r="H4317" s="14">
        <f>VLOOKUP(E4317,Produtos!$A:$E,4,FALSE)</f>
        <v>350</v>
      </c>
      <c r="I4317" s="2">
        <v>3</v>
      </c>
    </row>
    <row r="4318" spans="1:9" x14ac:dyDescent="0.25">
      <c r="A4318" s="2" t="str">
        <f>CONCATENATE(Códigos!S4317,Códigos!T4317,Códigos!U4317)</f>
        <v>svv4316v</v>
      </c>
      <c r="B4318" t="s">
        <v>341</v>
      </c>
      <c r="C4318" t="s">
        <v>447</v>
      </c>
      <c r="D4318" s="2" t="s">
        <v>448</v>
      </c>
      <c r="E4318" t="s">
        <v>449</v>
      </c>
      <c r="F4318" s="11">
        <v>44385</v>
      </c>
      <c r="G4318" s="14">
        <f t="array" ref="G4318">VLOOKUP(E4318,Produtos!$A:$E,5,FALSE)</f>
        <v>800</v>
      </c>
      <c r="H4318" s="14">
        <f>VLOOKUP(E4318,Produtos!$A:$E,4,FALSE)</f>
        <v>300</v>
      </c>
      <c r="I4318" s="2">
        <v>3</v>
      </c>
    </row>
    <row r="4319" spans="1:9" x14ac:dyDescent="0.25">
      <c r="A4319" s="2" t="str">
        <f>CONCATENATE(Códigos!S4318,Códigos!T4318,Códigos!U4318)</f>
        <v>svv4317v</v>
      </c>
      <c r="B4319" t="s">
        <v>341</v>
      </c>
      <c r="C4319" t="s">
        <v>447</v>
      </c>
      <c r="D4319" s="2" t="s">
        <v>448</v>
      </c>
      <c r="E4319" t="s">
        <v>449</v>
      </c>
      <c r="F4319" s="11">
        <v>44386</v>
      </c>
      <c r="G4319" s="14">
        <f t="array" ref="G4319">VLOOKUP(E4319,Produtos!$A:$E,5,FALSE)</f>
        <v>800</v>
      </c>
      <c r="H4319" s="14">
        <f>VLOOKUP(E4319,Produtos!$A:$E,4,FALSE)</f>
        <v>300</v>
      </c>
      <c r="I4319" s="2">
        <v>3</v>
      </c>
    </row>
    <row r="4320" spans="1:9" x14ac:dyDescent="0.25">
      <c r="A4320" s="2" t="str">
        <f>CONCATENATE(Códigos!S4319,Códigos!T4319,Códigos!U4319)</f>
        <v>svv4318v</v>
      </c>
      <c r="B4320" t="s">
        <v>341</v>
      </c>
      <c r="C4320" t="s">
        <v>447</v>
      </c>
      <c r="D4320" s="2" t="s">
        <v>448</v>
      </c>
      <c r="E4320" t="s">
        <v>449</v>
      </c>
      <c r="F4320" s="11">
        <v>44387</v>
      </c>
      <c r="G4320" s="14">
        <f t="array" ref="G4320">VLOOKUP(E4320,Produtos!$A:$E,5,FALSE)</f>
        <v>800</v>
      </c>
      <c r="H4320" s="14">
        <f>VLOOKUP(E4320,Produtos!$A:$E,4,FALSE)</f>
        <v>300</v>
      </c>
      <c r="I4320" s="2">
        <v>3</v>
      </c>
    </row>
    <row r="4321" spans="1:9" x14ac:dyDescent="0.25">
      <c r="A4321" s="2" t="str">
        <f>CONCATENATE(Códigos!S4320,Códigos!T4320,Códigos!U4320)</f>
        <v>svv4319v</v>
      </c>
      <c r="B4321" t="s">
        <v>341</v>
      </c>
      <c r="C4321" t="s">
        <v>447</v>
      </c>
      <c r="D4321" s="2" t="s">
        <v>448</v>
      </c>
      <c r="E4321" t="s">
        <v>449</v>
      </c>
      <c r="F4321" s="11">
        <v>44388</v>
      </c>
      <c r="G4321" s="14">
        <f t="array" ref="G4321">VLOOKUP(E4321,Produtos!$A:$E,5,FALSE)</f>
        <v>800</v>
      </c>
      <c r="H4321" s="14">
        <f>VLOOKUP(E4321,Produtos!$A:$E,4,FALSE)</f>
        <v>300</v>
      </c>
      <c r="I4321" s="2">
        <v>3</v>
      </c>
    </row>
    <row r="4322" spans="1:9" x14ac:dyDescent="0.25">
      <c r="A4322" s="2" t="str">
        <f>CONCATENATE(Códigos!S4321,Códigos!T4321,Códigos!U4321)</f>
        <v>svv4320v</v>
      </c>
      <c r="B4322" t="s">
        <v>341</v>
      </c>
      <c r="C4322" t="s">
        <v>447</v>
      </c>
      <c r="D4322" s="2" t="s">
        <v>448</v>
      </c>
      <c r="E4322" t="s">
        <v>449</v>
      </c>
      <c r="F4322" s="11">
        <v>44389</v>
      </c>
      <c r="G4322" s="14">
        <f t="array" ref="G4322">VLOOKUP(E4322,Produtos!$A:$E,5,FALSE)</f>
        <v>800</v>
      </c>
      <c r="H4322" s="14">
        <f>VLOOKUP(E4322,Produtos!$A:$E,4,FALSE)</f>
        <v>300</v>
      </c>
      <c r="I4322" s="2">
        <v>3</v>
      </c>
    </row>
    <row r="4323" spans="1:9" x14ac:dyDescent="0.25">
      <c r="A4323" s="2" t="str">
        <f>CONCATENATE(Códigos!S4322,Códigos!T4322,Códigos!U4322)</f>
        <v>svv4321v</v>
      </c>
      <c r="B4323" t="s">
        <v>341</v>
      </c>
      <c r="C4323" t="s">
        <v>447</v>
      </c>
      <c r="D4323" s="2" t="s">
        <v>448</v>
      </c>
      <c r="E4323" t="s">
        <v>449</v>
      </c>
      <c r="F4323" s="11">
        <v>44390</v>
      </c>
      <c r="G4323" s="14">
        <f t="array" ref="G4323">VLOOKUP(E4323,Produtos!$A:$E,5,FALSE)</f>
        <v>800</v>
      </c>
      <c r="H4323" s="14">
        <f>VLOOKUP(E4323,Produtos!$A:$E,4,FALSE)</f>
        <v>300</v>
      </c>
      <c r="I4323" s="2">
        <v>3</v>
      </c>
    </row>
    <row r="4324" spans="1:9" x14ac:dyDescent="0.25">
      <c r="A4324" s="2" t="str">
        <f>CONCATENATE(Códigos!S4323,Códigos!T4323,Códigos!U4323)</f>
        <v>svv4322v</v>
      </c>
      <c r="B4324" t="s">
        <v>341</v>
      </c>
      <c r="C4324" t="s">
        <v>447</v>
      </c>
      <c r="D4324" s="2" t="s">
        <v>448</v>
      </c>
      <c r="E4324" t="s">
        <v>449</v>
      </c>
      <c r="F4324" s="11">
        <v>44391</v>
      </c>
      <c r="G4324" s="14">
        <f t="array" ref="G4324">VLOOKUP(E4324,Produtos!$A:$E,5,FALSE)</f>
        <v>800</v>
      </c>
      <c r="H4324" s="14">
        <f>VLOOKUP(E4324,Produtos!$A:$E,4,FALSE)</f>
        <v>300</v>
      </c>
      <c r="I4324" s="2">
        <v>3</v>
      </c>
    </row>
    <row r="4325" spans="1:9" x14ac:dyDescent="0.25">
      <c r="A4325" s="2" t="str">
        <f>CONCATENATE(Códigos!S4324,Códigos!T4324,Códigos!U4324)</f>
        <v>svv4323v</v>
      </c>
      <c r="B4325" t="s">
        <v>341</v>
      </c>
      <c r="C4325" t="s">
        <v>447</v>
      </c>
      <c r="D4325" s="2" t="s">
        <v>448</v>
      </c>
      <c r="E4325" t="s">
        <v>449</v>
      </c>
      <c r="F4325" s="11">
        <v>44392</v>
      </c>
      <c r="G4325" s="14">
        <f t="array" ref="G4325">VLOOKUP(E4325,Produtos!$A:$E,5,FALSE)</f>
        <v>800</v>
      </c>
      <c r="H4325" s="14">
        <f>VLOOKUP(E4325,Produtos!$A:$E,4,FALSE)</f>
        <v>300</v>
      </c>
      <c r="I4325" s="2">
        <v>3</v>
      </c>
    </row>
    <row r="4326" spans="1:9" x14ac:dyDescent="0.25">
      <c r="A4326" s="2" t="str">
        <f>CONCATENATE(Códigos!S4325,Códigos!T4325,Códigos!U4325)</f>
        <v>svv4324v</v>
      </c>
      <c r="B4326" t="s">
        <v>341</v>
      </c>
      <c r="C4326" t="s">
        <v>447</v>
      </c>
      <c r="D4326" s="2" t="s">
        <v>448</v>
      </c>
      <c r="E4326" t="s">
        <v>449</v>
      </c>
      <c r="F4326" s="11">
        <v>44393</v>
      </c>
      <c r="G4326" s="14">
        <f t="array" ref="G4326">VLOOKUP(E4326,Produtos!$A:$E,5,FALSE)</f>
        <v>800</v>
      </c>
      <c r="H4326" s="14">
        <f>VLOOKUP(E4326,Produtos!$A:$E,4,FALSE)</f>
        <v>300</v>
      </c>
      <c r="I4326" s="2">
        <v>3</v>
      </c>
    </row>
    <row r="4327" spans="1:9" x14ac:dyDescent="0.25">
      <c r="A4327" s="2" t="str">
        <f>CONCATENATE(Códigos!S4326,Códigos!T4326,Códigos!U4326)</f>
        <v>svv4325v</v>
      </c>
      <c r="B4327" t="s">
        <v>341</v>
      </c>
      <c r="C4327" t="s">
        <v>447</v>
      </c>
      <c r="D4327" s="2" t="s">
        <v>448</v>
      </c>
      <c r="E4327" t="s">
        <v>449</v>
      </c>
      <c r="F4327" s="11">
        <v>44394</v>
      </c>
      <c r="G4327" s="14">
        <f t="array" ref="G4327">VLOOKUP(E4327,Produtos!$A:$E,5,FALSE)</f>
        <v>800</v>
      </c>
      <c r="H4327" s="14">
        <f>VLOOKUP(E4327,Produtos!$A:$E,4,FALSE)</f>
        <v>300</v>
      </c>
      <c r="I4327" s="2">
        <v>2</v>
      </c>
    </row>
    <row r="4328" spans="1:9" x14ac:dyDescent="0.25">
      <c r="A4328" s="2" t="str">
        <f>CONCATENATE(Códigos!S4327,Códigos!T4327,Códigos!U4327)</f>
        <v>svv4326v</v>
      </c>
      <c r="B4328" t="s">
        <v>341</v>
      </c>
      <c r="C4328" t="s">
        <v>447</v>
      </c>
      <c r="D4328" s="2" t="s">
        <v>448</v>
      </c>
      <c r="E4328" t="s">
        <v>449</v>
      </c>
      <c r="F4328" s="11">
        <v>44395</v>
      </c>
      <c r="G4328" s="14">
        <f t="array" ref="G4328">VLOOKUP(E4328,Produtos!$A:$E,5,FALSE)</f>
        <v>800</v>
      </c>
      <c r="H4328" s="14">
        <f>VLOOKUP(E4328,Produtos!$A:$E,4,FALSE)</f>
        <v>300</v>
      </c>
      <c r="I4328" s="2">
        <v>2</v>
      </c>
    </row>
    <row r="4329" spans="1:9" x14ac:dyDescent="0.25">
      <c r="A4329" s="2" t="str">
        <f>CONCATENATE(Códigos!S4328,Códigos!T4328,Códigos!U4328)</f>
        <v>svv4327v</v>
      </c>
      <c r="B4329" t="s">
        <v>341</v>
      </c>
      <c r="C4329" t="s">
        <v>447</v>
      </c>
      <c r="D4329" s="2" t="s">
        <v>448</v>
      </c>
      <c r="E4329" t="s">
        <v>449</v>
      </c>
      <c r="F4329" s="11">
        <v>44396</v>
      </c>
      <c r="G4329" s="14">
        <f t="array" ref="G4329">VLOOKUP(E4329,Produtos!$A:$E,5,FALSE)</f>
        <v>800</v>
      </c>
      <c r="H4329" s="14">
        <f>VLOOKUP(E4329,Produtos!$A:$E,4,FALSE)</f>
        <v>300</v>
      </c>
      <c r="I4329" s="2">
        <v>2</v>
      </c>
    </row>
    <row r="4330" spans="1:9" x14ac:dyDescent="0.25">
      <c r="A4330" s="2" t="str">
        <f>CONCATENATE(Códigos!S4329,Códigos!T4329,Códigos!U4329)</f>
        <v>svv4328v</v>
      </c>
      <c r="B4330" t="s">
        <v>341</v>
      </c>
      <c r="C4330" t="s">
        <v>447</v>
      </c>
      <c r="D4330" s="2" t="s">
        <v>448</v>
      </c>
      <c r="E4330" t="s">
        <v>449</v>
      </c>
      <c r="F4330" s="11">
        <v>44397</v>
      </c>
      <c r="G4330" s="14">
        <f t="array" ref="G4330">VLOOKUP(E4330,Produtos!$A:$E,5,FALSE)</f>
        <v>800</v>
      </c>
      <c r="H4330" s="14">
        <f>VLOOKUP(E4330,Produtos!$A:$E,4,FALSE)</f>
        <v>300</v>
      </c>
      <c r="I4330" s="2">
        <v>2</v>
      </c>
    </row>
    <row r="4331" spans="1:9" x14ac:dyDescent="0.25">
      <c r="A4331" s="2" t="str">
        <f>CONCATENATE(Códigos!S4330,Códigos!T4330,Códigos!U4330)</f>
        <v>svv4329v</v>
      </c>
      <c r="B4331" t="s">
        <v>341</v>
      </c>
      <c r="C4331" t="s">
        <v>447</v>
      </c>
      <c r="D4331" s="2" t="s">
        <v>448</v>
      </c>
      <c r="E4331" t="s">
        <v>449</v>
      </c>
      <c r="F4331" s="11">
        <v>44398</v>
      </c>
      <c r="G4331" s="14">
        <f t="array" ref="G4331">VLOOKUP(E4331,Produtos!$A:$E,5,FALSE)</f>
        <v>800</v>
      </c>
      <c r="H4331" s="14">
        <f>VLOOKUP(E4331,Produtos!$A:$E,4,FALSE)</f>
        <v>300</v>
      </c>
      <c r="I4331" s="2">
        <v>2</v>
      </c>
    </row>
    <row r="4332" spans="1:9" x14ac:dyDescent="0.25">
      <c r="A4332" s="2" t="str">
        <f>CONCATENATE(Códigos!S4331,Códigos!T4331,Códigos!U4331)</f>
        <v>svv4330v</v>
      </c>
      <c r="B4332" t="s">
        <v>340</v>
      </c>
      <c r="C4332" t="s">
        <v>447</v>
      </c>
      <c r="D4332" s="2" t="s">
        <v>448</v>
      </c>
      <c r="E4332" t="s">
        <v>449</v>
      </c>
      <c r="F4332" s="11">
        <v>44399</v>
      </c>
      <c r="G4332" s="14">
        <f t="array" ref="G4332">VLOOKUP(E4332,Produtos!$A:$E,5,FALSE)</f>
        <v>800</v>
      </c>
      <c r="H4332" s="14">
        <f>VLOOKUP(E4332,Produtos!$A:$E,4,FALSE)</f>
        <v>300</v>
      </c>
      <c r="I4332" s="2">
        <v>2</v>
      </c>
    </row>
    <row r="4333" spans="1:9" x14ac:dyDescent="0.25">
      <c r="A4333" s="2" t="str">
        <f>CONCATENATE(Códigos!S4332,Códigos!T4332,Códigos!U4332)</f>
        <v>svv4331v</v>
      </c>
      <c r="B4333" t="s">
        <v>340</v>
      </c>
      <c r="C4333" t="s">
        <v>447</v>
      </c>
      <c r="D4333" s="2" t="s">
        <v>448</v>
      </c>
      <c r="E4333" t="s">
        <v>449</v>
      </c>
      <c r="F4333" s="11">
        <v>44400</v>
      </c>
      <c r="G4333" s="14">
        <f t="array" ref="G4333">VLOOKUP(E4333,Produtos!$A:$E,5,FALSE)</f>
        <v>800</v>
      </c>
      <c r="H4333" s="14">
        <f>VLOOKUP(E4333,Produtos!$A:$E,4,FALSE)</f>
        <v>300</v>
      </c>
      <c r="I4333" s="2">
        <v>2</v>
      </c>
    </row>
    <row r="4334" spans="1:9" x14ac:dyDescent="0.25">
      <c r="A4334" s="2" t="str">
        <f>CONCATENATE(Códigos!S4333,Códigos!T4333,Códigos!U4333)</f>
        <v>svv4332v</v>
      </c>
      <c r="B4334" t="s">
        <v>340</v>
      </c>
      <c r="C4334" t="s">
        <v>447</v>
      </c>
      <c r="D4334" s="2" t="s">
        <v>448</v>
      </c>
      <c r="E4334" t="s">
        <v>449</v>
      </c>
      <c r="F4334" s="11">
        <v>44401</v>
      </c>
      <c r="G4334" s="14">
        <f t="array" ref="G4334">VLOOKUP(E4334,Produtos!$A:$E,5,FALSE)</f>
        <v>800</v>
      </c>
      <c r="H4334" s="14">
        <f>VLOOKUP(E4334,Produtos!$A:$E,4,FALSE)</f>
        <v>300</v>
      </c>
      <c r="I4334" s="2">
        <v>2</v>
      </c>
    </row>
    <row r="4335" spans="1:9" x14ac:dyDescent="0.25">
      <c r="A4335" s="2" t="str">
        <f>CONCATENATE(Códigos!S4334,Códigos!T4334,Códigos!U4334)</f>
        <v>svv4333v</v>
      </c>
      <c r="B4335" t="s">
        <v>340</v>
      </c>
      <c r="C4335" t="s">
        <v>447</v>
      </c>
      <c r="D4335" s="2" t="s">
        <v>448</v>
      </c>
      <c r="E4335" t="s">
        <v>449</v>
      </c>
      <c r="F4335" s="11">
        <v>44402</v>
      </c>
      <c r="G4335" s="14">
        <f t="array" ref="G4335">VLOOKUP(E4335,Produtos!$A:$E,5,FALSE)</f>
        <v>800</v>
      </c>
      <c r="H4335" s="14">
        <f>VLOOKUP(E4335,Produtos!$A:$E,4,FALSE)</f>
        <v>300</v>
      </c>
      <c r="I4335" s="2">
        <v>2</v>
      </c>
    </row>
    <row r="4336" spans="1:9" x14ac:dyDescent="0.25">
      <c r="A4336" s="2" t="str">
        <f>CONCATENATE(Códigos!S4335,Códigos!T4335,Códigos!U4335)</f>
        <v>svv4334v</v>
      </c>
      <c r="B4336" t="s">
        <v>340</v>
      </c>
      <c r="C4336" t="s">
        <v>447</v>
      </c>
      <c r="D4336" s="2" t="s">
        <v>448</v>
      </c>
      <c r="E4336" t="s">
        <v>449</v>
      </c>
      <c r="F4336" s="11">
        <v>44403</v>
      </c>
      <c r="G4336" s="14">
        <f t="array" ref="G4336">VLOOKUP(E4336,Produtos!$A:$E,5,FALSE)</f>
        <v>800</v>
      </c>
      <c r="H4336" s="14">
        <f>VLOOKUP(E4336,Produtos!$A:$E,4,FALSE)</f>
        <v>300</v>
      </c>
      <c r="I4336" s="2">
        <v>2</v>
      </c>
    </row>
    <row r="4337" spans="1:9" x14ac:dyDescent="0.25">
      <c r="A4337" s="2" t="str">
        <f>CONCATENATE(Códigos!S4336,Códigos!T4336,Códigos!U4336)</f>
        <v>svv4335v</v>
      </c>
      <c r="B4337" t="s">
        <v>340</v>
      </c>
      <c r="C4337" t="s">
        <v>447</v>
      </c>
      <c r="D4337" s="2" t="s">
        <v>448</v>
      </c>
      <c r="E4337" t="s">
        <v>449</v>
      </c>
      <c r="F4337" s="11">
        <v>44404</v>
      </c>
      <c r="G4337" s="14">
        <f t="array" ref="G4337">VLOOKUP(E4337,Produtos!$A:$E,5,FALSE)</f>
        <v>800</v>
      </c>
      <c r="H4337" s="14">
        <f>VLOOKUP(E4337,Produtos!$A:$E,4,FALSE)</f>
        <v>300</v>
      </c>
      <c r="I4337" s="2">
        <v>2</v>
      </c>
    </row>
    <row r="4338" spans="1:9" x14ac:dyDescent="0.25">
      <c r="A4338" s="2" t="str">
        <f>CONCATENATE(Códigos!S4337,Códigos!T4337,Códigos!U4337)</f>
        <v>svv4336v</v>
      </c>
      <c r="B4338" t="s">
        <v>340</v>
      </c>
      <c r="C4338" t="s">
        <v>447</v>
      </c>
      <c r="D4338" s="2" t="s">
        <v>448</v>
      </c>
      <c r="E4338" t="s">
        <v>449</v>
      </c>
      <c r="F4338" s="11">
        <v>44405</v>
      </c>
      <c r="G4338" s="14">
        <f t="array" ref="G4338">VLOOKUP(E4338,Produtos!$A:$E,5,FALSE)</f>
        <v>800</v>
      </c>
      <c r="H4338" s="14">
        <f>VLOOKUP(E4338,Produtos!$A:$E,4,FALSE)</f>
        <v>300</v>
      </c>
      <c r="I4338" s="2">
        <v>2</v>
      </c>
    </row>
    <row r="4339" spans="1:9" x14ac:dyDescent="0.25">
      <c r="A4339" s="2" t="str">
        <f>CONCATENATE(Códigos!S4338,Códigos!T4338,Códigos!U4338)</f>
        <v>svv4337v</v>
      </c>
      <c r="B4339" t="s">
        <v>340</v>
      </c>
      <c r="C4339" t="s">
        <v>447</v>
      </c>
      <c r="D4339" s="2" t="s">
        <v>448</v>
      </c>
      <c r="E4339" t="s">
        <v>449</v>
      </c>
      <c r="F4339" s="11">
        <v>44406</v>
      </c>
      <c r="G4339" s="14">
        <f t="array" ref="G4339">VLOOKUP(E4339,Produtos!$A:$E,5,FALSE)</f>
        <v>800</v>
      </c>
      <c r="H4339" s="14">
        <f>VLOOKUP(E4339,Produtos!$A:$E,4,FALSE)</f>
        <v>300</v>
      </c>
      <c r="I4339" s="2">
        <v>2</v>
      </c>
    </row>
    <row r="4340" spans="1:9" x14ac:dyDescent="0.25">
      <c r="A4340" s="2" t="str">
        <f>CONCATENATE(Códigos!S4339,Códigos!T4339,Códigos!U4339)</f>
        <v>svv4338v</v>
      </c>
      <c r="B4340" t="s">
        <v>340</v>
      </c>
      <c r="C4340" t="s">
        <v>447</v>
      </c>
      <c r="D4340" s="2" t="s">
        <v>448</v>
      </c>
      <c r="E4340" t="s">
        <v>449</v>
      </c>
      <c r="F4340" s="11">
        <v>44407</v>
      </c>
      <c r="G4340" s="14">
        <f t="array" ref="G4340">VLOOKUP(E4340,Produtos!$A:$E,5,FALSE)</f>
        <v>800</v>
      </c>
      <c r="H4340" s="14">
        <f>VLOOKUP(E4340,Produtos!$A:$E,4,FALSE)</f>
        <v>300</v>
      </c>
      <c r="I4340" s="2">
        <v>2</v>
      </c>
    </row>
    <row r="4341" spans="1:9" x14ac:dyDescent="0.25">
      <c r="A4341" s="2" t="str">
        <f>CONCATENATE(Códigos!S4340,Códigos!T4340,Códigos!U4340)</f>
        <v>svv4339v</v>
      </c>
      <c r="B4341" t="s">
        <v>340</v>
      </c>
      <c r="C4341" t="s">
        <v>447</v>
      </c>
      <c r="D4341" s="2" t="s">
        <v>448</v>
      </c>
      <c r="E4341" t="s">
        <v>443</v>
      </c>
      <c r="F4341" s="11">
        <v>44408</v>
      </c>
      <c r="G4341" s="14">
        <f t="array" ref="G4341">VLOOKUP(E4341,Produtos!$A:$E,5,FALSE)</f>
        <v>1300</v>
      </c>
      <c r="H4341" s="14">
        <f>VLOOKUP(E4341,Produtos!$A:$E,4,FALSE)</f>
        <v>800</v>
      </c>
      <c r="I4341" s="2">
        <v>2</v>
      </c>
    </row>
    <row r="4342" spans="1:9" x14ac:dyDescent="0.25">
      <c r="A4342" s="2" t="str">
        <f>CONCATENATE(Códigos!S4341,Códigos!T4341,Códigos!U4341)</f>
        <v>svv4340v</v>
      </c>
      <c r="B4342" t="s">
        <v>340</v>
      </c>
      <c r="C4342" t="s">
        <v>447</v>
      </c>
      <c r="D4342" s="2" t="s">
        <v>448</v>
      </c>
      <c r="E4342" t="s">
        <v>443</v>
      </c>
      <c r="F4342" s="11">
        <v>44409</v>
      </c>
      <c r="G4342" s="14">
        <f t="array" ref="G4342">VLOOKUP(E4342,Produtos!$A:$E,5,FALSE)</f>
        <v>1300</v>
      </c>
      <c r="H4342" s="14">
        <f>VLOOKUP(E4342,Produtos!$A:$E,4,FALSE)</f>
        <v>800</v>
      </c>
      <c r="I4342" s="2">
        <v>2</v>
      </c>
    </row>
    <row r="4343" spans="1:9" x14ac:dyDescent="0.25">
      <c r="A4343" s="2" t="str">
        <f>CONCATENATE(Códigos!S4342,Códigos!T4342,Códigos!U4342)</f>
        <v>svv4341v</v>
      </c>
      <c r="B4343" t="s">
        <v>340</v>
      </c>
      <c r="C4343" t="s">
        <v>447</v>
      </c>
      <c r="D4343" s="2" t="s">
        <v>448</v>
      </c>
      <c r="E4343" t="s">
        <v>443</v>
      </c>
      <c r="F4343" s="11">
        <v>44410</v>
      </c>
      <c r="G4343" s="14">
        <f t="array" ref="G4343">VLOOKUP(E4343,Produtos!$A:$E,5,FALSE)</f>
        <v>1300</v>
      </c>
      <c r="H4343" s="14">
        <f>VLOOKUP(E4343,Produtos!$A:$E,4,FALSE)</f>
        <v>800</v>
      </c>
      <c r="I4343" s="2">
        <v>2</v>
      </c>
    </row>
    <row r="4344" spans="1:9" x14ac:dyDescent="0.25">
      <c r="A4344" s="2" t="str">
        <f>CONCATENATE(Códigos!S4343,Códigos!T4343,Códigos!U4343)</f>
        <v>svv4342v</v>
      </c>
      <c r="B4344" t="s">
        <v>340</v>
      </c>
      <c r="C4344" t="s">
        <v>447</v>
      </c>
      <c r="D4344" s="2" t="s">
        <v>448</v>
      </c>
      <c r="E4344" t="s">
        <v>443</v>
      </c>
      <c r="F4344" s="11">
        <v>44411</v>
      </c>
      <c r="G4344" s="14">
        <f t="array" ref="G4344">VLOOKUP(E4344,Produtos!$A:$E,5,FALSE)</f>
        <v>1300</v>
      </c>
      <c r="H4344" s="14">
        <f>VLOOKUP(E4344,Produtos!$A:$E,4,FALSE)</f>
        <v>800</v>
      </c>
      <c r="I4344" s="2">
        <v>2</v>
      </c>
    </row>
    <row r="4345" spans="1:9" x14ac:dyDescent="0.25">
      <c r="A4345" s="2" t="str">
        <f>CONCATENATE(Códigos!S4344,Códigos!T4344,Códigos!U4344)</f>
        <v>svv4343v</v>
      </c>
      <c r="B4345" t="s">
        <v>340</v>
      </c>
      <c r="C4345" t="s">
        <v>447</v>
      </c>
      <c r="D4345" s="2" t="s">
        <v>448</v>
      </c>
      <c r="E4345" t="s">
        <v>443</v>
      </c>
      <c r="F4345" s="11">
        <v>44412</v>
      </c>
      <c r="G4345" s="14">
        <f t="array" ref="G4345">VLOOKUP(E4345,Produtos!$A:$E,5,FALSE)</f>
        <v>1300</v>
      </c>
      <c r="H4345" s="14">
        <f>VLOOKUP(E4345,Produtos!$A:$E,4,FALSE)</f>
        <v>800</v>
      </c>
      <c r="I4345" s="2">
        <v>2</v>
      </c>
    </row>
    <row r="4346" spans="1:9" x14ac:dyDescent="0.25">
      <c r="A4346" s="2" t="str">
        <f>CONCATENATE(Códigos!S4345,Códigos!T4345,Códigos!U4345)</f>
        <v>svv4344v</v>
      </c>
      <c r="B4346" t="s">
        <v>340</v>
      </c>
      <c r="C4346" t="s">
        <v>447</v>
      </c>
      <c r="D4346" s="2" t="s">
        <v>448</v>
      </c>
      <c r="E4346" t="s">
        <v>443</v>
      </c>
      <c r="F4346" s="11">
        <v>44413</v>
      </c>
      <c r="G4346" s="14">
        <f t="array" ref="G4346">VLOOKUP(E4346,Produtos!$A:$E,5,FALSE)</f>
        <v>1300</v>
      </c>
      <c r="H4346" s="14">
        <f>VLOOKUP(E4346,Produtos!$A:$E,4,FALSE)</f>
        <v>800</v>
      </c>
      <c r="I4346" s="2">
        <v>2</v>
      </c>
    </row>
    <row r="4347" spans="1:9" x14ac:dyDescent="0.25">
      <c r="A4347" s="2" t="str">
        <f>CONCATENATE(Códigos!S4346,Códigos!T4346,Códigos!U4346)</f>
        <v>svv4345v</v>
      </c>
      <c r="B4347" t="s">
        <v>340</v>
      </c>
      <c r="C4347" t="s">
        <v>447</v>
      </c>
      <c r="D4347" s="2" t="s">
        <v>448</v>
      </c>
      <c r="E4347" t="s">
        <v>443</v>
      </c>
      <c r="F4347" s="11">
        <v>44414</v>
      </c>
      <c r="G4347" s="14">
        <f t="array" ref="G4347">VLOOKUP(E4347,Produtos!$A:$E,5,FALSE)</f>
        <v>1300</v>
      </c>
      <c r="H4347" s="14">
        <f>VLOOKUP(E4347,Produtos!$A:$E,4,FALSE)</f>
        <v>800</v>
      </c>
      <c r="I4347" s="2">
        <v>2</v>
      </c>
    </row>
    <row r="4348" spans="1:9" x14ac:dyDescent="0.25">
      <c r="A4348" s="2" t="str">
        <f>CONCATENATE(Códigos!S4347,Códigos!T4347,Códigos!U4347)</f>
        <v>svv4346v</v>
      </c>
      <c r="B4348" t="s">
        <v>340</v>
      </c>
      <c r="C4348" t="s">
        <v>447</v>
      </c>
      <c r="D4348" s="2" t="s">
        <v>448</v>
      </c>
      <c r="E4348" t="s">
        <v>443</v>
      </c>
      <c r="F4348" s="11">
        <v>44415</v>
      </c>
      <c r="G4348" s="14">
        <f t="array" ref="G4348">VLOOKUP(E4348,Produtos!$A:$E,5,FALSE)</f>
        <v>1300</v>
      </c>
      <c r="H4348" s="14">
        <f>VLOOKUP(E4348,Produtos!$A:$E,4,FALSE)</f>
        <v>800</v>
      </c>
      <c r="I4348" s="2">
        <v>2</v>
      </c>
    </row>
    <row r="4349" spans="1:9" x14ac:dyDescent="0.25">
      <c r="A4349" s="2" t="str">
        <f>CONCATENATE(Códigos!S4348,Códigos!T4348,Códigos!U4348)</f>
        <v>svv4347v</v>
      </c>
      <c r="B4349" t="s">
        <v>340</v>
      </c>
      <c r="C4349" t="s">
        <v>447</v>
      </c>
      <c r="D4349" s="2" t="s">
        <v>448</v>
      </c>
      <c r="E4349" t="s">
        <v>443</v>
      </c>
      <c r="F4349" s="11">
        <v>44416</v>
      </c>
      <c r="G4349" s="14">
        <f t="array" ref="G4349">VLOOKUP(E4349,Produtos!$A:$E,5,FALSE)</f>
        <v>1300</v>
      </c>
      <c r="H4349" s="14">
        <f>VLOOKUP(E4349,Produtos!$A:$E,4,FALSE)</f>
        <v>800</v>
      </c>
      <c r="I4349" s="2">
        <v>2</v>
      </c>
    </row>
    <row r="4350" spans="1:9" x14ac:dyDescent="0.25">
      <c r="A4350" s="2" t="str">
        <f>CONCATENATE(Códigos!S4349,Códigos!T4349,Códigos!U4349)</f>
        <v>svv4348v</v>
      </c>
      <c r="B4350" t="s">
        <v>340</v>
      </c>
      <c r="C4350" t="s">
        <v>447</v>
      </c>
      <c r="D4350" s="2" t="s">
        <v>448</v>
      </c>
      <c r="E4350" t="s">
        <v>443</v>
      </c>
      <c r="F4350" s="11">
        <v>44417</v>
      </c>
      <c r="G4350" s="14">
        <f t="array" ref="G4350">VLOOKUP(E4350,Produtos!$A:$E,5,FALSE)</f>
        <v>1300</v>
      </c>
      <c r="H4350" s="14">
        <f>VLOOKUP(E4350,Produtos!$A:$E,4,FALSE)</f>
        <v>800</v>
      </c>
      <c r="I4350" s="2">
        <v>2</v>
      </c>
    </row>
    <row r="4351" spans="1:9" x14ac:dyDescent="0.25">
      <c r="A4351" s="2" t="str">
        <f>CONCATENATE(Códigos!S4350,Códigos!T4350,Códigos!U4350)</f>
        <v>svv4349v</v>
      </c>
      <c r="B4351" t="s">
        <v>340</v>
      </c>
      <c r="C4351" t="s">
        <v>447</v>
      </c>
      <c r="D4351" s="2" t="s">
        <v>448</v>
      </c>
      <c r="E4351" t="s">
        <v>443</v>
      </c>
      <c r="F4351" s="11">
        <v>44418</v>
      </c>
      <c r="G4351" s="14">
        <f t="array" ref="G4351">VLOOKUP(E4351,Produtos!$A:$E,5,FALSE)</f>
        <v>1300</v>
      </c>
      <c r="H4351" s="14">
        <f>VLOOKUP(E4351,Produtos!$A:$E,4,FALSE)</f>
        <v>800</v>
      </c>
      <c r="I4351" s="2">
        <v>2</v>
      </c>
    </row>
    <row r="4352" spans="1:9" x14ac:dyDescent="0.25">
      <c r="A4352" s="2" t="str">
        <f>CONCATENATE(Códigos!S4351,Códigos!T4351,Códigos!U4351)</f>
        <v>svv4350v</v>
      </c>
      <c r="B4352" t="s">
        <v>340</v>
      </c>
      <c r="C4352" t="s">
        <v>447</v>
      </c>
      <c r="D4352" s="2" t="s">
        <v>448</v>
      </c>
      <c r="E4352" t="s">
        <v>443</v>
      </c>
      <c r="F4352" s="11">
        <v>44419</v>
      </c>
      <c r="G4352" s="14">
        <f t="array" ref="G4352">VLOOKUP(E4352,Produtos!$A:$E,5,FALSE)</f>
        <v>1300</v>
      </c>
      <c r="H4352" s="14">
        <f>VLOOKUP(E4352,Produtos!$A:$E,4,FALSE)</f>
        <v>800</v>
      </c>
      <c r="I4352" s="2">
        <v>2</v>
      </c>
    </row>
    <row r="4353" spans="1:9" x14ac:dyDescent="0.25">
      <c r="A4353" s="2" t="str">
        <f>CONCATENATE(Códigos!S4352,Códigos!T4352,Códigos!U4352)</f>
        <v>svv4351v</v>
      </c>
      <c r="B4353" t="s">
        <v>340</v>
      </c>
      <c r="C4353" t="s">
        <v>447</v>
      </c>
      <c r="D4353" s="2" t="s">
        <v>448</v>
      </c>
      <c r="E4353" t="s">
        <v>443</v>
      </c>
      <c r="F4353" s="11">
        <v>44420</v>
      </c>
      <c r="G4353" s="14">
        <f t="array" ref="G4353">VLOOKUP(E4353,Produtos!$A:$E,5,FALSE)</f>
        <v>1300</v>
      </c>
      <c r="H4353" s="14">
        <f>VLOOKUP(E4353,Produtos!$A:$E,4,FALSE)</f>
        <v>800</v>
      </c>
      <c r="I4353" s="2">
        <v>2</v>
      </c>
    </row>
    <row r="4354" spans="1:9" x14ac:dyDescent="0.25">
      <c r="A4354" s="2" t="str">
        <f>CONCATENATE(Códigos!S4353,Códigos!T4353,Códigos!U4353)</f>
        <v>svv4352v</v>
      </c>
      <c r="B4354" t="s">
        <v>340</v>
      </c>
      <c r="C4354" t="s">
        <v>447</v>
      </c>
      <c r="D4354" s="2" t="s">
        <v>448</v>
      </c>
      <c r="E4354" t="s">
        <v>443</v>
      </c>
      <c r="F4354" s="11">
        <v>44421</v>
      </c>
      <c r="G4354" s="14">
        <f t="array" ref="G4354">VLOOKUP(E4354,Produtos!$A:$E,5,FALSE)</f>
        <v>1300</v>
      </c>
      <c r="H4354" s="14">
        <f>VLOOKUP(E4354,Produtos!$A:$E,4,FALSE)</f>
        <v>800</v>
      </c>
      <c r="I4354" s="2">
        <v>2</v>
      </c>
    </row>
    <row r="4355" spans="1:9" x14ac:dyDescent="0.25">
      <c r="A4355" s="2" t="str">
        <f>CONCATENATE(Códigos!S4354,Códigos!T4354,Códigos!U4354)</f>
        <v>svv4353v</v>
      </c>
      <c r="B4355" t="s">
        <v>340</v>
      </c>
      <c r="C4355" t="s">
        <v>447</v>
      </c>
      <c r="D4355" s="2" t="s">
        <v>448</v>
      </c>
      <c r="E4355" t="s">
        <v>443</v>
      </c>
      <c r="F4355" s="11">
        <v>44422</v>
      </c>
      <c r="G4355" s="14">
        <f t="array" ref="G4355">VLOOKUP(E4355,Produtos!$A:$E,5,FALSE)</f>
        <v>1300</v>
      </c>
      <c r="H4355" s="14">
        <f>VLOOKUP(E4355,Produtos!$A:$E,4,FALSE)</f>
        <v>800</v>
      </c>
      <c r="I4355" s="2">
        <v>2</v>
      </c>
    </row>
    <row r="4356" spans="1:9" x14ac:dyDescent="0.25">
      <c r="A4356" s="2" t="str">
        <f>CONCATENATE(Códigos!S4355,Códigos!T4355,Códigos!U4355)</f>
        <v>svv4354v</v>
      </c>
      <c r="B4356" t="s">
        <v>340</v>
      </c>
      <c r="C4356" t="s">
        <v>447</v>
      </c>
      <c r="D4356" s="2" t="s">
        <v>448</v>
      </c>
      <c r="E4356" t="s">
        <v>443</v>
      </c>
      <c r="F4356" s="11">
        <v>44423</v>
      </c>
      <c r="G4356" s="14">
        <f t="array" ref="G4356">VLOOKUP(E4356,Produtos!$A:$E,5,FALSE)</f>
        <v>1300</v>
      </c>
      <c r="H4356" s="14">
        <f>VLOOKUP(E4356,Produtos!$A:$E,4,FALSE)</f>
        <v>800</v>
      </c>
      <c r="I4356" s="2">
        <v>2</v>
      </c>
    </row>
    <row r="4357" spans="1:9" x14ac:dyDescent="0.25">
      <c r="A4357" s="2" t="str">
        <f>CONCATENATE(Códigos!S4356,Códigos!T4356,Códigos!U4356)</f>
        <v>svv4355v</v>
      </c>
      <c r="B4357" t="s">
        <v>340</v>
      </c>
      <c r="C4357" t="s">
        <v>447</v>
      </c>
      <c r="D4357" s="2" t="s">
        <v>448</v>
      </c>
      <c r="E4357" t="s">
        <v>443</v>
      </c>
      <c r="F4357" s="11">
        <v>44424</v>
      </c>
      <c r="G4357" s="14">
        <f t="array" ref="G4357">VLOOKUP(E4357,Produtos!$A:$E,5,FALSE)</f>
        <v>1300</v>
      </c>
      <c r="H4357" s="14">
        <f>VLOOKUP(E4357,Produtos!$A:$E,4,FALSE)</f>
        <v>800</v>
      </c>
      <c r="I4357" s="2">
        <v>2</v>
      </c>
    </row>
    <row r="4358" spans="1:9" x14ac:dyDescent="0.25">
      <c r="A4358" s="2" t="str">
        <f>CONCATENATE(Códigos!S4357,Códigos!T4357,Códigos!U4357)</f>
        <v>svv4356v</v>
      </c>
      <c r="B4358" t="s">
        <v>340</v>
      </c>
      <c r="C4358" t="s">
        <v>447</v>
      </c>
      <c r="D4358" s="2" t="s">
        <v>448</v>
      </c>
      <c r="E4358" t="s">
        <v>443</v>
      </c>
      <c r="F4358" s="11">
        <v>44425</v>
      </c>
      <c r="G4358" s="14">
        <f t="array" ref="G4358">VLOOKUP(E4358,Produtos!$A:$E,5,FALSE)</f>
        <v>1300</v>
      </c>
      <c r="H4358" s="14">
        <f>VLOOKUP(E4358,Produtos!$A:$E,4,FALSE)</f>
        <v>800</v>
      </c>
      <c r="I4358" s="2">
        <v>2</v>
      </c>
    </row>
    <row r="4359" spans="1:9" x14ac:dyDescent="0.25">
      <c r="A4359" s="2" t="str">
        <f>CONCATENATE(Códigos!S4358,Códigos!T4358,Códigos!U4358)</f>
        <v>svv4357v</v>
      </c>
      <c r="B4359" t="s">
        <v>340</v>
      </c>
      <c r="C4359" t="s">
        <v>447</v>
      </c>
      <c r="D4359" s="2" t="s">
        <v>448</v>
      </c>
      <c r="E4359" t="s">
        <v>436</v>
      </c>
      <c r="F4359" s="11">
        <v>44426</v>
      </c>
      <c r="G4359" s="14">
        <f t="array" ref="G4359">VLOOKUP(E4359,Produtos!$A:$E,5,FALSE)</f>
        <v>1000</v>
      </c>
      <c r="H4359" s="14">
        <f>VLOOKUP(E4359,Produtos!$A:$E,4,FALSE)</f>
        <v>600</v>
      </c>
      <c r="I4359" s="2">
        <v>2</v>
      </c>
    </row>
    <row r="4360" spans="1:9" x14ac:dyDescent="0.25">
      <c r="A4360" s="2" t="str">
        <f>CONCATENATE(Códigos!S4359,Códigos!T4359,Códigos!U4359)</f>
        <v>svv4358v</v>
      </c>
      <c r="B4360" t="s">
        <v>340</v>
      </c>
      <c r="C4360" t="s">
        <v>447</v>
      </c>
      <c r="D4360" s="2" t="s">
        <v>448</v>
      </c>
      <c r="E4360" t="s">
        <v>436</v>
      </c>
      <c r="F4360" s="11">
        <v>44427</v>
      </c>
      <c r="G4360" s="14">
        <f t="array" ref="G4360">VLOOKUP(E4360,Produtos!$A:$E,5,FALSE)</f>
        <v>1000</v>
      </c>
      <c r="H4360" s="14">
        <f>VLOOKUP(E4360,Produtos!$A:$E,4,FALSE)</f>
        <v>600</v>
      </c>
      <c r="I4360" s="2">
        <v>2</v>
      </c>
    </row>
    <row r="4361" spans="1:9" x14ac:dyDescent="0.25">
      <c r="A4361" s="2" t="str">
        <f>CONCATENATE(Códigos!S4360,Códigos!T4360,Códigos!U4360)</f>
        <v>svv4359v</v>
      </c>
      <c r="B4361" t="s">
        <v>339</v>
      </c>
      <c r="C4361" t="s">
        <v>447</v>
      </c>
      <c r="D4361" s="2" t="s">
        <v>448</v>
      </c>
      <c r="E4361" t="s">
        <v>439</v>
      </c>
      <c r="F4361" s="11">
        <v>44428</v>
      </c>
      <c r="G4361" s="14">
        <f t="array" ref="G4361">VLOOKUP(E4361,Produtos!$A:$E,5,FALSE)</f>
        <v>1800</v>
      </c>
      <c r="H4361" s="14">
        <f>VLOOKUP(E4361,Produtos!$A:$E,4,FALSE)</f>
        <v>1000</v>
      </c>
      <c r="I4361" s="2">
        <v>2</v>
      </c>
    </row>
    <row r="4362" spans="1:9" x14ac:dyDescent="0.25">
      <c r="A4362" s="2" t="str">
        <f>CONCATENATE(Códigos!S4361,Códigos!T4361,Códigos!U4361)</f>
        <v>svv4360v</v>
      </c>
      <c r="B4362" t="s">
        <v>339</v>
      </c>
      <c r="C4362" t="s">
        <v>447</v>
      </c>
      <c r="D4362" s="2" t="s">
        <v>448</v>
      </c>
      <c r="E4362" t="s">
        <v>439</v>
      </c>
      <c r="F4362" s="11">
        <v>44429</v>
      </c>
      <c r="G4362" s="14">
        <f t="array" ref="G4362">VLOOKUP(E4362,Produtos!$A:$E,5,FALSE)</f>
        <v>1800</v>
      </c>
      <c r="H4362" s="14">
        <f>VLOOKUP(E4362,Produtos!$A:$E,4,FALSE)</f>
        <v>1000</v>
      </c>
      <c r="I4362" s="2">
        <v>2</v>
      </c>
    </row>
    <row r="4363" spans="1:9" x14ac:dyDescent="0.25">
      <c r="A4363" s="2" t="str">
        <f>CONCATENATE(Códigos!S4362,Códigos!T4362,Códigos!U4362)</f>
        <v>svv4361v</v>
      </c>
      <c r="B4363" t="s">
        <v>339</v>
      </c>
      <c r="C4363" t="s">
        <v>447</v>
      </c>
      <c r="D4363" s="2" t="s">
        <v>448</v>
      </c>
      <c r="E4363" t="s">
        <v>439</v>
      </c>
      <c r="F4363" s="11">
        <v>44430</v>
      </c>
      <c r="G4363" s="14">
        <f t="array" ref="G4363">VLOOKUP(E4363,Produtos!$A:$E,5,FALSE)</f>
        <v>1800</v>
      </c>
      <c r="H4363" s="14">
        <f>VLOOKUP(E4363,Produtos!$A:$E,4,FALSE)</f>
        <v>1000</v>
      </c>
      <c r="I4363" s="2">
        <v>2</v>
      </c>
    </row>
    <row r="4364" spans="1:9" x14ac:dyDescent="0.25">
      <c r="A4364" s="2" t="str">
        <f>CONCATENATE(Códigos!S4363,Códigos!T4363,Códigos!U4363)</f>
        <v>svv4362v</v>
      </c>
      <c r="B4364" t="s">
        <v>339</v>
      </c>
      <c r="C4364" t="s">
        <v>447</v>
      </c>
      <c r="D4364" s="2" t="s">
        <v>448</v>
      </c>
      <c r="E4364" t="s">
        <v>439</v>
      </c>
      <c r="F4364" s="11">
        <v>44431</v>
      </c>
      <c r="G4364" s="14">
        <f t="array" ref="G4364">VLOOKUP(E4364,Produtos!$A:$E,5,FALSE)</f>
        <v>1800</v>
      </c>
      <c r="H4364" s="14">
        <f>VLOOKUP(E4364,Produtos!$A:$E,4,FALSE)</f>
        <v>1000</v>
      </c>
      <c r="I4364" s="2">
        <v>2</v>
      </c>
    </row>
    <row r="4365" spans="1:9" x14ac:dyDescent="0.25">
      <c r="A4365" s="2" t="str">
        <f>CONCATENATE(Códigos!S4364,Códigos!T4364,Códigos!U4364)</f>
        <v>svv4363v</v>
      </c>
      <c r="B4365" t="s">
        <v>339</v>
      </c>
      <c r="C4365" t="s">
        <v>447</v>
      </c>
      <c r="D4365" s="2" t="s">
        <v>448</v>
      </c>
      <c r="E4365" t="s">
        <v>439</v>
      </c>
      <c r="F4365" s="11">
        <v>44432</v>
      </c>
      <c r="G4365" s="14">
        <f t="array" ref="G4365">VLOOKUP(E4365,Produtos!$A:$E,5,FALSE)</f>
        <v>1800</v>
      </c>
      <c r="H4365" s="14">
        <f>VLOOKUP(E4365,Produtos!$A:$E,4,FALSE)</f>
        <v>1000</v>
      </c>
      <c r="I4365" s="2">
        <v>2</v>
      </c>
    </row>
    <row r="4366" spans="1:9" x14ac:dyDescent="0.25">
      <c r="A4366" s="2" t="str">
        <f>CONCATENATE(Códigos!S4365,Códigos!T4365,Códigos!U4365)</f>
        <v>svv4364v</v>
      </c>
      <c r="B4366" t="s">
        <v>339</v>
      </c>
      <c r="C4366" t="s">
        <v>447</v>
      </c>
      <c r="D4366" s="2" t="s">
        <v>448</v>
      </c>
      <c r="E4366" t="s">
        <v>439</v>
      </c>
      <c r="F4366" s="11">
        <v>44433</v>
      </c>
      <c r="G4366" s="14">
        <f t="array" ref="G4366">VLOOKUP(E4366,Produtos!$A:$E,5,FALSE)</f>
        <v>1800</v>
      </c>
      <c r="H4366" s="14">
        <f>VLOOKUP(E4366,Produtos!$A:$E,4,FALSE)</f>
        <v>1000</v>
      </c>
      <c r="I4366" s="2">
        <v>2</v>
      </c>
    </row>
    <row r="4367" spans="1:9" x14ac:dyDescent="0.25">
      <c r="A4367" s="2" t="str">
        <f>CONCATENATE(Códigos!S4366,Códigos!T4366,Códigos!U4366)</f>
        <v>svv4365v</v>
      </c>
      <c r="B4367" t="s">
        <v>339</v>
      </c>
      <c r="C4367" t="s">
        <v>447</v>
      </c>
      <c r="D4367" s="2" t="s">
        <v>448</v>
      </c>
      <c r="E4367" t="s">
        <v>439</v>
      </c>
      <c r="F4367" s="11">
        <v>44434</v>
      </c>
      <c r="G4367" s="14">
        <f t="array" ref="G4367">VLOOKUP(E4367,Produtos!$A:$E,5,FALSE)</f>
        <v>1800</v>
      </c>
      <c r="H4367" s="14">
        <f>VLOOKUP(E4367,Produtos!$A:$E,4,FALSE)</f>
        <v>1000</v>
      </c>
      <c r="I4367" s="2">
        <v>2</v>
      </c>
    </row>
    <row r="4368" spans="1:9" x14ac:dyDescent="0.25">
      <c r="A4368" s="2" t="str">
        <f>CONCATENATE(Códigos!S4367,Códigos!T4367,Códigos!U4367)</f>
        <v>svv4366v</v>
      </c>
      <c r="B4368" t="s">
        <v>339</v>
      </c>
      <c r="C4368" t="s">
        <v>447</v>
      </c>
      <c r="D4368" s="2" t="s">
        <v>448</v>
      </c>
      <c r="E4368" t="s">
        <v>439</v>
      </c>
      <c r="F4368" s="11">
        <v>44435</v>
      </c>
      <c r="G4368" s="14">
        <f t="array" ref="G4368">VLOOKUP(E4368,Produtos!$A:$E,5,FALSE)</f>
        <v>1800</v>
      </c>
      <c r="H4368" s="14">
        <f>VLOOKUP(E4368,Produtos!$A:$E,4,FALSE)</f>
        <v>1000</v>
      </c>
      <c r="I4368" s="2">
        <v>2</v>
      </c>
    </row>
    <row r="4369" spans="1:9" x14ac:dyDescent="0.25">
      <c r="A4369" s="2" t="str">
        <f>CONCATENATE(Códigos!S4368,Códigos!T4368,Códigos!U4368)</f>
        <v>svv4367v</v>
      </c>
      <c r="B4369" t="s">
        <v>339</v>
      </c>
      <c r="C4369" t="s">
        <v>447</v>
      </c>
      <c r="D4369" s="2" t="s">
        <v>448</v>
      </c>
      <c r="E4369" t="s">
        <v>439</v>
      </c>
      <c r="F4369" s="11">
        <v>44436</v>
      </c>
      <c r="G4369" s="14">
        <f t="array" ref="G4369">VLOOKUP(E4369,Produtos!$A:$E,5,FALSE)</f>
        <v>1800</v>
      </c>
      <c r="H4369" s="14">
        <f>VLOOKUP(E4369,Produtos!$A:$E,4,FALSE)</f>
        <v>1000</v>
      </c>
      <c r="I4369" s="2">
        <v>2</v>
      </c>
    </row>
    <row r="4370" spans="1:9" x14ac:dyDescent="0.25">
      <c r="A4370" s="2" t="str">
        <f>CONCATENATE(Códigos!S4369,Códigos!T4369,Códigos!U4369)</f>
        <v>svv4368v</v>
      </c>
      <c r="B4370" t="s">
        <v>339</v>
      </c>
      <c r="C4370" t="s">
        <v>447</v>
      </c>
      <c r="D4370" s="2" t="s">
        <v>448</v>
      </c>
      <c r="E4370" t="s">
        <v>439</v>
      </c>
      <c r="F4370" s="11">
        <v>44437</v>
      </c>
      <c r="G4370" s="14">
        <f t="array" ref="G4370">VLOOKUP(E4370,Produtos!$A:$E,5,FALSE)</f>
        <v>1800</v>
      </c>
      <c r="H4370" s="14">
        <f>VLOOKUP(E4370,Produtos!$A:$E,4,FALSE)</f>
        <v>1000</v>
      </c>
      <c r="I4370" s="2">
        <v>2</v>
      </c>
    </row>
    <row r="4371" spans="1:9" x14ac:dyDescent="0.25">
      <c r="A4371" s="2" t="str">
        <f>CONCATENATE(Códigos!S4370,Códigos!T4370,Códigos!U4370)</f>
        <v>svv4369v</v>
      </c>
      <c r="B4371" t="s">
        <v>339</v>
      </c>
      <c r="C4371" t="s">
        <v>447</v>
      </c>
      <c r="D4371" s="2" t="s">
        <v>448</v>
      </c>
      <c r="E4371" t="s">
        <v>439</v>
      </c>
      <c r="F4371" s="11">
        <v>44438</v>
      </c>
      <c r="G4371" s="14">
        <f t="array" ref="G4371">VLOOKUP(E4371,Produtos!$A:$E,5,FALSE)</f>
        <v>1800</v>
      </c>
      <c r="H4371" s="14">
        <f>VLOOKUP(E4371,Produtos!$A:$E,4,FALSE)</f>
        <v>1000</v>
      </c>
      <c r="I4371" s="2">
        <v>2</v>
      </c>
    </row>
    <row r="4372" spans="1:9" x14ac:dyDescent="0.25">
      <c r="A4372" s="2" t="str">
        <f>CONCATENATE(Códigos!S4371,Códigos!T4371,Códigos!U4371)</f>
        <v>svv4370v</v>
      </c>
      <c r="B4372" t="s">
        <v>339</v>
      </c>
      <c r="C4372" t="s">
        <v>447</v>
      </c>
      <c r="D4372" s="2" t="s">
        <v>448</v>
      </c>
      <c r="E4372" t="s">
        <v>439</v>
      </c>
      <c r="F4372" s="11">
        <v>44439</v>
      </c>
      <c r="G4372" s="14">
        <f t="array" ref="G4372">VLOOKUP(E4372,Produtos!$A:$E,5,FALSE)</f>
        <v>1800</v>
      </c>
      <c r="H4372" s="14">
        <f>VLOOKUP(E4372,Produtos!$A:$E,4,FALSE)</f>
        <v>1000</v>
      </c>
      <c r="I4372" s="2">
        <v>2</v>
      </c>
    </row>
    <row r="4373" spans="1:9" x14ac:dyDescent="0.25">
      <c r="A4373" s="2" t="str">
        <f>CONCATENATE(Códigos!S4372,Códigos!T4372,Códigos!U4372)</f>
        <v>svv4371v</v>
      </c>
      <c r="B4373" t="s">
        <v>339</v>
      </c>
      <c r="C4373" t="s">
        <v>447</v>
      </c>
      <c r="D4373" s="2" t="s">
        <v>448</v>
      </c>
      <c r="E4373" t="s">
        <v>439</v>
      </c>
      <c r="F4373" s="11">
        <v>44440</v>
      </c>
      <c r="G4373" s="14">
        <f t="array" ref="G4373">VLOOKUP(E4373,Produtos!$A:$E,5,FALSE)</f>
        <v>1800</v>
      </c>
      <c r="H4373" s="14">
        <f>VLOOKUP(E4373,Produtos!$A:$E,4,FALSE)</f>
        <v>1000</v>
      </c>
      <c r="I4373" s="2">
        <v>2</v>
      </c>
    </row>
    <row r="4374" spans="1:9" x14ac:dyDescent="0.25">
      <c r="A4374" s="2" t="str">
        <f>CONCATENATE(Códigos!S4373,Códigos!T4373,Códigos!U4373)</f>
        <v>svv4372v</v>
      </c>
      <c r="B4374" t="s">
        <v>339</v>
      </c>
      <c r="C4374" t="s">
        <v>447</v>
      </c>
      <c r="D4374" s="2" t="s">
        <v>448</v>
      </c>
      <c r="E4374" t="s">
        <v>439</v>
      </c>
      <c r="F4374" s="11">
        <v>44441</v>
      </c>
      <c r="G4374" s="14">
        <f t="array" ref="G4374">VLOOKUP(E4374,Produtos!$A:$E,5,FALSE)</f>
        <v>1800</v>
      </c>
      <c r="H4374" s="14">
        <f>VLOOKUP(E4374,Produtos!$A:$E,4,FALSE)</f>
        <v>1000</v>
      </c>
      <c r="I4374" s="2">
        <v>2</v>
      </c>
    </row>
    <row r="4375" spans="1:9" x14ac:dyDescent="0.25">
      <c r="A4375" s="2" t="str">
        <f>CONCATENATE(Códigos!S4374,Códigos!T4374,Códigos!U4374)</f>
        <v>svv4373v</v>
      </c>
      <c r="B4375" t="s">
        <v>339</v>
      </c>
      <c r="C4375" t="s">
        <v>447</v>
      </c>
      <c r="D4375" s="2" t="s">
        <v>448</v>
      </c>
      <c r="E4375" t="s">
        <v>439</v>
      </c>
      <c r="F4375" s="11">
        <v>44442</v>
      </c>
      <c r="G4375" s="14">
        <f t="array" ref="G4375">VLOOKUP(E4375,Produtos!$A:$E,5,FALSE)</f>
        <v>1800</v>
      </c>
      <c r="H4375" s="14">
        <f>VLOOKUP(E4375,Produtos!$A:$E,4,FALSE)</f>
        <v>1000</v>
      </c>
      <c r="I4375" s="2">
        <v>2</v>
      </c>
    </row>
    <row r="4376" spans="1:9" x14ac:dyDescent="0.25">
      <c r="A4376" s="2" t="str">
        <f>CONCATENATE(Códigos!S4375,Códigos!T4375,Códigos!U4375)</f>
        <v>svv4374v</v>
      </c>
      <c r="B4376" t="s">
        <v>339</v>
      </c>
      <c r="C4376" t="s">
        <v>447</v>
      </c>
      <c r="D4376" s="2" t="s">
        <v>448</v>
      </c>
      <c r="E4376" t="s">
        <v>439</v>
      </c>
      <c r="F4376" s="11">
        <v>44443</v>
      </c>
      <c r="G4376" s="14">
        <f t="array" ref="G4376">VLOOKUP(E4376,Produtos!$A:$E,5,FALSE)</f>
        <v>1800</v>
      </c>
      <c r="H4376" s="14">
        <f>VLOOKUP(E4376,Produtos!$A:$E,4,FALSE)</f>
        <v>1000</v>
      </c>
      <c r="I4376" s="2">
        <v>2</v>
      </c>
    </row>
    <row r="4377" spans="1:9" x14ac:dyDescent="0.25">
      <c r="A4377" s="2" t="str">
        <f>CONCATENATE(Códigos!S4376,Códigos!T4376,Códigos!U4376)</f>
        <v>svv4375v</v>
      </c>
      <c r="B4377" t="s">
        <v>339</v>
      </c>
      <c r="C4377" t="s">
        <v>447</v>
      </c>
      <c r="D4377" s="2" t="s">
        <v>448</v>
      </c>
      <c r="E4377" t="s">
        <v>439</v>
      </c>
      <c r="F4377" s="11">
        <v>44444</v>
      </c>
      <c r="G4377" s="14">
        <f t="array" ref="G4377">VLOOKUP(E4377,Produtos!$A:$E,5,FALSE)</f>
        <v>1800</v>
      </c>
      <c r="H4377" s="14">
        <f>VLOOKUP(E4377,Produtos!$A:$E,4,FALSE)</f>
        <v>1000</v>
      </c>
      <c r="I4377" s="2">
        <v>2</v>
      </c>
    </row>
    <row r="4378" spans="1:9" x14ac:dyDescent="0.25">
      <c r="A4378" s="2" t="str">
        <f>CONCATENATE(Códigos!S4377,Códigos!T4377,Códigos!U4377)</f>
        <v>svv4376v</v>
      </c>
      <c r="B4378" t="s">
        <v>339</v>
      </c>
      <c r="C4378" t="s">
        <v>447</v>
      </c>
      <c r="D4378" s="2" t="s">
        <v>448</v>
      </c>
      <c r="E4378" t="s">
        <v>439</v>
      </c>
      <c r="F4378" s="11">
        <v>44445</v>
      </c>
      <c r="G4378" s="14">
        <f t="array" ref="G4378">VLOOKUP(E4378,Produtos!$A:$E,5,FALSE)</f>
        <v>1800</v>
      </c>
      <c r="H4378" s="14">
        <f>VLOOKUP(E4378,Produtos!$A:$E,4,FALSE)</f>
        <v>1000</v>
      </c>
      <c r="I4378" s="2">
        <v>2</v>
      </c>
    </row>
    <row r="4379" spans="1:9" x14ac:dyDescent="0.25">
      <c r="A4379" s="2" t="str">
        <f>CONCATENATE(Códigos!S4378,Códigos!T4378,Códigos!U4378)</f>
        <v>svv4377v</v>
      </c>
      <c r="B4379" t="s">
        <v>339</v>
      </c>
      <c r="C4379" t="s">
        <v>447</v>
      </c>
      <c r="D4379" s="2" t="s">
        <v>448</v>
      </c>
      <c r="E4379" t="s">
        <v>439</v>
      </c>
      <c r="F4379" s="11">
        <v>44446</v>
      </c>
      <c r="G4379" s="14">
        <f t="array" ref="G4379">VLOOKUP(E4379,Produtos!$A:$E,5,FALSE)</f>
        <v>1800</v>
      </c>
      <c r="H4379" s="14">
        <f>VLOOKUP(E4379,Produtos!$A:$E,4,FALSE)</f>
        <v>1000</v>
      </c>
      <c r="I4379" s="2">
        <v>2</v>
      </c>
    </row>
    <row r="4380" spans="1:9" x14ac:dyDescent="0.25">
      <c r="A4380" s="2" t="str">
        <f>CONCATENATE(Códigos!S4379,Códigos!T4379,Códigos!U4379)</f>
        <v>svv4378v</v>
      </c>
      <c r="B4380" t="s">
        <v>339</v>
      </c>
      <c r="C4380" t="s">
        <v>447</v>
      </c>
      <c r="D4380" s="2" t="s">
        <v>448</v>
      </c>
      <c r="E4380" t="s">
        <v>439</v>
      </c>
      <c r="F4380" s="11">
        <v>44447</v>
      </c>
      <c r="G4380" s="14">
        <f t="array" ref="G4380">VLOOKUP(E4380,Produtos!$A:$E,5,FALSE)</f>
        <v>1800</v>
      </c>
      <c r="H4380" s="14">
        <f>VLOOKUP(E4380,Produtos!$A:$E,4,FALSE)</f>
        <v>1000</v>
      </c>
      <c r="I4380" s="2">
        <v>2</v>
      </c>
    </row>
    <row r="4381" spans="1:9" x14ac:dyDescent="0.25">
      <c r="A4381" s="2" t="str">
        <f>CONCATENATE(Códigos!S4380,Códigos!T4380,Códigos!U4380)</f>
        <v>svv4379v</v>
      </c>
      <c r="B4381" t="s">
        <v>339</v>
      </c>
      <c r="C4381" t="s">
        <v>447</v>
      </c>
      <c r="D4381" s="2" t="s">
        <v>448</v>
      </c>
      <c r="E4381" t="s">
        <v>436</v>
      </c>
      <c r="F4381" s="11">
        <v>44448</v>
      </c>
      <c r="G4381" s="14">
        <f t="array" ref="G4381">VLOOKUP(E4381,Produtos!$A:$E,5,FALSE)</f>
        <v>1000</v>
      </c>
      <c r="H4381" s="14">
        <f>VLOOKUP(E4381,Produtos!$A:$E,4,FALSE)</f>
        <v>600</v>
      </c>
      <c r="I4381" s="2">
        <v>2</v>
      </c>
    </row>
    <row r="4382" spans="1:9" x14ac:dyDescent="0.25">
      <c r="A4382" s="2" t="str">
        <f>CONCATENATE(Códigos!S4381,Códigos!T4381,Códigos!U4381)</f>
        <v>svv4380v</v>
      </c>
      <c r="B4382" t="s">
        <v>339</v>
      </c>
      <c r="C4382" t="s">
        <v>447</v>
      </c>
      <c r="D4382" s="2" t="s">
        <v>448</v>
      </c>
      <c r="E4382" t="s">
        <v>436</v>
      </c>
      <c r="F4382" s="11">
        <v>44449</v>
      </c>
      <c r="G4382" s="14">
        <f t="array" ref="G4382">VLOOKUP(E4382,Produtos!$A:$E,5,FALSE)</f>
        <v>1000</v>
      </c>
      <c r="H4382" s="14">
        <f>VLOOKUP(E4382,Produtos!$A:$E,4,FALSE)</f>
        <v>600</v>
      </c>
      <c r="I4382" s="2">
        <v>2</v>
      </c>
    </row>
    <row r="4383" spans="1:9" x14ac:dyDescent="0.25">
      <c r="A4383" s="2" t="str">
        <f>CONCATENATE(Códigos!S4382,Códigos!T4382,Códigos!U4382)</f>
        <v>svv4381v</v>
      </c>
      <c r="B4383" t="s">
        <v>339</v>
      </c>
      <c r="C4383" t="s">
        <v>447</v>
      </c>
      <c r="D4383" s="2" t="s">
        <v>448</v>
      </c>
      <c r="E4383" t="s">
        <v>436</v>
      </c>
      <c r="F4383" s="11">
        <v>44450</v>
      </c>
      <c r="G4383" s="14">
        <f t="array" ref="G4383">VLOOKUP(E4383,Produtos!$A:$E,5,FALSE)</f>
        <v>1000</v>
      </c>
      <c r="H4383" s="14">
        <f>VLOOKUP(E4383,Produtos!$A:$E,4,FALSE)</f>
        <v>600</v>
      </c>
      <c r="I4383" s="2">
        <v>2</v>
      </c>
    </row>
    <row r="4384" spans="1:9" x14ac:dyDescent="0.25">
      <c r="A4384" s="2" t="str">
        <f>CONCATENATE(Códigos!S4383,Códigos!T4383,Códigos!U4383)</f>
        <v>svv4382v</v>
      </c>
      <c r="B4384" t="s">
        <v>339</v>
      </c>
      <c r="C4384" t="s">
        <v>447</v>
      </c>
      <c r="D4384" s="2" t="s">
        <v>448</v>
      </c>
      <c r="E4384" t="s">
        <v>436</v>
      </c>
      <c r="F4384" s="11">
        <v>44451</v>
      </c>
      <c r="G4384" s="14">
        <f t="array" ref="G4384">VLOOKUP(E4384,Produtos!$A:$E,5,FALSE)</f>
        <v>1000</v>
      </c>
      <c r="H4384" s="14">
        <f>VLOOKUP(E4384,Produtos!$A:$E,4,FALSE)</f>
        <v>600</v>
      </c>
      <c r="I4384" s="2">
        <v>2</v>
      </c>
    </row>
    <row r="4385" spans="1:9" x14ac:dyDescent="0.25">
      <c r="A4385" s="2" t="str">
        <f>CONCATENATE(Códigos!S4384,Códigos!T4384,Códigos!U4384)</f>
        <v>svv4383v</v>
      </c>
      <c r="B4385" t="s">
        <v>339</v>
      </c>
      <c r="C4385" t="s">
        <v>447</v>
      </c>
      <c r="D4385" s="2" t="s">
        <v>448</v>
      </c>
      <c r="E4385" t="s">
        <v>436</v>
      </c>
      <c r="F4385" s="11">
        <v>44452</v>
      </c>
      <c r="G4385" s="14">
        <f t="array" ref="G4385">VLOOKUP(E4385,Produtos!$A:$E,5,FALSE)</f>
        <v>1000</v>
      </c>
      <c r="H4385" s="14">
        <f>VLOOKUP(E4385,Produtos!$A:$E,4,FALSE)</f>
        <v>600</v>
      </c>
      <c r="I4385" s="2">
        <v>2</v>
      </c>
    </row>
    <row r="4386" spans="1:9" x14ac:dyDescent="0.25">
      <c r="A4386" s="2" t="str">
        <f>CONCATENATE(Códigos!S4385,Códigos!T4385,Códigos!U4385)</f>
        <v>svv4384v</v>
      </c>
      <c r="B4386" t="s">
        <v>339</v>
      </c>
      <c r="C4386" t="s">
        <v>447</v>
      </c>
      <c r="D4386" s="2" t="s">
        <v>448</v>
      </c>
      <c r="E4386" t="s">
        <v>436</v>
      </c>
      <c r="F4386" s="11">
        <v>44453</v>
      </c>
      <c r="G4386" s="14">
        <f t="array" ref="G4386">VLOOKUP(E4386,Produtos!$A:$E,5,FALSE)</f>
        <v>1000</v>
      </c>
      <c r="H4386" s="14">
        <f>VLOOKUP(E4386,Produtos!$A:$E,4,FALSE)</f>
        <v>600</v>
      </c>
      <c r="I4386" s="2">
        <v>2</v>
      </c>
    </row>
    <row r="4387" spans="1:9" x14ac:dyDescent="0.25">
      <c r="A4387" s="2" t="str">
        <f>CONCATENATE(Códigos!S4386,Códigos!T4386,Códigos!U4386)</f>
        <v>svv4385v</v>
      </c>
      <c r="B4387" t="s">
        <v>339</v>
      </c>
      <c r="C4387" t="s">
        <v>447</v>
      </c>
      <c r="D4387" s="2" t="s">
        <v>448</v>
      </c>
      <c r="E4387" t="s">
        <v>436</v>
      </c>
      <c r="F4387" s="11">
        <v>44454</v>
      </c>
      <c r="G4387" s="14">
        <f t="array" ref="G4387">VLOOKUP(E4387,Produtos!$A:$E,5,FALSE)</f>
        <v>1000</v>
      </c>
      <c r="H4387" s="14">
        <f>VLOOKUP(E4387,Produtos!$A:$E,4,FALSE)</f>
        <v>600</v>
      </c>
      <c r="I4387" s="2">
        <v>2</v>
      </c>
    </row>
    <row r="4388" spans="1:9" x14ac:dyDescent="0.25">
      <c r="A4388" s="2" t="str">
        <f>CONCATENATE(Códigos!S4387,Códigos!T4387,Códigos!U4387)</f>
        <v>svv4386v</v>
      </c>
      <c r="B4388" t="s">
        <v>339</v>
      </c>
      <c r="C4388" t="s">
        <v>447</v>
      </c>
      <c r="D4388" s="2" t="s">
        <v>448</v>
      </c>
      <c r="E4388" t="s">
        <v>436</v>
      </c>
      <c r="F4388" s="11">
        <v>44455</v>
      </c>
      <c r="G4388" s="14">
        <f t="array" ref="G4388">VLOOKUP(E4388,Produtos!$A:$E,5,FALSE)</f>
        <v>1000</v>
      </c>
      <c r="H4388" s="14">
        <f>VLOOKUP(E4388,Produtos!$A:$E,4,FALSE)</f>
        <v>600</v>
      </c>
      <c r="I4388" s="2">
        <v>2</v>
      </c>
    </row>
    <row r="4389" spans="1:9" x14ac:dyDescent="0.25">
      <c r="A4389" s="2" t="str">
        <f>CONCATENATE(Códigos!S4388,Códigos!T4388,Códigos!U4388)</f>
        <v>svv4387v</v>
      </c>
      <c r="B4389" t="s">
        <v>339</v>
      </c>
      <c r="C4389" t="s">
        <v>447</v>
      </c>
      <c r="D4389" s="2" t="s">
        <v>448</v>
      </c>
      <c r="E4389" t="s">
        <v>436</v>
      </c>
      <c r="F4389" s="11">
        <v>44456</v>
      </c>
      <c r="G4389" s="14">
        <f t="array" ref="G4389">VLOOKUP(E4389,Produtos!$A:$E,5,FALSE)</f>
        <v>1000</v>
      </c>
      <c r="H4389" s="14">
        <f>VLOOKUP(E4389,Produtos!$A:$E,4,FALSE)</f>
        <v>600</v>
      </c>
      <c r="I4389" s="2">
        <v>2</v>
      </c>
    </row>
    <row r="4390" spans="1:9" x14ac:dyDescent="0.25">
      <c r="A4390" s="2" t="str">
        <f>CONCATENATE(Códigos!S4389,Códigos!T4389,Códigos!U4389)</f>
        <v>svv4388v</v>
      </c>
      <c r="B4390" t="s">
        <v>339</v>
      </c>
      <c r="C4390" t="s">
        <v>447</v>
      </c>
      <c r="D4390" s="2" t="s">
        <v>448</v>
      </c>
      <c r="E4390" t="s">
        <v>436</v>
      </c>
      <c r="F4390" s="11">
        <v>44457</v>
      </c>
      <c r="G4390" s="14">
        <f t="array" ref="G4390">VLOOKUP(E4390,Produtos!$A:$E,5,FALSE)</f>
        <v>1000</v>
      </c>
      <c r="H4390" s="14">
        <f>VLOOKUP(E4390,Produtos!$A:$E,4,FALSE)</f>
        <v>600</v>
      </c>
      <c r="I4390" s="2">
        <v>2</v>
      </c>
    </row>
    <row r="4391" spans="1:9" x14ac:dyDescent="0.25">
      <c r="A4391" s="2" t="str">
        <f>CONCATENATE(Códigos!S4390,Códigos!T4390,Códigos!U4390)</f>
        <v>svv4389v</v>
      </c>
      <c r="B4391" t="s">
        <v>339</v>
      </c>
      <c r="C4391" t="s">
        <v>446</v>
      </c>
      <c r="D4391" s="2" t="s">
        <v>370</v>
      </c>
      <c r="E4391" t="s">
        <v>436</v>
      </c>
      <c r="F4391" s="11">
        <v>44458</v>
      </c>
      <c r="G4391" s="14">
        <f t="array" ref="G4391">VLOOKUP(E4391,Produtos!$A:$E,5,FALSE)</f>
        <v>1000</v>
      </c>
      <c r="H4391" s="14">
        <f>VLOOKUP(E4391,Produtos!$A:$E,4,FALSE)</f>
        <v>600</v>
      </c>
      <c r="I4391" s="2">
        <v>2</v>
      </c>
    </row>
    <row r="4392" spans="1:9" x14ac:dyDescent="0.25">
      <c r="A4392" s="2" t="str">
        <f>CONCATENATE(Códigos!S4391,Códigos!T4391,Códigos!U4391)</f>
        <v>svv4390v</v>
      </c>
      <c r="B4392" t="s">
        <v>339</v>
      </c>
      <c r="C4392" t="s">
        <v>446</v>
      </c>
      <c r="D4392" s="2" t="s">
        <v>370</v>
      </c>
      <c r="E4392" t="s">
        <v>436</v>
      </c>
      <c r="F4392" s="11">
        <v>44459</v>
      </c>
      <c r="G4392" s="14">
        <f t="array" ref="G4392">VLOOKUP(E4392,Produtos!$A:$E,5,FALSE)</f>
        <v>1000</v>
      </c>
      <c r="H4392" s="14">
        <f>VLOOKUP(E4392,Produtos!$A:$E,4,FALSE)</f>
        <v>600</v>
      </c>
      <c r="I4392" s="2">
        <v>2</v>
      </c>
    </row>
    <row r="4393" spans="1:9" x14ac:dyDescent="0.25">
      <c r="A4393" s="2" t="str">
        <f>CONCATENATE(Códigos!S4392,Códigos!T4392,Códigos!U4392)</f>
        <v>svv4391v</v>
      </c>
      <c r="B4393" t="s">
        <v>339</v>
      </c>
      <c r="C4393" t="s">
        <v>446</v>
      </c>
      <c r="D4393" s="2" t="s">
        <v>370</v>
      </c>
      <c r="E4393" t="s">
        <v>436</v>
      </c>
      <c r="F4393" s="11">
        <v>44460</v>
      </c>
      <c r="G4393" s="14">
        <f t="array" ref="G4393">VLOOKUP(E4393,Produtos!$A:$E,5,FALSE)</f>
        <v>1000</v>
      </c>
      <c r="H4393" s="14">
        <f>VLOOKUP(E4393,Produtos!$A:$E,4,FALSE)</f>
        <v>600</v>
      </c>
      <c r="I4393" s="2">
        <v>2</v>
      </c>
    </row>
    <row r="4394" spans="1:9" x14ac:dyDescent="0.25">
      <c r="A4394" s="2" t="str">
        <f>CONCATENATE(Códigos!S4393,Códigos!T4393,Códigos!U4393)</f>
        <v>svv4392v</v>
      </c>
      <c r="B4394" t="s">
        <v>339</v>
      </c>
      <c r="C4394" t="s">
        <v>356</v>
      </c>
      <c r="D4394" s="2" t="s">
        <v>357</v>
      </c>
      <c r="E4394" t="s">
        <v>436</v>
      </c>
      <c r="F4394" s="11">
        <v>44461</v>
      </c>
      <c r="G4394" s="14">
        <f t="array" ref="G4394">VLOOKUP(E4394,Produtos!$A:$E,5,FALSE)</f>
        <v>1000</v>
      </c>
      <c r="H4394" s="14">
        <f>VLOOKUP(E4394,Produtos!$A:$E,4,FALSE)</f>
        <v>600</v>
      </c>
      <c r="I4394" s="2">
        <v>2</v>
      </c>
    </row>
    <row r="4395" spans="1:9" x14ac:dyDescent="0.25">
      <c r="A4395" s="2" t="str">
        <f>CONCATENATE(Códigos!S4394,Códigos!T4394,Códigos!U4394)</f>
        <v>svv4393v</v>
      </c>
      <c r="B4395" t="s">
        <v>339</v>
      </c>
      <c r="C4395" t="s">
        <v>356</v>
      </c>
      <c r="D4395" s="2" t="s">
        <v>357</v>
      </c>
      <c r="E4395" t="s">
        <v>436</v>
      </c>
      <c r="F4395" s="11">
        <v>44462</v>
      </c>
      <c r="G4395" s="14">
        <f t="array" ref="G4395">VLOOKUP(E4395,Produtos!$A:$E,5,FALSE)</f>
        <v>1000</v>
      </c>
      <c r="H4395" s="14">
        <f>VLOOKUP(E4395,Produtos!$A:$E,4,FALSE)</f>
        <v>600</v>
      </c>
      <c r="I4395" s="2">
        <v>2</v>
      </c>
    </row>
    <row r="4396" spans="1:9" x14ac:dyDescent="0.25">
      <c r="A4396" s="2" t="str">
        <f>CONCATENATE(Códigos!S4395,Códigos!T4395,Códigos!U4395)</f>
        <v>svv4394v</v>
      </c>
      <c r="B4396" t="s">
        <v>339</v>
      </c>
      <c r="C4396" t="s">
        <v>444</v>
      </c>
      <c r="D4396" s="2" t="s">
        <v>445</v>
      </c>
      <c r="E4396" t="s">
        <v>436</v>
      </c>
      <c r="F4396" s="11">
        <v>44463</v>
      </c>
      <c r="G4396" s="14">
        <f t="array" ref="G4396">VLOOKUP(E4396,Produtos!$A:$E,5,FALSE)</f>
        <v>1000</v>
      </c>
      <c r="H4396" s="14">
        <f>VLOOKUP(E4396,Produtos!$A:$E,4,FALSE)</f>
        <v>600</v>
      </c>
      <c r="I4396" s="2">
        <v>2</v>
      </c>
    </row>
    <row r="4397" spans="1:9" x14ac:dyDescent="0.25">
      <c r="A4397" s="2" t="str">
        <f>CONCATENATE(Códigos!S4396,Códigos!T4396,Códigos!U4396)</f>
        <v>svv4395v</v>
      </c>
      <c r="B4397" t="s">
        <v>339</v>
      </c>
      <c r="C4397" t="s">
        <v>444</v>
      </c>
      <c r="D4397" s="2" t="s">
        <v>445</v>
      </c>
      <c r="E4397" t="s">
        <v>436</v>
      </c>
      <c r="F4397" s="11">
        <v>44464</v>
      </c>
      <c r="G4397" s="14">
        <f t="array" ref="G4397">VLOOKUP(E4397,Produtos!$A:$E,5,FALSE)</f>
        <v>1000</v>
      </c>
      <c r="H4397" s="14">
        <f>VLOOKUP(E4397,Produtos!$A:$E,4,FALSE)</f>
        <v>600</v>
      </c>
      <c r="I4397" s="2">
        <v>2</v>
      </c>
    </row>
    <row r="4398" spans="1:9" x14ac:dyDescent="0.25">
      <c r="A4398" s="2" t="str">
        <f>CONCATENATE(Códigos!S4397,Códigos!T4397,Códigos!U4397)</f>
        <v>svv4396v</v>
      </c>
      <c r="B4398" t="s">
        <v>339</v>
      </c>
      <c r="C4398" t="s">
        <v>444</v>
      </c>
      <c r="D4398" s="2" t="s">
        <v>445</v>
      </c>
      <c r="E4398" t="s">
        <v>436</v>
      </c>
      <c r="F4398" s="11">
        <v>44465</v>
      </c>
      <c r="G4398" s="14">
        <f t="array" ref="G4398">VLOOKUP(E4398,Produtos!$A:$E,5,FALSE)</f>
        <v>1000</v>
      </c>
      <c r="H4398" s="14">
        <f>VLOOKUP(E4398,Produtos!$A:$E,4,FALSE)</f>
        <v>600</v>
      </c>
      <c r="I4398" s="2">
        <v>2</v>
      </c>
    </row>
    <row r="4399" spans="1:9" x14ac:dyDescent="0.25">
      <c r="A4399" s="2" t="str">
        <f>CONCATENATE(Códigos!S4398,Códigos!T4398,Códigos!U4398)</f>
        <v>svv4397v</v>
      </c>
      <c r="B4399" t="s">
        <v>339</v>
      </c>
      <c r="C4399" t="s">
        <v>444</v>
      </c>
      <c r="D4399" s="2" t="s">
        <v>445</v>
      </c>
      <c r="E4399" t="s">
        <v>436</v>
      </c>
      <c r="F4399" s="11">
        <v>44466</v>
      </c>
      <c r="G4399" s="14">
        <f t="array" ref="G4399">VLOOKUP(E4399,Produtos!$A:$E,5,FALSE)</f>
        <v>1000</v>
      </c>
      <c r="H4399" s="14">
        <f>VLOOKUP(E4399,Produtos!$A:$E,4,FALSE)</f>
        <v>600</v>
      </c>
      <c r="I4399" s="2">
        <v>2</v>
      </c>
    </row>
    <row r="4400" spans="1:9" x14ac:dyDescent="0.25">
      <c r="A4400" s="2" t="str">
        <f>CONCATENATE(Códigos!S4399,Códigos!T4399,Códigos!U4399)</f>
        <v>svv4398v</v>
      </c>
      <c r="B4400" t="s">
        <v>339</v>
      </c>
      <c r="C4400" t="s">
        <v>444</v>
      </c>
      <c r="D4400" s="2" t="s">
        <v>445</v>
      </c>
      <c r="E4400" t="s">
        <v>436</v>
      </c>
      <c r="F4400" s="11">
        <v>44467</v>
      </c>
      <c r="G4400" s="14">
        <f t="array" ref="G4400">VLOOKUP(E4400,Produtos!$A:$E,5,FALSE)</f>
        <v>1000</v>
      </c>
      <c r="H4400" s="14">
        <f>VLOOKUP(E4400,Produtos!$A:$E,4,FALSE)</f>
        <v>600</v>
      </c>
      <c r="I4400" s="2">
        <v>2</v>
      </c>
    </row>
    <row r="4401" spans="1:9" x14ac:dyDescent="0.25">
      <c r="A4401" s="2" t="str">
        <f>CONCATENATE(Códigos!S4400,Códigos!T4400,Códigos!U4400)</f>
        <v>svv4399v</v>
      </c>
      <c r="B4401" t="s">
        <v>339</v>
      </c>
      <c r="C4401" t="s">
        <v>444</v>
      </c>
      <c r="D4401" s="2" t="s">
        <v>445</v>
      </c>
      <c r="E4401" t="s">
        <v>436</v>
      </c>
      <c r="F4401" s="11">
        <v>44468</v>
      </c>
      <c r="G4401" s="14">
        <f t="array" ref="G4401">VLOOKUP(E4401,Produtos!$A:$E,5,FALSE)</f>
        <v>1000</v>
      </c>
      <c r="H4401" s="14">
        <f>VLOOKUP(E4401,Produtos!$A:$E,4,FALSE)</f>
        <v>600</v>
      </c>
      <c r="I4401" s="2">
        <v>2</v>
      </c>
    </row>
    <row r="4402" spans="1:9" x14ac:dyDescent="0.25">
      <c r="A4402" s="2" t="str">
        <f>CONCATENATE(Códigos!S4401,Códigos!T4401,Códigos!U4401)</f>
        <v>svv4400v</v>
      </c>
      <c r="B4402" t="s">
        <v>339</v>
      </c>
      <c r="C4402" t="s">
        <v>444</v>
      </c>
      <c r="D4402" s="2" t="s">
        <v>445</v>
      </c>
      <c r="E4402" t="s">
        <v>443</v>
      </c>
      <c r="F4402" s="11">
        <v>44469</v>
      </c>
      <c r="G4402" s="14">
        <f t="array" ref="G4402">VLOOKUP(E4402,Produtos!$A:$E,5,FALSE)</f>
        <v>1300</v>
      </c>
      <c r="H4402" s="14">
        <f>VLOOKUP(E4402,Produtos!$A:$E,4,FALSE)</f>
        <v>800</v>
      </c>
      <c r="I4402" s="2">
        <v>2</v>
      </c>
    </row>
    <row r="4403" spans="1:9" x14ac:dyDescent="0.25">
      <c r="A4403" s="2" t="str">
        <f>CONCATENATE(Códigos!S4402,Códigos!T4402,Códigos!U4402)</f>
        <v>svv4401v</v>
      </c>
      <c r="B4403" t="s">
        <v>339</v>
      </c>
      <c r="C4403" t="s">
        <v>444</v>
      </c>
      <c r="D4403" s="2" t="s">
        <v>445</v>
      </c>
      <c r="E4403" t="s">
        <v>443</v>
      </c>
      <c r="F4403" s="11">
        <v>44470</v>
      </c>
      <c r="G4403" s="14">
        <f t="array" ref="G4403">VLOOKUP(E4403,Produtos!$A:$E,5,FALSE)</f>
        <v>1300</v>
      </c>
      <c r="H4403" s="14">
        <f>VLOOKUP(E4403,Produtos!$A:$E,4,FALSE)</f>
        <v>800</v>
      </c>
      <c r="I4403" s="2">
        <v>2</v>
      </c>
    </row>
    <row r="4404" spans="1:9" x14ac:dyDescent="0.25">
      <c r="A4404" s="2" t="str">
        <f>CONCATENATE(Códigos!S4403,Códigos!T4403,Códigos!U4403)</f>
        <v>svv4402v</v>
      </c>
      <c r="B4404" t="s">
        <v>339</v>
      </c>
      <c r="C4404" t="s">
        <v>444</v>
      </c>
      <c r="D4404" s="2" t="s">
        <v>445</v>
      </c>
      <c r="E4404" t="s">
        <v>443</v>
      </c>
      <c r="F4404" s="11">
        <v>44471</v>
      </c>
      <c r="G4404" s="14">
        <f t="array" ref="G4404">VLOOKUP(E4404,Produtos!$A:$E,5,FALSE)</f>
        <v>1300</v>
      </c>
      <c r="H4404" s="14">
        <f>VLOOKUP(E4404,Produtos!$A:$E,4,FALSE)</f>
        <v>800</v>
      </c>
      <c r="I4404" s="2">
        <v>2</v>
      </c>
    </row>
    <row r="4405" spans="1:9" x14ac:dyDescent="0.25">
      <c r="A4405" s="2" t="str">
        <f>CONCATENATE(Códigos!S4404,Códigos!T4404,Códigos!U4404)</f>
        <v>svv4403v</v>
      </c>
      <c r="B4405" t="s">
        <v>339</v>
      </c>
      <c r="C4405" t="s">
        <v>353</v>
      </c>
      <c r="D4405" s="2" t="s">
        <v>354</v>
      </c>
      <c r="E4405" t="s">
        <v>443</v>
      </c>
      <c r="F4405" s="11">
        <v>44472</v>
      </c>
      <c r="G4405" s="14">
        <f t="array" ref="G4405">VLOOKUP(E4405,Produtos!$A:$E,5,FALSE)</f>
        <v>1300</v>
      </c>
      <c r="H4405" s="14">
        <f>VLOOKUP(E4405,Produtos!$A:$E,4,FALSE)</f>
        <v>800</v>
      </c>
      <c r="I4405" s="2">
        <v>2</v>
      </c>
    </row>
    <row r="4406" spans="1:9" x14ac:dyDescent="0.25">
      <c r="A4406" s="2" t="str">
        <f>CONCATENATE(Códigos!S4405,Códigos!T4405,Códigos!U4405)</f>
        <v>svv4404v</v>
      </c>
      <c r="B4406" t="s">
        <v>339</v>
      </c>
      <c r="C4406" t="s">
        <v>353</v>
      </c>
      <c r="D4406" s="2" t="s">
        <v>354</v>
      </c>
      <c r="E4406" t="s">
        <v>443</v>
      </c>
      <c r="F4406" s="11">
        <v>44473</v>
      </c>
      <c r="G4406" s="14">
        <f t="array" ref="G4406">VLOOKUP(E4406,Produtos!$A:$E,5,FALSE)</f>
        <v>1300</v>
      </c>
      <c r="H4406" s="14">
        <f>VLOOKUP(E4406,Produtos!$A:$E,4,FALSE)</f>
        <v>800</v>
      </c>
      <c r="I4406" s="2">
        <v>2</v>
      </c>
    </row>
    <row r="4407" spans="1:9" x14ac:dyDescent="0.25">
      <c r="A4407" s="2" t="str">
        <f>CONCATENATE(Códigos!S4406,Códigos!T4406,Códigos!U4406)</f>
        <v>svv4405v</v>
      </c>
      <c r="B4407" t="s">
        <v>339</v>
      </c>
      <c r="C4407" t="s">
        <v>353</v>
      </c>
      <c r="D4407" s="2" t="s">
        <v>354</v>
      </c>
      <c r="E4407" t="s">
        <v>443</v>
      </c>
      <c r="F4407" s="11">
        <v>44474</v>
      </c>
      <c r="G4407" s="14">
        <f t="array" ref="G4407">VLOOKUP(E4407,Produtos!$A:$E,5,FALSE)</f>
        <v>1300</v>
      </c>
      <c r="H4407" s="14">
        <f>VLOOKUP(E4407,Produtos!$A:$E,4,FALSE)</f>
        <v>800</v>
      </c>
      <c r="I4407" s="2">
        <v>2</v>
      </c>
    </row>
    <row r="4408" spans="1:9" x14ac:dyDescent="0.25">
      <c r="A4408" s="2" t="str">
        <f>CONCATENATE(Códigos!S4407,Códigos!T4407,Códigos!U4407)</f>
        <v>svv4406v</v>
      </c>
      <c r="B4408" t="s">
        <v>339</v>
      </c>
      <c r="C4408" t="s">
        <v>353</v>
      </c>
      <c r="D4408" s="2" t="s">
        <v>354</v>
      </c>
      <c r="E4408" t="s">
        <v>443</v>
      </c>
      <c r="F4408" s="11">
        <v>44475</v>
      </c>
      <c r="G4408" s="14">
        <f t="array" ref="G4408">VLOOKUP(E4408,Produtos!$A:$E,5,FALSE)</f>
        <v>1300</v>
      </c>
      <c r="H4408" s="14">
        <f>VLOOKUP(E4408,Produtos!$A:$E,4,FALSE)</f>
        <v>800</v>
      </c>
      <c r="I4408" s="2">
        <v>2</v>
      </c>
    </row>
    <row r="4409" spans="1:9" x14ac:dyDescent="0.25">
      <c r="A4409" s="2" t="str">
        <f>CONCATENATE(Códigos!S4408,Códigos!T4408,Códigos!U4408)</f>
        <v>svv4407v</v>
      </c>
      <c r="B4409" t="s">
        <v>338</v>
      </c>
      <c r="C4409" t="s">
        <v>353</v>
      </c>
      <c r="D4409" s="2" t="s">
        <v>354</v>
      </c>
      <c r="E4409" t="s">
        <v>443</v>
      </c>
      <c r="F4409" s="11">
        <v>44476</v>
      </c>
      <c r="G4409" s="14">
        <f t="array" ref="G4409">VLOOKUP(E4409,Produtos!$A:$E,5,FALSE)</f>
        <v>1300</v>
      </c>
      <c r="H4409" s="14">
        <f>VLOOKUP(E4409,Produtos!$A:$E,4,FALSE)</f>
        <v>800</v>
      </c>
      <c r="I4409" s="2">
        <v>2</v>
      </c>
    </row>
    <row r="4410" spans="1:9" x14ac:dyDescent="0.25">
      <c r="A4410" s="2" t="str">
        <f>CONCATENATE(Códigos!S4409,Códigos!T4409,Códigos!U4409)</f>
        <v>svv4408v</v>
      </c>
      <c r="B4410" t="s">
        <v>338</v>
      </c>
      <c r="C4410" t="s">
        <v>353</v>
      </c>
      <c r="D4410" s="2" t="s">
        <v>354</v>
      </c>
      <c r="E4410" t="s">
        <v>443</v>
      </c>
      <c r="F4410" s="11">
        <v>44477</v>
      </c>
      <c r="G4410" s="14">
        <f t="array" ref="G4410">VLOOKUP(E4410,Produtos!$A:$E,5,FALSE)</f>
        <v>1300</v>
      </c>
      <c r="H4410" s="14">
        <f>VLOOKUP(E4410,Produtos!$A:$E,4,FALSE)</f>
        <v>800</v>
      </c>
      <c r="I4410" s="2">
        <v>2</v>
      </c>
    </row>
    <row r="4411" spans="1:9" x14ac:dyDescent="0.25">
      <c r="A4411" s="2" t="str">
        <f>CONCATENATE(Códigos!S4410,Códigos!T4410,Códigos!U4410)</f>
        <v>svv4409v</v>
      </c>
      <c r="B4411" t="s">
        <v>338</v>
      </c>
      <c r="C4411" t="s">
        <v>353</v>
      </c>
      <c r="D4411" s="2" t="s">
        <v>354</v>
      </c>
      <c r="E4411" t="s">
        <v>443</v>
      </c>
      <c r="F4411" s="11">
        <v>44478</v>
      </c>
      <c r="G4411" s="14">
        <f t="array" ref="G4411">VLOOKUP(E4411,Produtos!$A:$E,5,FALSE)</f>
        <v>1300</v>
      </c>
      <c r="H4411" s="14">
        <f>VLOOKUP(E4411,Produtos!$A:$E,4,FALSE)</f>
        <v>800</v>
      </c>
      <c r="I4411" s="2">
        <v>2</v>
      </c>
    </row>
    <row r="4412" spans="1:9" x14ac:dyDescent="0.25">
      <c r="A4412" s="2" t="str">
        <f>CONCATENATE(Códigos!S4411,Códigos!T4411,Códigos!U4411)</f>
        <v>svv4410v</v>
      </c>
      <c r="B4412" t="s">
        <v>338</v>
      </c>
      <c r="C4412" t="s">
        <v>353</v>
      </c>
      <c r="D4412" s="2" t="s">
        <v>354</v>
      </c>
      <c r="E4412" t="s">
        <v>443</v>
      </c>
      <c r="F4412" s="11">
        <v>44479</v>
      </c>
      <c r="G4412" s="14">
        <f t="array" ref="G4412">VLOOKUP(E4412,Produtos!$A:$E,5,FALSE)</f>
        <v>1300</v>
      </c>
      <c r="H4412" s="14">
        <f>VLOOKUP(E4412,Produtos!$A:$E,4,FALSE)</f>
        <v>800</v>
      </c>
      <c r="I4412" s="2">
        <v>2</v>
      </c>
    </row>
    <row r="4413" spans="1:9" x14ac:dyDescent="0.25">
      <c r="A4413" s="2" t="str">
        <f>CONCATENATE(Códigos!S4412,Códigos!T4412,Códigos!U4412)</f>
        <v>svv4411v</v>
      </c>
      <c r="B4413" t="s">
        <v>338</v>
      </c>
      <c r="C4413" t="s">
        <v>353</v>
      </c>
      <c r="D4413" s="2" t="s">
        <v>354</v>
      </c>
      <c r="E4413" t="s">
        <v>443</v>
      </c>
      <c r="F4413" s="11">
        <v>44480</v>
      </c>
      <c r="G4413" s="14">
        <f t="array" ref="G4413">VLOOKUP(E4413,Produtos!$A:$E,5,FALSE)</f>
        <v>1300</v>
      </c>
      <c r="H4413" s="14">
        <f>VLOOKUP(E4413,Produtos!$A:$E,4,FALSE)</f>
        <v>800</v>
      </c>
      <c r="I4413" s="2">
        <v>2</v>
      </c>
    </row>
    <row r="4414" spans="1:9" x14ac:dyDescent="0.25">
      <c r="A4414" s="2" t="str">
        <f>CONCATENATE(Códigos!S4413,Códigos!T4413,Códigos!U4413)</f>
        <v>svv4412v</v>
      </c>
      <c r="B4414" t="s">
        <v>338</v>
      </c>
      <c r="C4414" t="s">
        <v>353</v>
      </c>
      <c r="D4414" s="2" t="s">
        <v>354</v>
      </c>
      <c r="E4414" t="s">
        <v>443</v>
      </c>
      <c r="F4414" s="11">
        <v>44481</v>
      </c>
      <c r="G4414" s="14">
        <f t="array" ref="G4414">VLOOKUP(E4414,Produtos!$A:$E,5,FALSE)</f>
        <v>1300</v>
      </c>
      <c r="H4414" s="14">
        <f>VLOOKUP(E4414,Produtos!$A:$E,4,FALSE)</f>
        <v>800</v>
      </c>
      <c r="I4414" s="2">
        <v>2</v>
      </c>
    </row>
    <row r="4415" spans="1:9" x14ac:dyDescent="0.25">
      <c r="A4415" s="2" t="str">
        <f>CONCATENATE(Códigos!S4414,Códigos!T4414,Códigos!U4414)</f>
        <v>svv4413v</v>
      </c>
      <c r="B4415" t="s">
        <v>338</v>
      </c>
      <c r="C4415" t="s">
        <v>353</v>
      </c>
      <c r="D4415" s="2" t="s">
        <v>354</v>
      </c>
      <c r="E4415" t="s">
        <v>443</v>
      </c>
      <c r="F4415" s="11">
        <v>44482</v>
      </c>
      <c r="G4415" s="14">
        <f t="array" ref="G4415">VLOOKUP(E4415,Produtos!$A:$E,5,FALSE)</f>
        <v>1300</v>
      </c>
      <c r="H4415" s="14">
        <f>VLOOKUP(E4415,Produtos!$A:$E,4,FALSE)</f>
        <v>800</v>
      </c>
      <c r="I4415" s="2">
        <v>2</v>
      </c>
    </row>
    <row r="4416" spans="1:9" x14ac:dyDescent="0.25">
      <c r="A4416" s="2" t="str">
        <f>CONCATENATE(Códigos!S4415,Códigos!T4415,Códigos!U4415)</f>
        <v>svv4414v</v>
      </c>
      <c r="B4416" t="s">
        <v>338</v>
      </c>
      <c r="C4416" t="s">
        <v>353</v>
      </c>
      <c r="D4416" s="2" t="s">
        <v>354</v>
      </c>
      <c r="E4416" t="s">
        <v>443</v>
      </c>
      <c r="F4416" s="11">
        <v>44483</v>
      </c>
      <c r="G4416" s="14">
        <f t="array" ref="G4416">VLOOKUP(E4416,Produtos!$A:$E,5,FALSE)</f>
        <v>1300</v>
      </c>
      <c r="H4416" s="14">
        <f>VLOOKUP(E4416,Produtos!$A:$E,4,FALSE)</f>
        <v>800</v>
      </c>
      <c r="I4416" s="2">
        <v>2</v>
      </c>
    </row>
    <row r="4417" spans="1:9" x14ac:dyDescent="0.25">
      <c r="A4417" s="2" t="str">
        <f>CONCATENATE(Códigos!S4416,Códigos!T4416,Códigos!U4416)</f>
        <v>svv4415v</v>
      </c>
      <c r="B4417" t="s">
        <v>338</v>
      </c>
      <c r="C4417" t="s">
        <v>353</v>
      </c>
      <c r="D4417" s="2" t="s">
        <v>354</v>
      </c>
      <c r="E4417" t="s">
        <v>443</v>
      </c>
      <c r="F4417" s="11">
        <v>44484</v>
      </c>
      <c r="G4417" s="14">
        <f t="array" ref="G4417">VLOOKUP(E4417,Produtos!$A:$E,5,FALSE)</f>
        <v>1300</v>
      </c>
      <c r="H4417" s="14">
        <f>VLOOKUP(E4417,Produtos!$A:$E,4,FALSE)</f>
        <v>800</v>
      </c>
      <c r="I4417" s="2">
        <v>2</v>
      </c>
    </row>
    <row r="4418" spans="1:9" x14ac:dyDescent="0.25">
      <c r="A4418" s="2" t="str">
        <f>CONCATENATE(Códigos!S4417,Códigos!T4417,Códigos!U4417)</f>
        <v>svv4416v</v>
      </c>
      <c r="B4418" t="s">
        <v>338</v>
      </c>
      <c r="C4418" t="s">
        <v>433</v>
      </c>
      <c r="D4418" s="2" t="s">
        <v>434</v>
      </c>
      <c r="E4418" t="s">
        <v>443</v>
      </c>
      <c r="F4418" s="11">
        <v>44485</v>
      </c>
      <c r="G4418" s="14">
        <f t="array" ref="G4418">VLOOKUP(E4418,Produtos!$A:$E,5,FALSE)</f>
        <v>1300</v>
      </c>
      <c r="H4418" s="14">
        <f>VLOOKUP(E4418,Produtos!$A:$E,4,FALSE)</f>
        <v>800</v>
      </c>
      <c r="I4418" s="2">
        <v>2</v>
      </c>
    </row>
    <row r="4419" spans="1:9" x14ac:dyDescent="0.25">
      <c r="A4419" s="2" t="str">
        <f>CONCATENATE(Códigos!S4418,Códigos!T4418,Códigos!U4418)</f>
        <v>svv4417v</v>
      </c>
      <c r="B4419" t="s">
        <v>338</v>
      </c>
      <c r="C4419" t="s">
        <v>433</v>
      </c>
      <c r="D4419" s="2" t="s">
        <v>434</v>
      </c>
      <c r="E4419" t="s">
        <v>443</v>
      </c>
      <c r="F4419" s="11">
        <v>44486</v>
      </c>
      <c r="G4419" s="14">
        <f t="array" ref="G4419">VLOOKUP(E4419,Produtos!$A:$E,5,FALSE)</f>
        <v>1300</v>
      </c>
      <c r="H4419" s="14">
        <f>VLOOKUP(E4419,Produtos!$A:$E,4,FALSE)</f>
        <v>800</v>
      </c>
      <c r="I4419" s="2">
        <v>2</v>
      </c>
    </row>
    <row r="4420" spans="1:9" x14ac:dyDescent="0.25">
      <c r="A4420" s="2" t="str">
        <f>CONCATENATE(Códigos!S4419,Códigos!T4419,Códigos!U4419)</f>
        <v>svv4418v</v>
      </c>
      <c r="B4420" t="s">
        <v>338</v>
      </c>
      <c r="C4420" t="s">
        <v>433</v>
      </c>
      <c r="D4420" s="2" t="s">
        <v>434</v>
      </c>
      <c r="E4420" t="s">
        <v>443</v>
      </c>
      <c r="F4420" s="11">
        <v>44487</v>
      </c>
      <c r="G4420" s="14">
        <f t="array" ref="G4420">VLOOKUP(E4420,Produtos!$A:$E,5,FALSE)</f>
        <v>1300</v>
      </c>
      <c r="H4420" s="14">
        <f>VLOOKUP(E4420,Produtos!$A:$E,4,FALSE)</f>
        <v>800</v>
      </c>
      <c r="I4420" s="2">
        <v>2</v>
      </c>
    </row>
    <row r="4421" spans="1:9" x14ac:dyDescent="0.25">
      <c r="A4421" s="2" t="str">
        <f>CONCATENATE(Códigos!S4420,Códigos!T4420,Códigos!U4420)</f>
        <v>svv4419v</v>
      </c>
      <c r="B4421" t="s">
        <v>338</v>
      </c>
      <c r="C4421" t="s">
        <v>431</v>
      </c>
      <c r="D4421" s="2" t="s">
        <v>432</v>
      </c>
      <c r="E4421" t="s">
        <v>439</v>
      </c>
      <c r="F4421" s="11">
        <v>44488</v>
      </c>
      <c r="G4421" s="14">
        <f t="array" ref="G4421">VLOOKUP(E4421,Produtos!$A:$E,5,FALSE)</f>
        <v>1800</v>
      </c>
      <c r="H4421" s="14">
        <f>VLOOKUP(E4421,Produtos!$A:$E,4,FALSE)</f>
        <v>1000</v>
      </c>
      <c r="I4421" s="2">
        <v>2</v>
      </c>
    </row>
    <row r="4422" spans="1:9" x14ac:dyDescent="0.25">
      <c r="A4422" s="2" t="str">
        <f>CONCATENATE(Códigos!S4421,Códigos!T4421,Códigos!U4421)</f>
        <v>svv4420v</v>
      </c>
      <c r="B4422" t="s">
        <v>338</v>
      </c>
      <c r="C4422" t="s">
        <v>431</v>
      </c>
      <c r="D4422" s="2" t="s">
        <v>432</v>
      </c>
      <c r="E4422" t="s">
        <v>439</v>
      </c>
      <c r="F4422" s="11">
        <v>44489</v>
      </c>
      <c r="G4422" s="14">
        <f t="array" ref="G4422">VLOOKUP(E4422,Produtos!$A:$E,5,FALSE)</f>
        <v>1800</v>
      </c>
      <c r="H4422" s="14">
        <f>VLOOKUP(E4422,Produtos!$A:$E,4,FALSE)</f>
        <v>1000</v>
      </c>
      <c r="I4422" s="2">
        <v>2</v>
      </c>
    </row>
    <row r="4423" spans="1:9" x14ac:dyDescent="0.25">
      <c r="A4423" s="2" t="str">
        <f>CONCATENATE(Códigos!S4422,Códigos!T4422,Códigos!U4422)</f>
        <v>svv4421v</v>
      </c>
      <c r="B4423" t="s">
        <v>338</v>
      </c>
      <c r="C4423" t="s">
        <v>431</v>
      </c>
      <c r="D4423" s="2" t="s">
        <v>432</v>
      </c>
      <c r="E4423" t="s">
        <v>439</v>
      </c>
      <c r="F4423" s="11">
        <v>44490</v>
      </c>
      <c r="G4423" s="14">
        <f t="array" ref="G4423">VLOOKUP(E4423,Produtos!$A:$E,5,FALSE)</f>
        <v>1800</v>
      </c>
      <c r="H4423" s="14">
        <f>VLOOKUP(E4423,Produtos!$A:$E,4,FALSE)</f>
        <v>1000</v>
      </c>
      <c r="I4423" s="2">
        <v>2</v>
      </c>
    </row>
    <row r="4424" spans="1:9" x14ac:dyDescent="0.25">
      <c r="A4424" s="2" t="str">
        <f>CONCATENATE(Códigos!S4423,Códigos!T4423,Códigos!U4423)</f>
        <v>svv4422v</v>
      </c>
      <c r="B4424" t="s">
        <v>338</v>
      </c>
      <c r="C4424" t="s">
        <v>431</v>
      </c>
      <c r="D4424" s="2" t="s">
        <v>432</v>
      </c>
      <c r="E4424" t="s">
        <v>439</v>
      </c>
      <c r="F4424" s="11">
        <v>44491</v>
      </c>
      <c r="G4424" s="14">
        <f t="array" ref="G4424">VLOOKUP(E4424,Produtos!$A:$E,5,FALSE)</f>
        <v>1800</v>
      </c>
      <c r="H4424" s="14">
        <f>VLOOKUP(E4424,Produtos!$A:$E,4,FALSE)</f>
        <v>1000</v>
      </c>
      <c r="I4424" s="2">
        <v>2</v>
      </c>
    </row>
    <row r="4425" spans="1:9" x14ac:dyDescent="0.25">
      <c r="A4425" s="2" t="str">
        <f>CONCATENATE(Códigos!S4424,Códigos!T4424,Códigos!U4424)</f>
        <v>svv4423v</v>
      </c>
      <c r="B4425" t="s">
        <v>338</v>
      </c>
      <c r="C4425" t="s">
        <v>431</v>
      </c>
      <c r="D4425" s="2" t="s">
        <v>432</v>
      </c>
      <c r="E4425" t="s">
        <v>439</v>
      </c>
      <c r="F4425" s="11">
        <v>44492</v>
      </c>
      <c r="G4425" s="14">
        <f t="array" ref="G4425">VLOOKUP(E4425,Produtos!$A:$E,5,FALSE)</f>
        <v>1800</v>
      </c>
      <c r="H4425" s="14">
        <f>VLOOKUP(E4425,Produtos!$A:$E,4,FALSE)</f>
        <v>1000</v>
      </c>
      <c r="I4425" s="2">
        <v>2</v>
      </c>
    </row>
    <row r="4426" spans="1:9" x14ac:dyDescent="0.25">
      <c r="A4426" s="2" t="str">
        <f>CONCATENATE(Códigos!S4425,Códigos!T4425,Códigos!U4425)</f>
        <v>svv4424v</v>
      </c>
      <c r="B4426" t="s">
        <v>338</v>
      </c>
      <c r="C4426" t="s">
        <v>431</v>
      </c>
      <c r="D4426" s="2" t="s">
        <v>432</v>
      </c>
      <c r="E4426" t="s">
        <v>439</v>
      </c>
      <c r="F4426" s="11">
        <v>44493</v>
      </c>
      <c r="G4426" s="14">
        <f t="array" ref="G4426">VLOOKUP(E4426,Produtos!$A:$E,5,FALSE)</f>
        <v>1800</v>
      </c>
      <c r="H4426" s="14">
        <f>VLOOKUP(E4426,Produtos!$A:$E,4,FALSE)</f>
        <v>1000</v>
      </c>
      <c r="I4426" s="2">
        <v>2</v>
      </c>
    </row>
    <row r="4427" spans="1:9" x14ac:dyDescent="0.25">
      <c r="A4427" s="2" t="str">
        <f>CONCATENATE(Códigos!S4426,Códigos!T4426,Códigos!U4426)</f>
        <v>svv4425v</v>
      </c>
      <c r="B4427" t="s">
        <v>338</v>
      </c>
      <c r="C4427" t="s">
        <v>431</v>
      </c>
      <c r="D4427" s="2" t="s">
        <v>432</v>
      </c>
      <c r="E4427" t="s">
        <v>439</v>
      </c>
      <c r="F4427" s="11">
        <v>44494</v>
      </c>
      <c r="G4427" s="14">
        <f t="array" ref="G4427">VLOOKUP(E4427,Produtos!$A:$E,5,FALSE)</f>
        <v>1800</v>
      </c>
      <c r="H4427" s="14">
        <f>VLOOKUP(E4427,Produtos!$A:$E,4,FALSE)</f>
        <v>1000</v>
      </c>
      <c r="I4427" s="2">
        <v>2</v>
      </c>
    </row>
    <row r="4428" spans="1:9" x14ac:dyDescent="0.25">
      <c r="A4428" s="2" t="str">
        <f>CONCATENATE(Códigos!S4427,Códigos!T4427,Códigos!U4427)</f>
        <v>svv4426v</v>
      </c>
      <c r="B4428" t="s">
        <v>338</v>
      </c>
      <c r="C4428" t="s">
        <v>431</v>
      </c>
      <c r="D4428" s="2" t="s">
        <v>432</v>
      </c>
      <c r="E4428" t="s">
        <v>439</v>
      </c>
      <c r="F4428" s="11">
        <v>44495</v>
      </c>
      <c r="G4428" s="14">
        <f t="array" ref="G4428">VLOOKUP(E4428,Produtos!$A:$E,5,FALSE)</f>
        <v>1800</v>
      </c>
      <c r="H4428" s="14">
        <f>VLOOKUP(E4428,Produtos!$A:$E,4,FALSE)</f>
        <v>1000</v>
      </c>
      <c r="I4428" s="2">
        <v>2</v>
      </c>
    </row>
    <row r="4429" spans="1:9" x14ac:dyDescent="0.25">
      <c r="A4429" s="2" t="str">
        <f>CONCATENATE(Códigos!S4428,Códigos!T4428,Códigos!U4428)</f>
        <v>svv4427v</v>
      </c>
      <c r="B4429" t="s">
        <v>338</v>
      </c>
      <c r="C4429" t="s">
        <v>431</v>
      </c>
      <c r="D4429" s="2" t="s">
        <v>432</v>
      </c>
      <c r="E4429" t="s">
        <v>439</v>
      </c>
      <c r="F4429" s="11">
        <v>44496</v>
      </c>
      <c r="G4429" s="14">
        <f t="array" ref="G4429">VLOOKUP(E4429,Produtos!$A:$E,5,FALSE)</f>
        <v>1800</v>
      </c>
      <c r="H4429" s="14">
        <f>VLOOKUP(E4429,Produtos!$A:$E,4,FALSE)</f>
        <v>1000</v>
      </c>
      <c r="I4429" s="2">
        <v>2</v>
      </c>
    </row>
    <row r="4430" spans="1:9" x14ac:dyDescent="0.25">
      <c r="A4430" s="2" t="str">
        <f>CONCATENATE(Códigos!S4429,Códigos!T4429,Códigos!U4429)</f>
        <v>svv4428v</v>
      </c>
      <c r="B4430" t="s">
        <v>338</v>
      </c>
      <c r="C4430" t="s">
        <v>431</v>
      </c>
      <c r="D4430" s="2" t="s">
        <v>432</v>
      </c>
      <c r="E4430" t="s">
        <v>439</v>
      </c>
      <c r="F4430" s="11">
        <v>44497</v>
      </c>
      <c r="G4430" s="14">
        <f t="array" ref="G4430">VLOOKUP(E4430,Produtos!$A:$E,5,FALSE)</f>
        <v>1800</v>
      </c>
      <c r="H4430" s="14">
        <f>VLOOKUP(E4430,Produtos!$A:$E,4,FALSE)</f>
        <v>1000</v>
      </c>
      <c r="I4430" s="2">
        <v>2</v>
      </c>
    </row>
    <row r="4431" spans="1:9" x14ac:dyDescent="0.25">
      <c r="A4431" s="2" t="str">
        <f>CONCATENATE(Códigos!S4430,Códigos!T4430,Códigos!U4430)</f>
        <v>svv4429v</v>
      </c>
      <c r="B4431" t="s">
        <v>338</v>
      </c>
      <c r="C4431" t="s">
        <v>431</v>
      </c>
      <c r="D4431" s="2" t="s">
        <v>432</v>
      </c>
      <c r="E4431" t="s">
        <v>439</v>
      </c>
      <c r="F4431" s="11">
        <v>44498</v>
      </c>
      <c r="G4431" s="14">
        <f t="array" ref="G4431">VLOOKUP(E4431,Produtos!$A:$E,5,FALSE)</f>
        <v>1800</v>
      </c>
      <c r="H4431" s="14">
        <f>VLOOKUP(E4431,Produtos!$A:$E,4,FALSE)</f>
        <v>1000</v>
      </c>
      <c r="I4431" s="2">
        <v>2</v>
      </c>
    </row>
    <row r="4432" spans="1:9" x14ac:dyDescent="0.25">
      <c r="A4432" s="2" t="str">
        <f>CONCATENATE(Códigos!S4431,Códigos!T4431,Códigos!U4431)</f>
        <v>svv4430v</v>
      </c>
      <c r="B4432" t="s">
        <v>338</v>
      </c>
      <c r="C4432" t="s">
        <v>431</v>
      </c>
      <c r="D4432" s="2" t="s">
        <v>432</v>
      </c>
      <c r="E4432" t="s">
        <v>439</v>
      </c>
      <c r="F4432" s="11">
        <v>44499</v>
      </c>
      <c r="G4432" s="14">
        <f t="array" ref="G4432">VLOOKUP(E4432,Produtos!$A:$E,5,FALSE)</f>
        <v>1800</v>
      </c>
      <c r="H4432" s="14">
        <f>VLOOKUP(E4432,Produtos!$A:$E,4,FALSE)</f>
        <v>1000</v>
      </c>
      <c r="I4432" s="2">
        <v>2</v>
      </c>
    </row>
    <row r="4433" spans="1:9" x14ac:dyDescent="0.25">
      <c r="A4433" s="2" t="str">
        <f>CONCATENATE(Códigos!S4432,Códigos!T4432,Códigos!U4432)</f>
        <v>svv4431v</v>
      </c>
      <c r="B4433" t="s">
        <v>338</v>
      </c>
      <c r="C4433" t="s">
        <v>431</v>
      </c>
      <c r="D4433" s="2" t="s">
        <v>432</v>
      </c>
      <c r="E4433" t="s">
        <v>439</v>
      </c>
      <c r="F4433" s="11">
        <v>44500</v>
      </c>
      <c r="G4433" s="14">
        <f t="array" ref="G4433">VLOOKUP(E4433,Produtos!$A:$E,5,FALSE)</f>
        <v>1800</v>
      </c>
      <c r="H4433" s="14">
        <f>VLOOKUP(E4433,Produtos!$A:$E,4,FALSE)</f>
        <v>1000</v>
      </c>
      <c r="I4433" s="2">
        <v>2</v>
      </c>
    </row>
    <row r="4434" spans="1:9" x14ac:dyDescent="0.25">
      <c r="A4434" s="2" t="str">
        <f>CONCATENATE(Códigos!S4433,Códigos!T4433,Códigos!U4433)</f>
        <v>svv4432v</v>
      </c>
      <c r="B4434" t="s">
        <v>338</v>
      </c>
      <c r="C4434" t="s">
        <v>431</v>
      </c>
      <c r="D4434" s="2" t="s">
        <v>432</v>
      </c>
      <c r="E4434" t="s">
        <v>439</v>
      </c>
      <c r="F4434" s="11">
        <v>44501</v>
      </c>
      <c r="G4434" s="14">
        <f t="array" ref="G4434">VLOOKUP(E4434,Produtos!$A:$E,5,FALSE)</f>
        <v>1800</v>
      </c>
      <c r="H4434" s="14">
        <f>VLOOKUP(E4434,Produtos!$A:$E,4,FALSE)</f>
        <v>1000</v>
      </c>
      <c r="I4434" s="2">
        <v>2</v>
      </c>
    </row>
    <row r="4435" spans="1:9" x14ac:dyDescent="0.25">
      <c r="A4435" s="2" t="str">
        <f>CONCATENATE(Códigos!S4434,Códigos!T4434,Códigos!U4434)</f>
        <v>svv4433v</v>
      </c>
      <c r="B4435" t="s">
        <v>338</v>
      </c>
      <c r="C4435" t="s">
        <v>431</v>
      </c>
      <c r="D4435" s="2" t="s">
        <v>432</v>
      </c>
      <c r="E4435" t="s">
        <v>436</v>
      </c>
      <c r="F4435" s="11">
        <v>44502</v>
      </c>
      <c r="G4435" s="14">
        <f t="array" ref="G4435">VLOOKUP(E4435,Produtos!$A:$E,5,FALSE)</f>
        <v>1000</v>
      </c>
      <c r="H4435" s="14">
        <f>VLOOKUP(E4435,Produtos!$A:$E,4,FALSE)</f>
        <v>600</v>
      </c>
      <c r="I4435" s="2">
        <v>2</v>
      </c>
    </row>
    <row r="4436" spans="1:9" x14ac:dyDescent="0.25">
      <c r="A4436" s="2" t="str">
        <f>CONCATENATE(Códigos!S4435,Códigos!T4435,Códigos!U4435)</f>
        <v>svv4434v</v>
      </c>
      <c r="B4436" t="s">
        <v>338</v>
      </c>
      <c r="C4436" t="s">
        <v>431</v>
      </c>
      <c r="D4436" s="2" t="s">
        <v>432</v>
      </c>
      <c r="E4436" t="s">
        <v>436</v>
      </c>
      <c r="F4436" s="11">
        <v>44503</v>
      </c>
      <c r="G4436" s="14">
        <f t="array" ref="G4436">VLOOKUP(E4436,Produtos!$A:$E,5,FALSE)</f>
        <v>1000</v>
      </c>
      <c r="H4436" s="14">
        <f>VLOOKUP(E4436,Produtos!$A:$E,4,FALSE)</f>
        <v>600</v>
      </c>
      <c r="I4436" s="2">
        <v>2</v>
      </c>
    </row>
    <row r="4437" spans="1:9" x14ac:dyDescent="0.25">
      <c r="A4437" s="2" t="str">
        <f>CONCATENATE(Códigos!S4436,Códigos!T4436,Códigos!U4436)</f>
        <v>svv4435v</v>
      </c>
      <c r="B4437" t="s">
        <v>338</v>
      </c>
      <c r="C4437" t="s">
        <v>431</v>
      </c>
      <c r="D4437" s="2" t="s">
        <v>432</v>
      </c>
      <c r="E4437" t="s">
        <v>436</v>
      </c>
      <c r="F4437" s="11">
        <v>44504</v>
      </c>
      <c r="G4437" s="14">
        <f t="array" ref="G4437">VLOOKUP(E4437,Produtos!$A:$E,5,FALSE)</f>
        <v>1000</v>
      </c>
      <c r="H4437" s="14">
        <f>VLOOKUP(E4437,Produtos!$A:$E,4,FALSE)</f>
        <v>600</v>
      </c>
      <c r="I4437" s="2">
        <v>2</v>
      </c>
    </row>
    <row r="4438" spans="1:9" x14ac:dyDescent="0.25">
      <c r="A4438" s="2" t="str">
        <f>CONCATENATE(Códigos!S4437,Códigos!T4437,Códigos!U4437)</f>
        <v>svv4436v</v>
      </c>
      <c r="B4438" t="s">
        <v>338</v>
      </c>
      <c r="C4438" t="s">
        <v>442</v>
      </c>
      <c r="D4438" s="2" t="s">
        <v>389</v>
      </c>
      <c r="E4438" t="s">
        <v>436</v>
      </c>
      <c r="F4438" s="11">
        <v>44505</v>
      </c>
      <c r="G4438" s="14">
        <f t="array" ref="G4438">VLOOKUP(E4438,Produtos!$A:$E,5,FALSE)</f>
        <v>1000</v>
      </c>
      <c r="H4438" s="14">
        <f>VLOOKUP(E4438,Produtos!$A:$E,4,FALSE)</f>
        <v>600</v>
      </c>
      <c r="I4438" s="2">
        <v>2</v>
      </c>
    </row>
    <row r="4439" spans="1:9" x14ac:dyDescent="0.25">
      <c r="A4439" s="2" t="str">
        <f>CONCATENATE(Códigos!S4438,Códigos!T4438,Códigos!U4438)</f>
        <v>svv4437v</v>
      </c>
      <c r="B4439" t="s">
        <v>338</v>
      </c>
      <c r="C4439" t="s">
        <v>442</v>
      </c>
      <c r="D4439" s="2" t="s">
        <v>389</v>
      </c>
      <c r="E4439" t="s">
        <v>436</v>
      </c>
      <c r="F4439" s="11">
        <v>44506</v>
      </c>
      <c r="G4439" s="14">
        <f t="array" ref="G4439">VLOOKUP(E4439,Produtos!$A:$E,5,FALSE)</f>
        <v>1000</v>
      </c>
      <c r="H4439" s="14">
        <f>VLOOKUP(E4439,Produtos!$A:$E,4,FALSE)</f>
        <v>600</v>
      </c>
      <c r="I4439" s="2">
        <v>2</v>
      </c>
    </row>
    <row r="4440" spans="1:9" x14ac:dyDescent="0.25">
      <c r="A4440" s="2" t="str">
        <f>CONCATENATE(Códigos!S4439,Códigos!T4439,Códigos!U4439)</f>
        <v>svv4438v</v>
      </c>
      <c r="B4440" t="s">
        <v>338</v>
      </c>
      <c r="C4440" t="s">
        <v>442</v>
      </c>
      <c r="D4440" s="2" t="s">
        <v>389</v>
      </c>
      <c r="E4440" t="s">
        <v>436</v>
      </c>
      <c r="F4440" s="11">
        <v>44507</v>
      </c>
      <c r="G4440" s="14">
        <f t="array" ref="G4440">VLOOKUP(E4440,Produtos!$A:$E,5,FALSE)</f>
        <v>1000</v>
      </c>
      <c r="H4440" s="14">
        <f>VLOOKUP(E4440,Produtos!$A:$E,4,FALSE)</f>
        <v>600</v>
      </c>
      <c r="I4440" s="2">
        <v>2</v>
      </c>
    </row>
    <row r="4441" spans="1:9" x14ac:dyDescent="0.25">
      <c r="A4441" s="2" t="str">
        <f>CONCATENATE(Códigos!S4440,Códigos!T4440,Códigos!U4440)</f>
        <v>svv4439v</v>
      </c>
      <c r="B4441" t="s">
        <v>338</v>
      </c>
      <c r="C4441" t="s">
        <v>442</v>
      </c>
      <c r="D4441" s="2" t="s">
        <v>389</v>
      </c>
      <c r="E4441" t="s">
        <v>436</v>
      </c>
      <c r="F4441" s="11">
        <v>44508</v>
      </c>
      <c r="G4441" s="14">
        <f t="array" ref="G4441">VLOOKUP(E4441,Produtos!$A:$E,5,FALSE)</f>
        <v>1000</v>
      </c>
      <c r="H4441" s="14">
        <f>VLOOKUP(E4441,Produtos!$A:$E,4,FALSE)</f>
        <v>600</v>
      </c>
      <c r="I4441" s="2">
        <v>2</v>
      </c>
    </row>
    <row r="4442" spans="1:9" x14ac:dyDescent="0.25">
      <c r="A4442" s="2" t="str">
        <f>CONCATENATE(Códigos!S4441,Códigos!T4441,Códigos!U4441)</f>
        <v>svv4440v</v>
      </c>
      <c r="B4442" t="s">
        <v>338</v>
      </c>
      <c r="C4442" t="s">
        <v>442</v>
      </c>
      <c r="D4442" s="2" t="s">
        <v>389</v>
      </c>
      <c r="E4442" t="s">
        <v>436</v>
      </c>
      <c r="F4442" s="11">
        <v>44509</v>
      </c>
      <c r="G4442" s="14">
        <f t="array" ref="G4442">VLOOKUP(E4442,Produtos!$A:$E,5,FALSE)</f>
        <v>1000</v>
      </c>
      <c r="H4442" s="14">
        <f>VLOOKUP(E4442,Produtos!$A:$E,4,FALSE)</f>
        <v>600</v>
      </c>
      <c r="I4442" s="2">
        <v>2</v>
      </c>
    </row>
    <row r="4443" spans="1:9" x14ac:dyDescent="0.25">
      <c r="A4443" s="2" t="str">
        <f>CONCATENATE(Códigos!S4442,Códigos!T4442,Códigos!U4442)</f>
        <v>svv4441v</v>
      </c>
      <c r="B4443" t="s">
        <v>338</v>
      </c>
      <c r="C4443" t="s">
        <v>442</v>
      </c>
      <c r="D4443" s="2" t="s">
        <v>389</v>
      </c>
      <c r="E4443" t="s">
        <v>436</v>
      </c>
      <c r="F4443" s="11">
        <v>44510</v>
      </c>
      <c r="G4443" s="14">
        <f t="array" ref="G4443">VLOOKUP(E4443,Produtos!$A:$E,5,FALSE)</f>
        <v>1000</v>
      </c>
      <c r="H4443" s="14">
        <f>VLOOKUP(E4443,Produtos!$A:$E,4,FALSE)</f>
        <v>600</v>
      </c>
      <c r="I4443" s="2">
        <v>2</v>
      </c>
    </row>
    <row r="4444" spans="1:9" x14ac:dyDescent="0.25">
      <c r="A4444" s="2" t="str">
        <f>CONCATENATE(Códigos!S4443,Códigos!T4443,Códigos!U4443)</f>
        <v>svv4442v</v>
      </c>
      <c r="B4444" t="s">
        <v>338</v>
      </c>
      <c r="C4444" t="s">
        <v>442</v>
      </c>
      <c r="D4444" s="2" t="s">
        <v>389</v>
      </c>
      <c r="E4444" t="s">
        <v>436</v>
      </c>
      <c r="F4444" s="11">
        <v>44511</v>
      </c>
      <c r="G4444" s="14">
        <f t="array" ref="G4444">VLOOKUP(E4444,Produtos!$A:$E,5,FALSE)</f>
        <v>1000</v>
      </c>
      <c r="H4444" s="14">
        <f>VLOOKUP(E4444,Produtos!$A:$E,4,FALSE)</f>
        <v>600</v>
      </c>
      <c r="I4444" s="2">
        <v>2</v>
      </c>
    </row>
    <row r="4445" spans="1:9" x14ac:dyDescent="0.25">
      <c r="A4445" s="2" t="str">
        <f>CONCATENATE(Códigos!S4444,Códigos!T4444,Códigos!U4444)</f>
        <v>svv4443v</v>
      </c>
      <c r="B4445" t="s">
        <v>338</v>
      </c>
      <c r="C4445" t="s">
        <v>442</v>
      </c>
      <c r="D4445" s="2" t="s">
        <v>389</v>
      </c>
      <c r="E4445" t="s">
        <v>436</v>
      </c>
      <c r="F4445" s="11">
        <v>44512</v>
      </c>
      <c r="G4445" s="14">
        <f t="array" ref="G4445">VLOOKUP(E4445,Produtos!$A:$E,5,FALSE)</f>
        <v>1000</v>
      </c>
      <c r="H4445" s="14">
        <f>VLOOKUP(E4445,Produtos!$A:$E,4,FALSE)</f>
        <v>600</v>
      </c>
      <c r="I4445" s="2">
        <v>2</v>
      </c>
    </row>
    <row r="4446" spans="1:9" x14ac:dyDescent="0.25">
      <c r="A4446" s="2" t="str">
        <f>CONCATENATE(Códigos!S4445,Códigos!T4445,Códigos!U4445)</f>
        <v>svv4444v</v>
      </c>
      <c r="B4446" t="s">
        <v>338</v>
      </c>
      <c r="C4446" t="s">
        <v>442</v>
      </c>
      <c r="D4446" s="2" t="s">
        <v>389</v>
      </c>
      <c r="E4446" t="s">
        <v>436</v>
      </c>
      <c r="F4446" s="11">
        <v>44513</v>
      </c>
      <c r="G4446" s="14">
        <f t="array" ref="G4446">VLOOKUP(E4446,Produtos!$A:$E,5,FALSE)</f>
        <v>1000</v>
      </c>
      <c r="H4446" s="14">
        <f>VLOOKUP(E4446,Produtos!$A:$E,4,FALSE)</f>
        <v>600</v>
      </c>
      <c r="I4446" s="2">
        <v>2</v>
      </c>
    </row>
    <row r="4447" spans="1:9" x14ac:dyDescent="0.25">
      <c r="A4447" s="2" t="str">
        <f>CONCATENATE(Códigos!S4446,Códigos!T4446,Códigos!U4446)</f>
        <v>svv4445v</v>
      </c>
      <c r="B4447" t="s">
        <v>338</v>
      </c>
      <c r="C4447" t="s">
        <v>442</v>
      </c>
      <c r="D4447" s="2" t="s">
        <v>389</v>
      </c>
      <c r="E4447" t="s">
        <v>436</v>
      </c>
      <c r="F4447" s="11">
        <v>44514</v>
      </c>
      <c r="G4447" s="14">
        <f t="array" ref="G4447">VLOOKUP(E4447,Produtos!$A:$E,5,FALSE)</f>
        <v>1000</v>
      </c>
      <c r="H4447" s="14">
        <f>VLOOKUP(E4447,Produtos!$A:$E,4,FALSE)</f>
        <v>600</v>
      </c>
      <c r="I4447" s="2">
        <v>2</v>
      </c>
    </row>
    <row r="4448" spans="1:9" x14ac:dyDescent="0.25">
      <c r="A4448" s="2" t="str">
        <f>CONCATENATE(Códigos!S4447,Códigos!T4447,Códigos!U4447)</f>
        <v>svv4446v</v>
      </c>
      <c r="B4448" t="s">
        <v>338</v>
      </c>
      <c r="C4448" t="s">
        <v>442</v>
      </c>
      <c r="D4448" s="2" t="s">
        <v>389</v>
      </c>
      <c r="E4448" t="s">
        <v>436</v>
      </c>
      <c r="F4448" s="11">
        <v>44515</v>
      </c>
      <c r="G4448" s="14">
        <f t="array" ref="G4448">VLOOKUP(E4448,Produtos!$A:$E,5,FALSE)</f>
        <v>1000</v>
      </c>
      <c r="H4448" s="14">
        <f>VLOOKUP(E4448,Produtos!$A:$E,4,FALSE)</f>
        <v>600</v>
      </c>
      <c r="I4448" s="2">
        <v>2</v>
      </c>
    </row>
    <row r="4449" spans="1:9" x14ac:dyDescent="0.25">
      <c r="A4449" s="2" t="str">
        <f>CONCATENATE(Códigos!S4448,Códigos!T4448,Códigos!U4448)</f>
        <v>svv4447v</v>
      </c>
      <c r="B4449" t="s">
        <v>338</v>
      </c>
      <c r="C4449" t="s">
        <v>442</v>
      </c>
      <c r="D4449" s="2" t="s">
        <v>389</v>
      </c>
      <c r="E4449" t="s">
        <v>436</v>
      </c>
      <c r="F4449" s="11">
        <v>44516</v>
      </c>
      <c r="G4449" s="14">
        <f t="array" ref="G4449">VLOOKUP(E4449,Produtos!$A:$E,5,FALSE)</f>
        <v>1000</v>
      </c>
      <c r="H4449" s="14">
        <f>VLOOKUP(E4449,Produtos!$A:$E,4,FALSE)</f>
        <v>600</v>
      </c>
      <c r="I4449" s="2">
        <v>2</v>
      </c>
    </row>
    <row r="4450" spans="1:9" x14ac:dyDescent="0.25">
      <c r="A4450" s="2" t="str">
        <f>CONCATENATE(Códigos!S4449,Códigos!T4449,Códigos!U4449)</f>
        <v>svv4448v</v>
      </c>
      <c r="B4450" t="s">
        <v>338</v>
      </c>
      <c r="C4450" t="s">
        <v>442</v>
      </c>
      <c r="D4450" s="2" t="s">
        <v>389</v>
      </c>
      <c r="E4450" t="s">
        <v>436</v>
      </c>
      <c r="F4450" s="11">
        <v>44517</v>
      </c>
      <c r="G4450" s="14">
        <f t="array" ref="G4450">VLOOKUP(E4450,Produtos!$A:$E,5,FALSE)</f>
        <v>1000</v>
      </c>
      <c r="H4450" s="14">
        <f>VLOOKUP(E4450,Produtos!$A:$E,4,FALSE)</f>
        <v>600</v>
      </c>
      <c r="I4450" s="2">
        <v>2</v>
      </c>
    </row>
    <row r="4451" spans="1:9" x14ac:dyDescent="0.25">
      <c r="A4451" s="2" t="str">
        <f>CONCATENATE(Códigos!S4450,Códigos!T4450,Códigos!U4450)</f>
        <v>svv4449v</v>
      </c>
      <c r="B4451" t="s">
        <v>320</v>
      </c>
      <c r="C4451" t="s">
        <v>441</v>
      </c>
      <c r="D4451" s="2" t="s">
        <v>398</v>
      </c>
      <c r="E4451" t="s">
        <v>436</v>
      </c>
      <c r="F4451" s="11">
        <v>44518</v>
      </c>
      <c r="G4451" s="14">
        <f t="array" ref="G4451">VLOOKUP(E4451,Produtos!$A:$E,5,FALSE)</f>
        <v>1000</v>
      </c>
      <c r="H4451" s="14">
        <f>VLOOKUP(E4451,Produtos!$A:$E,4,FALSE)</f>
        <v>600</v>
      </c>
      <c r="I4451" s="2">
        <v>2</v>
      </c>
    </row>
    <row r="4452" spans="1:9" x14ac:dyDescent="0.25">
      <c r="A4452" s="2" t="str">
        <f>CONCATENATE(Códigos!S4451,Códigos!T4451,Códigos!U4451)</f>
        <v>svv4450v</v>
      </c>
      <c r="B4452" t="s">
        <v>320</v>
      </c>
      <c r="C4452" t="s">
        <v>441</v>
      </c>
      <c r="D4452" s="2" t="s">
        <v>398</v>
      </c>
      <c r="E4452" t="s">
        <v>436</v>
      </c>
      <c r="F4452" s="11">
        <v>44519</v>
      </c>
      <c r="G4452" s="14">
        <f t="array" ref="G4452">VLOOKUP(E4452,Produtos!$A:$E,5,FALSE)</f>
        <v>1000</v>
      </c>
      <c r="H4452" s="14">
        <f>VLOOKUP(E4452,Produtos!$A:$E,4,FALSE)</f>
        <v>600</v>
      </c>
      <c r="I4452" s="2">
        <v>2</v>
      </c>
    </row>
    <row r="4453" spans="1:9" x14ac:dyDescent="0.25">
      <c r="A4453" s="2" t="str">
        <f>CONCATENATE(Códigos!S4452,Códigos!T4452,Códigos!U4452)</f>
        <v>svv4451v</v>
      </c>
      <c r="B4453" t="s">
        <v>320</v>
      </c>
      <c r="C4453" t="s">
        <v>441</v>
      </c>
      <c r="D4453" s="2" t="s">
        <v>398</v>
      </c>
      <c r="E4453" t="s">
        <v>436</v>
      </c>
      <c r="F4453" s="11">
        <v>44520</v>
      </c>
      <c r="G4453" s="14">
        <f t="array" ref="G4453">VLOOKUP(E4453,Produtos!$A:$E,5,FALSE)</f>
        <v>1000</v>
      </c>
      <c r="H4453" s="14">
        <f>VLOOKUP(E4453,Produtos!$A:$E,4,FALSE)</f>
        <v>600</v>
      </c>
      <c r="I4453" s="2">
        <v>2</v>
      </c>
    </row>
    <row r="4454" spans="1:9" x14ac:dyDescent="0.25">
      <c r="A4454" s="2" t="str">
        <f>CONCATENATE(Códigos!S4453,Códigos!T4453,Códigos!U4453)</f>
        <v>svv4452v</v>
      </c>
      <c r="B4454" t="s">
        <v>320</v>
      </c>
      <c r="C4454" t="s">
        <v>441</v>
      </c>
      <c r="D4454" s="2" t="s">
        <v>398</v>
      </c>
      <c r="E4454" t="s">
        <v>436</v>
      </c>
      <c r="F4454" s="11">
        <v>44521</v>
      </c>
      <c r="G4454" s="14">
        <f t="array" ref="G4454">VLOOKUP(E4454,Produtos!$A:$E,5,FALSE)</f>
        <v>1000</v>
      </c>
      <c r="H4454" s="14">
        <f>VLOOKUP(E4454,Produtos!$A:$E,4,FALSE)</f>
        <v>600</v>
      </c>
      <c r="I4454" s="2">
        <v>2</v>
      </c>
    </row>
    <row r="4455" spans="1:9" x14ac:dyDescent="0.25">
      <c r="A4455" s="2" t="str">
        <f>CONCATENATE(Códigos!S4454,Códigos!T4454,Códigos!U4454)</f>
        <v>svv4453v</v>
      </c>
      <c r="B4455" t="s">
        <v>320</v>
      </c>
      <c r="C4455" t="s">
        <v>441</v>
      </c>
      <c r="D4455" s="2" t="s">
        <v>398</v>
      </c>
      <c r="E4455" t="s">
        <v>436</v>
      </c>
      <c r="F4455" s="11">
        <v>44522</v>
      </c>
      <c r="G4455" s="14">
        <f t="array" ref="G4455">VLOOKUP(E4455,Produtos!$A:$E,5,FALSE)</f>
        <v>1000</v>
      </c>
      <c r="H4455" s="14">
        <f>VLOOKUP(E4455,Produtos!$A:$E,4,FALSE)</f>
        <v>600</v>
      </c>
      <c r="I4455" s="2">
        <v>2</v>
      </c>
    </row>
    <row r="4456" spans="1:9" x14ac:dyDescent="0.25">
      <c r="A4456" s="2" t="str">
        <f>CONCATENATE(Códigos!S4455,Códigos!T4455,Códigos!U4455)</f>
        <v>svv4454v</v>
      </c>
      <c r="B4456" t="s">
        <v>320</v>
      </c>
      <c r="C4456" t="s">
        <v>441</v>
      </c>
      <c r="D4456" s="2" t="s">
        <v>398</v>
      </c>
      <c r="E4456" t="s">
        <v>436</v>
      </c>
      <c r="F4456" s="11">
        <v>44523</v>
      </c>
      <c r="G4456" s="14">
        <f t="array" ref="G4456">VLOOKUP(E4456,Produtos!$A:$E,5,FALSE)</f>
        <v>1000</v>
      </c>
      <c r="H4456" s="14">
        <f>VLOOKUP(E4456,Produtos!$A:$E,4,FALSE)</f>
        <v>600</v>
      </c>
      <c r="I4456" s="2">
        <v>2</v>
      </c>
    </row>
    <row r="4457" spans="1:9" x14ac:dyDescent="0.25">
      <c r="A4457" s="2" t="str">
        <f>CONCATENATE(Códigos!S4456,Códigos!T4456,Códigos!U4456)</f>
        <v>svv4455v</v>
      </c>
      <c r="B4457" t="s">
        <v>320</v>
      </c>
      <c r="C4457" t="s">
        <v>441</v>
      </c>
      <c r="D4457" s="2" t="s">
        <v>398</v>
      </c>
      <c r="E4457" t="s">
        <v>436</v>
      </c>
      <c r="F4457" s="11">
        <v>44524</v>
      </c>
      <c r="G4457" s="14">
        <f t="array" ref="G4457">VLOOKUP(E4457,Produtos!$A:$E,5,FALSE)</f>
        <v>1000</v>
      </c>
      <c r="H4457" s="14">
        <f>VLOOKUP(E4457,Produtos!$A:$E,4,FALSE)</f>
        <v>600</v>
      </c>
      <c r="I4457" s="2">
        <v>2</v>
      </c>
    </row>
    <row r="4458" spans="1:9" x14ac:dyDescent="0.25">
      <c r="A4458" s="2" t="str">
        <f>CONCATENATE(Códigos!S4457,Códigos!T4457,Códigos!U4457)</f>
        <v>svv4456v</v>
      </c>
      <c r="B4458" t="s">
        <v>320</v>
      </c>
      <c r="C4458" t="s">
        <v>441</v>
      </c>
      <c r="D4458" s="2" t="s">
        <v>398</v>
      </c>
      <c r="E4458" t="s">
        <v>436</v>
      </c>
      <c r="F4458" s="11">
        <v>44525</v>
      </c>
      <c r="G4458" s="14">
        <f t="array" ref="G4458">VLOOKUP(E4458,Produtos!$A:$E,5,FALSE)</f>
        <v>1000</v>
      </c>
      <c r="H4458" s="14">
        <f>VLOOKUP(E4458,Produtos!$A:$E,4,FALSE)</f>
        <v>600</v>
      </c>
      <c r="I4458" s="2">
        <v>2</v>
      </c>
    </row>
    <row r="4459" spans="1:9" x14ac:dyDescent="0.25">
      <c r="A4459" s="2" t="str">
        <f>CONCATENATE(Códigos!S4458,Códigos!T4458,Códigos!U4458)</f>
        <v>svv4457v</v>
      </c>
      <c r="B4459" t="s">
        <v>320</v>
      </c>
      <c r="C4459" t="s">
        <v>441</v>
      </c>
      <c r="D4459" s="2" t="s">
        <v>398</v>
      </c>
      <c r="E4459" t="s">
        <v>436</v>
      </c>
      <c r="F4459" s="11">
        <v>44526</v>
      </c>
      <c r="G4459" s="14">
        <f t="array" ref="G4459">VLOOKUP(E4459,Produtos!$A:$E,5,FALSE)</f>
        <v>1000</v>
      </c>
      <c r="H4459" s="14">
        <f>VLOOKUP(E4459,Produtos!$A:$E,4,FALSE)</f>
        <v>600</v>
      </c>
      <c r="I4459" s="2">
        <v>2</v>
      </c>
    </row>
    <row r="4460" spans="1:9" x14ac:dyDescent="0.25">
      <c r="A4460" s="2" t="str">
        <f>CONCATENATE(Códigos!S4459,Códigos!T4459,Códigos!U4459)</f>
        <v>svv4458v</v>
      </c>
      <c r="B4460" t="s">
        <v>320</v>
      </c>
      <c r="C4460" t="s">
        <v>441</v>
      </c>
      <c r="D4460" s="2" t="s">
        <v>398</v>
      </c>
      <c r="E4460" t="s">
        <v>436</v>
      </c>
      <c r="F4460" s="11">
        <v>44527</v>
      </c>
      <c r="G4460" s="14">
        <f t="array" ref="G4460">VLOOKUP(E4460,Produtos!$A:$E,5,FALSE)</f>
        <v>1000</v>
      </c>
      <c r="H4460" s="14">
        <f>VLOOKUP(E4460,Produtos!$A:$E,4,FALSE)</f>
        <v>600</v>
      </c>
      <c r="I4460" s="2">
        <v>2</v>
      </c>
    </row>
    <row r="4461" spans="1:9" x14ac:dyDescent="0.25">
      <c r="A4461" s="2" t="str">
        <f>CONCATENATE(Códigos!S4460,Códigos!T4460,Códigos!U4460)</f>
        <v>svv4459v</v>
      </c>
      <c r="B4461" t="s">
        <v>320</v>
      </c>
      <c r="C4461" t="s">
        <v>441</v>
      </c>
      <c r="D4461" s="2" t="s">
        <v>398</v>
      </c>
      <c r="E4461" t="s">
        <v>436</v>
      </c>
      <c r="F4461" s="11">
        <v>44528</v>
      </c>
      <c r="G4461" s="14">
        <f t="array" ref="G4461">VLOOKUP(E4461,Produtos!$A:$E,5,FALSE)</f>
        <v>1000</v>
      </c>
      <c r="H4461" s="14">
        <f>VLOOKUP(E4461,Produtos!$A:$E,4,FALSE)</f>
        <v>600</v>
      </c>
      <c r="I4461" s="2">
        <v>2</v>
      </c>
    </row>
    <row r="4462" spans="1:9" x14ac:dyDescent="0.25">
      <c r="A4462" s="2" t="str">
        <f>CONCATENATE(Códigos!S4461,Códigos!T4461,Códigos!U4461)</f>
        <v>svv4460v</v>
      </c>
      <c r="B4462" t="s">
        <v>320</v>
      </c>
      <c r="C4462" t="s">
        <v>441</v>
      </c>
      <c r="D4462" s="2" t="s">
        <v>398</v>
      </c>
      <c r="E4462" t="s">
        <v>436</v>
      </c>
      <c r="F4462" s="11">
        <v>44529</v>
      </c>
      <c r="G4462" s="14">
        <f t="array" ref="G4462">VLOOKUP(E4462,Produtos!$A:$E,5,FALSE)</f>
        <v>1000</v>
      </c>
      <c r="H4462" s="14">
        <f>VLOOKUP(E4462,Produtos!$A:$E,4,FALSE)</f>
        <v>600</v>
      </c>
      <c r="I4462" s="2">
        <v>2</v>
      </c>
    </row>
    <row r="4463" spans="1:9" x14ac:dyDescent="0.25">
      <c r="A4463" s="2" t="str">
        <f>CONCATENATE(Códigos!S4462,Códigos!T4462,Códigos!U4462)</f>
        <v>svv4461v</v>
      </c>
      <c r="B4463" t="s">
        <v>320</v>
      </c>
      <c r="C4463" t="s">
        <v>441</v>
      </c>
      <c r="D4463" s="2" t="s">
        <v>398</v>
      </c>
      <c r="E4463" t="s">
        <v>436</v>
      </c>
      <c r="F4463" s="11">
        <v>44530</v>
      </c>
      <c r="G4463" s="14">
        <f t="array" ref="G4463">VLOOKUP(E4463,Produtos!$A:$E,5,FALSE)</f>
        <v>1000</v>
      </c>
      <c r="H4463" s="14">
        <f>VLOOKUP(E4463,Produtos!$A:$E,4,FALSE)</f>
        <v>600</v>
      </c>
      <c r="I4463" s="2">
        <v>2</v>
      </c>
    </row>
    <row r="4464" spans="1:9" x14ac:dyDescent="0.25">
      <c r="A4464" s="2" t="str">
        <f>CONCATENATE(Códigos!S4463,Códigos!T4463,Códigos!U4463)</f>
        <v>svv4462v</v>
      </c>
      <c r="B4464" t="s">
        <v>320</v>
      </c>
      <c r="C4464" t="s">
        <v>441</v>
      </c>
      <c r="D4464" s="2" t="s">
        <v>398</v>
      </c>
      <c r="E4464" t="s">
        <v>436</v>
      </c>
      <c r="F4464" s="11">
        <v>44531</v>
      </c>
      <c r="G4464" s="14">
        <f t="array" ref="G4464">VLOOKUP(E4464,Produtos!$A:$E,5,FALSE)</f>
        <v>1000</v>
      </c>
      <c r="H4464" s="14">
        <f>VLOOKUP(E4464,Produtos!$A:$E,4,FALSE)</f>
        <v>600</v>
      </c>
      <c r="I4464" s="2">
        <v>2</v>
      </c>
    </row>
    <row r="4465" spans="1:9" x14ac:dyDescent="0.25">
      <c r="A4465" s="2" t="str">
        <f>CONCATENATE(Códigos!S4464,Códigos!T4464,Códigos!U4464)</f>
        <v>svv4463v</v>
      </c>
      <c r="B4465" t="s">
        <v>320</v>
      </c>
      <c r="C4465" t="s">
        <v>440</v>
      </c>
      <c r="D4465" s="2" t="s">
        <v>404</v>
      </c>
      <c r="E4465" t="s">
        <v>436</v>
      </c>
      <c r="F4465" s="11">
        <v>44532</v>
      </c>
      <c r="G4465" s="14">
        <f t="array" ref="G4465">VLOOKUP(E4465,Produtos!$A:$E,5,FALSE)</f>
        <v>1000</v>
      </c>
      <c r="H4465" s="14">
        <f>VLOOKUP(E4465,Produtos!$A:$E,4,FALSE)</f>
        <v>600</v>
      </c>
      <c r="I4465" s="2">
        <v>2</v>
      </c>
    </row>
    <row r="4466" spans="1:9" x14ac:dyDescent="0.25">
      <c r="A4466" s="2" t="str">
        <f>CONCATENATE(Códigos!S4465,Códigos!T4465,Códigos!U4465)</f>
        <v>svv4464v</v>
      </c>
      <c r="B4466" t="s">
        <v>320</v>
      </c>
      <c r="C4466" t="s">
        <v>440</v>
      </c>
      <c r="D4466" s="2" t="s">
        <v>404</v>
      </c>
      <c r="E4466" t="s">
        <v>436</v>
      </c>
      <c r="F4466" s="11">
        <v>44533</v>
      </c>
      <c r="G4466" s="14">
        <f t="array" ref="G4466">VLOOKUP(E4466,Produtos!$A:$E,5,FALSE)</f>
        <v>1000</v>
      </c>
      <c r="H4466" s="14">
        <f>VLOOKUP(E4466,Produtos!$A:$E,4,FALSE)</f>
        <v>600</v>
      </c>
      <c r="I4466" s="2">
        <v>2</v>
      </c>
    </row>
    <row r="4467" spans="1:9" x14ac:dyDescent="0.25">
      <c r="A4467" s="2" t="str">
        <f>CONCATENATE(Códigos!S4466,Códigos!T4466,Códigos!U4466)</f>
        <v>svv4465v</v>
      </c>
      <c r="B4467" t="s">
        <v>320</v>
      </c>
      <c r="C4467" t="s">
        <v>440</v>
      </c>
      <c r="D4467" s="2" t="s">
        <v>404</v>
      </c>
      <c r="E4467" t="s">
        <v>436</v>
      </c>
      <c r="F4467" s="11">
        <v>44534</v>
      </c>
      <c r="G4467" s="14">
        <f t="array" ref="G4467">VLOOKUP(E4467,Produtos!$A:$E,5,FALSE)</f>
        <v>1000</v>
      </c>
      <c r="H4467" s="14">
        <f>VLOOKUP(E4467,Produtos!$A:$E,4,FALSE)</f>
        <v>600</v>
      </c>
      <c r="I4467" s="2">
        <v>2</v>
      </c>
    </row>
    <row r="4468" spans="1:9" x14ac:dyDescent="0.25">
      <c r="A4468" s="2" t="str">
        <f>CONCATENATE(Códigos!S4467,Códigos!T4467,Códigos!U4467)</f>
        <v>svv4466v</v>
      </c>
      <c r="B4468" t="s">
        <v>320</v>
      </c>
      <c r="C4468" t="s">
        <v>440</v>
      </c>
      <c r="D4468" s="2" t="s">
        <v>404</v>
      </c>
      <c r="E4468" t="s">
        <v>439</v>
      </c>
      <c r="F4468" s="11">
        <v>44535</v>
      </c>
      <c r="G4468" s="14">
        <f t="array" ref="G4468">VLOOKUP(E4468,Produtos!$A:$E,5,FALSE)</f>
        <v>1800</v>
      </c>
      <c r="H4468" s="14">
        <f>VLOOKUP(E4468,Produtos!$A:$E,4,FALSE)</f>
        <v>1000</v>
      </c>
      <c r="I4468" s="2">
        <v>2</v>
      </c>
    </row>
    <row r="4469" spans="1:9" x14ac:dyDescent="0.25">
      <c r="A4469" s="2" t="str">
        <f>CONCATENATE(Códigos!S4468,Códigos!T4468,Códigos!U4468)</f>
        <v>svv4467v</v>
      </c>
      <c r="B4469" t="s">
        <v>320</v>
      </c>
      <c r="C4469" t="s">
        <v>440</v>
      </c>
      <c r="D4469" s="2" t="s">
        <v>404</v>
      </c>
      <c r="E4469" t="s">
        <v>439</v>
      </c>
      <c r="F4469" s="11">
        <v>44536</v>
      </c>
      <c r="G4469" s="14">
        <f t="array" ref="G4469">VLOOKUP(E4469,Produtos!$A:$E,5,FALSE)</f>
        <v>1800</v>
      </c>
      <c r="H4469" s="14">
        <f>VLOOKUP(E4469,Produtos!$A:$E,4,FALSE)</f>
        <v>1000</v>
      </c>
      <c r="I4469" s="2">
        <v>2</v>
      </c>
    </row>
    <row r="4470" spans="1:9" x14ac:dyDescent="0.25">
      <c r="A4470" s="2" t="str">
        <f>CONCATENATE(Códigos!S4469,Códigos!T4469,Códigos!U4469)</f>
        <v>svv4468v</v>
      </c>
      <c r="B4470" t="s">
        <v>320</v>
      </c>
      <c r="C4470" t="s">
        <v>440</v>
      </c>
      <c r="D4470" s="2" t="s">
        <v>404</v>
      </c>
      <c r="E4470" t="s">
        <v>439</v>
      </c>
      <c r="F4470" s="11">
        <v>44537</v>
      </c>
      <c r="G4470" s="14">
        <f t="array" ref="G4470">VLOOKUP(E4470,Produtos!$A:$E,5,FALSE)</f>
        <v>1800</v>
      </c>
      <c r="H4470" s="14">
        <f>VLOOKUP(E4470,Produtos!$A:$E,4,FALSE)</f>
        <v>1000</v>
      </c>
      <c r="I4470" s="2">
        <v>2</v>
      </c>
    </row>
    <row r="4471" spans="1:9" x14ac:dyDescent="0.25">
      <c r="A4471" s="2" t="str">
        <f>CONCATENATE(Códigos!S4470,Códigos!T4470,Códigos!U4470)</f>
        <v>svv4469v</v>
      </c>
      <c r="B4471" t="s">
        <v>320</v>
      </c>
      <c r="C4471" t="s">
        <v>440</v>
      </c>
      <c r="D4471" s="2" t="s">
        <v>404</v>
      </c>
      <c r="E4471" t="s">
        <v>439</v>
      </c>
      <c r="F4471" s="11">
        <v>44538</v>
      </c>
      <c r="G4471" s="14">
        <f t="array" ref="G4471">VLOOKUP(E4471,Produtos!$A:$E,5,FALSE)</f>
        <v>1800</v>
      </c>
      <c r="H4471" s="14">
        <f>VLOOKUP(E4471,Produtos!$A:$E,4,FALSE)</f>
        <v>1000</v>
      </c>
      <c r="I4471" s="2">
        <v>2</v>
      </c>
    </row>
    <row r="4472" spans="1:9" x14ac:dyDescent="0.25">
      <c r="A4472" s="2" t="str">
        <f>CONCATENATE(Códigos!S4471,Códigos!T4471,Códigos!U4471)</f>
        <v>svv4470v</v>
      </c>
      <c r="B4472" t="s">
        <v>320</v>
      </c>
      <c r="C4472" t="s">
        <v>440</v>
      </c>
      <c r="D4472" s="2" t="s">
        <v>404</v>
      </c>
      <c r="E4472" t="s">
        <v>439</v>
      </c>
      <c r="F4472" s="11">
        <v>44539</v>
      </c>
      <c r="G4472" s="14">
        <f t="array" ref="G4472">VLOOKUP(E4472,Produtos!$A:$E,5,FALSE)</f>
        <v>1800</v>
      </c>
      <c r="H4472" s="14">
        <f>VLOOKUP(E4472,Produtos!$A:$E,4,FALSE)</f>
        <v>1000</v>
      </c>
      <c r="I4472" s="2">
        <v>2</v>
      </c>
    </row>
    <row r="4473" spans="1:9" x14ac:dyDescent="0.25">
      <c r="A4473" s="2" t="str">
        <f>CONCATENATE(Códigos!S4472,Códigos!T4472,Códigos!U4472)</f>
        <v>svv4471v</v>
      </c>
      <c r="B4473" t="s">
        <v>320</v>
      </c>
      <c r="C4473" t="s">
        <v>440</v>
      </c>
      <c r="D4473" s="2" t="s">
        <v>404</v>
      </c>
      <c r="E4473" t="s">
        <v>439</v>
      </c>
      <c r="F4473" s="11">
        <v>44540</v>
      </c>
      <c r="G4473" s="14">
        <f t="array" ref="G4473">VLOOKUP(E4473,Produtos!$A:$E,5,FALSE)</f>
        <v>1800</v>
      </c>
      <c r="H4473" s="14">
        <f>VLOOKUP(E4473,Produtos!$A:$E,4,FALSE)</f>
        <v>1000</v>
      </c>
      <c r="I4473" s="2">
        <v>2</v>
      </c>
    </row>
    <row r="4474" spans="1:9" x14ac:dyDescent="0.25">
      <c r="A4474" s="2" t="str">
        <f>CONCATENATE(Códigos!S4473,Códigos!T4473,Códigos!U4473)</f>
        <v>svv4472v</v>
      </c>
      <c r="B4474" t="s">
        <v>320</v>
      </c>
      <c r="C4474" t="s">
        <v>440</v>
      </c>
      <c r="D4474" s="2" t="s">
        <v>404</v>
      </c>
      <c r="E4474" t="s">
        <v>439</v>
      </c>
      <c r="F4474" s="11">
        <v>44541</v>
      </c>
      <c r="G4474" s="14">
        <f t="array" ref="G4474">VLOOKUP(E4474,Produtos!$A:$E,5,FALSE)</f>
        <v>1800</v>
      </c>
      <c r="H4474" s="14">
        <f>VLOOKUP(E4474,Produtos!$A:$E,4,FALSE)</f>
        <v>1000</v>
      </c>
      <c r="I4474" s="2">
        <v>2</v>
      </c>
    </row>
    <row r="4475" spans="1:9" x14ac:dyDescent="0.25">
      <c r="A4475" s="2" t="str">
        <f>CONCATENATE(Códigos!S4474,Códigos!T4474,Códigos!U4474)</f>
        <v>svv4473v</v>
      </c>
      <c r="B4475" t="s">
        <v>320</v>
      </c>
      <c r="C4475" t="s">
        <v>440</v>
      </c>
      <c r="D4475" s="2" t="s">
        <v>404</v>
      </c>
      <c r="E4475" t="s">
        <v>439</v>
      </c>
      <c r="F4475" s="11">
        <v>44542</v>
      </c>
      <c r="G4475" s="14">
        <f t="array" ref="G4475">VLOOKUP(E4475,Produtos!$A:$E,5,FALSE)</f>
        <v>1800</v>
      </c>
      <c r="H4475" s="14">
        <f>VLOOKUP(E4475,Produtos!$A:$E,4,FALSE)</f>
        <v>1000</v>
      </c>
      <c r="I4475" s="2">
        <v>2</v>
      </c>
    </row>
    <row r="4476" spans="1:9" x14ac:dyDescent="0.25">
      <c r="A4476" s="2" t="str">
        <f>CONCATENATE(Códigos!S4475,Códigos!T4475,Códigos!U4475)</f>
        <v>svv4474v</v>
      </c>
      <c r="B4476" t="s">
        <v>320</v>
      </c>
      <c r="C4476" t="s">
        <v>440</v>
      </c>
      <c r="D4476" s="2" t="s">
        <v>404</v>
      </c>
      <c r="E4476" t="s">
        <v>439</v>
      </c>
      <c r="F4476" s="11">
        <v>44543</v>
      </c>
      <c r="G4476" s="14">
        <f t="array" ref="G4476">VLOOKUP(E4476,Produtos!$A:$E,5,FALSE)</f>
        <v>1800</v>
      </c>
      <c r="H4476" s="14">
        <f>VLOOKUP(E4476,Produtos!$A:$E,4,FALSE)</f>
        <v>1000</v>
      </c>
      <c r="I4476" s="2">
        <v>2</v>
      </c>
    </row>
    <row r="4477" spans="1:9" x14ac:dyDescent="0.25">
      <c r="A4477" s="2" t="str">
        <f>CONCATENATE(Códigos!S4476,Códigos!T4476,Códigos!U4476)</f>
        <v>svv4475v</v>
      </c>
      <c r="B4477" t="s">
        <v>320</v>
      </c>
      <c r="C4477" t="s">
        <v>440</v>
      </c>
      <c r="D4477" s="2" t="s">
        <v>404</v>
      </c>
      <c r="E4477" t="s">
        <v>439</v>
      </c>
      <c r="F4477" s="11">
        <v>44544</v>
      </c>
      <c r="G4477" s="14">
        <f t="array" ref="G4477">VLOOKUP(E4477,Produtos!$A:$E,5,FALSE)</f>
        <v>1800</v>
      </c>
      <c r="H4477" s="14">
        <f>VLOOKUP(E4477,Produtos!$A:$E,4,FALSE)</f>
        <v>1000</v>
      </c>
      <c r="I4477" s="2">
        <v>2</v>
      </c>
    </row>
    <row r="4478" spans="1:9" x14ac:dyDescent="0.25">
      <c r="A4478" s="2" t="str">
        <f>CONCATENATE(Códigos!S4477,Códigos!T4477,Códigos!U4477)</f>
        <v>svv4476v</v>
      </c>
      <c r="B4478" t="s">
        <v>320</v>
      </c>
      <c r="C4478" t="s">
        <v>317</v>
      </c>
      <c r="D4478" s="2" t="s">
        <v>318</v>
      </c>
      <c r="E4478" t="s">
        <v>439</v>
      </c>
      <c r="F4478" s="11">
        <v>44545</v>
      </c>
      <c r="G4478" s="14">
        <f t="array" ref="G4478">VLOOKUP(E4478,Produtos!$A:$E,5,FALSE)</f>
        <v>1800</v>
      </c>
      <c r="H4478" s="14">
        <f>VLOOKUP(E4478,Produtos!$A:$E,4,FALSE)</f>
        <v>1000</v>
      </c>
      <c r="I4478" s="2">
        <v>2</v>
      </c>
    </row>
    <row r="4479" spans="1:9" x14ac:dyDescent="0.25">
      <c r="A4479" s="2" t="str">
        <f>CONCATENATE(Códigos!S4478,Códigos!T4478,Códigos!U4478)</f>
        <v>svv4477v</v>
      </c>
      <c r="B4479" t="s">
        <v>320</v>
      </c>
      <c r="C4479" t="s">
        <v>317</v>
      </c>
      <c r="D4479" s="2" t="s">
        <v>318</v>
      </c>
      <c r="E4479" t="s">
        <v>439</v>
      </c>
      <c r="F4479" s="11">
        <v>44546</v>
      </c>
      <c r="G4479" s="14">
        <f t="array" ref="G4479">VLOOKUP(E4479,Produtos!$A:$E,5,FALSE)</f>
        <v>1800</v>
      </c>
      <c r="H4479" s="14">
        <f>VLOOKUP(E4479,Produtos!$A:$E,4,FALSE)</f>
        <v>1000</v>
      </c>
      <c r="I4479" s="2">
        <v>2</v>
      </c>
    </row>
    <row r="4480" spans="1:9" x14ac:dyDescent="0.25">
      <c r="A4480" s="2" t="str">
        <f>CONCATENATE(Códigos!S4479,Códigos!T4479,Códigos!U4479)</f>
        <v>svv4478v</v>
      </c>
      <c r="B4480" t="s">
        <v>320</v>
      </c>
      <c r="C4480" t="s">
        <v>317</v>
      </c>
      <c r="D4480" s="2" t="s">
        <v>318</v>
      </c>
      <c r="E4480" t="s">
        <v>439</v>
      </c>
      <c r="F4480" s="11">
        <v>44547</v>
      </c>
      <c r="G4480" s="14">
        <f t="array" ref="G4480">VLOOKUP(E4480,Produtos!$A:$E,5,FALSE)</f>
        <v>1800</v>
      </c>
      <c r="H4480" s="14">
        <f>VLOOKUP(E4480,Produtos!$A:$E,4,FALSE)</f>
        <v>1000</v>
      </c>
      <c r="I4480" s="2">
        <v>2</v>
      </c>
    </row>
    <row r="4481" spans="1:9" x14ac:dyDescent="0.25">
      <c r="A4481" s="2" t="str">
        <f>CONCATENATE(Códigos!S4480,Códigos!T4480,Códigos!U4480)</f>
        <v>svv4479v</v>
      </c>
      <c r="B4481" t="s">
        <v>320</v>
      </c>
      <c r="C4481" t="s">
        <v>317</v>
      </c>
      <c r="D4481" s="2" t="s">
        <v>318</v>
      </c>
      <c r="E4481" t="s">
        <v>439</v>
      </c>
      <c r="F4481" s="11">
        <v>44548</v>
      </c>
      <c r="G4481" s="14">
        <f t="array" ref="G4481">VLOOKUP(E4481,Produtos!$A:$E,5,FALSE)</f>
        <v>1800</v>
      </c>
      <c r="H4481" s="14">
        <f>VLOOKUP(E4481,Produtos!$A:$E,4,FALSE)</f>
        <v>1000</v>
      </c>
      <c r="I4481" s="2">
        <v>2</v>
      </c>
    </row>
    <row r="4482" spans="1:9" x14ac:dyDescent="0.25">
      <c r="A4482" s="2" t="str">
        <f>CONCATENATE(Códigos!S4481,Códigos!T4481,Códigos!U4481)</f>
        <v>svv4480v</v>
      </c>
      <c r="B4482" t="s">
        <v>320</v>
      </c>
      <c r="C4482" t="s">
        <v>317</v>
      </c>
      <c r="D4482" s="2" t="s">
        <v>318</v>
      </c>
      <c r="E4482" t="s">
        <v>439</v>
      </c>
      <c r="F4482" s="11">
        <v>44549</v>
      </c>
      <c r="G4482" s="14">
        <f t="array" ref="G4482">VLOOKUP(E4482,Produtos!$A:$E,5,FALSE)</f>
        <v>1800</v>
      </c>
      <c r="H4482" s="14">
        <f>VLOOKUP(E4482,Produtos!$A:$E,4,FALSE)</f>
        <v>1000</v>
      </c>
      <c r="I4482" s="2">
        <v>2</v>
      </c>
    </row>
    <row r="4483" spans="1:9" x14ac:dyDescent="0.25">
      <c r="A4483" s="2" t="str">
        <f>CONCATENATE(Códigos!S4482,Códigos!T4482,Códigos!U4482)</f>
        <v>svv4481v</v>
      </c>
      <c r="B4483" t="s">
        <v>320</v>
      </c>
      <c r="C4483" t="s">
        <v>317</v>
      </c>
      <c r="D4483" s="2" t="s">
        <v>318</v>
      </c>
      <c r="E4483" t="s">
        <v>439</v>
      </c>
      <c r="F4483" s="11">
        <v>44550</v>
      </c>
      <c r="G4483" s="14">
        <f t="array" ref="G4483">VLOOKUP(E4483,Produtos!$A:$E,5,FALSE)</f>
        <v>1800</v>
      </c>
      <c r="H4483" s="14">
        <f>VLOOKUP(E4483,Produtos!$A:$E,4,FALSE)</f>
        <v>1000</v>
      </c>
      <c r="I4483" s="2">
        <v>2</v>
      </c>
    </row>
    <row r="4484" spans="1:9" x14ac:dyDescent="0.25">
      <c r="A4484" s="2" t="str">
        <f>CONCATENATE(Códigos!S4483,Códigos!T4483,Códigos!U4483)</f>
        <v>svv4482v</v>
      </c>
      <c r="B4484" t="s">
        <v>320</v>
      </c>
      <c r="C4484" t="s">
        <v>317</v>
      </c>
      <c r="D4484" s="2" t="s">
        <v>318</v>
      </c>
      <c r="E4484" t="s">
        <v>439</v>
      </c>
      <c r="F4484" s="11">
        <v>44551</v>
      </c>
      <c r="G4484" s="14">
        <f t="array" ref="G4484">VLOOKUP(E4484,Produtos!$A:$E,5,FALSE)</f>
        <v>1800</v>
      </c>
      <c r="H4484" s="14">
        <f>VLOOKUP(E4484,Produtos!$A:$E,4,FALSE)</f>
        <v>1000</v>
      </c>
      <c r="I4484" s="2">
        <v>2</v>
      </c>
    </row>
    <row r="4485" spans="1:9" x14ac:dyDescent="0.25">
      <c r="A4485" s="2" t="str">
        <f>CONCATENATE(Códigos!S4484,Códigos!T4484,Códigos!U4484)</f>
        <v>svv4483v</v>
      </c>
      <c r="B4485" t="s">
        <v>320</v>
      </c>
      <c r="C4485" t="s">
        <v>317</v>
      </c>
      <c r="D4485" s="2" t="s">
        <v>318</v>
      </c>
      <c r="E4485" t="s">
        <v>439</v>
      </c>
      <c r="F4485" s="11">
        <v>44552</v>
      </c>
      <c r="G4485" s="14">
        <f t="array" ref="G4485">VLOOKUP(E4485,Produtos!$A:$E,5,FALSE)</f>
        <v>1800</v>
      </c>
      <c r="H4485" s="14">
        <f>VLOOKUP(E4485,Produtos!$A:$E,4,FALSE)</f>
        <v>1000</v>
      </c>
      <c r="I4485" s="2">
        <v>2</v>
      </c>
    </row>
    <row r="4486" spans="1:9" x14ac:dyDescent="0.25">
      <c r="A4486" s="2" t="str">
        <f>CONCATENATE(Códigos!S4485,Códigos!T4485,Códigos!U4485)</f>
        <v>svv4484v</v>
      </c>
      <c r="B4486" t="s">
        <v>320</v>
      </c>
      <c r="C4486" t="s">
        <v>317</v>
      </c>
      <c r="D4486" s="2" t="s">
        <v>318</v>
      </c>
      <c r="E4486" t="s">
        <v>439</v>
      </c>
      <c r="F4486" s="11">
        <v>44553</v>
      </c>
      <c r="G4486" s="14">
        <f t="array" ref="G4486">VLOOKUP(E4486,Produtos!$A:$E,5,FALSE)</f>
        <v>1800</v>
      </c>
      <c r="H4486" s="14">
        <f>VLOOKUP(E4486,Produtos!$A:$E,4,FALSE)</f>
        <v>1000</v>
      </c>
      <c r="I4486" s="2">
        <v>2</v>
      </c>
    </row>
    <row r="4487" spans="1:9" x14ac:dyDescent="0.25">
      <c r="A4487" s="2" t="str">
        <f>CONCATENATE(Códigos!S4486,Códigos!T4486,Códigos!U4486)</f>
        <v>svv4485v</v>
      </c>
      <c r="B4487" t="s">
        <v>320</v>
      </c>
      <c r="C4487" t="s">
        <v>317</v>
      </c>
      <c r="D4487" s="2" t="s">
        <v>318</v>
      </c>
      <c r="E4487" t="s">
        <v>439</v>
      </c>
      <c r="F4487" s="11">
        <v>44554</v>
      </c>
      <c r="G4487" s="14">
        <f t="array" ref="G4487">VLOOKUP(E4487,Produtos!$A:$E,5,FALSE)</f>
        <v>1800</v>
      </c>
      <c r="H4487" s="14">
        <f>VLOOKUP(E4487,Produtos!$A:$E,4,FALSE)</f>
        <v>1000</v>
      </c>
      <c r="I4487" s="2">
        <v>2</v>
      </c>
    </row>
    <row r="4488" spans="1:9" x14ac:dyDescent="0.25">
      <c r="A4488" s="2" t="str">
        <f>CONCATENATE(Códigos!S4487,Códigos!T4487,Códigos!U4487)</f>
        <v>svv4486v</v>
      </c>
      <c r="B4488" t="s">
        <v>320</v>
      </c>
      <c r="C4488" t="s">
        <v>317</v>
      </c>
      <c r="D4488" s="2" t="s">
        <v>318</v>
      </c>
      <c r="E4488" t="s">
        <v>439</v>
      </c>
      <c r="F4488" s="11">
        <v>44555</v>
      </c>
      <c r="G4488" s="14">
        <f t="array" ref="G4488">VLOOKUP(E4488,Produtos!$A:$E,5,FALSE)</f>
        <v>1800</v>
      </c>
      <c r="H4488" s="14">
        <f>VLOOKUP(E4488,Produtos!$A:$E,4,FALSE)</f>
        <v>1000</v>
      </c>
      <c r="I4488" s="2">
        <v>2</v>
      </c>
    </row>
    <row r="4489" spans="1:9" x14ac:dyDescent="0.25">
      <c r="A4489" s="2" t="str">
        <f>CONCATENATE(Códigos!S4488,Códigos!T4488,Códigos!U4488)</f>
        <v>svv4487v</v>
      </c>
      <c r="B4489" t="s">
        <v>320</v>
      </c>
      <c r="C4489" t="s">
        <v>317</v>
      </c>
      <c r="D4489" s="2" t="s">
        <v>318</v>
      </c>
      <c r="E4489" t="s">
        <v>439</v>
      </c>
      <c r="F4489" s="11">
        <v>44556</v>
      </c>
      <c r="G4489" s="14">
        <f t="array" ref="G4489">VLOOKUP(E4489,Produtos!$A:$E,5,FALSE)</f>
        <v>1800</v>
      </c>
      <c r="H4489" s="14">
        <f>VLOOKUP(E4489,Produtos!$A:$E,4,FALSE)</f>
        <v>1000</v>
      </c>
      <c r="I4489" s="2">
        <v>2</v>
      </c>
    </row>
    <row r="4490" spans="1:9" x14ac:dyDescent="0.25">
      <c r="A4490" s="2" t="str">
        <f>CONCATENATE(Códigos!S4489,Códigos!T4489,Códigos!U4489)</f>
        <v>svv4488v</v>
      </c>
      <c r="B4490" t="s">
        <v>320</v>
      </c>
      <c r="C4490" t="s">
        <v>438</v>
      </c>
      <c r="D4490" s="2" t="s">
        <v>359</v>
      </c>
      <c r="E4490" t="s">
        <v>439</v>
      </c>
      <c r="F4490" s="11">
        <v>44557</v>
      </c>
      <c r="G4490" s="14">
        <f t="array" ref="G4490">VLOOKUP(E4490,Produtos!$A:$E,5,FALSE)</f>
        <v>1800</v>
      </c>
      <c r="H4490" s="14">
        <f>VLOOKUP(E4490,Produtos!$A:$E,4,FALSE)</f>
        <v>1000</v>
      </c>
      <c r="I4490" s="2">
        <v>2</v>
      </c>
    </row>
    <row r="4491" spans="1:9" x14ac:dyDescent="0.25">
      <c r="A4491" s="2" t="str">
        <f>CONCATENATE(Códigos!S4490,Códigos!T4490,Códigos!U4490)</f>
        <v>svv4489v</v>
      </c>
      <c r="B4491" t="s">
        <v>320</v>
      </c>
      <c r="C4491" t="s">
        <v>438</v>
      </c>
      <c r="D4491" s="2" t="s">
        <v>359</v>
      </c>
      <c r="E4491" t="s">
        <v>439</v>
      </c>
      <c r="F4491" s="11">
        <v>44558</v>
      </c>
      <c r="G4491" s="14">
        <f t="array" ref="G4491">VLOOKUP(E4491,Produtos!$A:$E,5,FALSE)</f>
        <v>1800</v>
      </c>
      <c r="H4491" s="14">
        <f>VLOOKUP(E4491,Produtos!$A:$E,4,FALSE)</f>
        <v>1000</v>
      </c>
      <c r="I4491" s="2">
        <v>2</v>
      </c>
    </row>
    <row r="4492" spans="1:9" x14ac:dyDescent="0.25">
      <c r="A4492" s="2" t="str">
        <f>CONCATENATE(Códigos!S4491,Códigos!T4491,Códigos!U4491)</f>
        <v>svv4490v</v>
      </c>
      <c r="B4492" t="s">
        <v>320</v>
      </c>
      <c r="C4492" t="s">
        <v>438</v>
      </c>
      <c r="D4492" s="2" t="s">
        <v>359</v>
      </c>
      <c r="E4492" t="s">
        <v>439</v>
      </c>
      <c r="F4492" s="11">
        <v>44559</v>
      </c>
      <c r="G4492" s="14">
        <f t="array" ref="G4492">VLOOKUP(E4492,Produtos!$A:$E,5,FALSE)</f>
        <v>1800</v>
      </c>
      <c r="H4492" s="14">
        <f>VLOOKUP(E4492,Produtos!$A:$E,4,FALSE)</f>
        <v>1000</v>
      </c>
      <c r="I4492" s="2">
        <v>2</v>
      </c>
    </row>
    <row r="4493" spans="1:9" x14ac:dyDescent="0.25">
      <c r="A4493" s="2" t="str">
        <f>CONCATENATE(Códigos!S4492,Códigos!T4492,Códigos!U4492)</f>
        <v>svv4491v</v>
      </c>
      <c r="B4493" t="s">
        <v>320</v>
      </c>
      <c r="C4493" t="s">
        <v>438</v>
      </c>
      <c r="D4493" s="2" t="s">
        <v>359</v>
      </c>
      <c r="E4493" t="s">
        <v>439</v>
      </c>
      <c r="F4493" s="11">
        <v>44560</v>
      </c>
      <c r="G4493" s="14">
        <f t="array" ref="G4493">VLOOKUP(E4493,Produtos!$A:$E,5,FALSE)</f>
        <v>1800</v>
      </c>
      <c r="H4493" s="14">
        <f>VLOOKUP(E4493,Produtos!$A:$E,4,FALSE)</f>
        <v>1000</v>
      </c>
      <c r="I4493" s="2">
        <v>2</v>
      </c>
    </row>
    <row r="4494" spans="1:9" x14ac:dyDescent="0.25">
      <c r="A4494" s="2" t="str">
        <f>CONCATENATE(Códigos!S4493,Códigos!T4493,Códigos!U4493)</f>
        <v>svv4492v</v>
      </c>
      <c r="B4494" t="s">
        <v>320</v>
      </c>
      <c r="C4494" t="s">
        <v>438</v>
      </c>
      <c r="D4494" s="2" t="s">
        <v>359</v>
      </c>
      <c r="E4494" t="s">
        <v>439</v>
      </c>
      <c r="F4494" s="11">
        <v>44561</v>
      </c>
      <c r="G4494" s="14">
        <f t="array" ref="G4494">VLOOKUP(E4494,Produtos!$A:$E,5,FALSE)</f>
        <v>1800</v>
      </c>
      <c r="H4494" s="14">
        <f>VLOOKUP(E4494,Produtos!$A:$E,4,FALSE)</f>
        <v>1000</v>
      </c>
      <c r="I4494" s="2">
        <v>2</v>
      </c>
    </row>
    <row r="4495" spans="1:9" x14ac:dyDescent="0.25">
      <c r="A4495" s="2" t="str">
        <f>CONCATENATE(Códigos!S4494,Códigos!T4494,Códigos!U4494)</f>
        <v>svv4493v</v>
      </c>
      <c r="B4495" t="s">
        <v>320</v>
      </c>
      <c r="C4495" t="s">
        <v>438</v>
      </c>
      <c r="D4495" s="2" t="s">
        <v>359</v>
      </c>
      <c r="E4495" t="s">
        <v>439</v>
      </c>
      <c r="F4495" s="11">
        <v>44562</v>
      </c>
      <c r="G4495" s="14">
        <f t="array" ref="G4495">VLOOKUP(E4495,Produtos!$A:$E,5,FALSE)</f>
        <v>1800</v>
      </c>
      <c r="H4495" s="14">
        <f>VLOOKUP(E4495,Produtos!$A:$E,4,FALSE)</f>
        <v>1000</v>
      </c>
      <c r="I4495" s="2">
        <v>2</v>
      </c>
    </row>
    <row r="4496" spans="1:9" x14ac:dyDescent="0.25">
      <c r="A4496" s="2" t="str">
        <f>CONCATENATE(Códigos!S4495,Códigos!T4495,Códigos!U4495)</f>
        <v>svv4494v</v>
      </c>
      <c r="B4496" t="s">
        <v>320</v>
      </c>
      <c r="C4496" t="s">
        <v>438</v>
      </c>
      <c r="D4496" s="2" t="s">
        <v>359</v>
      </c>
      <c r="E4496" t="s">
        <v>439</v>
      </c>
      <c r="F4496" s="11">
        <v>44563</v>
      </c>
      <c r="G4496" s="14">
        <f t="array" ref="G4496">VLOOKUP(E4496,Produtos!$A:$E,5,FALSE)</f>
        <v>1800</v>
      </c>
      <c r="H4496" s="14">
        <f>VLOOKUP(E4496,Produtos!$A:$E,4,FALSE)</f>
        <v>1000</v>
      </c>
      <c r="I4496" s="2">
        <v>2</v>
      </c>
    </row>
    <row r="4497" spans="1:9" x14ac:dyDescent="0.25">
      <c r="A4497" s="2" t="str">
        <f>CONCATENATE(Códigos!S4496,Códigos!T4496,Códigos!U4496)</f>
        <v>svv4495v</v>
      </c>
      <c r="B4497" t="s">
        <v>320</v>
      </c>
      <c r="C4497" t="s">
        <v>438</v>
      </c>
      <c r="D4497" s="2" t="s">
        <v>359</v>
      </c>
      <c r="E4497" t="s">
        <v>439</v>
      </c>
      <c r="F4497" s="11">
        <v>44564</v>
      </c>
      <c r="G4497" s="14">
        <f t="array" ref="G4497">VLOOKUP(E4497,Produtos!$A:$E,5,FALSE)</f>
        <v>1800</v>
      </c>
      <c r="H4497" s="14">
        <f>VLOOKUP(E4497,Produtos!$A:$E,4,FALSE)</f>
        <v>1000</v>
      </c>
      <c r="I4497" s="2">
        <v>2</v>
      </c>
    </row>
    <row r="4498" spans="1:9" x14ac:dyDescent="0.25">
      <c r="A4498" s="2" t="str">
        <f>CONCATENATE(Códigos!S4497,Códigos!T4497,Códigos!U4497)</f>
        <v>svv4496v</v>
      </c>
      <c r="B4498" t="s">
        <v>320</v>
      </c>
      <c r="C4498" t="s">
        <v>438</v>
      </c>
      <c r="D4498" s="2" t="s">
        <v>359</v>
      </c>
      <c r="E4498" t="s">
        <v>439</v>
      </c>
      <c r="F4498" s="11">
        <v>44565</v>
      </c>
      <c r="G4498" s="14">
        <f t="array" ref="G4498">VLOOKUP(E4498,Produtos!$A:$E,5,FALSE)</f>
        <v>1800</v>
      </c>
      <c r="H4498" s="14">
        <f>VLOOKUP(E4498,Produtos!$A:$E,4,FALSE)</f>
        <v>1000</v>
      </c>
      <c r="I4498" s="2">
        <v>2</v>
      </c>
    </row>
    <row r="4499" spans="1:9" x14ac:dyDescent="0.25">
      <c r="A4499" s="2" t="str">
        <f>CONCATENATE(Códigos!S4498,Códigos!T4498,Códigos!U4498)</f>
        <v>svv4497v</v>
      </c>
      <c r="B4499" t="s">
        <v>320</v>
      </c>
      <c r="C4499" t="s">
        <v>438</v>
      </c>
      <c r="D4499" s="2" t="s">
        <v>359</v>
      </c>
      <c r="E4499" t="s">
        <v>439</v>
      </c>
      <c r="F4499" s="11">
        <v>44114</v>
      </c>
      <c r="G4499" s="14">
        <f t="array" ref="G4499">VLOOKUP(E4499,Produtos!$A:$E,5,FALSE)</f>
        <v>1800</v>
      </c>
      <c r="H4499" s="14">
        <f>VLOOKUP(E4499,Produtos!$A:$E,4,FALSE)</f>
        <v>1000</v>
      </c>
      <c r="I4499" s="2">
        <v>2</v>
      </c>
    </row>
    <row r="4500" spans="1:9" x14ac:dyDescent="0.25">
      <c r="A4500" s="2" t="str">
        <f>CONCATENATE(Códigos!S4499,Códigos!T4499,Códigos!U4499)</f>
        <v>svv4498v</v>
      </c>
      <c r="B4500" t="s">
        <v>320</v>
      </c>
      <c r="C4500" t="s">
        <v>438</v>
      </c>
      <c r="D4500" s="2" t="s">
        <v>359</v>
      </c>
      <c r="E4500" t="s">
        <v>439</v>
      </c>
      <c r="F4500" s="11">
        <v>44115</v>
      </c>
      <c r="G4500" s="14">
        <f t="array" ref="G4500">VLOOKUP(E4500,Produtos!$A:$E,5,FALSE)</f>
        <v>1800</v>
      </c>
      <c r="H4500" s="14">
        <f>VLOOKUP(E4500,Produtos!$A:$E,4,FALSE)</f>
        <v>1000</v>
      </c>
      <c r="I4500" s="2">
        <v>2</v>
      </c>
    </row>
    <row r="4501" spans="1:9" x14ac:dyDescent="0.25">
      <c r="A4501" s="2" t="str">
        <f>CONCATENATE(Códigos!S4500,Códigos!T4500,Códigos!U4500)</f>
        <v>svv4499v</v>
      </c>
      <c r="B4501" t="s">
        <v>320</v>
      </c>
      <c r="C4501" t="s">
        <v>438</v>
      </c>
      <c r="D4501" s="2" t="s">
        <v>359</v>
      </c>
      <c r="E4501" t="s">
        <v>439</v>
      </c>
      <c r="F4501" s="11">
        <v>44116</v>
      </c>
      <c r="G4501" s="14">
        <f t="array" ref="G4501">VLOOKUP(E4501,Produtos!$A:$E,5,FALSE)</f>
        <v>1800</v>
      </c>
      <c r="H4501" s="14">
        <f>VLOOKUP(E4501,Produtos!$A:$E,4,FALSE)</f>
        <v>1000</v>
      </c>
      <c r="I4501" s="2">
        <v>2</v>
      </c>
    </row>
    <row r="4502" spans="1:9" x14ac:dyDescent="0.25">
      <c r="A4502" s="2" t="str">
        <f>CONCATENATE(Códigos!S4501,Códigos!T4501,Códigos!U4501)</f>
        <v>svv4500v</v>
      </c>
      <c r="B4502" t="s">
        <v>320</v>
      </c>
      <c r="C4502" t="s">
        <v>438</v>
      </c>
      <c r="D4502" s="2" t="s">
        <v>359</v>
      </c>
      <c r="E4502" t="s">
        <v>439</v>
      </c>
      <c r="F4502" s="11">
        <v>44117</v>
      </c>
      <c r="G4502" s="14">
        <f t="array" ref="G4502">VLOOKUP(E4502,Produtos!$A:$E,5,FALSE)</f>
        <v>1800</v>
      </c>
      <c r="H4502" s="14">
        <f>VLOOKUP(E4502,Produtos!$A:$E,4,FALSE)</f>
        <v>1000</v>
      </c>
      <c r="I4502" s="2">
        <v>2</v>
      </c>
    </row>
    <row r="4503" spans="1:9" x14ac:dyDescent="0.25">
      <c r="A4503" s="2" t="str">
        <f>CONCATENATE(Códigos!S4502,Códigos!T4502,Códigos!U4502)</f>
        <v>svv4501v</v>
      </c>
      <c r="B4503" t="s">
        <v>320</v>
      </c>
      <c r="C4503" t="s">
        <v>438</v>
      </c>
      <c r="D4503" s="2" t="s">
        <v>359</v>
      </c>
      <c r="E4503" t="s">
        <v>411</v>
      </c>
      <c r="F4503" s="11">
        <v>44118</v>
      </c>
      <c r="G4503" s="14">
        <f t="array" ref="G4503">VLOOKUP(E4503,Produtos!$A:$E,5,FALSE)</f>
        <v>1100</v>
      </c>
      <c r="H4503" s="14">
        <f>VLOOKUP(E4503,Produtos!$A:$E,4,FALSE)</f>
        <v>700</v>
      </c>
      <c r="I4503" s="2">
        <v>2</v>
      </c>
    </row>
    <row r="4504" spans="1:9" x14ac:dyDescent="0.25">
      <c r="A4504" s="2" t="str">
        <f>CONCATENATE(Códigos!S4503,Códigos!T4503,Códigos!U4503)</f>
        <v>svv4502v</v>
      </c>
      <c r="B4504" t="s">
        <v>320</v>
      </c>
      <c r="C4504" t="s">
        <v>438</v>
      </c>
      <c r="D4504" s="2" t="s">
        <v>359</v>
      </c>
      <c r="E4504" t="s">
        <v>411</v>
      </c>
      <c r="F4504" s="11">
        <v>44119</v>
      </c>
      <c r="G4504" s="14">
        <f t="array" ref="G4504">VLOOKUP(E4504,Produtos!$A:$E,5,FALSE)</f>
        <v>1100</v>
      </c>
      <c r="H4504" s="14">
        <f>VLOOKUP(E4504,Produtos!$A:$E,4,FALSE)</f>
        <v>700</v>
      </c>
      <c r="I4504" s="2">
        <v>2</v>
      </c>
    </row>
    <row r="4505" spans="1:9" x14ac:dyDescent="0.25">
      <c r="A4505" s="2" t="str">
        <f>CONCATENATE(Códigos!S4504,Códigos!T4504,Códigos!U4504)</f>
        <v>svv4503v</v>
      </c>
      <c r="B4505" t="s">
        <v>320</v>
      </c>
      <c r="C4505" t="s">
        <v>438</v>
      </c>
      <c r="D4505" s="2" t="s">
        <v>359</v>
      </c>
      <c r="E4505" t="s">
        <v>411</v>
      </c>
      <c r="F4505" s="11">
        <v>44120</v>
      </c>
      <c r="G4505" s="14">
        <f t="array" ref="G4505">VLOOKUP(E4505,Produtos!$A:$E,5,FALSE)</f>
        <v>1100</v>
      </c>
      <c r="H4505" s="14">
        <f>VLOOKUP(E4505,Produtos!$A:$E,4,FALSE)</f>
        <v>700</v>
      </c>
      <c r="I4505" s="2">
        <v>2</v>
      </c>
    </row>
    <row r="4506" spans="1:9" x14ac:dyDescent="0.25">
      <c r="A4506" s="2" t="str">
        <f>CONCATENATE(Códigos!S4505,Códigos!T4505,Códigos!U4505)</f>
        <v>svv4504v</v>
      </c>
      <c r="B4506" t="s">
        <v>320</v>
      </c>
      <c r="C4506" t="s">
        <v>438</v>
      </c>
      <c r="D4506" s="2" t="s">
        <v>359</v>
      </c>
      <c r="E4506" t="s">
        <v>411</v>
      </c>
      <c r="F4506" s="11">
        <v>44121</v>
      </c>
      <c r="G4506" s="14">
        <f t="array" ref="G4506">VLOOKUP(E4506,Produtos!$A:$E,5,FALSE)</f>
        <v>1100</v>
      </c>
      <c r="H4506" s="14">
        <f>VLOOKUP(E4506,Produtos!$A:$E,4,FALSE)</f>
        <v>700</v>
      </c>
      <c r="I4506" s="2">
        <v>2</v>
      </c>
    </row>
    <row r="4507" spans="1:9" x14ac:dyDescent="0.25">
      <c r="A4507" s="2" t="str">
        <f>CONCATENATE(Códigos!S4506,Códigos!T4506,Códigos!U4506)</f>
        <v>svv4505v</v>
      </c>
      <c r="B4507" t="s">
        <v>320</v>
      </c>
      <c r="C4507" t="s">
        <v>438</v>
      </c>
      <c r="D4507" s="2" t="s">
        <v>359</v>
      </c>
      <c r="E4507" t="s">
        <v>411</v>
      </c>
      <c r="F4507" s="11">
        <v>44122</v>
      </c>
      <c r="G4507" s="14">
        <f t="array" ref="G4507">VLOOKUP(E4507,Produtos!$A:$E,5,FALSE)</f>
        <v>1100</v>
      </c>
      <c r="H4507" s="14">
        <f>VLOOKUP(E4507,Produtos!$A:$E,4,FALSE)</f>
        <v>700</v>
      </c>
      <c r="I4507" s="2">
        <v>2</v>
      </c>
    </row>
    <row r="4508" spans="1:9" x14ac:dyDescent="0.25">
      <c r="A4508" s="2" t="str">
        <f>CONCATENATE(Códigos!S4507,Códigos!T4507,Códigos!U4507)</f>
        <v>svv4506v</v>
      </c>
      <c r="B4508" t="s">
        <v>320</v>
      </c>
      <c r="C4508" t="s">
        <v>438</v>
      </c>
      <c r="D4508" s="2" t="s">
        <v>359</v>
      </c>
      <c r="E4508" t="s">
        <v>411</v>
      </c>
      <c r="F4508" s="11">
        <v>44123</v>
      </c>
      <c r="G4508" s="14">
        <f t="array" ref="G4508">VLOOKUP(E4508,Produtos!$A:$E,5,FALSE)</f>
        <v>1100</v>
      </c>
      <c r="H4508" s="14">
        <f>VLOOKUP(E4508,Produtos!$A:$E,4,FALSE)</f>
        <v>700</v>
      </c>
      <c r="I4508" s="2">
        <v>2</v>
      </c>
    </row>
    <row r="4509" spans="1:9" x14ac:dyDescent="0.25">
      <c r="A4509" s="2" t="str">
        <f>CONCATENATE(Códigos!S4508,Códigos!T4508,Códigos!U4508)</f>
        <v>svv4507v</v>
      </c>
      <c r="B4509" t="s">
        <v>320</v>
      </c>
      <c r="C4509" t="s">
        <v>438</v>
      </c>
      <c r="D4509" s="2" t="s">
        <v>359</v>
      </c>
      <c r="E4509" t="s">
        <v>411</v>
      </c>
      <c r="F4509" s="11">
        <v>44124</v>
      </c>
      <c r="G4509" s="14">
        <f t="array" ref="G4509">VLOOKUP(E4509,Produtos!$A:$E,5,FALSE)</f>
        <v>1100</v>
      </c>
      <c r="H4509" s="14">
        <f>VLOOKUP(E4509,Produtos!$A:$E,4,FALSE)</f>
        <v>700</v>
      </c>
      <c r="I4509" s="2">
        <v>2</v>
      </c>
    </row>
    <row r="4510" spans="1:9" x14ac:dyDescent="0.25">
      <c r="A4510" s="2" t="str">
        <f>CONCATENATE(Códigos!S4509,Códigos!T4509,Códigos!U4509)</f>
        <v>svv4508v</v>
      </c>
      <c r="B4510" t="s">
        <v>320</v>
      </c>
      <c r="C4510" t="s">
        <v>438</v>
      </c>
      <c r="D4510" s="2" t="s">
        <v>359</v>
      </c>
      <c r="E4510" t="s">
        <v>411</v>
      </c>
      <c r="F4510" s="11">
        <v>44125</v>
      </c>
      <c r="G4510" s="14">
        <f t="array" ref="G4510">VLOOKUP(E4510,Produtos!$A:$E,5,FALSE)</f>
        <v>1100</v>
      </c>
      <c r="H4510" s="14">
        <f>VLOOKUP(E4510,Produtos!$A:$E,4,FALSE)</f>
        <v>700</v>
      </c>
      <c r="I4510" s="2">
        <v>2</v>
      </c>
    </row>
    <row r="4511" spans="1:9" x14ac:dyDescent="0.25">
      <c r="A4511" s="2" t="str">
        <f>CONCATENATE(Códigos!S4510,Códigos!T4510,Códigos!U4510)</f>
        <v>svv4509v</v>
      </c>
      <c r="B4511" t="s">
        <v>320</v>
      </c>
      <c r="C4511" t="s">
        <v>438</v>
      </c>
      <c r="D4511" s="2" t="s">
        <v>359</v>
      </c>
      <c r="E4511" t="s">
        <v>411</v>
      </c>
      <c r="F4511" s="11">
        <v>44126</v>
      </c>
      <c r="G4511" s="14">
        <f t="array" ref="G4511">VLOOKUP(E4511,Produtos!$A:$E,5,FALSE)</f>
        <v>1100</v>
      </c>
      <c r="H4511" s="14">
        <f>VLOOKUP(E4511,Produtos!$A:$E,4,FALSE)</f>
        <v>700</v>
      </c>
      <c r="I4511" s="2">
        <v>2</v>
      </c>
    </row>
    <row r="4512" spans="1:9" x14ac:dyDescent="0.25">
      <c r="A4512" s="2" t="str">
        <f>CONCATENATE(Códigos!S4511,Códigos!T4511,Códigos!U4511)</f>
        <v>svv4510v</v>
      </c>
      <c r="B4512" t="s">
        <v>320</v>
      </c>
      <c r="C4512" t="s">
        <v>438</v>
      </c>
      <c r="D4512" s="2" t="s">
        <v>359</v>
      </c>
      <c r="E4512" t="s">
        <v>411</v>
      </c>
      <c r="F4512" s="11">
        <v>44127</v>
      </c>
      <c r="G4512" s="14">
        <f t="array" ref="G4512">VLOOKUP(E4512,Produtos!$A:$E,5,FALSE)</f>
        <v>1100</v>
      </c>
      <c r="H4512" s="14">
        <f>VLOOKUP(E4512,Produtos!$A:$E,4,FALSE)</f>
        <v>700</v>
      </c>
      <c r="I4512" s="2">
        <v>2</v>
      </c>
    </row>
    <row r="4513" spans="1:9" x14ac:dyDescent="0.25">
      <c r="A4513" s="2" t="str">
        <f>CONCATENATE(Códigos!S4512,Códigos!T4512,Códigos!U4512)</f>
        <v>svv4511v</v>
      </c>
      <c r="B4513" t="s">
        <v>316</v>
      </c>
      <c r="C4513" t="s">
        <v>383</v>
      </c>
      <c r="D4513" s="2" t="s">
        <v>384</v>
      </c>
      <c r="E4513" t="s">
        <v>411</v>
      </c>
      <c r="F4513" s="11">
        <v>44128</v>
      </c>
      <c r="G4513" s="14">
        <f t="array" ref="G4513">VLOOKUP(E4513,Produtos!$A:$E,5,FALSE)</f>
        <v>1100</v>
      </c>
      <c r="H4513" s="14">
        <f>VLOOKUP(E4513,Produtos!$A:$E,4,FALSE)</f>
        <v>700</v>
      </c>
      <c r="I4513" s="2">
        <v>2</v>
      </c>
    </row>
    <row r="4514" spans="1:9" x14ac:dyDescent="0.25">
      <c r="A4514" s="2" t="str">
        <f>CONCATENATE(Códigos!S4513,Códigos!T4513,Códigos!U4513)</f>
        <v>svv4512v</v>
      </c>
      <c r="B4514" t="s">
        <v>316</v>
      </c>
      <c r="C4514" t="s">
        <v>383</v>
      </c>
      <c r="D4514" s="2" t="s">
        <v>384</v>
      </c>
      <c r="E4514" t="s">
        <v>411</v>
      </c>
      <c r="F4514" s="11">
        <v>44129</v>
      </c>
      <c r="G4514" s="14">
        <f t="array" ref="G4514">VLOOKUP(E4514,Produtos!$A:$E,5,FALSE)</f>
        <v>1100</v>
      </c>
      <c r="H4514" s="14">
        <f>VLOOKUP(E4514,Produtos!$A:$E,4,FALSE)</f>
        <v>700</v>
      </c>
      <c r="I4514" s="2">
        <v>2</v>
      </c>
    </row>
    <row r="4515" spans="1:9" x14ac:dyDescent="0.25">
      <c r="A4515" s="2" t="str">
        <f>CONCATENATE(Códigos!S4514,Códigos!T4514,Códigos!U4514)</f>
        <v>svv4513v</v>
      </c>
      <c r="B4515" t="s">
        <v>316</v>
      </c>
      <c r="C4515" t="s">
        <v>383</v>
      </c>
      <c r="D4515" s="2" t="s">
        <v>384</v>
      </c>
      <c r="E4515" t="s">
        <v>411</v>
      </c>
      <c r="F4515" s="11">
        <v>44130</v>
      </c>
      <c r="G4515" s="14">
        <f t="array" ref="G4515">VLOOKUP(E4515,Produtos!$A:$E,5,FALSE)</f>
        <v>1100</v>
      </c>
      <c r="H4515" s="14">
        <f>VLOOKUP(E4515,Produtos!$A:$E,4,FALSE)</f>
        <v>700</v>
      </c>
      <c r="I4515" s="2">
        <v>2</v>
      </c>
    </row>
    <row r="4516" spans="1:9" x14ac:dyDescent="0.25">
      <c r="A4516" s="2" t="str">
        <f>CONCATENATE(Códigos!S4515,Códigos!T4515,Códigos!U4515)</f>
        <v>svv4514v</v>
      </c>
      <c r="B4516" t="s">
        <v>316</v>
      </c>
      <c r="C4516" t="s">
        <v>383</v>
      </c>
      <c r="D4516" s="2" t="s">
        <v>384</v>
      </c>
      <c r="E4516" t="s">
        <v>437</v>
      </c>
      <c r="F4516" s="11">
        <v>44131</v>
      </c>
      <c r="G4516" s="14">
        <f t="array" ref="G4516">VLOOKUP(E4516,Produtos!$A:$E,5,FALSE)</f>
        <v>650</v>
      </c>
      <c r="H4516" s="14">
        <f>VLOOKUP(E4516,Produtos!$A:$E,4,FALSE)</f>
        <v>350</v>
      </c>
      <c r="I4516" s="2">
        <v>2</v>
      </c>
    </row>
    <row r="4517" spans="1:9" x14ac:dyDescent="0.25">
      <c r="A4517" s="2" t="str">
        <f>CONCATENATE(Códigos!S4516,Códigos!T4516,Códigos!U4516)</f>
        <v>svv4515v</v>
      </c>
      <c r="B4517" t="s">
        <v>316</v>
      </c>
      <c r="C4517" t="s">
        <v>383</v>
      </c>
      <c r="D4517" s="2" t="s">
        <v>384</v>
      </c>
      <c r="E4517" t="s">
        <v>437</v>
      </c>
      <c r="F4517" s="11">
        <v>44132</v>
      </c>
      <c r="G4517" s="14">
        <f t="array" ref="G4517">VLOOKUP(E4517,Produtos!$A:$E,5,FALSE)</f>
        <v>650</v>
      </c>
      <c r="H4517" s="14">
        <f>VLOOKUP(E4517,Produtos!$A:$E,4,FALSE)</f>
        <v>350</v>
      </c>
      <c r="I4517" s="2">
        <v>2</v>
      </c>
    </row>
    <row r="4518" spans="1:9" x14ac:dyDescent="0.25">
      <c r="A4518" s="2" t="str">
        <f>CONCATENATE(Códigos!S4517,Códigos!T4517,Códigos!U4517)</f>
        <v>svv4516v</v>
      </c>
      <c r="B4518" t="s">
        <v>316</v>
      </c>
      <c r="C4518" t="s">
        <v>383</v>
      </c>
      <c r="D4518" s="2" t="s">
        <v>384</v>
      </c>
      <c r="E4518" t="s">
        <v>375</v>
      </c>
      <c r="F4518" s="11">
        <v>44133</v>
      </c>
      <c r="G4518" s="14">
        <f t="array" ref="G4518">VLOOKUP(E4518,Produtos!$A:$E,5,FALSE)</f>
        <v>870</v>
      </c>
      <c r="H4518" s="14">
        <f>VLOOKUP(E4518,Produtos!$A:$E,4,FALSE)</f>
        <v>450</v>
      </c>
      <c r="I4518" s="2">
        <v>2</v>
      </c>
    </row>
    <row r="4519" spans="1:9" x14ac:dyDescent="0.25">
      <c r="A4519" s="2" t="str">
        <f>CONCATENATE(Códigos!S4518,Códigos!T4518,Códigos!U4518)</f>
        <v>svv4517v</v>
      </c>
      <c r="B4519" t="s">
        <v>316</v>
      </c>
      <c r="C4519" t="s">
        <v>383</v>
      </c>
      <c r="D4519" s="2" t="s">
        <v>384</v>
      </c>
      <c r="E4519" t="s">
        <v>375</v>
      </c>
      <c r="F4519" s="11">
        <v>44134</v>
      </c>
      <c r="G4519" s="14">
        <f t="array" ref="G4519">VLOOKUP(E4519,Produtos!$A:$E,5,FALSE)</f>
        <v>870</v>
      </c>
      <c r="H4519" s="14">
        <f>VLOOKUP(E4519,Produtos!$A:$E,4,FALSE)</f>
        <v>450</v>
      </c>
      <c r="I4519" s="2">
        <v>2</v>
      </c>
    </row>
    <row r="4520" spans="1:9" x14ac:dyDescent="0.25">
      <c r="A4520" s="2" t="str">
        <f>CONCATENATE(Códigos!S4519,Códigos!T4519,Códigos!U4519)</f>
        <v>svv4518v</v>
      </c>
      <c r="B4520" t="s">
        <v>316</v>
      </c>
      <c r="C4520" t="s">
        <v>383</v>
      </c>
      <c r="D4520" s="2" t="s">
        <v>384</v>
      </c>
      <c r="E4520" t="s">
        <v>375</v>
      </c>
      <c r="F4520" s="11">
        <v>44135</v>
      </c>
      <c r="G4520" s="14">
        <f t="array" ref="G4520">VLOOKUP(E4520,Produtos!$A:$E,5,FALSE)</f>
        <v>870</v>
      </c>
      <c r="H4520" s="14">
        <f>VLOOKUP(E4520,Produtos!$A:$E,4,FALSE)</f>
        <v>450</v>
      </c>
      <c r="I4520" s="2">
        <v>2</v>
      </c>
    </row>
    <row r="4521" spans="1:9" x14ac:dyDescent="0.25">
      <c r="A4521" s="2" t="str">
        <f>CONCATENATE(Códigos!S4520,Códigos!T4520,Códigos!U4520)</f>
        <v>svv4519v</v>
      </c>
      <c r="B4521" t="s">
        <v>316</v>
      </c>
      <c r="C4521" t="s">
        <v>383</v>
      </c>
      <c r="D4521" s="2" t="s">
        <v>384</v>
      </c>
      <c r="E4521" t="s">
        <v>375</v>
      </c>
      <c r="F4521" s="11">
        <v>44136</v>
      </c>
      <c r="G4521" s="14">
        <f t="array" ref="G4521">VLOOKUP(E4521,Produtos!$A:$E,5,FALSE)</f>
        <v>870</v>
      </c>
      <c r="H4521" s="14">
        <f>VLOOKUP(E4521,Produtos!$A:$E,4,FALSE)</f>
        <v>450</v>
      </c>
      <c r="I4521" s="2">
        <v>2</v>
      </c>
    </row>
    <row r="4522" spans="1:9" x14ac:dyDescent="0.25">
      <c r="A4522" s="2" t="str">
        <f>CONCATENATE(Códigos!S4521,Códigos!T4521,Códigos!U4521)</f>
        <v>svv4520v</v>
      </c>
      <c r="B4522" t="s">
        <v>316</v>
      </c>
      <c r="C4522" t="s">
        <v>383</v>
      </c>
      <c r="D4522" s="2" t="s">
        <v>384</v>
      </c>
      <c r="E4522" t="s">
        <v>375</v>
      </c>
      <c r="F4522" s="11">
        <v>44137</v>
      </c>
      <c r="G4522" s="14">
        <f t="array" ref="G4522">VLOOKUP(E4522,Produtos!$A:$E,5,FALSE)</f>
        <v>870</v>
      </c>
      <c r="H4522" s="14">
        <f>VLOOKUP(E4522,Produtos!$A:$E,4,FALSE)</f>
        <v>450</v>
      </c>
      <c r="I4522" s="2">
        <v>2</v>
      </c>
    </row>
    <row r="4523" spans="1:9" x14ac:dyDescent="0.25">
      <c r="A4523" s="2" t="str">
        <f>CONCATENATE(Códigos!S4522,Códigos!T4522,Códigos!U4522)</f>
        <v>svv4521v</v>
      </c>
      <c r="B4523" t="s">
        <v>316</v>
      </c>
      <c r="C4523" t="s">
        <v>383</v>
      </c>
      <c r="D4523" s="2" t="s">
        <v>384</v>
      </c>
      <c r="E4523" t="s">
        <v>375</v>
      </c>
      <c r="F4523" s="11">
        <v>44138</v>
      </c>
      <c r="G4523" s="14">
        <f t="array" ref="G4523">VLOOKUP(E4523,Produtos!$A:$E,5,FALSE)</f>
        <v>870</v>
      </c>
      <c r="H4523" s="14">
        <f>VLOOKUP(E4523,Produtos!$A:$E,4,FALSE)</f>
        <v>450</v>
      </c>
      <c r="I4523" s="2">
        <v>2</v>
      </c>
    </row>
    <row r="4524" spans="1:9" x14ac:dyDescent="0.25">
      <c r="A4524" s="2" t="str">
        <f>CONCATENATE(Códigos!S4523,Códigos!T4523,Códigos!U4523)</f>
        <v>svv4522v</v>
      </c>
      <c r="B4524" t="s">
        <v>316</v>
      </c>
      <c r="C4524" t="s">
        <v>383</v>
      </c>
      <c r="D4524" s="2" t="s">
        <v>384</v>
      </c>
      <c r="E4524" t="s">
        <v>375</v>
      </c>
      <c r="F4524" s="11">
        <v>44139</v>
      </c>
      <c r="G4524" s="14">
        <f t="array" ref="G4524">VLOOKUP(E4524,Produtos!$A:$E,5,FALSE)</f>
        <v>870</v>
      </c>
      <c r="H4524" s="14">
        <f>VLOOKUP(E4524,Produtos!$A:$E,4,FALSE)</f>
        <v>450</v>
      </c>
      <c r="I4524" s="2">
        <v>2</v>
      </c>
    </row>
    <row r="4525" spans="1:9" x14ac:dyDescent="0.25">
      <c r="A4525" s="2" t="str">
        <f>CONCATENATE(Códigos!S4524,Códigos!T4524,Códigos!U4524)</f>
        <v>svv4523v</v>
      </c>
      <c r="B4525" t="s">
        <v>316</v>
      </c>
      <c r="C4525" t="s">
        <v>383</v>
      </c>
      <c r="D4525" s="2" t="s">
        <v>384</v>
      </c>
      <c r="E4525" t="s">
        <v>375</v>
      </c>
      <c r="F4525" s="11">
        <v>44140</v>
      </c>
      <c r="G4525" s="14">
        <f t="array" ref="G4525">VLOOKUP(E4525,Produtos!$A:$E,5,FALSE)</f>
        <v>870</v>
      </c>
      <c r="H4525" s="14">
        <f>VLOOKUP(E4525,Produtos!$A:$E,4,FALSE)</f>
        <v>450</v>
      </c>
      <c r="I4525" s="2">
        <v>2</v>
      </c>
    </row>
    <row r="4526" spans="1:9" x14ac:dyDescent="0.25">
      <c r="A4526" s="2" t="str">
        <f>CONCATENATE(Códigos!S4525,Códigos!T4525,Códigos!U4525)</f>
        <v>svv4524v</v>
      </c>
      <c r="B4526" t="s">
        <v>316</v>
      </c>
      <c r="C4526" t="s">
        <v>383</v>
      </c>
      <c r="D4526" s="2" t="s">
        <v>384</v>
      </c>
      <c r="E4526" t="s">
        <v>375</v>
      </c>
      <c r="F4526" s="11">
        <v>44141</v>
      </c>
      <c r="G4526" s="14">
        <f t="array" ref="G4526">VLOOKUP(E4526,Produtos!$A:$E,5,FALSE)</f>
        <v>870</v>
      </c>
      <c r="H4526" s="14">
        <f>VLOOKUP(E4526,Produtos!$A:$E,4,FALSE)</f>
        <v>450</v>
      </c>
      <c r="I4526" s="2">
        <v>2</v>
      </c>
    </row>
    <row r="4527" spans="1:9" x14ac:dyDescent="0.25">
      <c r="A4527" s="2" t="str">
        <f>CONCATENATE(Códigos!S4526,Códigos!T4526,Códigos!U4526)</f>
        <v>svv4525v</v>
      </c>
      <c r="B4527" t="s">
        <v>316</v>
      </c>
      <c r="C4527" t="s">
        <v>380</v>
      </c>
      <c r="D4527" s="2" t="s">
        <v>381</v>
      </c>
      <c r="E4527" t="s">
        <v>326</v>
      </c>
      <c r="F4527" s="11">
        <v>44237</v>
      </c>
      <c r="G4527" s="14">
        <f t="array" ref="G4527">VLOOKUP(E4527,Produtos!$A:$E,5,FALSE)</f>
        <v>3300</v>
      </c>
      <c r="H4527" s="14">
        <f>VLOOKUP(E4527,Produtos!$A:$E,4,FALSE)</f>
        <v>2500</v>
      </c>
      <c r="I4527" s="2">
        <v>2</v>
      </c>
    </row>
    <row r="4528" spans="1:9" x14ac:dyDescent="0.25">
      <c r="A4528" s="2" t="str">
        <f>CONCATENATE(Códigos!S4527,Códigos!T4527,Códigos!U4527)</f>
        <v>svv4526v</v>
      </c>
      <c r="B4528" t="s">
        <v>316</v>
      </c>
      <c r="C4528" t="s">
        <v>380</v>
      </c>
      <c r="D4528" s="2" t="s">
        <v>381</v>
      </c>
      <c r="E4528" t="s">
        <v>326</v>
      </c>
      <c r="F4528" s="11">
        <v>44238</v>
      </c>
      <c r="G4528" s="14">
        <f t="array" ref="G4528">VLOOKUP(E4528,Produtos!$A:$E,5,FALSE)</f>
        <v>3300</v>
      </c>
      <c r="H4528" s="14">
        <f>VLOOKUP(E4528,Produtos!$A:$E,4,FALSE)</f>
        <v>2500</v>
      </c>
      <c r="I4528" s="2">
        <v>2</v>
      </c>
    </row>
    <row r="4529" spans="1:9" x14ac:dyDescent="0.25">
      <c r="A4529" s="2" t="str">
        <f>CONCATENATE(Códigos!S4528,Códigos!T4528,Códigos!U4528)</f>
        <v>svv4527v</v>
      </c>
      <c r="B4529" t="s">
        <v>316</v>
      </c>
      <c r="C4529" t="s">
        <v>380</v>
      </c>
      <c r="D4529" s="2" t="s">
        <v>381</v>
      </c>
      <c r="E4529" t="s">
        <v>326</v>
      </c>
      <c r="F4529" s="11">
        <v>44239</v>
      </c>
      <c r="G4529" s="14">
        <f t="array" ref="G4529">VLOOKUP(E4529,Produtos!$A:$E,5,FALSE)</f>
        <v>3300</v>
      </c>
      <c r="H4529" s="14">
        <f>VLOOKUP(E4529,Produtos!$A:$E,4,FALSE)</f>
        <v>2500</v>
      </c>
      <c r="I4529" s="2">
        <v>2</v>
      </c>
    </row>
    <row r="4530" spans="1:9" x14ac:dyDescent="0.25">
      <c r="A4530" s="2" t="str">
        <f>CONCATENATE(Códigos!S4529,Códigos!T4529,Códigos!U4529)</f>
        <v>svv4528v</v>
      </c>
      <c r="B4530" t="s">
        <v>316</v>
      </c>
      <c r="C4530" t="s">
        <v>380</v>
      </c>
      <c r="D4530" s="2" t="s">
        <v>381</v>
      </c>
      <c r="E4530" t="s">
        <v>326</v>
      </c>
      <c r="F4530" s="11">
        <v>44240</v>
      </c>
      <c r="G4530" s="14">
        <f t="array" ref="G4530">VLOOKUP(E4530,Produtos!$A:$E,5,FALSE)</f>
        <v>3300</v>
      </c>
      <c r="H4530" s="14">
        <f>VLOOKUP(E4530,Produtos!$A:$E,4,FALSE)</f>
        <v>2500</v>
      </c>
      <c r="I4530" s="2">
        <v>2</v>
      </c>
    </row>
    <row r="4531" spans="1:9" x14ac:dyDescent="0.25">
      <c r="A4531" s="2" t="str">
        <f>CONCATENATE(Códigos!S4530,Códigos!T4530,Códigos!U4530)</f>
        <v>svv4529v</v>
      </c>
      <c r="B4531" t="s">
        <v>316</v>
      </c>
      <c r="C4531" t="s">
        <v>380</v>
      </c>
      <c r="D4531" s="2" t="s">
        <v>381</v>
      </c>
      <c r="E4531" t="s">
        <v>326</v>
      </c>
      <c r="F4531" s="11">
        <v>44241</v>
      </c>
      <c r="G4531" s="14">
        <f t="array" ref="G4531">VLOOKUP(E4531,Produtos!$A:$E,5,FALSE)</f>
        <v>3300</v>
      </c>
      <c r="H4531" s="14">
        <f>VLOOKUP(E4531,Produtos!$A:$E,4,FALSE)</f>
        <v>2500</v>
      </c>
      <c r="I4531" s="2">
        <v>2</v>
      </c>
    </row>
    <row r="4532" spans="1:9" x14ac:dyDescent="0.25">
      <c r="A4532" s="2" t="str">
        <f>CONCATENATE(Códigos!S4531,Códigos!T4531,Códigos!U4531)</f>
        <v>svv4530v</v>
      </c>
      <c r="B4532" t="s">
        <v>316</v>
      </c>
      <c r="C4532" t="s">
        <v>380</v>
      </c>
      <c r="D4532" s="2" t="s">
        <v>381</v>
      </c>
      <c r="E4532" t="s">
        <v>326</v>
      </c>
      <c r="F4532" s="11">
        <v>44242</v>
      </c>
      <c r="G4532" s="14">
        <f t="array" ref="G4532">VLOOKUP(E4532,Produtos!$A:$E,5,FALSE)</f>
        <v>3300</v>
      </c>
      <c r="H4532" s="14">
        <f>VLOOKUP(E4532,Produtos!$A:$E,4,FALSE)</f>
        <v>2500</v>
      </c>
      <c r="I4532" s="2">
        <v>2</v>
      </c>
    </row>
    <row r="4533" spans="1:9" x14ac:dyDescent="0.25">
      <c r="A4533" s="2" t="str">
        <f>CONCATENATE(Códigos!S4532,Códigos!T4532,Códigos!U4532)</f>
        <v>svv4531v</v>
      </c>
      <c r="B4533" t="s">
        <v>316</v>
      </c>
      <c r="C4533" t="s">
        <v>380</v>
      </c>
      <c r="D4533" s="2" t="s">
        <v>381</v>
      </c>
      <c r="E4533" t="s">
        <v>326</v>
      </c>
      <c r="F4533" s="11">
        <v>44243</v>
      </c>
      <c r="G4533" s="14">
        <f t="array" ref="G4533">VLOOKUP(E4533,Produtos!$A:$E,5,FALSE)</f>
        <v>3300</v>
      </c>
      <c r="H4533" s="14">
        <f>VLOOKUP(E4533,Produtos!$A:$E,4,FALSE)</f>
        <v>2500</v>
      </c>
      <c r="I4533" s="2">
        <v>2</v>
      </c>
    </row>
    <row r="4534" spans="1:9" x14ac:dyDescent="0.25">
      <c r="A4534" s="2" t="str">
        <f>CONCATENATE(Códigos!S4533,Códigos!T4533,Códigos!U4533)</f>
        <v>svv4532v</v>
      </c>
      <c r="B4534" t="s">
        <v>316</v>
      </c>
      <c r="C4534" t="s">
        <v>380</v>
      </c>
      <c r="D4534" s="2" t="s">
        <v>381</v>
      </c>
      <c r="E4534" t="s">
        <v>326</v>
      </c>
      <c r="F4534" s="11">
        <v>44244</v>
      </c>
      <c r="G4534" s="14">
        <f t="array" ref="G4534">VLOOKUP(E4534,Produtos!$A:$E,5,FALSE)</f>
        <v>3300</v>
      </c>
      <c r="H4534" s="14">
        <f>VLOOKUP(E4534,Produtos!$A:$E,4,FALSE)</f>
        <v>2500</v>
      </c>
      <c r="I4534" s="2">
        <v>2</v>
      </c>
    </row>
    <row r="4535" spans="1:9" x14ac:dyDescent="0.25">
      <c r="A4535" s="2" t="str">
        <f>CONCATENATE(Códigos!S4534,Códigos!T4534,Códigos!U4534)</f>
        <v>svv4533v</v>
      </c>
      <c r="B4535" t="s">
        <v>316</v>
      </c>
      <c r="C4535" t="s">
        <v>380</v>
      </c>
      <c r="D4535" s="2" t="s">
        <v>381</v>
      </c>
      <c r="E4535" t="s">
        <v>326</v>
      </c>
      <c r="F4535" s="11">
        <v>44245</v>
      </c>
      <c r="G4535" s="14">
        <f t="array" ref="G4535">VLOOKUP(E4535,Produtos!$A:$E,5,FALSE)</f>
        <v>3300</v>
      </c>
      <c r="H4535" s="14">
        <f>VLOOKUP(E4535,Produtos!$A:$E,4,FALSE)</f>
        <v>2500</v>
      </c>
      <c r="I4535" s="2">
        <v>2</v>
      </c>
    </row>
    <row r="4536" spans="1:9" x14ac:dyDescent="0.25">
      <c r="A4536" s="2" t="str">
        <f>CONCATENATE(Códigos!S4535,Códigos!T4535,Códigos!U4535)</f>
        <v>svv4534v</v>
      </c>
      <c r="B4536" t="s">
        <v>316</v>
      </c>
      <c r="C4536" t="s">
        <v>380</v>
      </c>
      <c r="D4536" s="2" t="s">
        <v>381</v>
      </c>
      <c r="E4536" t="s">
        <v>326</v>
      </c>
      <c r="F4536" s="11">
        <v>44246</v>
      </c>
      <c r="G4536" s="14">
        <f t="array" ref="G4536">VLOOKUP(E4536,Produtos!$A:$E,5,FALSE)</f>
        <v>3300</v>
      </c>
      <c r="H4536" s="14">
        <f>VLOOKUP(E4536,Produtos!$A:$E,4,FALSE)</f>
        <v>2500</v>
      </c>
      <c r="I4536" s="2">
        <v>2</v>
      </c>
    </row>
    <row r="4537" spans="1:9" x14ac:dyDescent="0.25">
      <c r="A4537" s="2" t="str">
        <f>CONCATENATE(Códigos!S4536,Códigos!T4536,Códigos!U4536)</f>
        <v>svv4535v</v>
      </c>
      <c r="B4537" t="s">
        <v>316</v>
      </c>
      <c r="C4537" t="s">
        <v>380</v>
      </c>
      <c r="D4537" s="2" t="s">
        <v>381</v>
      </c>
      <c r="E4537" t="s">
        <v>435</v>
      </c>
      <c r="F4537" s="11">
        <v>43110</v>
      </c>
      <c r="G4537" s="14">
        <f t="array" ref="G4537">VLOOKUP(E4537,Produtos!$A:$E,5,FALSE)</f>
        <v>2100</v>
      </c>
      <c r="H4537" s="14">
        <f>VLOOKUP(E4537,Produtos!$A:$E,4,FALSE)</f>
        <v>1400</v>
      </c>
      <c r="I4537" s="2">
        <v>8</v>
      </c>
    </row>
    <row r="4538" spans="1:9" x14ac:dyDescent="0.25">
      <c r="A4538" s="2" t="str">
        <f>CONCATENATE(Códigos!S4537,Códigos!T4537,Códigos!U4537)</f>
        <v>svv4536v</v>
      </c>
      <c r="B4538" t="s">
        <v>316</v>
      </c>
      <c r="C4538" t="s">
        <v>380</v>
      </c>
      <c r="D4538" s="2" t="s">
        <v>381</v>
      </c>
      <c r="E4538" t="s">
        <v>435</v>
      </c>
      <c r="F4538" s="11">
        <v>43111</v>
      </c>
      <c r="G4538" s="14">
        <f t="array" ref="G4538">VLOOKUP(E4538,Produtos!$A:$E,5,FALSE)</f>
        <v>2100</v>
      </c>
      <c r="H4538" s="14">
        <f>VLOOKUP(E4538,Produtos!$A:$E,4,FALSE)</f>
        <v>1400</v>
      </c>
      <c r="I4538" s="2">
        <f>I4537+1</f>
        <v>9</v>
      </c>
    </row>
    <row r="4539" spans="1:9" x14ac:dyDescent="0.25">
      <c r="A4539" s="2" t="str">
        <f>CONCATENATE(Códigos!S4538,Códigos!T4538,Códigos!U4538)</f>
        <v>svv4537v</v>
      </c>
      <c r="B4539" t="s">
        <v>316</v>
      </c>
      <c r="C4539" t="s">
        <v>380</v>
      </c>
      <c r="D4539" s="2" t="s">
        <v>381</v>
      </c>
      <c r="E4539" t="s">
        <v>435</v>
      </c>
      <c r="F4539" s="11">
        <v>43112</v>
      </c>
      <c r="G4539" s="14">
        <f t="array" ref="G4539">VLOOKUP(E4539,Produtos!$A:$E,5,FALSE)</f>
        <v>2100</v>
      </c>
      <c r="H4539" s="14">
        <f>VLOOKUP(E4539,Produtos!$A:$E,4,FALSE)</f>
        <v>1400</v>
      </c>
      <c r="I4539" s="2">
        <f t="shared" ref="I4539:I4551" si="0">I4538+1</f>
        <v>10</v>
      </c>
    </row>
    <row r="4540" spans="1:9" x14ac:dyDescent="0.25">
      <c r="A4540" s="2" t="str">
        <f>CONCATENATE(Códigos!S4539,Códigos!T4539,Códigos!U4539)</f>
        <v>svv4538v</v>
      </c>
      <c r="B4540" t="s">
        <v>316</v>
      </c>
      <c r="C4540" t="s">
        <v>380</v>
      </c>
      <c r="D4540" s="2" t="s">
        <v>381</v>
      </c>
      <c r="E4540" t="s">
        <v>435</v>
      </c>
      <c r="F4540" s="11">
        <v>43113</v>
      </c>
      <c r="G4540" s="14">
        <f t="array" ref="G4540">VLOOKUP(E4540,Produtos!$A:$E,5,FALSE)</f>
        <v>2100</v>
      </c>
      <c r="H4540" s="14">
        <f>VLOOKUP(E4540,Produtos!$A:$E,4,FALSE)</f>
        <v>1400</v>
      </c>
      <c r="I4540" s="2">
        <f t="shared" si="0"/>
        <v>11</v>
      </c>
    </row>
    <row r="4541" spans="1:9" x14ac:dyDescent="0.25">
      <c r="A4541" s="2" t="str">
        <f>CONCATENATE(Códigos!S4540,Códigos!T4540,Códigos!U4540)</f>
        <v>svv4539v</v>
      </c>
      <c r="B4541" t="s">
        <v>316</v>
      </c>
      <c r="C4541" t="s">
        <v>380</v>
      </c>
      <c r="D4541" s="2" t="s">
        <v>381</v>
      </c>
      <c r="E4541" t="s">
        <v>435</v>
      </c>
      <c r="F4541" s="11">
        <v>43114</v>
      </c>
      <c r="G4541" s="14">
        <f t="array" ref="G4541">VLOOKUP(E4541,Produtos!$A:$E,5,FALSE)</f>
        <v>2100</v>
      </c>
      <c r="H4541" s="14">
        <f>VLOOKUP(E4541,Produtos!$A:$E,4,FALSE)</f>
        <v>1400</v>
      </c>
      <c r="I4541" s="2">
        <f t="shared" si="0"/>
        <v>12</v>
      </c>
    </row>
    <row r="4542" spans="1:9" x14ac:dyDescent="0.25">
      <c r="A4542" s="2" t="str">
        <f>CONCATENATE(Códigos!S4541,Códigos!T4541,Códigos!U4541)</f>
        <v>svv4540v</v>
      </c>
      <c r="B4542" t="s">
        <v>316</v>
      </c>
      <c r="C4542" t="s">
        <v>380</v>
      </c>
      <c r="D4542" s="2" t="s">
        <v>381</v>
      </c>
      <c r="E4542" t="s">
        <v>435</v>
      </c>
      <c r="F4542" s="11">
        <v>43115</v>
      </c>
      <c r="G4542" s="14">
        <f t="array" ref="G4542">VLOOKUP(E4542,Produtos!$A:$E,5,FALSE)</f>
        <v>2100</v>
      </c>
      <c r="H4542" s="14">
        <f>VLOOKUP(E4542,Produtos!$A:$E,4,FALSE)</f>
        <v>1400</v>
      </c>
      <c r="I4542" s="2">
        <f t="shared" si="0"/>
        <v>13</v>
      </c>
    </row>
    <row r="4543" spans="1:9" x14ac:dyDescent="0.25">
      <c r="A4543" s="2" t="str">
        <f>CONCATENATE(Códigos!S4542,Códigos!T4542,Códigos!U4542)</f>
        <v>svv4541v</v>
      </c>
      <c r="B4543" t="s">
        <v>316</v>
      </c>
      <c r="C4543" t="s">
        <v>380</v>
      </c>
      <c r="D4543" s="2" t="s">
        <v>381</v>
      </c>
      <c r="E4543" t="s">
        <v>435</v>
      </c>
      <c r="F4543" s="11">
        <v>43116</v>
      </c>
      <c r="G4543" s="14">
        <f t="array" ref="G4543">VLOOKUP(E4543,Produtos!$A:$E,5,FALSE)</f>
        <v>2100</v>
      </c>
      <c r="H4543" s="14">
        <f>VLOOKUP(E4543,Produtos!$A:$E,4,FALSE)</f>
        <v>1400</v>
      </c>
      <c r="I4543" s="2">
        <f t="shared" si="0"/>
        <v>14</v>
      </c>
    </row>
    <row r="4544" spans="1:9" x14ac:dyDescent="0.25">
      <c r="A4544" s="2" t="str">
        <f>CONCATENATE(Códigos!S4543,Códigos!T4543,Códigos!U4543)</f>
        <v>svv4542v</v>
      </c>
      <c r="B4544" t="s">
        <v>316</v>
      </c>
      <c r="C4544" t="s">
        <v>380</v>
      </c>
      <c r="D4544" s="2" t="s">
        <v>381</v>
      </c>
      <c r="E4544" t="s">
        <v>435</v>
      </c>
      <c r="F4544" s="11">
        <v>43117</v>
      </c>
      <c r="G4544" s="14">
        <f t="array" ref="G4544">VLOOKUP(E4544,Produtos!$A:$E,5,FALSE)</f>
        <v>2100</v>
      </c>
      <c r="H4544" s="14">
        <f>VLOOKUP(E4544,Produtos!$A:$E,4,FALSE)</f>
        <v>1400</v>
      </c>
      <c r="I4544" s="2">
        <f t="shared" si="0"/>
        <v>15</v>
      </c>
    </row>
    <row r="4545" spans="1:9" x14ac:dyDescent="0.25">
      <c r="A4545" s="2" t="str">
        <f>CONCATENATE(Códigos!S4544,Códigos!T4544,Códigos!U4544)</f>
        <v>svv4543v</v>
      </c>
      <c r="B4545" t="s">
        <v>316</v>
      </c>
      <c r="C4545" t="s">
        <v>380</v>
      </c>
      <c r="D4545" s="2" t="s">
        <v>381</v>
      </c>
      <c r="E4545" t="s">
        <v>435</v>
      </c>
      <c r="F4545" s="11">
        <v>43118</v>
      </c>
      <c r="G4545" s="14">
        <f t="array" ref="G4545">VLOOKUP(E4545,Produtos!$A:$E,5,FALSE)</f>
        <v>2100</v>
      </c>
      <c r="H4545" s="14">
        <f>VLOOKUP(E4545,Produtos!$A:$E,4,FALSE)</f>
        <v>1400</v>
      </c>
      <c r="I4545" s="2">
        <f t="shared" si="0"/>
        <v>16</v>
      </c>
    </row>
    <row r="4546" spans="1:9" x14ac:dyDescent="0.25">
      <c r="A4546" s="2" t="str">
        <f>CONCATENATE(Códigos!S4545,Códigos!T4545,Códigos!U4545)</f>
        <v>svv4544v</v>
      </c>
      <c r="B4546" t="s">
        <v>316</v>
      </c>
      <c r="C4546" t="s">
        <v>380</v>
      </c>
      <c r="D4546" s="2" t="s">
        <v>381</v>
      </c>
      <c r="E4546" t="s">
        <v>435</v>
      </c>
      <c r="F4546" s="11">
        <v>43119</v>
      </c>
      <c r="G4546" s="14">
        <f t="array" ref="G4546">VLOOKUP(E4546,Produtos!$A:$E,5,FALSE)</f>
        <v>2100</v>
      </c>
      <c r="H4546" s="14">
        <f>VLOOKUP(E4546,Produtos!$A:$E,4,FALSE)</f>
        <v>1400</v>
      </c>
      <c r="I4546" s="2">
        <f t="shared" si="0"/>
        <v>17</v>
      </c>
    </row>
    <row r="4547" spans="1:9" x14ac:dyDescent="0.25">
      <c r="A4547" s="2" t="str">
        <f>CONCATENATE(Códigos!S4546,Códigos!T4546,Códigos!U4546)</f>
        <v>svv4545v</v>
      </c>
      <c r="B4547" t="s">
        <v>316</v>
      </c>
      <c r="C4547" t="s">
        <v>380</v>
      </c>
      <c r="D4547" s="2" t="s">
        <v>381</v>
      </c>
      <c r="E4547" t="s">
        <v>435</v>
      </c>
      <c r="F4547" s="11">
        <v>43120</v>
      </c>
      <c r="G4547" s="14">
        <f t="array" ref="G4547">VLOOKUP(E4547,Produtos!$A:$E,5,FALSE)</f>
        <v>2100</v>
      </c>
      <c r="H4547" s="14">
        <f>VLOOKUP(E4547,Produtos!$A:$E,4,FALSE)</f>
        <v>1400</v>
      </c>
      <c r="I4547" s="2">
        <f t="shared" si="0"/>
        <v>18</v>
      </c>
    </row>
    <row r="4548" spans="1:9" x14ac:dyDescent="0.25">
      <c r="A4548" s="2" t="str">
        <f>CONCATENATE(Códigos!S4547,Códigos!T4547,Códigos!U4547)</f>
        <v>svv4546v</v>
      </c>
      <c r="B4548" t="s">
        <v>316</v>
      </c>
      <c r="C4548" t="s">
        <v>380</v>
      </c>
      <c r="D4548" s="2" t="s">
        <v>381</v>
      </c>
      <c r="E4548" t="s">
        <v>435</v>
      </c>
      <c r="F4548" s="11">
        <v>43121</v>
      </c>
      <c r="G4548" s="14">
        <f t="array" ref="G4548">VLOOKUP(E4548,Produtos!$A:$E,5,FALSE)</f>
        <v>2100</v>
      </c>
      <c r="H4548" s="14">
        <f>VLOOKUP(E4548,Produtos!$A:$E,4,FALSE)</f>
        <v>1400</v>
      </c>
      <c r="I4548" s="2">
        <f t="shared" si="0"/>
        <v>19</v>
      </c>
    </row>
    <row r="4549" spans="1:9" x14ac:dyDescent="0.25">
      <c r="A4549" s="2" t="str">
        <f>CONCATENATE(Códigos!S4548,Códigos!T4548,Códigos!U4548)</f>
        <v>svv4547v</v>
      </c>
      <c r="B4549" t="s">
        <v>316</v>
      </c>
      <c r="C4549" t="s">
        <v>380</v>
      </c>
      <c r="D4549" s="2" t="s">
        <v>381</v>
      </c>
      <c r="E4549" t="s">
        <v>435</v>
      </c>
      <c r="F4549" s="11">
        <v>43122</v>
      </c>
      <c r="G4549" s="14">
        <f t="array" ref="G4549">VLOOKUP(E4549,Produtos!$A:$E,5,FALSE)</f>
        <v>2100</v>
      </c>
      <c r="H4549" s="14">
        <f>VLOOKUP(E4549,Produtos!$A:$E,4,FALSE)</f>
        <v>1400</v>
      </c>
      <c r="I4549" s="2">
        <f t="shared" si="0"/>
        <v>20</v>
      </c>
    </row>
    <row r="4550" spans="1:9" x14ac:dyDescent="0.25">
      <c r="A4550" s="2" t="str">
        <f>CONCATENATE(Códigos!S4549,Códigos!T4549,Códigos!U4549)</f>
        <v>svv4548v</v>
      </c>
      <c r="B4550" t="s">
        <v>316</v>
      </c>
      <c r="C4550" t="s">
        <v>380</v>
      </c>
      <c r="D4550" s="2" t="s">
        <v>381</v>
      </c>
      <c r="E4550" t="s">
        <v>435</v>
      </c>
      <c r="F4550" s="11">
        <v>43123</v>
      </c>
      <c r="G4550" s="14">
        <f t="array" ref="G4550">VLOOKUP(E4550,Produtos!$A:$E,5,FALSE)</f>
        <v>2100</v>
      </c>
      <c r="H4550" s="14">
        <f>VLOOKUP(E4550,Produtos!$A:$E,4,FALSE)</f>
        <v>1400</v>
      </c>
      <c r="I4550" s="2">
        <f t="shared" si="0"/>
        <v>21</v>
      </c>
    </row>
    <row r="4551" spans="1:9" x14ac:dyDescent="0.25">
      <c r="A4551" s="2" t="str">
        <f>CONCATENATE(Códigos!S4550,Códigos!T4550,Códigos!U4550)</f>
        <v>svv4549v</v>
      </c>
      <c r="B4551" t="s">
        <v>316</v>
      </c>
      <c r="C4551" t="s">
        <v>380</v>
      </c>
      <c r="D4551" s="2" t="s">
        <v>381</v>
      </c>
      <c r="E4551" t="s">
        <v>435</v>
      </c>
      <c r="F4551" s="11">
        <v>43124</v>
      </c>
      <c r="G4551" s="14">
        <f t="array" ref="G4551">VLOOKUP(E4551,Produtos!$A:$E,5,FALSE)</f>
        <v>2100</v>
      </c>
      <c r="H4551" s="14">
        <f>VLOOKUP(E4551,Produtos!$A:$E,4,FALSE)</f>
        <v>1400</v>
      </c>
      <c r="I4551" s="2">
        <f t="shared" si="0"/>
        <v>22</v>
      </c>
    </row>
    <row r="4552" spans="1:9" x14ac:dyDescent="0.25">
      <c r="A4552" s="2" t="str">
        <f>CONCATENATE(Códigos!S4551,Códigos!T4551,Códigos!U4551)</f>
        <v>svv4550v</v>
      </c>
      <c r="B4552" t="s">
        <v>316</v>
      </c>
      <c r="C4552" t="s">
        <v>380</v>
      </c>
      <c r="D4552" s="2" t="s">
        <v>381</v>
      </c>
      <c r="E4552" t="s">
        <v>435</v>
      </c>
      <c r="F4552" s="11">
        <v>43125</v>
      </c>
      <c r="G4552" s="14">
        <f t="array" ref="G4552">VLOOKUP(E4552,Produtos!$A:$E,5,FALSE)</f>
        <v>2100</v>
      </c>
      <c r="H4552" s="14">
        <f>VLOOKUP(E4552,Produtos!$A:$E,4,FALSE)</f>
        <v>1400</v>
      </c>
      <c r="I4552" s="2">
        <v>2</v>
      </c>
    </row>
    <row r="4553" spans="1:9" x14ac:dyDescent="0.25">
      <c r="A4553" s="2" t="str">
        <f>CONCATENATE(Códigos!S4552,Códigos!T4552,Códigos!U4552)</f>
        <v>svv4551v</v>
      </c>
      <c r="B4553" t="s">
        <v>316</v>
      </c>
      <c r="C4553" t="s">
        <v>380</v>
      </c>
      <c r="D4553" s="2" t="s">
        <v>381</v>
      </c>
      <c r="E4553" t="s">
        <v>435</v>
      </c>
      <c r="F4553" s="11">
        <v>43126</v>
      </c>
      <c r="G4553" s="14">
        <f t="array" ref="G4553">VLOOKUP(E4553,Produtos!$A:$E,5,FALSE)</f>
        <v>2100</v>
      </c>
      <c r="H4553" s="14">
        <f>VLOOKUP(E4553,Produtos!$A:$E,4,FALSE)</f>
        <v>1400</v>
      </c>
      <c r="I4553" s="2">
        <f>I4552+1</f>
        <v>3</v>
      </c>
    </row>
    <row r="4554" spans="1:9" x14ac:dyDescent="0.25">
      <c r="A4554" s="2" t="str">
        <f>CONCATENATE(Códigos!S4553,Códigos!T4553,Códigos!U4553)</f>
        <v>svv4552v</v>
      </c>
      <c r="B4554" t="s">
        <v>316</v>
      </c>
      <c r="C4554" t="s">
        <v>380</v>
      </c>
      <c r="D4554" s="2" t="s">
        <v>381</v>
      </c>
      <c r="E4554" t="s">
        <v>435</v>
      </c>
      <c r="F4554" s="11">
        <v>43127</v>
      </c>
      <c r="G4554" s="14">
        <f t="array" ref="G4554">VLOOKUP(E4554,Produtos!$A:$E,5,FALSE)</f>
        <v>2100</v>
      </c>
      <c r="H4554" s="14">
        <f>VLOOKUP(E4554,Produtos!$A:$E,4,FALSE)</f>
        <v>1400</v>
      </c>
      <c r="I4554" s="2">
        <v>2</v>
      </c>
    </row>
    <row r="4555" spans="1:9" x14ac:dyDescent="0.25">
      <c r="A4555" s="2" t="str">
        <f>CONCATENATE(Códigos!S4554,Códigos!T4554,Códigos!U4554)</f>
        <v>svv4553v</v>
      </c>
      <c r="B4555" t="s">
        <v>320</v>
      </c>
      <c r="C4555" t="s">
        <v>380</v>
      </c>
      <c r="D4555" s="2" t="s">
        <v>381</v>
      </c>
      <c r="E4555" t="s">
        <v>435</v>
      </c>
      <c r="F4555" s="11">
        <v>43128</v>
      </c>
      <c r="G4555" s="14">
        <f t="array" ref="G4555">VLOOKUP(E4555,Produtos!$A:$E,5,FALSE)</f>
        <v>2100</v>
      </c>
      <c r="H4555" s="14">
        <f>VLOOKUP(E4555,Produtos!$A:$E,4,FALSE)</f>
        <v>1400</v>
      </c>
      <c r="I4555" s="2">
        <v>2</v>
      </c>
    </row>
    <row r="4556" spans="1:9" x14ac:dyDescent="0.25">
      <c r="A4556" s="2" t="str">
        <f>CONCATENATE(Códigos!S4555,Códigos!T4555,Códigos!U4555)</f>
        <v>svv4554v</v>
      </c>
      <c r="B4556" t="s">
        <v>320</v>
      </c>
      <c r="C4556" t="s">
        <v>380</v>
      </c>
      <c r="D4556" s="2" t="s">
        <v>381</v>
      </c>
      <c r="E4556" t="s">
        <v>435</v>
      </c>
      <c r="F4556" s="11">
        <v>43129</v>
      </c>
      <c r="G4556" s="14">
        <f t="array" ref="G4556">VLOOKUP(E4556,Produtos!$A:$E,5,FALSE)</f>
        <v>2100</v>
      </c>
      <c r="H4556" s="14">
        <f>VLOOKUP(E4556,Produtos!$A:$E,4,FALSE)</f>
        <v>1400</v>
      </c>
      <c r="I4556" s="2">
        <v>2</v>
      </c>
    </row>
    <row r="4557" spans="1:9" x14ac:dyDescent="0.25">
      <c r="A4557" s="2" t="str">
        <f>CONCATENATE(Códigos!S4556,Códigos!T4556,Códigos!U4556)</f>
        <v>svv4555v</v>
      </c>
      <c r="B4557" t="s">
        <v>320</v>
      </c>
      <c r="C4557" t="s">
        <v>380</v>
      </c>
      <c r="D4557" s="2" t="s">
        <v>381</v>
      </c>
      <c r="E4557" t="s">
        <v>435</v>
      </c>
      <c r="F4557" s="11">
        <v>43130</v>
      </c>
      <c r="G4557" s="14">
        <f t="array" ref="G4557">VLOOKUP(E4557,Produtos!$A:$E,5,FALSE)</f>
        <v>2100</v>
      </c>
      <c r="H4557" s="14">
        <f>VLOOKUP(E4557,Produtos!$A:$E,4,FALSE)</f>
        <v>1400</v>
      </c>
      <c r="I4557" s="2">
        <v>2</v>
      </c>
    </row>
    <row r="4558" spans="1:9" x14ac:dyDescent="0.25">
      <c r="A4558" s="2" t="str">
        <f>CONCATENATE(Códigos!S4557,Códigos!T4557,Códigos!U4557)</f>
        <v>svv4556v</v>
      </c>
      <c r="B4558" t="s">
        <v>320</v>
      </c>
      <c r="C4558" t="s">
        <v>380</v>
      </c>
      <c r="D4558" s="2" t="s">
        <v>381</v>
      </c>
      <c r="E4558" t="s">
        <v>435</v>
      </c>
      <c r="F4558" s="11">
        <v>43131</v>
      </c>
      <c r="G4558" s="14">
        <f t="array" ref="G4558">VLOOKUP(E4558,Produtos!$A:$E,5,FALSE)</f>
        <v>2100</v>
      </c>
      <c r="H4558" s="14">
        <f>VLOOKUP(E4558,Produtos!$A:$E,4,FALSE)</f>
        <v>1400</v>
      </c>
      <c r="I4558" s="2">
        <v>2</v>
      </c>
    </row>
    <row r="4559" spans="1:9" x14ac:dyDescent="0.25">
      <c r="A4559" s="2" t="str">
        <f>CONCATENATE(Códigos!S4558,Códigos!T4558,Códigos!U4558)</f>
        <v>svv4557v</v>
      </c>
      <c r="B4559" t="s">
        <v>320</v>
      </c>
      <c r="C4559" t="s">
        <v>380</v>
      </c>
      <c r="D4559" s="2" t="s">
        <v>381</v>
      </c>
      <c r="E4559" t="s">
        <v>435</v>
      </c>
      <c r="F4559" s="11">
        <v>43132</v>
      </c>
      <c r="G4559" s="14">
        <f t="array" ref="G4559">VLOOKUP(E4559,Produtos!$A:$E,5,FALSE)</f>
        <v>2100</v>
      </c>
      <c r="H4559" s="14">
        <f>VLOOKUP(E4559,Produtos!$A:$E,4,FALSE)</f>
        <v>1400</v>
      </c>
      <c r="I4559" s="2">
        <v>2</v>
      </c>
    </row>
    <row r="4560" spans="1:9" x14ac:dyDescent="0.25">
      <c r="A4560" s="2" t="str">
        <f>CONCATENATE(Códigos!S4559,Códigos!T4559,Códigos!U4559)</f>
        <v>svv4558v</v>
      </c>
      <c r="B4560" t="s">
        <v>320</v>
      </c>
      <c r="C4560" t="s">
        <v>380</v>
      </c>
      <c r="D4560" s="2" t="s">
        <v>381</v>
      </c>
      <c r="E4560" t="s">
        <v>435</v>
      </c>
      <c r="F4560" s="11">
        <v>43133</v>
      </c>
      <c r="G4560" s="14">
        <f t="array" ref="G4560">VLOOKUP(E4560,Produtos!$A:$E,5,FALSE)</f>
        <v>2100</v>
      </c>
      <c r="H4560" s="14">
        <f>VLOOKUP(E4560,Produtos!$A:$E,4,FALSE)</f>
        <v>1400</v>
      </c>
      <c r="I4560" s="2">
        <v>2</v>
      </c>
    </row>
    <row r="4561" spans="1:9" x14ac:dyDescent="0.25">
      <c r="A4561" s="2" t="str">
        <f>CONCATENATE(Códigos!S4560,Códigos!T4560,Códigos!U4560)</f>
        <v>svv4559v</v>
      </c>
      <c r="B4561" t="s">
        <v>320</v>
      </c>
      <c r="C4561" t="s">
        <v>380</v>
      </c>
      <c r="D4561" s="2" t="s">
        <v>381</v>
      </c>
      <c r="E4561" t="s">
        <v>435</v>
      </c>
      <c r="F4561" s="11">
        <v>43134</v>
      </c>
      <c r="G4561" s="14">
        <f t="array" ref="G4561">VLOOKUP(E4561,Produtos!$A:$E,5,FALSE)</f>
        <v>2100</v>
      </c>
      <c r="H4561" s="14">
        <f>VLOOKUP(E4561,Produtos!$A:$E,4,FALSE)</f>
        <v>1400</v>
      </c>
      <c r="I4561" s="2">
        <v>2</v>
      </c>
    </row>
    <row r="4562" spans="1:9" x14ac:dyDescent="0.25">
      <c r="A4562" s="2" t="str">
        <f>CONCATENATE(Códigos!S4561,Códigos!T4561,Códigos!U4561)</f>
        <v>svv4560v</v>
      </c>
      <c r="B4562" t="s">
        <v>320</v>
      </c>
      <c r="C4562" t="s">
        <v>380</v>
      </c>
      <c r="D4562" s="2" t="s">
        <v>381</v>
      </c>
      <c r="E4562" t="s">
        <v>435</v>
      </c>
      <c r="F4562" s="11">
        <v>43135</v>
      </c>
      <c r="G4562" s="14">
        <f t="array" ref="G4562">VLOOKUP(E4562,Produtos!$A:$E,5,FALSE)</f>
        <v>2100</v>
      </c>
      <c r="H4562" s="14">
        <f>VLOOKUP(E4562,Produtos!$A:$E,4,FALSE)</f>
        <v>1400</v>
      </c>
      <c r="I4562" s="2">
        <v>2</v>
      </c>
    </row>
    <row r="4563" spans="1:9" x14ac:dyDescent="0.25">
      <c r="A4563" s="2" t="str">
        <f>CONCATENATE(Códigos!S4562,Códigos!T4562,Códigos!U4562)</f>
        <v>svv4561v</v>
      </c>
      <c r="B4563" t="s">
        <v>320</v>
      </c>
      <c r="C4563" t="s">
        <v>380</v>
      </c>
      <c r="D4563" s="2" t="s">
        <v>381</v>
      </c>
      <c r="E4563" t="s">
        <v>435</v>
      </c>
      <c r="F4563" s="11">
        <v>43136</v>
      </c>
      <c r="G4563" s="14">
        <f t="array" ref="G4563">VLOOKUP(E4563,Produtos!$A:$E,5,FALSE)</f>
        <v>2100</v>
      </c>
      <c r="H4563" s="14">
        <f>VLOOKUP(E4563,Produtos!$A:$E,4,FALSE)</f>
        <v>1400</v>
      </c>
      <c r="I4563" s="2">
        <v>2</v>
      </c>
    </row>
    <row r="4564" spans="1:9" x14ac:dyDescent="0.25">
      <c r="A4564" s="2" t="str">
        <f>CONCATENATE(Códigos!S4563,Códigos!T4563,Códigos!U4563)</f>
        <v>svv4562v</v>
      </c>
      <c r="B4564" t="s">
        <v>320</v>
      </c>
      <c r="C4564" t="s">
        <v>380</v>
      </c>
      <c r="D4564" s="2" t="s">
        <v>381</v>
      </c>
      <c r="E4564" t="s">
        <v>326</v>
      </c>
      <c r="F4564" s="11">
        <v>43137</v>
      </c>
      <c r="G4564" s="14">
        <f t="array" ref="G4564">VLOOKUP(E4564,Produtos!$A:$E,5,FALSE)</f>
        <v>3300</v>
      </c>
      <c r="H4564" s="14">
        <f>VLOOKUP(E4564,Produtos!$A:$E,4,FALSE)</f>
        <v>2500</v>
      </c>
      <c r="I4564" s="2">
        <v>2</v>
      </c>
    </row>
    <row r="4565" spans="1:9" x14ac:dyDescent="0.25">
      <c r="A4565" s="2" t="str">
        <f>CONCATENATE(Códigos!S4564,Códigos!T4564,Códigos!U4564)</f>
        <v>svv4563v</v>
      </c>
      <c r="B4565" t="s">
        <v>320</v>
      </c>
      <c r="C4565" t="s">
        <v>380</v>
      </c>
      <c r="D4565" s="2" t="s">
        <v>381</v>
      </c>
      <c r="E4565" t="s">
        <v>326</v>
      </c>
      <c r="F4565" s="11">
        <v>43138</v>
      </c>
      <c r="G4565" s="14">
        <f t="array" ref="G4565">VLOOKUP(E4565,Produtos!$A:$E,5,FALSE)</f>
        <v>3300</v>
      </c>
      <c r="H4565" s="14">
        <f>VLOOKUP(E4565,Produtos!$A:$E,4,FALSE)</f>
        <v>2500</v>
      </c>
      <c r="I4565" s="2">
        <v>2</v>
      </c>
    </row>
    <row r="4566" spans="1:9" x14ac:dyDescent="0.25">
      <c r="A4566" s="2" t="str">
        <f>CONCATENATE(Códigos!S4565,Códigos!T4565,Códigos!U4565)</f>
        <v>svv4564v</v>
      </c>
      <c r="B4566" t="s">
        <v>320</v>
      </c>
      <c r="C4566" t="s">
        <v>380</v>
      </c>
      <c r="D4566" s="2" t="s">
        <v>381</v>
      </c>
      <c r="E4566" t="s">
        <v>326</v>
      </c>
      <c r="F4566" s="11">
        <v>43139</v>
      </c>
      <c r="G4566" s="14">
        <f t="array" ref="G4566">VLOOKUP(E4566,Produtos!$A:$E,5,FALSE)</f>
        <v>3300</v>
      </c>
      <c r="H4566" s="14">
        <f>VLOOKUP(E4566,Produtos!$A:$E,4,FALSE)</f>
        <v>2500</v>
      </c>
      <c r="I4566" s="2">
        <v>2</v>
      </c>
    </row>
    <row r="4567" spans="1:9" x14ac:dyDescent="0.25">
      <c r="A4567" s="2" t="str">
        <f>CONCATENATE(Códigos!S4566,Códigos!T4566,Códigos!U4566)</f>
        <v>svv4565v</v>
      </c>
      <c r="B4567" t="s">
        <v>320</v>
      </c>
      <c r="C4567" t="s">
        <v>380</v>
      </c>
      <c r="D4567" s="2" t="s">
        <v>381</v>
      </c>
      <c r="E4567" t="s">
        <v>326</v>
      </c>
      <c r="F4567" s="11">
        <v>43140</v>
      </c>
      <c r="G4567" s="14">
        <f t="array" ref="G4567">VLOOKUP(E4567,Produtos!$A:$E,5,FALSE)</f>
        <v>3300</v>
      </c>
      <c r="H4567" s="14">
        <f>VLOOKUP(E4567,Produtos!$A:$E,4,FALSE)</f>
        <v>2500</v>
      </c>
      <c r="I4567" s="2">
        <v>5</v>
      </c>
    </row>
    <row r="4568" spans="1:9" x14ac:dyDescent="0.25">
      <c r="A4568" s="2" t="str">
        <f>CONCATENATE(Códigos!S4567,Códigos!T4567,Códigos!U4567)</f>
        <v>svv4566v</v>
      </c>
      <c r="B4568" t="s">
        <v>320</v>
      </c>
      <c r="C4568" t="s">
        <v>380</v>
      </c>
      <c r="D4568" s="2" t="s">
        <v>381</v>
      </c>
      <c r="E4568" t="s">
        <v>326</v>
      </c>
      <c r="F4568" s="11">
        <v>43141</v>
      </c>
      <c r="G4568" s="14">
        <f t="array" ref="G4568">VLOOKUP(E4568,Produtos!$A:$E,5,FALSE)</f>
        <v>3300</v>
      </c>
      <c r="H4568" s="14">
        <f>VLOOKUP(E4568,Produtos!$A:$E,4,FALSE)</f>
        <v>2500</v>
      </c>
      <c r="I4568" s="2">
        <v>5</v>
      </c>
    </row>
    <row r="4569" spans="1:9" x14ac:dyDescent="0.25">
      <c r="A4569" s="2" t="str">
        <f>CONCATENATE(Códigos!S4568,Códigos!T4568,Códigos!U4568)</f>
        <v>svv4567v</v>
      </c>
      <c r="B4569" t="s">
        <v>320</v>
      </c>
      <c r="C4569" t="s">
        <v>380</v>
      </c>
      <c r="D4569" s="2" t="s">
        <v>381</v>
      </c>
      <c r="E4569" t="s">
        <v>326</v>
      </c>
      <c r="F4569" s="11">
        <v>43142</v>
      </c>
      <c r="G4569" s="14">
        <f t="array" ref="G4569">VLOOKUP(E4569,Produtos!$A:$E,5,FALSE)</f>
        <v>3300</v>
      </c>
      <c r="H4569" s="14">
        <f>VLOOKUP(E4569,Produtos!$A:$E,4,FALSE)</f>
        <v>2500</v>
      </c>
      <c r="I4569" s="2">
        <v>7</v>
      </c>
    </row>
    <row r="4570" spans="1:9" x14ac:dyDescent="0.25">
      <c r="A4570" s="2" t="str">
        <f>CONCATENATE(Códigos!S4569,Códigos!T4569,Códigos!U4569)</f>
        <v>svv4568v</v>
      </c>
      <c r="B4570" t="s">
        <v>320</v>
      </c>
      <c r="C4570" t="s">
        <v>380</v>
      </c>
      <c r="D4570" s="2" t="s">
        <v>381</v>
      </c>
      <c r="E4570" t="s">
        <v>326</v>
      </c>
      <c r="F4570" s="11">
        <v>43143</v>
      </c>
      <c r="G4570" s="14">
        <f t="array" ref="G4570">VLOOKUP(E4570,Produtos!$A:$E,5,FALSE)</f>
        <v>3300</v>
      </c>
      <c r="H4570" s="14">
        <f>VLOOKUP(E4570,Produtos!$A:$E,4,FALSE)</f>
        <v>2500</v>
      </c>
      <c r="I4570" s="2">
        <v>3</v>
      </c>
    </row>
    <row r="4571" spans="1:9" x14ac:dyDescent="0.25">
      <c r="A4571" s="2" t="str">
        <f>CONCATENATE(Códigos!S4570,Códigos!T4570,Códigos!U4570)</f>
        <v>svv4569v</v>
      </c>
      <c r="B4571" t="s">
        <v>320</v>
      </c>
      <c r="C4571" t="s">
        <v>380</v>
      </c>
      <c r="D4571" s="2" t="s">
        <v>381</v>
      </c>
      <c r="E4571" t="s">
        <v>326</v>
      </c>
      <c r="F4571" s="11">
        <v>43144</v>
      </c>
      <c r="G4571" s="14">
        <f t="array" ref="G4571">VLOOKUP(E4571,Produtos!$A:$E,5,FALSE)</f>
        <v>3300</v>
      </c>
      <c r="H4571" s="14">
        <f>VLOOKUP(E4571,Produtos!$A:$E,4,FALSE)</f>
        <v>2500</v>
      </c>
      <c r="I4571" s="2">
        <v>3</v>
      </c>
    </row>
    <row r="4572" spans="1:9" x14ac:dyDescent="0.25">
      <c r="A4572" s="2" t="str">
        <f>CONCATENATE(Códigos!S4571,Códigos!T4571,Códigos!U4571)</f>
        <v>svv4570v</v>
      </c>
      <c r="B4572" t="s">
        <v>320</v>
      </c>
      <c r="C4572" t="s">
        <v>380</v>
      </c>
      <c r="D4572" s="2" t="s">
        <v>381</v>
      </c>
      <c r="E4572" t="s">
        <v>326</v>
      </c>
      <c r="F4572" s="11">
        <v>43145</v>
      </c>
      <c r="G4572" s="14">
        <f t="array" ref="G4572">VLOOKUP(E4572,Produtos!$A:$E,5,FALSE)</f>
        <v>3300</v>
      </c>
      <c r="H4572" s="14">
        <f>VLOOKUP(E4572,Produtos!$A:$E,4,FALSE)</f>
        <v>2500</v>
      </c>
      <c r="I4572" s="2">
        <v>3</v>
      </c>
    </row>
    <row r="4573" spans="1:9" x14ac:dyDescent="0.25">
      <c r="A4573" s="2" t="str">
        <f>CONCATENATE(Códigos!S4572,Códigos!T4572,Códigos!U4572)</f>
        <v>svv4571v</v>
      </c>
      <c r="B4573" t="s">
        <v>320</v>
      </c>
      <c r="C4573" t="s">
        <v>380</v>
      </c>
      <c r="D4573" s="2" t="s">
        <v>381</v>
      </c>
      <c r="E4573" t="s">
        <v>326</v>
      </c>
      <c r="F4573" s="11">
        <v>43146</v>
      </c>
      <c r="G4573" s="14">
        <f t="array" ref="G4573">VLOOKUP(E4573,Produtos!$A:$E,5,FALSE)</f>
        <v>3300</v>
      </c>
      <c r="H4573" s="14">
        <f>VLOOKUP(E4573,Produtos!$A:$E,4,FALSE)</f>
        <v>2500</v>
      </c>
      <c r="I4573" s="2">
        <v>3</v>
      </c>
    </row>
    <row r="4574" spans="1:9" x14ac:dyDescent="0.25">
      <c r="A4574" s="2" t="str">
        <f>CONCATENATE(Códigos!S4573,Códigos!T4573,Códigos!U4573)</f>
        <v>svv4572v</v>
      </c>
      <c r="B4574" t="s">
        <v>320</v>
      </c>
      <c r="C4574" t="s">
        <v>380</v>
      </c>
      <c r="D4574" s="2" t="s">
        <v>381</v>
      </c>
      <c r="E4574" t="s">
        <v>327</v>
      </c>
      <c r="F4574" s="11">
        <v>43147</v>
      </c>
      <c r="G4574" s="14">
        <f t="array" ref="G4574">VLOOKUP(E4574,Produtos!$A:$E,5,FALSE)</f>
        <v>890</v>
      </c>
      <c r="H4574" s="14">
        <f>VLOOKUP(E4574,Produtos!$A:$E,4,FALSE)</f>
        <v>600</v>
      </c>
      <c r="I4574" s="2">
        <v>3</v>
      </c>
    </row>
    <row r="4575" spans="1:9" x14ac:dyDescent="0.25">
      <c r="A4575" s="2" t="str">
        <f>CONCATENATE(Códigos!S4574,Códigos!T4574,Códigos!U4574)</f>
        <v>svv4573v</v>
      </c>
      <c r="B4575" t="s">
        <v>320</v>
      </c>
      <c r="C4575" t="s">
        <v>380</v>
      </c>
      <c r="D4575" s="2" t="s">
        <v>381</v>
      </c>
      <c r="E4575" t="s">
        <v>327</v>
      </c>
      <c r="F4575" s="11">
        <v>43148</v>
      </c>
      <c r="G4575" s="14">
        <f t="array" ref="G4575">VLOOKUP(E4575,Produtos!$A:$E,5,FALSE)</f>
        <v>890</v>
      </c>
      <c r="H4575" s="14">
        <f>VLOOKUP(E4575,Produtos!$A:$E,4,FALSE)</f>
        <v>600</v>
      </c>
      <c r="I4575" s="2">
        <v>3</v>
      </c>
    </row>
    <row r="4576" spans="1:9" x14ac:dyDescent="0.25">
      <c r="A4576" s="2" t="str">
        <f>CONCATENATE(Códigos!S4575,Códigos!T4575,Códigos!U4575)</f>
        <v>svv4574v</v>
      </c>
      <c r="B4576" t="s">
        <v>320</v>
      </c>
      <c r="C4576" t="s">
        <v>380</v>
      </c>
      <c r="D4576" s="2" t="s">
        <v>381</v>
      </c>
      <c r="E4576" t="s">
        <v>327</v>
      </c>
      <c r="F4576" s="11">
        <v>43149</v>
      </c>
      <c r="G4576" s="14">
        <f t="array" ref="G4576">VLOOKUP(E4576,Produtos!$A:$E,5,FALSE)</f>
        <v>890</v>
      </c>
      <c r="H4576" s="14">
        <f>VLOOKUP(E4576,Produtos!$A:$E,4,FALSE)</f>
        <v>600</v>
      </c>
      <c r="I4576" s="2">
        <v>3</v>
      </c>
    </row>
    <row r="4577" spans="1:9" x14ac:dyDescent="0.25">
      <c r="A4577" s="2" t="str">
        <f>CONCATENATE(Códigos!S4576,Códigos!T4576,Códigos!U4576)</f>
        <v>svv4575v</v>
      </c>
      <c r="B4577" t="s">
        <v>320</v>
      </c>
      <c r="C4577" t="s">
        <v>380</v>
      </c>
      <c r="D4577" s="2" t="s">
        <v>381</v>
      </c>
      <c r="E4577" t="s">
        <v>327</v>
      </c>
      <c r="F4577" s="11">
        <v>43150</v>
      </c>
      <c r="G4577" s="14">
        <f t="array" ref="G4577">VLOOKUP(E4577,Produtos!$A:$E,5,FALSE)</f>
        <v>890</v>
      </c>
      <c r="H4577" s="14">
        <f>VLOOKUP(E4577,Produtos!$A:$E,4,FALSE)</f>
        <v>600</v>
      </c>
      <c r="I4577" s="2">
        <v>3</v>
      </c>
    </row>
    <row r="4578" spans="1:9" x14ac:dyDescent="0.25">
      <c r="A4578" s="2" t="str">
        <f>CONCATENATE(Códigos!S4577,Códigos!T4577,Códigos!U4577)</f>
        <v>svv4576v</v>
      </c>
      <c r="B4578" t="s">
        <v>320</v>
      </c>
      <c r="C4578" t="s">
        <v>380</v>
      </c>
      <c r="D4578" s="2" t="s">
        <v>381</v>
      </c>
      <c r="E4578" t="s">
        <v>327</v>
      </c>
      <c r="F4578" s="11">
        <v>43151</v>
      </c>
      <c r="G4578" s="14">
        <f t="array" ref="G4578">VLOOKUP(E4578,Produtos!$A:$E,5,FALSE)</f>
        <v>890</v>
      </c>
      <c r="H4578" s="14">
        <f>VLOOKUP(E4578,Produtos!$A:$E,4,FALSE)</f>
        <v>600</v>
      </c>
      <c r="I4578" s="2">
        <v>3</v>
      </c>
    </row>
    <row r="4579" spans="1:9" x14ac:dyDescent="0.25">
      <c r="A4579" s="2" t="str">
        <f>CONCATENATE(Códigos!S4578,Códigos!T4578,Códigos!U4578)</f>
        <v>svv4577v</v>
      </c>
      <c r="B4579" t="s">
        <v>320</v>
      </c>
      <c r="C4579" t="s">
        <v>380</v>
      </c>
      <c r="D4579" s="2" t="s">
        <v>381</v>
      </c>
      <c r="E4579" t="s">
        <v>327</v>
      </c>
      <c r="F4579" s="11">
        <v>43152</v>
      </c>
      <c r="G4579" s="14">
        <f t="array" ref="G4579">VLOOKUP(E4579,Produtos!$A:$E,5,FALSE)</f>
        <v>890</v>
      </c>
      <c r="H4579" s="14">
        <f>VLOOKUP(E4579,Produtos!$A:$E,4,FALSE)</f>
        <v>600</v>
      </c>
      <c r="I4579" s="2">
        <v>3</v>
      </c>
    </row>
    <row r="4580" spans="1:9" x14ac:dyDescent="0.25">
      <c r="A4580" s="2" t="str">
        <f>CONCATENATE(Códigos!S4579,Códigos!T4579,Códigos!U4579)</f>
        <v>svv4578v</v>
      </c>
      <c r="B4580" t="s">
        <v>320</v>
      </c>
      <c r="C4580" t="s">
        <v>380</v>
      </c>
      <c r="D4580" s="2" t="s">
        <v>381</v>
      </c>
      <c r="E4580" t="s">
        <v>327</v>
      </c>
      <c r="F4580" s="11">
        <v>43153</v>
      </c>
      <c r="G4580" s="14">
        <f t="array" ref="G4580">VLOOKUP(E4580,Produtos!$A:$E,5,FALSE)</f>
        <v>890</v>
      </c>
      <c r="H4580" s="14">
        <f>VLOOKUP(E4580,Produtos!$A:$E,4,FALSE)</f>
        <v>600</v>
      </c>
      <c r="I4580" s="2">
        <v>3</v>
      </c>
    </row>
    <row r="4581" spans="1:9" x14ac:dyDescent="0.25">
      <c r="A4581" s="2" t="str">
        <f>CONCATENATE(Códigos!S4580,Códigos!T4580,Códigos!U4580)</f>
        <v>svv4579v</v>
      </c>
      <c r="B4581" t="s">
        <v>320</v>
      </c>
      <c r="C4581" t="s">
        <v>380</v>
      </c>
      <c r="D4581" s="2" t="s">
        <v>381</v>
      </c>
      <c r="E4581" t="s">
        <v>327</v>
      </c>
      <c r="F4581" s="11">
        <v>43154</v>
      </c>
      <c r="G4581" s="14">
        <f t="array" ref="G4581">VLOOKUP(E4581,Produtos!$A:$E,5,FALSE)</f>
        <v>890</v>
      </c>
      <c r="H4581" s="14">
        <f>VLOOKUP(E4581,Produtos!$A:$E,4,FALSE)</f>
        <v>600</v>
      </c>
      <c r="I4581" s="2">
        <v>3</v>
      </c>
    </row>
    <row r="4582" spans="1:9" x14ac:dyDescent="0.25">
      <c r="A4582" s="2" t="str">
        <f>CONCATENATE(Códigos!S4581,Códigos!T4581,Códigos!U4581)</f>
        <v>svv4580v</v>
      </c>
      <c r="B4582" t="s">
        <v>410</v>
      </c>
      <c r="C4582" t="s">
        <v>414</v>
      </c>
      <c r="D4582" s="2" t="s">
        <v>415</v>
      </c>
      <c r="E4582" t="s">
        <v>416</v>
      </c>
      <c r="F4582" s="11">
        <v>43776</v>
      </c>
      <c r="G4582" s="14">
        <f t="array" ref="G4582">VLOOKUP(E4582,Produtos!$A:$E,5,FALSE)</f>
        <v>190</v>
      </c>
      <c r="H4582" s="14">
        <f>VLOOKUP(E4582,Produtos!$A:$E,4,FALSE)</f>
        <v>90</v>
      </c>
      <c r="I4582" s="2">
        <v>2</v>
      </c>
    </row>
    <row r="4583" spans="1:9" x14ac:dyDescent="0.25">
      <c r="A4583" s="2" t="str">
        <f>CONCATENATE(Códigos!S4582,Códigos!T4582,Códigos!U4582)</f>
        <v>svv4581v</v>
      </c>
      <c r="B4583" t="s">
        <v>410</v>
      </c>
      <c r="C4583" t="s">
        <v>414</v>
      </c>
      <c r="D4583" s="2" t="s">
        <v>415</v>
      </c>
      <c r="E4583" t="s">
        <v>416</v>
      </c>
      <c r="F4583" s="11">
        <v>43777</v>
      </c>
      <c r="G4583" s="14">
        <f t="array" ref="G4583">VLOOKUP(E4583,Produtos!$A:$E,5,FALSE)</f>
        <v>190</v>
      </c>
      <c r="H4583" s="14">
        <f>VLOOKUP(E4583,Produtos!$A:$E,4,FALSE)</f>
        <v>90</v>
      </c>
      <c r="I4583" s="2">
        <v>2</v>
      </c>
    </row>
    <row r="4584" spans="1:9" x14ac:dyDescent="0.25">
      <c r="A4584" s="2" t="str">
        <f>CONCATENATE(Códigos!S4583,Códigos!T4583,Códigos!U4583)</f>
        <v>svv4582v</v>
      </c>
      <c r="B4584" t="s">
        <v>410</v>
      </c>
      <c r="C4584" t="s">
        <v>414</v>
      </c>
      <c r="D4584" s="2" t="s">
        <v>415</v>
      </c>
      <c r="E4584" t="s">
        <v>416</v>
      </c>
      <c r="F4584" s="11">
        <v>43778</v>
      </c>
      <c r="G4584" s="14">
        <f t="array" ref="G4584">VLOOKUP(E4584,Produtos!$A:$E,5,FALSE)</f>
        <v>190</v>
      </c>
      <c r="H4584" s="14">
        <f>VLOOKUP(E4584,Produtos!$A:$E,4,FALSE)</f>
        <v>90</v>
      </c>
      <c r="I4584" s="2">
        <v>2</v>
      </c>
    </row>
    <row r="4585" spans="1:9" x14ac:dyDescent="0.25">
      <c r="A4585" s="2" t="str">
        <f>CONCATENATE(Códigos!S4584,Códigos!T4584,Códigos!U4584)</f>
        <v>svv4583v</v>
      </c>
      <c r="B4585" t="s">
        <v>410</v>
      </c>
      <c r="C4585" t="s">
        <v>414</v>
      </c>
      <c r="D4585" s="2" t="s">
        <v>415</v>
      </c>
      <c r="E4585" t="s">
        <v>416</v>
      </c>
      <c r="F4585" s="11">
        <v>43779</v>
      </c>
      <c r="G4585" s="14">
        <f t="array" ref="G4585">VLOOKUP(E4585,Produtos!$A:$E,5,FALSE)</f>
        <v>190</v>
      </c>
      <c r="H4585" s="14">
        <f>VLOOKUP(E4585,Produtos!$A:$E,4,FALSE)</f>
        <v>90</v>
      </c>
      <c r="I4585" s="2">
        <v>2</v>
      </c>
    </row>
    <row r="4586" spans="1:9" x14ac:dyDescent="0.25">
      <c r="A4586" s="2" t="str">
        <f>CONCATENATE(Códigos!S4585,Códigos!T4585,Códigos!U4585)</f>
        <v>svv4584v</v>
      </c>
      <c r="B4586" t="s">
        <v>410</v>
      </c>
      <c r="C4586" t="s">
        <v>414</v>
      </c>
      <c r="D4586" s="2" t="s">
        <v>415</v>
      </c>
      <c r="E4586" t="s">
        <v>337</v>
      </c>
      <c r="F4586" s="11">
        <v>43780</v>
      </c>
      <c r="G4586" s="14">
        <f t="array" ref="G4586">VLOOKUP(E4586,Produtos!$A:$E,5,FALSE)</f>
        <v>110</v>
      </c>
      <c r="H4586" s="14">
        <f>VLOOKUP(E4586,Produtos!$A:$E,4,FALSE)</f>
        <v>50</v>
      </c>
      <c r="I4586" s="2">
        <v>2</v>
      </c>
    </row>
    <row r="4587" spans="1:9" x14ac:dyDescent="0.25">
      <c r="A4587" s="2" t="str">
        <f>CONCATENATE(Códigos!S4586,Códigos!T4586,Códigos!U4586)</f>
        <v>svv4585v</v>
      </c>
      <c r="B4587" t="s">
        <v>410</v>
      </c>
      <c r="C4587" t="s">
        <v>414</v>
      </c>
      <c r="D4587" s="2" t="s">
        <v>415</v>
      </c>
      <c r="E4587" t="s">
        <v>337</v>
      </c>
      <c r="F4587" s="11">
        <v>43781</v>
      </c>
      <c r="G4587" s="14">
        <f t="array" ref="G4587">VLOOKUP(E4587,Produtos!$A:$E,5,FALSE)</f>
        <v>110</v>
      </c>
      <c r="H4587" s="14">
        <f>VLOOKUP(E4587,Produtos!$A:$E,4,FALSE)</f>
        <v>50</v>
      </c>
      <c r="I4587" s="2">
        <v>2</v>
      </c>
    </row>
    <row r="4588" spans="1:9" x14ac:dyDescent="0.25">
      <c r="A4588" s="2" t="str">
        <f>CONCATENATE(Códigos!S4587,Códigos!T4587,Códigos!U4587)</f>
        <v>svv4586v</v>
      </c>
      <c r="B4588" t="s">
        <v>410</v>
      </c>
      <c r="C4588" t="s">
        <v>414</v>
      </c>
      <c r="D4588" s="2" t="s">
        <v>415</v>
      </c>
      <c r="E4588" t="s">
        <v>337</v>
      </c>
      <c r="F4588" s="11">
        <v>43782</v>
      </c>
      <c r="G4588" s="14">
        <f t="array" ref="G4588">VLOOKUP(E4588,Produtos!$A:$E,5,FALSE)</f>
        <v>110</v>
      </c>
      <c r="H4588" s="14">
        <f>VLOOKUP(E4588,Produtos!$A:$E,4,FALSE)</f>
        <v>50</v>
      </c>
      <c r="I4588" s="2">
        <v>2</v>
      </c>
    </row>
    <row r="4589" spans="1:9" x14ac:dyDescent="0.25">
      <c r="A4589" s="2" t="str">
        <f>CONCATENATE(Códigos!S4588,Códigos!T4588,Códigos!U4588)</f>
        <v>svv4587v</v>
      </c>
      <c r="B4589" t="s">
        <v>410</v>
      </c>
      <c r="C4589" t="s">
        <v>414</v>
      </c>
      <c r="D4589" s="2" t="s">
        <v>415</v>
      </c>
      <c r="E4589" t="s">
        <v>337</v>
      </c>
      <c r="F4589" s="11">
        <v>43120</v>
      </c>
      <c r="G4589" s="14">
        <f t="array" ref="G4589">VLOOKUP(E4589,Produtos!$A:$E,5,FALSE)</f>
        <v>110</v>
      </c>
      <c r="H4589" s="14">
        <f>VLOOKUP(E4589,Produtos!$A:$E,4,FALSE)</f>
        <v>50</v>
      </c>
      <c r="I4589" s="2">
        <v>2</v>
      </c>
    </row>
    <row r="4590" spans="1:9" x14ac:dyDescent="0.25">
      <c r="A4590" s="2" t="str">
        <f>CONCATENATE(Códigos!S4589,Códigos!T4589,Códigos!U4589)</f>
        <v>svv4588v</v>
      </c>
      <c r="B4590" t="s">
        <v>410</v>
      </c>
      <c r="C4590" t="s">
        <v>414</v>
      </c>
      <c r="D4590" s="2" t="s">
        <v>415</v>
      </c>
      <c r="E4590" t="s">
        <v>337</v>
      </c>
      <c r="F4590" s="11">
        <v>43121</v>
      </c>
      <c r="G4590" s="14">
        <f t="array" ref="G4590">VLOOKUP(E4590,Produtos!$A:$E,5,FALSE)</f>
        <v>110</v>
      </c>
      <c r="H4590" s="14">
        <f>VLOOKUP(E4590,Produtos!$A:$E,4,FALSE)</f>
        <v>50</v>
      </c>
      <c r="I4590" s="2">
        <v>2</v>
      </c>
    </row>
    <row r="4591" spans="1:9" x14ac:dyDescent="0.25">
      <c r="A4591" s="2" t="str">
        <f>CONCATENATE(Códigos!S4590,Códigos!T4590,Códigos!U4590)</f>
        <v>svv4589v</v>
      </c>
      <c r="B4591" t="s">
        <v>410</v>
      </c>
      <c r="C4591" t="s">
        <v>414</v>
      </c>
      <c r="D4591" s="2" t="s">
        <v>415</v>
      </c>
      <c r="E4591" t="s">
        <v>337</v>
      </c>
      <c r="F4591" s="11">
        <v>43122</v>
      </c>
      <c r="G4591" s="14">
        <f t="array" ref="G4591">VLOOKUP(E4591,Produtos!$A:$E,5,FALSE)</f>
        <v>110</v>
      </c>
      <c r="H4591" s="14">
        <f>VLOOKUP(E4591,Produtos!$A:$E,4,FALSE)</f>
        <v>50</v>
      </c>
      <c r="I4591" s="2">
        <v>2</v>
      </c>
    </row>
    <row r="4592" spans="1:9" x14ac:dyDescent="0.25">
      <c r="A4592" s="2" t="str">
        <f>CONCATENATE(Códigos!S4591,Códigos!T4591,Códigos!U4591)</f>
        <v>svv4590v</v>
      </c>
      <c r="B4592" t="s">
        <v>410</v>
      </c>
      <c r="C4592" t="s">
        <v>414</v>
      </c>
      <c r="D4592" s="2" t="s">
        <v>415</v>
      </c>
      <c r="E4592" t="s">
        <v>337</v>
      </c>
      <c r="F4592" s="11">
        <v>43123</v>
      </c>
      <c r="G4592" s="14">
        <f t="array" ref="G4592">VLOOKUP(E4592,Produtos!$A:$E,5,FALSE)</f>
        <v>110</v>
      </c>
      <c r="H4592" s="14">
        <f>VLOOKUP(E4592,Produtos!$A:$E,4,FALSE)</f>
        <v>50</v>
      </c>
      <c r="I4592" s="2">
        <v>2</v>
      </c>
    </row>
    <row r="4593" spans="1:9" x14ac:dyDescent="0.25">
      <c r="A4593" s="2" t="str">
        <f>CONCATENATE(Códigos!S4592,Códigos!T4592,Códigos!U4592)</f>
        <v>svv4591v</v>
      </c>
      <c r="B4593" t="s">
        <v>410</v>
      </c>
      <c r="C4593" t="s">
        <v>414</v>
      </c>
      <c r="D4593" s="2" t="s">
        <v>415</v>
      </c>
      <c r="E4593" t="s">
        <v>330</v>
      </c>
      <c r="F4593" s="11">
        <v>43124</v>
      </c>
      <c r="G4593" s="14">
        <f t="array" ref="G4593">VLOOKUP(E4593,Produtos!$A:$E,5,FALSE)</f>
        <v>1600</v>
      </c>
      <c r="H4593" s="14">
        <f>VLOOKUP(E4593,Produtos!$A:$E,4,FALSE)</f>
        <v>800</v>
      </c>
      <c r="I4593" s="2">
        <v>2</v>
      </c>
    </row>
    <row r="4594" spans="1:9" x14ac:dyDescent="0.25">
      <c r="A4594" s="2" t="str">
        <f>CONCATENATE(Códigos!S4593,Códigos!T4593,Códigos!U4593)</f>
        <v>svv4592v</v>
      </c>
      <c r="B4594" t="s">
        <v>410</v>
      </c>
      <c r="C4594" t="s">
        <v>414</v>
      </c>
      <c r="D4594" s="2" t="s">
        <v>415</v>
      </c>
      <c r="E4594" t="s">
        <v>330</v>
      </c>
      <c r="F4594" s="11">
        <v>43125</v>
      </c>
      <c r="G4594" s="14">
        <f t="array" ref="G4594">VLOOKUP(E4594,Produtos!$A:$E,5,FALSE)</f>
        <v>1600</v>
      </c>
      <c r="H4594" s="14">
        <f>VLOOKUP(E4594,Produtos!$A:$E,4,FALSE)</f>
        <v>800</v>
      </c>
      <c r="I4594" s="2">
        <v>2</v>
      </c>
    </row>
    <row r="4595" spans="1:9" x14ac:dyDescent="0.25">
      <c r="A4595" s="2" t="str">
        <f>CONCATENATE(Códigos!S4594,Códigos!T4594,Códigos!U4594)</f>
        <v>svv4593v</v>
      </c>
      <c r="B4595" t="s">
        <v>410</v>
      </c>
      <c r="C4595" t="s">
        <v>414</v>
      </c>
      <c r="D4595" s="2" t="s">
        <v>415</v>
      </c>
      <c r="E4595" t="s">
        <v>330</v>
      </c>
      <c r="F4595" s="11">
        <v>43126</v>
      </c>
      <c r="G4595" s="14">
        <f t="array" ref="G4595">VLOOKUP(E4595,Produtos!$A:$E,5,FALSE)</f>
        <v>1600</v>
      </c>
      <c r="H4595" s="14">
        <f>VLOOKUP(E4595,Produtos!$A:$E,4,FALSE)</f>
        <v>800</v>
      </c>
      <c r="I4595" s="2">
        <v>2</v>
      </c>
    </row>
    <row r="4596" spans="1:9" x14ac:dyDescent="0.25">
      <c r="A4596" s="2" t="str">
        <f>CONCATENATE(Códigos!S4595,Códigos!T4595,Códigos!U4595)</f>
        <v>svv4594v</v>
      </c>
      <c r="B4596" t="s">
        <v>410</v>
      </c>
      <c r="C4596" t="s">
        <v>414</v>
      </c>
      <c r="D4596" s="2" t="s">
        <v>415</v>
      </c>
      <c r="E4596" t="s">
        <v>330</v>
      </c>
      <c r="F4596" s="11">
        <v>43127</v>
      </c>
      <c r="G4596" s="14">
        <f t="array" ref="G4596">VLOOKUP(E4596,Produtos!$A:$E,5,FALSE)</f>
        <v>1600</v>
      </c>
      <c r="H4596" s="14">
        <f>VLOOKUP(E4596,Produtos!$A:$E,4,FALSE)</f>
        <v>800</v>
      </c>
      <c r="I4596" s="2">
        <v>2</v>
      </c>
    </row>
    <row r="4597" spans="1:9" x14ac:dyDescent="0.25">
      <c r="A4597" s="2" t="str">
        <f>CONCATENATE(Códigos!S4596,Códigos!T4596,Códigos!U4596)</f>
        <v>svv4595v</v>
      </c>
      <c r="B4597" t="s">
        <v>410</v>
      </c>
      <c r="C4597" t="s">
        <v>414</v>
      </c>
      <c r="D4597" s="2" t="s">
        <v>415</v>
      </c>
      <c r="E4597" t="s">
        <v>330</v>
      </c>
      <c r="F4597" s="11">
        <v>43128</v>
      </c>
      <c r="G4597" s="14">
        <f t="array" ref="G4597">VLOOKUP(E4597,Produtos!$A:$E,5,FALSE)</f>
        <v>1600</v>
      </c>
      <c r="H4597" s="14">
        <f>VLOOKUP(E4597,Produtos!$A:$E,4,FALSE)</f>
        <v>800</v>
      </c>
      <c r="I4597" s="2">
        <v>2</v>
      </c>
    </row>
    <row r="4598" spans="1:9" x14ac:dyDescent="0.25">
      <c r="A4598" s="2" t="str">
        <f>CONCATENATE(Códigos!S4597,Códigos!T4597,Códigos!U4597)</f>
        <v>svv4596v</v>
      </c>
      <c r="B4598" t="s">
        <v>410</v>
      </c>
      <c r="C4598" t="s">
        <v>414</v>
      </c>
      <c r="D4598" s="2" t="s">
        <v>415</v>
      </c>
      <c r="E4598" t="s">
        <v>330</v>
      </c>
      <c r="F4598" s="11">
        <v>43129</v>
      </c>
      <c r="G4598" s="14">
        <f t="array" ref="G4598">VLOOKUP(E4598,Produtos!$A:$E,5,FALSE)</f>
        <v>1600</v>
      </c>
      <c r="H4598" s="14">
        <f>VLOOKUP(E4598,Produtos!$A:$E,4,FALSE)</f>
        <v>800</v>
      </c>
      <c r="I4598" s="2">
        <v>2</v>
      </c>
    </row>
    <row r="4599" spans="1:9" x14ac:dyDescent="0.25">
      <c r="A4599" s="2" t="str">
        <f>CONCATENATE(Códigos!S4598,Códigos!T4598,Códigos!U4598)</f>
        <v>svv4597v</v>
      </c>
      <c r="B4599" t="s">
        <v>410</v>
      </c>
      <c r="C4599" t="s">
        <v>388</v>
      </c>
      <c r="D4599" s="2" t="s">
        <v>389</v>
      </c>
      <c r="E4599" t="s">
        <v>330</v>
      </c>
      <c r="F4599" s="11">
        <v>43130</v>
      </c>
      <c r="G4599" s="14">
        <f t="array" ref="G4599">VLOOKUP(E4599,Produtos!$A:$E,5,FALSE)</f>
        <v>1600</v>
      </c>
      <c r="H4599" s="14">
        <f>VLOOKUP(E4599,Produtos!$A:$E,4,FALSE)</f>
        <v>800</v>
      </c>
      <c r="I4599" s="2">
        <v>2</v>
      </c>
    </row>
    <row r="4600" spans="1:9" x14ac:dyDescent="0.25">
      <c r="A4600" s="2" t="str">
        <f>CONCATENATE(Códigos!S4599,Códigos!T4599,Códigos!U4599)</f>
        <v>svv4598v</v>
      </c>
      <c r="B4600" t="s">
        <v>410</v>
      </c>
      <c r="C4600" t="s">
        <v>388</v>
      </c>
      <c r="D4600" s="2" t="s">
        <v>389</v>
      </c>
      <c r="E4600" t="s">
        <v>330</v>
      </c>
      <c r="F4600" s="11">
        <v>43131</v>
      </c>
      <c r="G4600" s="14">
        <f t="array" ref="G4600">VLOOKUP(E4600,Produtos!$A:$E,5,FALSE)</f>
        <v>1600</v>
      </c>
      <c r="H4600" s="14">
        <f>VLOOKUP(E4600,Produtos!$A:$E,4,FALSE)</f>
        <v>800</v>
      </c>
      <c r="I4600" s="2">
        <v>2</v>
      </c>
    </row>
    <row r="4601" spans="1:9" x14ac:dyDescent="0.25">
      <c r="A4601" s="2" t="str">
        <f>CONCATENATE(Códigos!S4600,Códigos!T4600,Códigos!U4600)</f>
        <v>svv4599v</v>
      </c>
      <c r="B4601" t="s">
        <v>410</v>
      </c>
      <c r="C4601" t="s">
        <v>388</v>
      </c>
      <c r="D4601" s="2" t="s">
        <v>389</v>
      </c>
      <c r="E4601" t="s">
        <v>330</v>
      </c>
      <c r="F4601" s="11">
        <v>43132</v>
      </c>
      <c r="G4601" s="14">
        <f t="array" ref="G4601">VLOOKUP(E4601,Produtos!$A:$E,5,FALSE)</f>
        <v>1600</v>
      </c>
      <c r="H4601" s="14">
        <f>VLOOKUP(E4601,Produtos!$A:$E,4,FALSE)</f>
        <v>800</v>
      </c>
      <c r="I4601" s="2">
        <v>2</v>
      </c>
    </row>
    <row r="4602" spans="1:9" x14ac:dyDescent="0.25">
      <c r="A4602" s="2" t="str">
        <f>CONCATENATE(Códigos!S4601,Códigos!T4601,Códigos!U4601)</f>
        <v>svv4600v</v>
      </c>
      <c r="B4602" t="s">
        <v>410</v>
      </c>
      <c r="C4602" t="s">
        <v>388</v>
      </c>
      <c r="D4602" s="2" t="s">
        <v>389</v>
      </c>
      <c r="E4602" t="s">
        <v>330</v>
      </c>
      <c r="F4602" s="11">
        <v>43133</v>
      </c>
      <c r="G4602" s="14">
        <f t="array" ref="G4602">VLOOKUP(E4602,Produtos!$A:$E,5,FALSE)</f>
        <v>1600</v>
      </c>
      <c r="H4602" s="14">
        <f>VLOOKUP(E4602,Produtos!$A:$E,4,FALSE)</f>
        <v>800</v>
      </c>
      <c r="I4602" s="2">
        <v>2</v>
      </c>
    </row>
    <row r="4603" spans="1:9" x14ac:dyDescent="0.25">
      <c r="A4603" s="2" t="str">
        <f>CONCATENATE(Códigos!S4602,Códigos!T4602,Códigos!U4602)</f>
        <v>svv4601v</v>
      </c>
      <c r="B4603" t="s">
        <v>410</v>
      </c>
      <c r="C4603" t="s">
        <v>388</v>
      </c>
      <c r="D4603" s="2" t="s">
        <v>389</v>
      </c>
      <c r="E4603" t="s">
        <v>330</v>
      </c>
      <c r="F4603" s="11">
        <v>43134</v>
      </c>
      <c r="G4603" s="14">
        <f t="array" ref="G4603">VLOOKUP(E4603,Produtos!$A:$E,5,FALSE)</f>
        <v>1600</v>
      </c>
      <c r="H4603" s="14">
        <f>VLOOKUP(E4603,Produtos!$A:$E,4,FALSE)</f>
        <v>800</v>
      </c>
      <c r="I4603" s="2">
        <v>2</v>
      </c>
    </row>
    <row r="4604" spans="1:9" x14ac:dyDescent="0.25">
      <c r="A4604" s="2" t="str">
        <f>CONCATENATE(Códigos!S4603,Códigos!T4603,Códigos!U4603)</f>
        <v>svv4602v</v>
      </c>
      <c r="B4604" t="s">
        <v>410</v>
      </c>
      <c r="C4604" t="s">
        <v>388</v>
      </c>
      <c r="D4604" s="2" t="s">
        <v>389</v>
      </c>
      <c r="E4604" t="s">
        <v>330</v>
      </c>
      <c r="F4604" s="11">
        <v>43135</v>
      </c>
      <c r="G4604" s="14">
        <f t="array" ref="G4604">VLOOKUP(E4604,Produtos!$A:$E,5,FALSE)</f>
        <v>1600</v>
      </c>
      <c r="H4604" s="14">
        <f>VLOOKUP(E4604,Produtos!$A:$E,4,FALSE)</f>
        <v>800</v>
      </c>
      <c r="I4604" s="2">
        <v>2</v>
      </c>
    </row>
    <row r="4605" spans="1:9" x14ac:dyDescent="0.25">
      <c r="A4605" s="2" t="str">
        <f>CONCATENATE(Códigos!S4604,Códigos!T4604,Códigos!U4604)</f>
        <v>svv4603v</v>
      </c>
      <c r="B4605" t="s">
        <v>410</v>
      </c>
      <c r="C4605" t="s">
        <v>388</v>
      </c>
      <c r="D4605" s="2" t="s">
        <v>389</v>
      </c>
      <c r="E4605" t="s">
        <v>330</v>
      </c>
      <c r="F4605" s="11">
        <v>43136</v>
      </c>
      <c r="G4605" s="14">
        <f t="array" ref="G4605">VLOOKUP(E4605,Produtos!$A:$E,5,FALSE)</f>
        <v>1600</v>
      </c>
      <c r="H4605" s="14">
        <f>VLOOKUP(E4605,Produtos!$A:$E,4,FALSE)</f>
        <v>800</v>
      </c>
      <c r="I4605" s="2">
        <v>2</v>
      </c>
    </row>
    <row r="4606" spans="1:9" x14ac:dyDescent="0.25">
      <c r="A4606" s="2" t="str">
        <f>CONCATENATE(Códigos!S4605,Códigos!T4605,Códigos!U4605)</f>
        <v>svv4604v</v>
      </c>
      <c r="B4606" t="s">
        <v>409</v>
      </c>
      <c r="C4606" t="s">
        <v>388</v>
      </c>
      <c r="D4606" s="2" t="s">
        <v>389</v>
      </c>
      <c r="E4606" t="s">
        <v>330</v>
      </c>
      <c r="F4606" s="11">
        <v>43137</v>
      </c>
      <c r="G4606" s="14">
        <f t="array" ref="G4606">VLOOKUP(E4606,Produtos!$A:$E,5,FALSE)</f>
        <v>1600</v>
      </c>
      <c r="H4606" s="14">
        <f>VLOOKUP(E4606,Produtos!$A:$E,4,FALSE)</f>
        <v>800</v>
      </c>
      <c r="I4606" s="2">
        <v>2</v>
      </c>
    </row>
    <row r="4607" spans="1:9" x14ac:dyDescent="0.25">
      <c r="A4607" s="2" t="str">
        <f>CONCATENATE(Códigos!S4606,Códigos!T4606,Códigos!U4606)</f>
        <v>svv4605v</v>
      </c>
      <c r="B4607" t="s">
        <v>409</v>
      </c>
      <c r="C4607" t="s">
        <v>388</v>
      </c>
      <c r="D4607" s="2" t="s">
        <v>389</v>
      </c>
      <c r="E4607" t="s">
        <v>330</v>
      </c>
      <c r="F4607" s="11">
        <v>43138</v>
      </c>
      <c r="G4607" s="14">
        <f t="array" ref="G4607">VLOOKUP(E4607,Produtos!$A:$E,5,FALSE)</f>
        <v>1600</v>
      </c>
      <c r="H4607" s="14">
        <f>VLOOKUP(E4607,Produtos!$A:$E,4,FALSE)</f>
        <v>800</v>
      </c>
      <c r="I4607" s="2">
        <v>2</v>
      </c>
    </row>
    <row r="4608" spans="1:9" x14ac:dyDescent="0.25">
      <c r="A4608" s="2" t="str">
        <f>CONCATENATE(Códigos!S4607,Códigos!T4607,Códigos!U4607)</f>
        <v>svv4606v</v>
      </c>
      <c r="B4608" t="s">
        <v>409</v>
      </c>
      <c r="C4608" t="s">
        <v>388</v>
      </c>
      <c r="D4608" s="2" t="s">
        <v>389</v>
      </c>
      <c r="E4608" t="s">
        <v>330</v>
      </c>
      <c r="F4608" s="11">
        <v>43139</v>
      </c>
      <c r="G4608" s="14">
        <f t="array" ref="G4608">VLOOKUP(E4608,Produtos!$A:$E,5,FALSE)</f>
        <v>1600</v>
      </c>
      <c r="H4608" s="14">
        <f>VLOOKUP(E4608,Produtos!$A:$E,4,FALSE)</f>
        <v>800</v>
      </c>
      <c r="I4608" s="2">
        <v>2</v>
      </c>
    </row>
    <row r="4609" spans="1:9" x14ac:dyDescent="0.25">
      <c r="A4609" s="2" t="str">
        <f>CONCATENATE(Códigos!S4608,Códigos!T4608,Códigos!U4608)</f>
        <v>svv4607v</v>
      </c>
      <c r="B4609" t="s">
        <v>409</v>
      </c>
      <c r="C4609" t="s">
        <v>388</v>
      </c>
      <c r="D4609" s="2" t="s">
        <v>389</v>
      </c>
      <c r="E4609" t="s">
        <v>330</v>
      </c>
      <c r="F4609" s="11">
        <v>43140</v>
      </c>
      <c r="G4609" s="14">
        <f t="array" ref="G4609">VLOOKUP(E4609,Produtos!$A:$E,5,FALSE)</f>
        <v>1600</v>
      </c>
      <c r="H4609" s="14">
        <f>VLOOKUP(E4609,Produtos!$A:$E,4,FALSE)</f>
        <v>800</v>
      </c>
      <c r="I4609" s="2">
        <v>2</v>
      </c>
    </row>
    <row r="4610" spans="1:9" x14ac:dyDescent="0.25">
      <c r="A4610" s="2" t="str">
        <f>CONCATENATE(Códigos!S4609,Códigos!T4609,Códigos!U4609)</f>
        <v>svv4608v</v>
      </c>
      <c r="B4610" t="s">
        <v>409</v>
      </c>
      <c r="C4610" t="s">
        <v>388</v>
      </c>
      <c r="D4610" s="2" t="s">
        <v>389</v>
      </c>
      <c r="E4610" t="s">
        <v>330</v>
      </c>
      <c r="F4610" s="11">
        <v>43141</v>
      </c>
      <c r="G4610" s="14">
        <f t="array" ref="G4610">VLOOKUP(E4610,Produtos!$A:$E,5,FALSE)</f>
        <v>1600</v>
      </c>
      <c r="H4610" s="14">
        <f>VLOOKUP(E4610,Produtos!$A:$E,4,FALSE)</f>
        <v>800</v>
      </c>
      <c r="I4610" s="2">
        <v>2</v>
      </c>
    </row>
    <row r="4611" spans="1:9" x14ac:dyDescent="0.25">
      <c r="A4611" s="2" t="str">
        <f>CONCATENATE(Códigos!S4610,Códigos!T4610,Códigos!U4610)</f>
        <v>svv4609v</v>
      </c>
      <c r="B4611" t="s">
        <v>409</v>
      </c>
      <c r="C4611" t="s">
        <v>388</v>
      </c>
      <c r="D4611" s="2" t="s">
        <v>389</v>
      </c>
      <c r="E4611" t="s">
        <v>330</v>
      </c>
      <c r="F4611" s="11">
        <v>43142</v>
      </c>
      <c r="G4611" s="14">
        <f t="array" ref="G4611">VLOOKUP(E4611,Produtos!$A:$E,5,FALSE)</f>
        <v>1600</v>
      </c>
      <c r="H4611" s="14">
        <f>VLOOKUP(E4611,Produtos!$A:$E,4,FALSE)</f>
        <v>800</v>
      </c>
      <c r="I4611" s="2">
        <v>2</v>
      </c>
    </row>
    <row r="4612" spans="1:9" x14ac:dyDescent="0.25">
      <c r="A4612" s="2" t="str">
        <f>CONCATENATE(Códigos!S4611,Códigos!T4611,Códigos!U4611)</f>
        <v>svv4610v</v>
      </c>
      <c r="B4612" t="s">
        <v>409</v>
      </c>
      <c r="C4612" t="s">
        <v>388</v>
      </c>
      <c r="D4612" s="2" t="s">
        <v>389</v>
      </c>
      <c r="E4612" t="s">
        <v>330</v>
      </c>
      <c r="F4612" s="11">
        <v>43143</v>
      </c>
      <c r="G4612" s="14">
        <f t="array" ref="G4612">VLOOKUP(E4612,Produtos!$A:$E,5,FALSE)</f>
        <v>1600</v>
      </c>
      <c r="H4612" s="14">
        <f>VLOOKUP(E4612,Produtos!$A:$E,4,FALSE)</f>
        <v>800</v>
      </c>
      <c r="I4612" s="2">
        <v>2</v>
      </c>
    </row>
    <row r="4613" spans="1:9" x14ac:dyDescent="0.25">
      <c r="A4613" s="2" t="str">
        <f>CONCATENATE(Códigos!S4612,Códigos!T4612,Códigos!U4612)</f>
        <v>svv4611v</v>
      </c>
      <c r="B4613" t="s">
        <v>409</v>
      </c>
      <c r="C4613" t="s">
        <v>388</v>
      </c>
      <c r="D4613" s="2" t="s">
        <v>389</v>
      </c>
      <c r="E4613" t="s">
        <v>328</v>
      </c>
      <c r="F4613" s="11">
        <v>43144</v>
      </c>
      <c r="G4613" s="14">
        <f t="array" ref="G4613">VLOOKUP(E4613,Produtos!$A:$E,5,FALSE)</f>
        <v>900</v>
      </c>
      <c r="H4613" s="14">
        <f>VLOOKUP(E4613,Produtos!$A:$E,4,FALSE)</f>
        <v>500</v>
      </c>
      <c r="I4613" s="2">
        <v>2</v>
      </c>
    </row>
    <row r="4614" spans="1:9" x14ac:dyDescent="0.25">
      <c r="A4614" s="2" t="str">
        <f>CONCATENATE(Códigos!S4613,Códigos!T4613,Códigos!U4613)</f>
        <v>svv4612v</v>
      </c>
      <c r="B4614" t="s">
        <v>409</v>
      </c>
      <c r="C4614" t="s">
        <v>388</v>
      </c>
      <c r="D4614" s="2" t="s">
        <v>389</v>
      </c>
      <c r="E4614" t="s">
        <v>328</v>
      </c>
      <c r="F4614" s="11">
        <v>43145</v>
      </c>
      <c r="G4614" s="14">
        <f t="array" ref="G4614">VLOOKUP(E4614,Produtos!$A:$E,5,FALSE)</f>
        <v>900</v>
      </c>
      <c r="H4614" s="14">
        <f>VLOOKUP(E4614,Produtos!$A:$E,4,FALSE)</f>
        <v>500</v>
      </c>
      <c r="I4614" s="2">
        <v>2</v>
      </c>
    </row>
    <row r="4615" spans="1:9" x14ac:dyDescent="0.25">
      <c r="A4615" s="2" t="str">
        <f>CONCATENATE(Códigos!S4614,Códigos!T4614,Códigos!U4614)</f>
        <v>svv4613v</v>
      </c>
      <c r="B4615" t="s">
        <v>409</v>
      </c>
      <c r="C4615" t="s">
        <v>388</v>
      </c>
      <c r="D4615" s="2" t="s">
        <v>389</v>
      </c>
      <c r="E4615" t="s">
        <v>328</v>
      </c>
      <c r="F4615" s="11">
        <v>43146</v>
      </c>
      <c r="G4615" s="14">
        <f t="array" ref="G4615">VLOOKUP(E4615,Produtos!$A:$E,5,FALSE)</f>
        <v>900</v>
      </c>
      <c r="H4615" s="14">
        <f>VLOOKUP(E4615,Produtos!$A:$E,4,FALSE)</f>
        <v>500</v>
      </c>
      <c r="I4615" s="2">
        <v>2</v>
      </c>
    </row>
    <row r="4616" spans="1:9" x14ac:dyDescent="0.25">
      <c r="A4616" s="2" t="str">
        <f>CONCATENATE(Códigos!S4615,Códigos!T4615,Códigos!U4615)</f>
        <v>svv4614v</v>
      </c>
      <c r="B4616" t="s">
        <v>409</v>
      </c>
      <c r="C4616" t="s">
        <v>388</v>
      </c>
      <c r="D4616" s="2" t="s">
        <v>389</v>
      </c>
      <c r="E4616" t="s">
        <v>328</v>
      </c>
      <c r="F4616" s="11">
        <v>43147</v>
      </c>
      <c r="G4616" s="14">
        <f t="array" ref="G4616">VLOOKUP(E4616,Produtos!$A:$E,5,FALSE)</f>
        <v>900</v>
      </c>
      <c r="H4616" s="14">
        <f>VLOOKUP(E4616,Produtos!$A:$E,4,FALSE)</f>
        <v>500</v>
      </c>
      <c r="I4616" s="2">
        <v>2</v>
      </c>
    </row>
    <row r="4617" spans="1:9" x14ac:dyDescent="0.25">
      <c r="A4617" s="2" t="str">
        <f>CONCATENATE(Códigos!S4616,Códigos!T4616,Códigos!U4616)</f>
        <v>svv4615v</v>
      </c>
      <c r="B4617" t="s">
        <v>409</v>
      </c>
      <c r="C4617" t="s">
        <v>388</v>
      </c>
      <c r="D4617" s="2" t="s">
        <v>389</v>
      </c>
      <c r="E4617" t="s">
        <v>328</v>
      </c>
      <c r="F4617" s="11">
        <v>43148</v>
      </c>
      <c r="G4617" s="14">
        <f t="array" ref="G4617">VLOOKUP(E4617,Produtos!$A:$E,5,FALSE)</f>
        <v>900</v>
      </c>
      <c r="H4617" s="14">
        <f>VLOOKUP(E4617,Produtos!$A:$E,4,FALSE)</f>
        <v>500</v>
      </c>
      <c r="I4617" s="2">
        <v>2</v>
      </c>
    </row>
    <row r="4618" spans="1:9" x14ac:dyDescent="0.25">
      <c r="A4618" s="2" t="str">
        <f>CONCATENATE(Códigos!S4617,Códigos!T4617,Códigos!U4617)</f>
        <v>svv4616v</v>
      </c>
      <c r="B4618" t="s">
        <v>409</v>
      </c>
      <c r="C4618" t="s">
        <v>388</v>
      </c>
      <c r="D4618" s="2" t="s">
        <v>389</v>
      </c>
      <c r="E4618" t="s">
        <v>328</v>
      </c>
      <c r="F4618" s="11">
        <v>43149</v>
      </c>
      <c r="G4618" s="14">
        <f t="array" ref="G4618">VLOOKUP(E4618,Produtos!$A:$E,5,FALSE)</f>
        <v>900</v>
      </c>
      <c r="H4618" s="14">
        <f>VLOOKUP(E4618,Produtos!$A:$E,4,FALSE)</f>
        <v>500</v>
      </c>
      <c r="I4618" s="2">
        <v>2</v>
      </c>
    </row>
    <row r="4619" spans="1:9" x14ac:dyDescent="0.25">
      <c r="A4619" s="2" t="str">
        <f>CONCATENATE(Códigos!S4618,Códigos!T4618,Códigos!U4618)</f>
        <v>svv4617v</v>
      </c>
      <c r="B4619" t="s">
        <v>409</v>
      </c>
      <c r="C4619" t="s">
        <v>388</v>
      </c>
      <c r="D4619" s="2" t="s">
        <v>389</v>
      </c>
      <c r="E4619" t="s">
        <v>334</v>
      </c>
      <c r="F4619" s="11">
        <v>43150</v>
      </c>
      <c r="G4619" s="14">
        <f t="array" ref="G4619">VLOOKUP(E4619,Produtos!$A:$E,5,FALSE)</f>
        <v>1900</v>
      </c>
      <c r="H4619" s="14">
        <f>VLOOKUP(E4619,Produtos!$A:$E,4,FALSE)</f>
        <v>1250</v>
      </c>
      <c r="I4619" s="2">
        <v>2</v>
      </c>
    </row>
    <row r="4620" spans="1:9" x14ac:dyDescent="0.25">
      <c r="A4620" s="2" t="str">
        <f>CONCATENATE(Códigos!S4619,Códigos!T4619,Códigos!U4619)</f>
        <v>svv4618v</v>
      </c>
      <c r="B4620" t="s">
        <v>409</v>
      </c>
      <c r="C4620" t="s">
        <v>388</v>
      </c>
      <c r="D4620" s="2" t="s">
        <v>389</v>
      </c>
      <c r="E4620" t="s">
        <v>334</v>
      </c>
      <c r="F4620" s="11">
        <v>43151</v>
      </c>
      <c r="G4620" s="14">
        <f t="array" ref="G4620">VLOOKUP(E4620,Produtos!$A:$E,5,FALSE)</f>
        <v>1900</v>
      </c>
      <c r="H4620" s="14">
        <f>VLOOKUP(E4620,Produtos!$A:$E,4,FALSE)</f>
        <v>1250</v>
      </c>
      <c r="I4620" s="2">
        <v>2</v>
      </c>
    </row>
    <row r="4621" spans="1:9" x14ac:dyDescent="0.25">
      <c r="A4621" s="2" t="str">
        <f>CONCATENATE(Códigos!S4620,Códigos!T4620,Códigos!U4620)</f>
        <v>svv4619v</v>
      </c>
      <c r="B4621" t="s">
        <v>409</v>
      </c>
      <c r="C4621" t="s">
        <v>388</v>
      </c>
      <c r="D4621" s="2" t="s">
        <v>389</v>
      </c>
      <c r="E4621" t="s">
        <v>334</v>
      </c>
      <c r="F4621" s="11">
        <v>43152</v>
      </c>
      <c r="G4621" s="14">
        <f t="array" ref="G4621">VLOOKUP(E4621,Produtos!$A:$E,5,FALSE)</f>
        <v>1900</v>
      </c>
      <c r="H4621" s="14">
        <f>VLOOKUP(E4621,Produtos!$A:$E,4,FALSE)</f>
        <v>1250</v>
      </c>
      <c r="I4621" s="2">
        <v>2</v>
      </c>
    </row>
    <row r="4622" spans="1:9" x14ac:dyDescent="0.25">
      <c r="A4622" s="2" t="str">
        <f>CONCATENATE(Códigos!S4621,Códigos!T4621,Códigos!U4621)</f>
        <v>svv4620v</v>
      </c>
      <c r="B4622" t="s">
        <v>409</v>
      </c>
      <c r="C4622" t="s">
        <v>388</v>
      </c>
      <c r="D4622" s="2" t="s">
        <v>389</v>
      </c>
      <c r="E4622" t="s">
        <v>334</v>
      </c>
      <c r="F4622" s="11">
        <v>43153</v>
      </c>
      <c r="G4622" s="14">
        <f t="array" ref="G4622">VLOOKUP(E4622,Produtos!$A:$E,5,FALSE)</f>
        <v>1900</v>
      </c>
      <c r="H4622" s="14">
        <f>VLOOKUP(E4622,Produtos!$A:$E,4,FALSE)</f>
        <v>1250</v>
      </c>
      <c r="I4622" s="2">
        <v>2</v>
      </c>
    </row>
    <row r="4623" spans="1:9" x14ac:dyDescent="0.25">
      <c r="A4623" s="2" t="str">
        <f>CONCATENATE(Códigos!S4622,Códigos!T4622,Códigos!U4622)</f>
        <v>svv4621v</v>
      </c>
      <c r="B4623" t="s">
        <v>409</v>
      </c>
      <c r="C4623" t="s">
        <v>388</v>
      </c>
      <c r="D4623" s="2" t="s">
        <v>389</v>
      </c>
      <c r="E4623" t="s">
        <v>334</v>
      </c>
      <c r="F4623" s="11">
        <v>43154</v>
      </c>
      <c r="G4623" s="14">
        <f t="array" ref="G4623">VLOOKUP(E4623,Produtos!$A:$E,5,FALSE)</f>
        <v>1900</v>
      </c>
      <c r="H4623" s="14">
        <f>VLOOKUP(E4623,Produtos!$A:$E,4,FALSE)</f>
        <v>1250</v>
      </c>
      <c r="I4623" s="2">
        <v>2</v>
      </c>
    </row>
    <row r="4624" spans="1:9" x14ac:dyDescent="0.25">
      <c r="A4624" s="2" t="str">
        <f>CONCATENATE(Códigos!S4623,Códigos!T4623,Códigos!U4623)</f>
        <v>svv4622v</v>
      </c>
      <c r="B4624" t="s">
        <v>409</v>
      </c>
      <c r="C4624" t="s">
        <v>388</v>
      </c>
      <c r="D4624" s="2" t="s">
        <v>389</v>
      </c>
      <c r="E4624" t="s">
        <v>334</v>
      </c>
      <c r="F4624" s="11">
        <v>43155</v>
      </c>
      <c r="G4624" s="14">
        <f t="array" ref="G4624">VLOOKUP(E4624,Produtos!$A:$E,5,FALSE)</f>
        <v>1900</v>
      </c>
      <c r="H4624" s="14">
        <f>VLOOKUP(E4624,Produtos!$A:$E,4,FALSE)</f>
        <v>1250</v>
      </c>
      <c r="I4624" s="2">
        <v>2</v>
      </c>
    </row>
    <row r="4625" spans="1:9" x14ac:dyDescent="0.25">
      <c r="A4625" s="2" t="str">
        <f>CONCATENATE(Códigos!S4624,Códigos!T4624,Códigos!U4624)</f>
        <v>svv4623v</v>
      </c>
      <c r="B4625" t="s">
        <v>409</v>
      </c>
      <c r="C4625" t="s">
        <v>388</v>
      </c>
      <c r="D4625" s="2" t="s">
        <v>389</v>
      </c>
      <c r="E4625" t="s">
        <v>334</v>
      </c>
      <c r="F4625" s="11">
        <v>43156</v>
      </c>
      <c r="G4625" s="14">
        <f t="array" ref="G4625">VLOOKUP(E4625,Produtos!$A:$E,5,FALSE)</f>
        <v>1900</v>
      </c>
      <c r="H4625" s="14">
        <f>VLOOKUP(E4625,Produtos!$A:$E,4,FALSE)</f>
        <v>1250</v>
      </c>
      <c r="I4625" s="2">
        <v>2</v>
      </c>
    </row>
    <row r="4626" spans="1:9" x14ac:dyDescent="0.25">
      <c r="A4626" s="2" t="str">
        <f>CONCATENATE(Códigos!S4625,Códigos!T4625,Códigos!U4625)</f>
        <v>svv4624v</v>
      </c>
      <c r="B4626" t="s">
        <v>409</v>
      </c>
      <c r="C4626" t="s">
        <v>388</v>
      </c>
      <c r="D4626" s="2" t="s">
        <v>389</v>
      </c>
      <c r="E4626" t="s">
        <v>334</v>
      </c>
      <c r="F4626" s="11">
        <v>43157</v>
      </c>
      <c r="G4626" s="14">
        <f t="array" ref="G4626">VLOOKUP(E4626,Produtos!$A:$E,5,FALSE)</f>
        <v>1900</v>
      </c>
      <c r="H4626" s="14">
        <f>VLOOKUP(E4626,Produtos!$A:$E,4,FALSE)</f>
        <v>1250</v>
      </c>
      <c r="I4626" s="2">
        <v>2</v>
      </c>
    </row>
    <row r="4627" spans="1:9" x14ac:dyDescent="0.25">
      <c r="A4627" s="2" t="str">
        <f>CONCATENATE(Códigos!S4626,Códigos!T4626,Códigos!U4626)</f>
        <v>svv4625v</v>
      </c>
      <c r="B4627" t="s">
        <v>409</v>
      </c>
      <c r="C4627" t="s">
        <v>388</v>
      </c>
      <c r="D4627" s="2" t="s">
        <v>389</v>
      </c>
      <c r="E4627" t="s">
        <v>334</v>
      </c>
      <c r="F4627" s="11">
        <v>43158</v>
      </c>
      <c r="G4627" s="14">
        <f t="array" ref="G4627">VLOOKUP(E4627,Produtos!$A:$E,5,FALSE)</f>
        <v>1900</v>
      </c>
      <c r="H4627" s="14">
        <f>VLOOKUP(E4627,Produtos!$A:$E,4,FALSE)</f>
        <v>1250</v>
      </c>
      <c r="I4627" s="2">
        <v>2</v>
      </c>
    </row>
    <row r="4628" spans="1:9" x14ac:dyDescent="0.25">
      <c r="A4628" s="2" t="str">
        <f>CONCATENATE(Códigos!S4627,Códigos!T4627,Códigos!U4627)</f>
        <v>svv4626v</v>
      </c>
      <c r="B4628" t="s">
        <v>409</v>
      </c>
      <c r="C4628" t="s">
        <v>388</v>
      </c>
      <c r="D4628" s="2" t="s">
        <v>389</v>
      </c>
      <c r="E4628" t="s">
        <v>334</v>
      </c>
      <c r="F4628" s="11">
        <v>43159</v>
      </c>
      <c r="G4628" s="14">
        <f t="array" ref="G4628">VLOOKUP(E4628,Produtos!$A:$E,5,FALSE)</f>
        <v>1900</v>
      </c>
      <c r="H4628" s="14">
        <f>VLOOKUP(E4628,Produtos!$A:$E,4,FALSE)</f>
        <v>1250</v>
      </c>
      <c r="I4628" s="2">
        <v>2</v>
      </c>
    </row>
    <row r="4629" spans="1:9" x14ac:dyDescent="0.25">
      <c r="A4629" s="2" t="str">
        <f>CONCATENATE(Códigos!S4628,Códigos!T4628,Códigos!U4628)</f>
        <v>svv4627v</v>
      </c>
      <c r="B4629" t="s">
        <v>409</v>
      </c>
      <c r="C4629" t="s">
        <v>388</v>
      </c>
      <c r="D4629" s="2" t="s">
        <v>389</v>
      </c>
      <c r="E4629" t="s">
        <v>334</v>
      </c>
      <c r="F4629" s="11">
        <v>43160</v>
      </c>
      <c r="G4629" s="14">
        <f t="array" ref="G4629">VLOOKUP(E4629,Produtos!$A:$E,5,FALSE)</f>
        <v>1900</v>
      </c>
      <c r="H4629" s="14">
        <f>VLOOKUP(E4629,Produtos!$A:$E,4,FALSE)</f>
        <v>1250</v>
      </c>
      <c r="I4629" s="2">
        <v>2</v>
      </c>
    </row>
    <row r="4630" spans="1:9" x14ac:dyDescent="0.25">
      <c r="A4630" s="2" t="str">
        <f>CONCATENATE(Códigos!S4629,Códigos!T4629,Códigos!U4629)</f>
        <v>svv4628v</v>
      </c>
      <c r="B4630" t="s">
        <v>409</v>
      </c>
      <c r="C4630" t="s">
        <v>388</v>
      </c>
      <c r="D4630" s="2" t="s">
        <v>389</v>
      </c>
      <c r="E4630" t="s">
        <v>334</v>
      </c>
      <c r="F4630" s="11">
        <v>43161</v>
      </c>
      <c r="G4630" s="14">
        <f t="array" ref="G4630">VLOOKUP(E4630,Produtos!$A:$E,5,FALSE)</f>
        <v>1900</v>
      </c>
      <c r="H4630" s="14">
        <f>VLOOKUP(E4630,Produtos!$A:$E,4,FALSE)</f>
        <v>1250</v>
      </c>
      <c r="I4630" s="2">
        <v>2</v>
      </c>
    </row>
    <row r="4631" spans="1:9" x14ac:dyDescent="0.25">
      <c r="A4631" s="2" t="str">
        <f>CONCATENATE(Códigos!S4630,Códigos!T4630,Códigos!U4630)</f>
        <v>svv4629v</v>
      </c>
      <c r="B4631" t="s">
        <v>409</v>
      </c>
      <c r="C4631" t="s">
        <v>388</v>
      </c>
      <c r="D4631" s="2" t="s">
        <v>389</v>
      </c>
      <c r="E4631" t="s">
        <v>334</v>
      </c>
      <c r="F4631" s="11">
        <v>43162</v>
      </c>
      <c r="G4631" s="14">
        <f t="array" ref="G4631">VLOOKUP(E4631,Produtos!$A:$E,5,FALSE)</f>
        <v>1900</v>
      </c>
      <c r="H4631" s="14">
        <f>VLOOKUP(E4631,Produtos!$A:$E,4,FALSE)</f>
        <v>1250</v>
      </c>
      <c r="I4631" s="2">
        <v>2</v>
      </c>
    </row>
    <row r="4632" spans="1:9" x14ac:dyDescent="0.25">
      <c r="A4632" s="2" t="str">
        <f>CONCATENATE(Códigos!S4631,Códigos!T4631,Códigos!U4631)</f>
        <v>svv4630v</v>
      </c>
      <c r="B4632" t="s">
        <v>409</v>
      </c>
      <c r="C4632" t="s">
        <v>388</v>
      </c>
      <c r="D4632" s="2" t="s">
        <v>389</v>
      </c>
      <c r="E4632" t="s">
        <v>334</v>
      </c>
      <c r="F4632" s="11">
        <v>43163</v>
      </c>
      <c r="G4632" s="14">
        <f t="array" ref="G4632">VLOOKUP(E4632,Produtos!$A:$E,5,FALSE)</f>
        <v>1900</v>
      </c>
      <c r="H4632" s="14">
        <f>VLOOKUP(E4632,Produtos!$A:$E,4,FALSE)</f>
        <v>1250</v>
      </c>
      <c r="I4632" s="2">
        <v>2</v>
      </c>
    </row>
    <row r="4633" spans="1:9" x14ac:dyDescent="0.25">
      <c r="A4633" s="2" t="str">
        <f>CONCATENATE(Códigos!S4632,Códigos!T4632,Códigos!U4632)</f>
        <v>svv4631v</v>
      </c>
      <c r="B4633" t="s">
        <v>409</v>
      </c>
      <c r="C4633" t="s">
        <v>388</v>
      </c>
      <c r="D4633" s="2" t="s">
        <v>389</v>
      </c>
      <c r="E4633" t="s">
        <v>334</v>
      </c>
      <c r="F4633" s="11">
        <v>43164</v>
      </c>
      <c r="G4633" s="14">
        <f t="array" ref="G4633">VLOOKUP(E4633,Produtos!$A:$E,5,FALSE)</f>
        <v>1900</v>
      </c>
      <c r="H4633" s="14">
        <f>VLOOKUP(E4633,Produtos!$A:$E,4,FALSE)</f>
        <v>1250</v>
      </c>
      <c r="I4633" s="2">
        <v>2</v>
      </c>
    </row>
    <row r="4634" spans="1:9" x14ac:dyDescent="0.25">
      <c r="A4634" s="2" t="str">
        <f>CONCATENATE(Códigos!S4633,Códigos!T4633,Códigos!U4633)</f>
        <v>svv4632v</v>
      </c>
      <c r="B4634" t="s">
        <v>409</v>
      </c>
      <c r="C4634" t="s">
        <v>380</v>
      </c>
      <c r="D4634" s="2" t="s">
        <v>381</v>
      </c>
      <c r="E4634" t="s">
        <v>334</v>
      </c>
      <c r="F4634" s="11">
        <v>43165</v>
      </c>
      <c r="G4634" s="14">
        <f t="array" ref="G4634">VLOOKUP(E4634,Produtos!$A:$E,5,FALSE)</f>
        <v>1900</v>
      </c>
      <c r="H4634" s="14">
        <f>VLOOKUP(E4634,Produtos!$A:$E,4,FALSE)</f>
        <v>1250</v>
      </c>
      <c r="I4634" s="2">
        <v>2</v>
      </c>
    </row>
    <row r="4635" spans="1:9" x14ac:dyDescent="0.25">
      <c r="A4635" s="2" t="str">
        <f>CONCATENATE(Códigos!S4634,Códigos!T4634,Códigos!U4634)</f>
        <v>svv4633v</v>
      </c>
      <c r="B4635" t="s">
        <v>409</v>
      </c>
      <c r="C4635" t="s">
        <v>380</v>
      </c>
      <c r="D4635" s="2" t="s">
        <v>381</v>
      </c>
      <c r="E4635" t="s">
        <v>334</v>
      </c>
      <c r="F4635" s="11">
        <v>43166</v>
      </c>
      <c r="G4635" s="14">
        <f t="array" ref="G4635">VLOOKUP(E4635,Produtos!$A:$E,5,FALSE)</f>
        <v>1900</v>
      </c>
      <c r="H4635" s="14">
        <f>VLOOKUP(E4635,Produtos!$A:$E,4,FALSE)</f>
        <v>1250</v>
      </c>
      <c r="I4635" s="2">
        <v>2</v>
      </c>
    </row>
    <row r="4636" spans="1:9" x14ac:dyDescent="0.25">
      <c r="A4636" s="2" t="str">
        <f>CONCATENATE(Códigos!S4635,Códigos!T4635,Códigos!U4635)</f>
        <v>svv4634v</v>
      </c>
      <c r="B4636" t="s">
        <v>409</v>
      </c>
      <c r="C4636" t="s">
        <v>380</v>
      </c>
      <c r="D4636" s="2" t="s">
        <v>381</v>
      </c>
      <c r="E4636" t="s">
        <v>334</v>
      </c>
      <c r="F4636" s="11">
        <v>43167</v>
      </c>
      <c r="G4636" s="14">
        <f t="array" ref="G4636">VLOOKUP(E4636,Produtos!$A:$E,5,FALSE)</f>
        <v>1900</v>
      </c>
      <c r="H4636" s="14">
        <f>VLOOKUP(E4636,Produtos!$A:$E,4,FALSE)</f>
        <v>1250</v>
      </c>
      <c r="I4636" s="2">
        <v>2</v>
      </c>
    </row>
    <row r="4637" spans="1:9" x14ac:dyDescent="0.25">
      <c r="A4637" s="2" t="str">
        <f>CONCATENATE(Códigos!S4636,Códigos!T4636,Códigos!U4636)</f>
        <v>svv4635v</v>
      </c>
      <c r="B4637" t="s">
        <v>409</v>
      </c>
      <c r="C4637" t="s">
        <v>380</v>
      </c>
      <c r="D4637" s="2" t="s">
        <v>381</v>
      </c>
      <c r="E4637" t="s">
        <v>334</v>
      </c>
      <c r="F4637" s="11">
        <v>43168</v>
      </c>
      <c r="G4637" s="14">
        <f t="array" ref="G4637">VLOOKUP(E4637,Produtos!$A:$E,5,FALSE)</f>
        <v>1900</v>
      </c>
      <c r="H4637" s="14">
        <f>VLOOKUP(E4637,Produtos!$A:$E,4,FALSE)</f>
        <v>1250</v>
      </c>
      <c r="I4637" s="2">
        <v>2</v>
      </c>
    </row>
    <row r="4638" spans="1:9" x14ac:dyDescent="0.25">
      <c r="A4638" s="2" t="str">
        <f>CONCATENATE(Códigos!S4637,Códigos!T4637,Códigos!U4637)</f>
        <v>svv4636v</v>
      </c>
      <c r="B4638" t="s">
        <v>409</v>
      </c>
      <c r="C4638" t="s">
        <v>380</v>
      </c>
      <c r="D4638" s="2" t="s">
        <v>381</v>
      </c>
      <c r="E4638" t="s">
        <v>334</v>
      </c>
      <c r="F4638" s="11">
        <v>43169</v>
      </c>
      <c r="G4638" s="14">
        <f t="array" ref="G4638">VLOOKUP(E4638,Produtos!$A:$E,5,FALSE)</f>
        <v>1900</v>
      </c>
      <c r="H4638" s="14">
        <f>VLOOKUP(E4638,Produtos!$A:$E,4,FALSE)</f>
        <v>1250</v>
      </c>
      <c r="I4638" s="2">
        <v>2</v>
      </c>
    </row>
    <row r="4639" spans="1:9" x14ac:dyDescent="0.25">
      <c r="A4639" s="2" t="str">
        <f>CONCATENATE(Códigos!S4638,Códigos!T4638,Códigos!U4638)</f>
        <v>svv4637v</v>
      </c>
      <c r="B4639" t="s">
        <v>409</v>
      </c>
      <c r="C4639" t="s">
        <v>380</v>
      </c>
      <c r="D4639" s="2" t="s">
        <v>381</v>
      </c>
      <c r="E4639" t="s">
        <v>334</v>
      </c>
      <c r="F4639" s="11">
        <v>43170</v>
      </c>
      <c r="G4639" s="14">
        <f t="array" ref="G4639">VLOOKUP(E4639,Produtos!$A:$E,5,FALSE)</f>
        <v>1900</v>
      </c>
      <c r="H4639" s="14">
        <f>VLOOKUP(E4639,Produtos!$A:$E,4,FALSE)</f>
        <v>1250</v>
      </c>
      <c r="I4639" s="2">
        <v>2</v>
      </c>
    </row>
    <row r="4640" spans="1:9" x14ac:dyDescent="0.25">
      <c r="A4640" s="2" t="str">
        <f>CONCATENATE(Códigos!S4639,Códigos!T4639,Códigos!U4639)</f>
        <v>svv4638v</v>
      </c>
      <c r="B4640" t="s">
        <v>409</v>
      </c>
      <c r="C4640" t="s">
        <v>380</v>
      </c>
      <c r="D4640" s="2" t="s">
        <v>381</v>
      </c>
      <c r="E4640" t="s">
        <v>355</v>
      </c>
      <c r="F4640" s="11">
        <v>43171</v>
      </c>
      <c r="G4640" s="14">
        <f t="array" ref="G4640">VLOOKUP(E4640,Produtos!$A:$E,5,FALSE)</f>
        <v>1300</v>
      </c>
      <c r="H4640" s="14">
        <f>VLOOKUP(E4640,Produtos!$A:$E,4,FALSE)</f>
        <v>1000</v>
      </c>
      <c r="I4640" s="2">
        <v>2</v>
      </c>
    </row>
    <row r="4641" spans="1:9" x14ac:dyDescent="0.25">
      <c r="A4641" s="2" t="str">
        <f>CONCATENATE(Códigos!S4640,Códigos!T4640,Códigos!U4640)</f>
        <v>svv4639v</v>
      </c>
      <c r="B4641" t="s">
        <v>409</v>
      </c>
      <c r="C4641" t="s">
        <v>380</v>
      </c>
      <c r="D4641" s="2" t="s">
        <v>381</v>
      </c>
      <c r="E4641" t="s">
        <v>355</v>
      </c>
      <c r="F4641" s="11">
        <v>43172</v>
      </c>
      <c r="G4641" s="14">
        <f t="array" ref="G4641">VLOOKUP(E4641,Produtos!$A:$E,5,FALSE)</f>
        <v>1300</v>
      </c>
      <c r="H4641" s="14">
        <f>VLOOKUP(E4641,Produtos!$A:$E,4,FALSE)</f>
        <v>1000</v>
      </c>
      <c r="I4641" s="2">
        <v>2</v>
      </c>
    </row>
    <row r="4642" spans="1:9" x14ac:dyDescent="0.25">
      <c r="A4642" s="2" t="str">
        <f>CONCATENATE(Códigos!S4641,Códigos!T4641,Códigos!U4641)</f>
        <v>svv4640v</v>
      </c>
      <c r="B4642" t="s">
        <v>409</v>
      </c>
      <c r="C4642" t="s">
        <v>380</v>
      </c>
      <c r="D4642" s="2" t="s">
        <v>381</v>
      </c>
      <c r="E4642" t="s">
        <v>355</v>
      </c>
      <c r="F4642" s="11">
        <v>43173</v>
      </c>
      <c r="G4642" s="14">
        <f t="array" ref="G4642">VLOOKUP(E4642,Produtos!$A:$E,5,FALSE)</f>
        <v>1300</v>
      </c>
      <c r="H4642" s="14">
        <f>VLOOKUP(E4642,Produtos!$A:$E,4,FALSE)</f>
        <v>1000</v>
      </c>
      <c r="I4642" s="2">
        <v>2</v>
      </c>
    </row>
    <row r="4643" spans="1:9" x14ac:dyDescent="0.25">
      <c r="A4643" s="2" t="str">
        <f>CONCATENATE(Códigos!S4642,Códigos!T4642,Códigos!U4642)</f>
        <v>svv4641v</v>
      </c>
      <c r="B4643" t="s">
        <v>409</v>
      </c>
      <c r="C4643" t="s">
        <v>380</v>
      </c>
      <c r="D4643" s="2" t="s">
        <v>381</v>
      </c>
      <c r="E4643" t="s">
        <v>413</v>
      </c>
      <c r="F4643" s="11">
        <v>43174</v>
      </c>
      <c r="G4643" s="14">
        <f t="array" ref="G4643">VLOOKUP(E4643,Produtos!$A:$E,5,FALSE)</f>
        <v>550</v>
      </c>
      <c r="H4643" s="14">
        <f>VLOOKUP(E4643,Produtos!$A:$E,4,FALSE)</f>
        <v>300</v>
      </c>
      <c r="I4643" s="2">
        <v>2</v>
      </c>
    </row>
    <row r="4644" spans="1:9" x14ac:dyDescent="0.25">
      <c r="A4644" s="2" t="str">
        <f>CONCATENATE(Códigos!S4643,Códigos!T4643,Códigos!U4643)</f>
        <v>svv4642v</v>
      </c>
      <c r="B4644" t="s">
        <v>409</v>
      </c>
      <c r="C4644" t="s">
        <v>380</v>
      </c>
      <c r="D4644" s="2" t="s">
        <v>381</v>
      </c>
      <c r="E4644" t="s">
        <v>413</v>
      </c>
      <c r="F4644" s="11">
        <v>43175</v>
      </c>
      <c r="G4644" s="14">
        <f t="array" ref="G4644">VLOOKUP(E4644,Produtos!$A:$E,5,FALSE)</f>
        <v>550</v>
      </c>
      <c r="H4644" s="14">
        <f>VLOOKUP(E4644,Produtos!$A:$E,4,FALSE)</f>
        <v>300</v>
      </c>
      <c r="I4644" s="2">
        <v>2</v>
      </c>
    </row>
    <row r="4645" spans="1:9" x14ac:dyDescent="0.25">
      <c r="A4645" s="2" t="str">
        <f>CONCATENATE(Códigos!S4644,Códigos!T4644,Códigos!U4644)</f>
        <v>svv4643v</v>
      </c>
      <c r="B4645" t="s">
        <v>409</v>
      </c>
      <c r="C4645" t="s">
        <v>380</v>
      </c>
      <c r="D4645" s="2" t="s">
        <v>381</v>
      </c>
      <c r="E4645" t="s">
        <v>413</v>
      </c>
      <c r="F4645" s="11">
        <v>43176</v>
      </c>
      <c r="G4645" s="14">
        <f t="array" ref="G4645">VLOOKUP(E4645,Produtos!$A:$E,5,FALSE)</f>
        <v>550</v>
      </c>
      <c r="H4645" s="14">
        <f>VLOOKUP(E4645,Produtos!$A:$E,4,FALSE)</f>
        <v>300</v>
      </c>
      <c r="I4645" s="2">
        <v>2</v>
      </c>
    </row>
    <row r="4646" spans="1:9" x14ac:dyDescent="0.25">
      <c r="A4646" s="2" t="str">
        <f>CONCATENATE(Códigos!S4645,Códigos!T4645,Códigos!U4645)</f>
        <v>svv4644v</v>
      </c>
      <c r="B4646" t="s">
        <v>409</v>
      </c>
      <c r="C4646" t="s">
        <v>380</v>
      </c>
      <c r="D4646" s="2" t="s">
        <v>381</v>
      </c>
      <c r="E4646" t="s">
        <v>413</v>
      </c>
      <c r="F4646" s="11">
        <v>43177</v>
      </c>
      <c r="G4646" s="14">
        <f t="array" ref="G4646">VLOOKUP(E4646,Produtos!$A:$E,5,FALSE)</f>
        <v>550</v>
      </c>
      <c r="H4646" s="14">
        <f>VLOOKUP(E4646,Produtos!$A:$E,4,FALSE)</f>
        <v>300</v>
      </c>
      <c r="I4646" s="2">
        <v>2</v>
      </c>
    </row>
    <row r="4647" spans="1:9" x14ac:dyDescent="0.25">
      <c r="A4647" s="2" t="str">
        <f>CONCATENATE(Códigos!S4646,Códigos!T4646,Códigos!U4646)</f>
        <v>svv4645v</v>
      </c>
      <c r="B4647" t="s">
        <v>409</v>
      </c>
      <c r="C4647" t="s">
        <v>380</v>
      </c>
      <c r="D4647" s="2" t="s">
        <v>381</v>
      </c>
      <c r="E4647" t="s">
        <v>413</v>
      </c>
      <c r="F4647" s="11">
        <v>43178</v>
      </c>
      <c r="G4647" s="14">
        <f t="array" ref="G4647">VLOOKUP(E4647,Produtos!$A:$E,5,FALSE)</f>
        <v>550</v>
      </c>
      <c r="H4647" s="14">
        <f>VLOOKUP(E4647,Produtos!$A:$E,4,FALSE)</f>
        <v>300</v>
      </c>
      <c r="I4647" s="2">
        <v>2</v>
      </c>
    </row>
    <row r="4648" spans="1:9" x14ac:dyDescent="0.25">
      <c r="A4648" s="2" t="str">
        <f>CONCATENATE(Códigos!S4647,Códigos!T4647,Códigos!U4647)</f>
        <v>svv4646v</v>
      </c>
      <c r="B4648" t="s">
        <v>409</v>
      </c>
      <c r="C4648" t="s">
        <v>380</v>
      </c>
      <c r="D4648" s="2" t="s">
        <v>381</v>
      </c>
      <c r="E4648" t="s">
        <v>413</v>
      </c>
      <c r="F4648" s="11">
        <v>43179</v>
      </c>
      <c r="G4648" s="14">
        <f t="array" ref="G4648">VLOOKUP(E4648,Produtos!$A:$E,5,FALSE)</f>
        <v>550</v>
      </c>
      <c r="H4648" s="14">
        <f>VLOOKUP(E4648,Produtos!$A:$E,4,FALSE)</f>
        <v>300</v>
      </c>
      <c r="I4648" s="2">
        <v>2</v>
      </c>
    </row>
    <row r="4649" spans="1:9" x14ac:dyDescent="0.25">
      <c r="A4649" s="2" t="str">
        <f>CONCATENATE(Códigos!S4648,Códigos!T4648,Códigos!U4648)</f>
        <v>svv4647v</v>
      </c>
      <c r="B4649" t="s">
        <v>409</v>
      </c>
      <c r="C4649" t="s">
        <v>380</v>
      </c>
      <c r="D4649" s="2" t="s">
        <v>381</v>
      </c>
      <c r="E4649" t="s">
        <v>413</v>
      </c>
      <c r="F4649" s="11">
        <v>43180</v>
      </c>
      <c r="G4649" s="14">
        <f t="array" ref="G4649">VLOOKUP(E4649,Produtos!$A:$E,5,FALSE)</f>
        <v>550</v>
      </c>
      <c r="H4649" s="14">
        <f>VLOOKUP(E4649,Produtos!$A:$E,4,FALSE)</f>
        <v>300</v>
      </c>
      <c r="I4649" s="2">
        <v>2</v>
      </c>
    </row>
    <row r="4650" spans="1:9" x14ac:dyDescent="0.25">
      <c r="A4650" s="2" t="str">
        <f>CONCATENATE(Códigos!S4649,Códigos!T4649,Códigos!U4649)</f>
        <v>svv4648v</v>
      </c>
      <c r="B4650" t="s">
        <v>409</v>
      </c>
      <c r="C4650" t="s">
        <v>380</v>
      </c>
      <c r="D4650" s="2" t="s">
        <v>381</v>
      </c>
      <c r="E4650" t="s">
        <v>413</v>
      </c>
      <c r="F4650" s="11">
        <v>43181</v>
      </c>
      <c r="G4650" s="14">
        <f t="array" ref="G4650">VLOOKUP(E4650,Produtos!$A:$E,5,FALSE)</f>
        <v>550</v>
      </c>
      <c r="H4650" s="14">
        <f>VLOOKUP(E4650,Produtos!$A:$E,4,FALSE)</f>
        <v>300</v>
      </c>
      <c r="I4650" s="2">
        <v>2</v>
      </c>
    </row>
    <row r="4651" spans="1:9" x14ac:dyDescent="0.25">
      <c r="A4651" s="2" t="str">
        <f>CONCATENATE(Códigos!S4650,Códigos!T4650,Códigos!U4650)</f>
        <v>svv4649v</v>
      </c>
      <c r="B4651" t="s">
        <v>409</v>
      </c>
      <c r="C4651" t="s">
        <v>380</v>
      </c>
      <c r="D4651" s="2" t="s">
        <v>381</v>
      </c>
      <c r="E4651" t="s">
        <v>413</v>
      </c>
      <c r="F4651" s="11">
        <v>43182</v>
      </c>
      <c r="G4651" s="14">
        <f t="array" ref="G4651">VLOOKUP(E4651,Produtos!$A:$E,5,FALSE)</f>
        <v>550</v>
      </c>
      <c r="H4651" s="14">
        <f>VLOOKUP(E4651,Produtos!$A:$E,4,FALSE)</f>
        <v>300</v>
      </c>
      <c r="I4651" s="2">
        <v>2</v>
      </c>
    </row>
    <row r="4652" spans="1:9" x14ac:dyDescent="0.25">
      <c r="A4652" s="2" t="str">
        <f>CONCATENATE(Códigos!S4651,Códigos!T4651,Códigos!U4651)</f>
        <v>svv4650v</v>
      </c>
      <c r="B4652" t="s">
        <v>409</v>
      </c>
      <c r="C4652" t="s">
        <v>380</v>
      </c>
      <c r="D4652" s="2" t="s">
        <v>381</v>
      </c>
      <c r="E4652" t="s">
        <v>413</v>
      </c>
      <c r="F4652" s="11">
        <v>43183</v>
      </c>
      <c r="G4652" s="14">
        <f t="array" ref="G4652">VLOOKUP(E4652,Produtos!$A:$E,5,FALSE)</f>
        <v>550</v>
      </c>
      <c r="H4652" s="14">
        <f>VLOOKUP(E4652,Produtos!$A:$E,4,FALSE)</f>
        <v>300</v>
      </c>
      <c r="I4652" s="2">
        <v>2</v>
      </c>
    </row>
    <row r="4653" spans="1:9" x14ac:dyDescent="0.25">
      <c r="A4653" s="2" t="str">
        <f>CONCATENATE(Códigos!S4652,Códigos!T4652,Códigos!U4652)</f>
        <v>svv4651v</v>
      </c>
      <c r="B4653" t="s">
        <v>409</v>
      </c>
      <c r="C4653" t="s">
        <v>380</v>
      </c>
      <c r="D4653" s="2" t="s">
        <v>381</v>
      </c>
      <c r="E4653" t="s">
        <v>413</v>
      </c>
      <c r="F4653" s="11">
        <v>43184</v>
      </c>
      <c r="G4653" s="14">
        <f t="array" ref="G4653">VLOOKUP(E4653,Produtos!$A:$E,5,FALSE)</f>
        <v>550</v>
      </c>
      <c r="H4653" s="14">
        <f>VLOOKUP(E4653,Produtos!$A:$E,4,FALSE)</f>
        <v>300</v>
      </c>
      <c r="I4653" s="2">
        <v>2</v>
      </c>
    </row>
    <row r="4654" spans="1:9" x14ac:dyDescent="0.25">
      <c r="A4654" s="2" t="str">
        <f>CONCATENATE(Códigos!S4653,Códigos!T4653,Códigos!U4653)</f>
        <v>svv4652v</v>
      </c>
      <c r="B4654" t="s">
        <v>409</v>
      </c>
      <c r="C4654" t="s">
        <v>380</v>
      </c>
      <c r="D4654" s="2" t="s">
        <v>381</v>
      </c>
      <c r="E4654" t="s">
        <v>413</v>
      </c>
      <c r="F4654" s="11">
        <v>43185</v>
      </c>
      <c r="G4654" s="14">
        <f t="array" ref="G4654">VLOOKUP(E4654,Produtos!$A:$E,5,FALSE)</f>
        <v>550</v>
      </c>
      <c r="H4654" s="14">
        <f>VLOOKUP(E4654,Produtos!$A:$E,4,FALSE)</f>
        <v>300</v>
      </c>
      <c r="I4654" s="2">
        <v>2</v>
      </c>
    </row>
    <row r="4655" spans="1:9" x14ac:dyDescent="0.25">
      <c r="A4655" s="2" t="str">
        <f>CONCATENATE(Códigos!S4654,Códigos!T4654,Códigos!U4654)</f>
        <v>svv4653v</v>
      </c>
      <c r="B4655" t="s">
        <v>409</v>
      </c>
      <c r="C4655" t="s">
        <v>380</v>
      </c>
      <c r="D4655" s="2" t="s">
        <v>381</v>
      </c>
      <c r="E4655" t="s">
        <v>367</v>
      </c>
      <c r="F4655" s="11">
        <v>43186</v>
      </c>
      <c r="G4655" s="14">
        <f t="array" ref="G4655">VLOOKUP(E4655,Produtos!$A:$E,5,FALSE)</f>
        <v>120</v>
      </c>
      <c r="H4655" s="14">
        <f>VLOOKUP(E4655,Produtos!$A:$E,4,FALSE)</f>
        <v>60</v>
      </c>
      <c r="I4655" s="2">
        <v>2</v>
      </c>
    </row>
    <row r="4656" spans="1:9" x14ac:dyDescent="0.25">
      <c r="A4656" s="2" t="str">
        <f>CONCATENATE(Códigos!S4655,Códigos!T4655,Códigos!U4655)</f>
        <v>svv4654v</v>
      </c>
      <c r="B4656" t="s">
        <v>409</v>
      </c>
      <c r="C4656" t="s">
        <v>380</v>
      </c>
      <c r="D4656" s="2" t="s">
        <v>381</v>
      </c>
      <c r="E4656" t="s">
        <v>367</v>
      </c>
      <c r="F4656" s="11">
        <v>43187</v>
      </c>
      <c r="G4656" s="14">
        <f t="array" ref="G4656">VLOOKUP(E4656,Produtos!$A:$E,5,FALSE)</f>
        <v>120</v>
      </c>
      <c r="H4656" s="14">
        <f>VLOOKUP(E4656,Produtos!$A:$E,4,FALSE)</f>
        <v>60</v>
      </c>
      <c r="I4656" s="2">
        <v>2</v>
      </c>
    </row>
    <row r="4657" spans="1:9" x14ac:dyDescent="0.25">
      <c r="A4657" s="2" t="str">
        <f>CONCATENATE(Códigos!S4656,Códigos!T4656,Códigos!U4656)</f>
        <v>svv4655v</v>
      </c>
      <c r="B4657" t="s">
        <v>409</v>
      </c>
      <c r="C4657" t="s">
        <v>380</v>
      </c>
      <c r="D4657" s="2" t="s">
        <v>381</v>
      </c>
      <c r="E4657" t="s">
        <v>367</v>
      </c>
      <c r="F4657" s="11">
        <v>43188</v>
      </c>
      <c r="G4657" s="14">
        <f t="array" ref="G4657">VLOOKUP(E4657,Produtos!$A:$E,5,FALSE)</f>
        <v>120</v>
      </c>
      <c r="H4657" s="14">
        <f>VLOOKUP(E4657,Produtos!$A:$E,4,FALSE)</f>
        <v>60</v>
      </c>
      <c r="I4657" s="2">
        <v>2</v>
      </c>
    </row>
    <row r="4658" spans="1:9" x14ac:dyDescent="0.25">
      <c r="A4658" s="2" t="str">
        <f>CONCATENATE(Códigos!S4657,Códigos!T4657,Códigos!U4657)</f>
        <v>svv4656v</v>
      </c>
      <c r="B4658" t="s">
        <v>409</v>
      </c>
      <c r="C4658" t="s">
        <v>380</v>
      </c>
      <c r="D4658" s="2" t="s">
        <v>381</v>
      </c>
      <c r="E4658" t="s">
        <v>367</v>
      </c>
      <c r="F4658" s="11">
        <v>43189</v>
      </c>
      <c r="G4658" s="14">
        <f t="array" ref="G4658">VLOOKUP(E4658,Produtos!$A:$E,5,FALSE)</f>
        <v>120</v>
      </c>
      <c r="H4658" s="14">
        <f>VLOOKUP(E4658,Produtos!$A:$E,4,FALSE)</f>
        <v>60</v>
      </c>
      <c r="I4658" s="2">
        <v>2</v>
      </c>
    </row>
    <row r="4659" spans="1:9" x14ac:dyDescent="0.25">
      <c r="A4659" s="2" t="str">
        <f>CONCATENATE(Códigos!S4658,Códigos!T4658,Códigos!U4658)</f>
        <v>svv4657v</v>
      </c>
      <c r="B4659" t="s">
        <v>409</v>
      </c>
      <c r="C4659" t="s">
        <v>380</v>
      </c>
      <c r="D4659" s="2" t="s">
        <v>381</v>
      </c>
      <c r="E4659" t="s">
        <v>367</v>
      </c>
      <c r="F4659" s="11">
        <v>43190</v>
      </c>
      <c r="G4659" s="14">
        <f t="array" ref="G4659">VLOOKUP(E4659,Produtos!$A:$E,5,FALSE)</f>
        <v>120</v>
      </c>
      <c r="H4659" s="14">
        <f>VLOOKUP(E4659,Produtos!$A:$E,4,FALSE)</f>
        <v>60</v>
      </c>
      <c r="I4659" s="2">
        <v>2</v>
      </c>
    </row>
    <row r="4660" spans="1:9" x14ac:dyDescent="0.25">
      <c r="A4660" s="2" t="str">
        <f>CONCATENATE(Códigos!S4659,Códigos!T4659,Códigos!U4659)</f>
        <v>svv4658v</v>
      </c>
      <c r="B4660" t="s">
        <v>409</v>
      </c>
      <c r="C4660" t="s">
        <v>380</v>
      </c>
      <c r="D4660" s="2" t="s">
        <v>381</v>
      </c>
      <c r="E4660" t="s">
        <v>367</v>
      </c>
      <c r="F4660" s="11">
        <v>43191</v>
      </c>
      <c r="G4660" s="14">
        <f t="array" ref="G4660">VLOOKUP(E4660,Produtos!$A:$E,5,FALSE)</f>
        <v>120</v>
      </c>
      <c r="H4660" s="14">
        <f>VLOOKUP(E4660,Produtos!$A:$E,4,FALSE)</f>
        <v>60</v>
      </c>
      <c r="I4660" s="2">
        <v>2</v>
      </c>
    </row>
    <row r="4661" spans="1:9" x14ac:dyDescent="0.25">
      <c r="A4661" s="2" t="str">
        <f>CONCATENATE(Códigos!S4660,Códigos!T4660,Códigos!U4660)</f>
        <v>svv4659v</v>
      </c>
      <c r="B4661" t="s">
        <v>409</v>
      </c>
      <c r="C4661" t="s">
        <v>380</v>
      </c>
      <c r="D4661" s="2" t="s">
        <v>381</v>
      </c>
      <c r="E4661" t="s">
        <v>367</v>
      </c>
      <c r="F4661" s="11">
        <v>43192</v>
      </c>
      <c r="G4661" s="14">
        <f t="array" ref="G4661">VLOOKUP(E4661,Produtos!$A:$E,5,FALSE)</f>
        <v>120</v>
      </c>
      <c r="H4661" s="14">
        <f>VLOOKUP(E4661,Produtos!$A:$E,4,FALSE)</f>
        <v>60</v>
      </c>
      <c r="I4661" s="2">
        <v>2</v>
      </c>
    </row>
    <row r="4662" spans="1:9" x14ac:dyDescent="0.25">
      <c r="A4662" s="2" t="str">
        <f>CONCATENATE(Códigos!S4661,Códigos!T4661,Códigos!U4661)</f>
        <v>svv4660v</v>
      </c>
      <c r="B4662" t="s">
        <v>409</v>
      </c>
      <c r="C4662" t="s">
        <v>380</v>
      </c>
      <c r="D4662" s="2" t="s">
        <v>381</v>
      </c>
      <c r="E4662" t="s">
        <v>367</v>
      </c>
      <c r="F4662" s="11">
        <v>43193</v>
      </c>
      <c r="G4662" s="14">
        <f t="array" ref="G4662">VLOOKUP(E4662,Produtos!$A:$E,5,FALSE)</f>
        <v>120</v>
      </c>
      <c r="H4662" s="14">
        <f>VLOOKUP(E4662,Produtos!$A:$E,4,FALSE)</f>
        <v>60</v>
      </c>
      <c r="I4662" s="2">
        <v>2</v>
      </c>
    </row>
    <row r="4663" spans="1:9" x14ac:dyDescent="0.25">
      <c r="A4663" s="2" t="str">
        <f>CONCATENATE(Códigos!S4662,Códigos!T4662,Códigos!U4662)</f>
        <v>svv4661v</v>
      </c>
      <c r="B4663" t="s">
        <v>409</v>
      </c>
      <c r="C4663" t="s">
        <v>380</v>
      </c>
      <c r="D4663" s="2" t="s">
        <v>381</v>
      </c>
      <c r="E4663" t="s">
        <v>367</v>
      </c>
      <c r="F4663" s="11">
        <v>43194</v>
      </c>
      <c r="G4663" s="14">
        <f t="array" ref="G4663">VLOOKUP(E4663,Produtos!$A:$E,5,FALSE)</f>
        <v>120</v>
      </c>
      <c r="H4663" s="14">
        <f>VLOOKUP(E4663,Produtos!$A:$E,4,FALSE)</f>
        <v>60</v>
      </c>
      <c r="I4663" s="2">
        <v>2</v>
      </c>
    </row>
    <row r="4664" spans="1:9" x14ac:dyDescent="0.25">
      <c r="A4664" s="2" t="str">
        <f>CONCATENATE(Códigos!S4663,Códigos!T4663,Códigos!U4663)</f>
        <v>svv4662v</v>
      </c>
      <c r="B4664" t="s">
        <v>409</v>
      </c>
      <c r="C4664" t="s">
        <v>380</v>
      </c>
      <c r="D4664" s="2" t="s">
        <v>381</v>
      </c>
      <c r="E4664" t="s">
        <v>367</v>
      </c>
      <c r="F4664" s="11">
        <v>43195</v>
      </c>
      <c r="G4664" s="14">
        <f t="array" ref="G4664">VLOOKUP(E4664,Produtos!$A:$E,5,FALSE)</f>
        <v>120</v>
      </c>
      <c r="H4664" s="14">
        <f>VLOOKUP(E4664,Produtos!$A:$E,4,FALSE)</f>
        <v>60</v>
      </c>
      <c r="I4664" s="2">
        <v>2</v>
      </c>
    </row>
    <row r="4665" spans="1:9" x14ac:dyDescent="0.25">
      <c r="A4665" s="2" t="str">
        <f>CONCATENATE(Códigos!S4664,Códigos!T4664,Códigos!U4664)</f>
        <v>svv4663v</v>
      </c>
      <c r="B4665" t="s">
        <v>409</v>
      </c>
      <c r="C4665" t="s">
        <v>380</v>
      </c>
      <c r="D4665" s="2" t="s">
        <v>381</v>
      </c>
      <c r="E4665" t="s">
        <v>367</v>
      </c>
      <c r="F4665" s="11">
        <v>43196</v>
      </c>
      <c r="G4665" s="14">
        <f t="array" ref="G4665">VLOOKUP(E4665,Produtos!$A:$E,5,FALSE)</f>
        <v>120</v>
      </c>
      <c r="H4665" s="14">
        <f>VLOOKUP(E4665,Produtos!$A:$E,4,FALSE)</f>
        <v>60</v>
      </c>
      <c r="I4665" s="2">
        <v>2</v>
      </c>
    </row>
    <row r="4666" spans="1:9" x14ac:dyDescent="0.25">
      <c r="A4666" s="2" t="str">
        <f>CONCATENATE(Códigos!S4665,Códigos!T4665,Códigos!U4665)</f>
        <v>svv4664v</v>
      </c>
      <c r="B4666" t="s">
        <v>408</v>
      </c>
      <c r="C4666" t="s">
        <v>380</v>
      </c>
      <c r="D4666" s="2" t="s">
        <v>381</v>
      </c>
      <c r="E4666" t="s">
        <v>367</v>
      </c>
      <c r="F4666" s="11">
        <v>43197</v>
      </c>
      <c r="G4666" s="14">
        <f t="array" ref="G4666">VLOOKUP(E4666,Produtos!$A:$E,5,FALSE)</f>
        <v>120</v>
      </c>
      <c r="H4666" s="14">
        <f>VLOOKUP(E4666,Produtos!$A:$E,4,FALSE)</f>
        <v>60</v>
      </c>
      <c r="I4666" s="2">
        <v>2</v>
      </c>
    </row>
    <row r="4667" spans="1:9" x14ac:dyDescent="0.25">
      <c r="A4667" s="2" t="str">
        <f>CONCATENATE(Códigos!S4666,Códigos!T4666,Códigos!U4666)</f>
        <v>svv4665v</v>
      </c>
      <c r="B4667" t="s">
        <v>408</v>
      </c>
      <c r="C4667" t="s">
        <v>380</v>
      </c>
      <c r="D4667" s="2" t="s">
        <v>381</v>
      </c>
      <c r="E4667" t="s">
        <v>367</v>
      </c>
      <c r="F4667" s="11">
        <v>43198</v>
      </c>
      <c r="G4667" s="14">
        <f t="array" ref="G4667">VLOOKUP(E4667,Produtos!$A:$E,5,FALSE)</f>
        <v>120</v>
      </c>
      <c r="H4667" s="14">
        <f>VLOOKUP(E4667,Produtos!$A:$E,4,FALSE)</f>
        <v>60</v>
      </c>
      <c r="I4667" s="2">
        <v>2</v>
      </c>
    </row>
    <row r="4668" spans="1:9" x14ac:dyDescent="0.25">
      <c r="A4668" s="2" t="str">
        <f>CONCATENATE(Códigos!S4667,Códigos!T4667,Códigos!U4667)</f>
        <v>svv4666v</v>
      </c>
      <c r="B4668" t="s">
        <v>408</v>
      </c>
      <c r="C4668" t="s">
        <v>380</v>
      </c>
      <c r="D4668" s="2" t="s">
        <v>381</v>
      </c>
      <c r="E4668" t="s">
        <v>367</v>
      </c>
      <c r="F4668" s="11">
        <v>43199</v>
      </c>
      <c r="G4668" s="14">
        <f t="array" ref="G4668">VLOOKUP(E4668,Produtos!$A:$E,5,FALSE)</f>
        <v>120</v>
      </c>
      <c r="H4668" s="14">
        <f>VLOOKUP(E4668,Produtos!$A:$E,4,FALSE)</f>
        <v>60</v>
      </c>
      <c r="I4668" s="2">
        <v>2</v>
      </c>
    </row>
    <row r="4669" spans="1:9" x14ac:dyDescent="0.25">
      <c r="A4669" s="2" t="str">
        <f>CONCATENATE(Códigos!S4668,Códigos!T4668,Códigos!U4668)</f>
        <v>svv4667v</v>
      </c>
      <c r="B4669" t="s">
        <v>408</v>
      </c>
      <c r="C4669" t="s">
        <v>380</v>
      </c>
      <c r="D4669" s="2" t="s">
        <v>381</v>
      </c>
      <c r="E4669" t="s">
        <v>367</v>
      </c>
      <c r="F4669" s="11">
        <v>43200</v>
      </c>
      <c r="G4669" s="14">
        <f t="array" ref="G4669">VLOOKUP(E4669,Produtos!$A:$E,5,FALSE)</f>
        <v>120</v>
      </c>
      <c r="H4669" s="14">
        <f>VLOOKUP(E4669,Produtos!$A:$E,4,FALSE)</f>
        <v>60</v>
      </c>
      <c r="I4669" s="2">
        <v>2</v>
      </c>
    </row>
    <row r="4670" spans="1:9" x14ac:dyDescent="0.25">
      <c r="A4670" s="2" t="str">
        <f>CONCATENATE(Códigos!S4669,Códigos!T4669,Códigos!U4669)</f>
        <v>svv4668v</v>
      </c>
      <c r="B4670" t="s">
        <v>408</v>
      </c>
      <c r="C4670" t="s">
        <v>380</v>
      </c>
      <c r="D4670" s="2" t="s">
        <v>381</v>
      </c>
      <c r="E4670" t="s">
        <v>367</v>
      </c>
      <c r="F4670" s="11">
        <v>43201</v>
      </c>
      <c r="G4670" s="14">
        <f t="array" ref="G4670">VLOOKUP(E4670,Produtos!$A:$E,5,FALSE)</f>
        <v>120</v>
      </c>
      <c r="H4670" s="14">
        <f>VLOOKUP(E4670,Produtos!$A:$E,4,FALSE)</f>
        <v>60</v>
      </c>
      <c r="I4670" s="2">
        <v>2</v>
      </c>
    </row>
    <row r="4671" spans="1:9" x14ac:dyDescent="0.25">
      <c r="A4671" s="2" t="str">
        <f>CONCATENATE(Códigos!S4670,Códigos!T4670,Códigos!U4670)</f>
        <v>svv4669v</v>
      </c>
      <c r="B4671" t="s">
        <v>408</v>
      </c>
      <c r="C4671" t="s">
        <v>380</v>
      </c>
      <c r="D4671" s="2" t="s">
        <v>381</v>
      </c>
      <c r="E4671" t="s">
        <v>367</v>
      </c>
      <c r="F4671" s="11">
        <v>43202</v>
      </c>
      <c r="G4671" s="14">
        <f t="array" ref="G4671">VLOOKUP(E4671,Produtos!$A:$E,5,FALSE)</f>
        <v>120</v>
      </c>
      <c r="H4671" s="14">
        <f>VLOOKUP(E4671,Produtos!$A:$E,4,FALSE)</f>
        <v>60</v>
      </c>
      <c r="I4671" s="2">
        <v>2</v>
      </c>
    </row>
    <row r="4672" spans="1:9" x14ac:dyDescent="0.25">
      <c r="A4672" s="2" t="str">
        <f>CONCATENATE(Códigos!S4671,Códigos!T4671,Códigos!U4671)</f>
        <v>svv4670v</v>
      </c>
      <c r="B4672" t="s">
        <v>408</v>
      </c>
      <c r="C4672" t="s">
        <v>380</v>
      </c>
      <c r="D4672" s="2" t="s">
        <v>381</v>
      </c>
      <c r="E4672" t="s">
        <v>367</v>
      </c>
      <c r="F4672" s="11">
        <v>43203</v>
      </c>
      <c r="G4672" s="14">
        <f t="array" ref="G4672">VLOOKUP(E4672,Produtos!$A:$E,5,FALSE)</f>
        <v>120</v>
      </c>
      <c r="H4672" s="14">
        <f>VLOOKUP(E4672,Produtos!$A:$E,4,FALSE)</f>
        <v>60</v>
      </c>
      <c r="I4672" s="2">
        <v>2</v>
      </c>
    </row>
    <row r="4673" spans="1:9" x14ac:dyDescent="0.25">
      <c r="A4673" s="2" t="str">
        <f>CONCATENATE(Códigos!S4672,Códigos!T4672,Códigos!U4672)</f>
        <v>svv4671v</v>
      </c>
      <c r="B4673" t="s">
        <v>408</v>
      </c>
      <c r="C4673" t="s">
        <v>380</v>
      </c>
      <c r="D4673" s="2" t="s">
        <v>381</v>
      </c>
      <c r="E4673" t="s">
        <v>367</v>
      </c>
      <c r="F4673" s="11">
        <v>43204</v>
      </c>
      <c r="G4673" s="14">
        <f t="array" ref="G4673">VLOOKUP(E4673,Produtos!$A:$E,5,FALSE)</f>
        <v>120</v>
      </c>
      <c r="H4673" s="14">
        <f>VLOOKUP(E4673,Produtos!$A:$E,4,FALSE)</f>
        <v>60</v>
      </c>
      <c r="I4673" s="2">
        <v>2</v>
      </c>
    </row>
    <row r="4674" spans="1:9" x14ac:dyDescent="0.25">
      <c r="A4674" s="2" t="str">
        <f>CONCATENATE(Códigos!S4673,Códigos!T4673,Códigos!U4673)</f>
        <v>svv4672v</v>
      </c>
      <c r="B4674" t="s">
        <v>408</v>
      </c>
      <c r="C4674" t="s">
        <v>380</v>
      </c>
      <c r="D4674" s="2" t="s">
        <v>381</v>
      </c>
      <c r="E4674" t="s">
        <v>367</v>
      </c>
      <c r="F4674" s="11">
        <v>43205</v>
      </c>
      <c r="G4674" s="14">
        <f t="array" ref="G4674">VLOOKUP(E4674,Produtos!$A:$E,5,FALSE)</f>
        <v>120</v>
      </c>
      <c r="H4674" s="14">
        <f>VLOOKUP(E4674,Produtos!$A:$E,4,FALSE)</f>
        <v>60</v>
      </c>
      <c r="I4674" s="2">
        <v>2</v>
      </c>
    </row>
    <row r="4675" spans="1:9" x14ac:dyDescent="0.25">
      <c r="A4675" s="2" t="str">
        <f>CONCATENATE(Códigos!S4674,Códigos!T4674,Códigos!U4674)</f>
        <v>svv4673v</v>
      </c>
      <c r="B4675" t="s">
        <v>408</v>
      </c>
      <c r="C4675" t="s">
        <v>403</v>
      </c>
      <c r="D4675" s="2" t="s">
        <v>404</v>
      </c>
      <c r="E4675" t="s">
        <v>367</v>
      </c>
      <c r="F4675" s="11">
        <v>43206</v>
      </c>
      <c r="G4675" s="14">
        <f t="array" ref="G4675">VLOOKUP(E4675,Produtos!$A:$E,5,FALSE)</f>
        <v>120</v>
      </c>
      <c r="H4675" s="14">
        <f>VLOOKUP(E4675,Produtos!$A:$E,4,FALSE)</f>
        <v>60</v>
      </c>
      <c r="I4675" s="2">
        <v>2</v>
      </c>
    </row>
    <row r="4676" spans="1:9" x14ac:dyDescent="0.25">
      <c r="A4676" s="2" t="str">
        <f>CONCATENATE(Códigos!S4675,Códigos!T4675,Códigos!U4675)</f>
        <v>svv4674v</v>
      </c>
      <c r="B4676" t="s">
        <v>408</v>
      </c>
      <c r="C4676" t="s">
        <v>403</v>
      </c>
      <c r="D4676" s="2" t="s">
        <v>404</v>
      </c>
      <c r="E4676" t="s">
        <v>367</v>
      </c>
      <c r="F4676" s="11">
        <v>43207</v>
      </c>
      <c r="G4676" s="14">
        <f t="array" ref="G4676">VLOOKUP(E4676,Produtos!$A:$E,5,FALSE)</f>
        <v>120</v>
      </c>
      <c r="H4676" s="14">
        <f>VLOOKUP(E4676,Produtos!$A:$E,4,FALSE)</f>
        <v>60</v>
      </c>
      <c r="I4676" s="2">
        <v>2</v>
      </c>
    </row>
    <row r="4677" spans="1:9" x14ac:dyDescent="0.25">
      <c r="A4677" s="2" t="str">
        <f>CONCATENATE(Códigos!S4676,Códigos!T4676,Códigos!U4676)</f>
        <v>svv4675v</v>
      </c>
      <c r="B4677" t="s">
        <v>408</v>
      </c>
      <c r="C4677" t="s">
        <v>403</v>
      </c>
      <c r="D4677" s="2" t="s">
        <v>404</v>
      </c>
      <c r="E4677" t="s">
        <v>367</v>
      </c>
      <c r="F4677" s="11">
        <v>43208</v>
      </c>
      <c r="G4677" s="14">
        <f t="array" ref="G4677">VLOOKUP(E4677,Produtos!$A:$E,5,FALSE)</f>
        <v>120</v>
      </c>
      <c r="H4677" s="14">
        <f>VLOOKUP(E4677,Produtos!$A:$E,4,FALSE)</f>
        <v>60</v>
      </c>
      <c r="I4677" s="2">
        <v>2</v>
      </c>
    </row>
    <row r="4678" spans="1:9" x14ac:dyDescent="0.25">
      <c r="A4678" s="2" t="str">
        <f>CONCATENATE(Códigos!S4677,Códigos!T4677,Códigos!U4677)</f>
        <v>svv4676v</v>
      </c>
      <c r="B4678" t="s">
        <v>408</v>
      </c>
      <c r="C4678" t="s">
        <v>403</v>
      </c>
      <c r="D4678" s="2" t="s">
        <v>404</v>
      </c>
      <c r="E4678" t="s">
        <v>365</v>
      </c>
      <c r="F4678" s="11">
        <v>43209</v>
      </c>
      <c r="G4678" s="14">
        <f t="array" ref="G4678">VLOOKUP(E4678,Produtos!$A:$E,5,FALSE)</f>
        <v>170</v>
      </c>
      <c r="H4678" s="14">
        <f>VLOOKUP(E4678,Produtos!$A:$E,4,FALSE)</f>
        <v>85</v>
      </c>
      <c r="I4678" s="2">
        <v>2</v>
      </c>
    </row>
    <row r="4679" spans="1:9" x14ac:dyDescent="0.25">
      <c r="A4679" s="2" t="str">
        <f>CONCATENATE(Códigos!S4678,Códigos!T4678,Códigos!U4678)</f>
        <v>svv4677v</v>
      </c>
      <c r="B4679" t="s">
        <v>408</v>
      </c>
      <c r="C4679" t="s">
        <v>403</v>
      </c>
      <c r="D4679" s="2" t="s">
        <v>404</v>
      </c>
      <c r="E4679" t="s">
        <v>365</v>
      </c>
      <c r="F4679" s="11">
        <v>43210</v>
      </c>
      <c r="G4679" s="14">
        <f t="array" ref="G4679">VLOOKUP(E4679,Produtos!$A:$E,5,FALSE)</f>
        <v>170</v>
      </c>
      <c r="H4679" s="14">
        <f>VLOOKUP(E4679,Produtos!$A:$E,4,FALSE)</f>
        <v>85</v>
      </c>
      <c r="I4679" s="2">
        <v>2</v>
      </c>
    </row>
    <row r="4680" spans="1:9" x14ac:dyDescent="0.25">
      <c r="A4680" s="2" t="str">
        <f>CONCATENATE(Códigos!S4679,Códigos!T4679,Códigos!U4679)</f>
        <v>svv4678v</v>
      </c>
      <c r="B4680" t="s">
        <v>408</v>
      </c>
      <c r="C4680" t="s">
        <v>403</v>
      </c>
      <c r="D4680" s="2" t="s">
        <v>404</v>
      </c>
      <c r="E4680" t="s">
        <v>365</v>
      </c>
      <c r="F4680" s="11">
        <v>43211</v>
      </c>
      <c r="G4680" s="14">
        <f t="array" ref="G4680">VLOOKUP(E4680,Produtos!$A:$E,5,FALSE)</f>
        <v>170</v>
      </c>
      <c r="H4680" s="14">
        <f>VLOOKUP(E4680,Produtos!$A:$E,4,FALSE)</f>
        <v>85</v>
      </c>
      <c r="I4680" s="2">
        <v>2</v>
      </c>
    </row>
    <row r="4681" spans="1:9" x14ac:dyDescent="0.25">
      <c r="A4681" s="2" t="str">
        <f>CONCATENATE(Códigos!S4680,Códigos!T4680,Códigos!U4680)</f>
        <v>svv4679v</v>
      </c>
      <c r="B4681" t="s">
        <v>408</v>
      </c>
      <c r="C4681" t="s">
        <v>403</v>
      </c>
      <c r="D4681" s="2" t="s">
        <v>404</v>
      </c>
      <c r="E4681" t="s">
        <v>365</v>
      </c>
      <c r="F4681" s="11">
        <v>43212</v>
      </c>
      <c r="G4681" s="14">
        <f t="array" ref="G4681">VLOOKUP(E4681,Produtos!$A:$E,5,FALSE)</f>
        <v>170</v>
      </c>
      <c r="H4681" s="14">
        <f>VLOOKUP(E4681,Produtos!$A:$E,4,FALSE)</f>
        <v>85</v>
      </c>
      <c r="I4681" s="2">
        <v>2</v>
      </c>
    </row>
    <row r="4682" spans="1:9" x14ac:dyDescent="0.25">
      <c r="A4682" s="2" t="str">
        <f>CONCATENATE(Códigos!S4681,Códigos!T4681,Códigos!U4681)</f>
        <v>svv4680v</v>
      </c>
      <c r="B4682" t="s">
        <v>408</v>
      </c>
      <c r="C4682" t="s">
        <v>403</v>
      </c>
      <c r="D4682" s="2" t="s">
        <v>404</v>
      </c>
      <c r="E4682" t="s">
        <v>365</v>
      </c>
      <c r="F4682" s="11">
        <v>43213</v>
      </c>
      <c r="G4682" s="14">
        <f t="array" ref="G4682">VLOOKUP(E4682,Produtos!$A:$E,5,FALSE)</f>
        <v>170</v>
      </c>
      <c r="H4682" s="14">
        <f>VLOOKUP(E4682,Produtos!$A:$E,4,FALSE)</f>
        <v>85</v>
      </c>
      <c r="I4682" s="2">
        <v>2</v>
      </c>
    </row>
    <row r="4683" spans="1:9" x14ac:dyDescent="0.25">
      <c r="A4683" s="2" t="str">
        <f>CONCATENATE(Códigos!S4682,Códigos!T4682,Códigos!U4682)</f>
        <v>svv4681v</v>
      </c>
      <c r="B4683" t="s">
        <v>408</v>
      </c>
      <c r="C4683" t="s">
        <v>403</v>
      </c>
      <c r="D4683" s="2" t="s">
        <v>404</v>
      </c>
      <c r="E4683" t="s">
        <v>365</v>
      </c>
      <c r="F4683" s="11">
        <v>43214</v>
      </c>
      <c r="G4683" s="14">
        <f t="array" ref="G4683">VLOOKUP(E4683,Produtos!$A:$E,5,FALSE)</f>
        <v>170</v>
      </c>
      <c r="H4683" s="14">
        <f>VLOOKUP(E4683,Produtos!$A:$E,4,FALSE)</f>
        <v>85</v>
      </c>
      <c r="I4683" s="2">
        <v>2</v>
      </c>
    </row>
    <row r="4684" spans="1:9" x14ac:dyDescent="0.25">
      <c r="A4684" s="2" t="str">
        <f>CONCATENATE(Códigos!S4683,Códigos!T4683,Códigos!U4683)</f>
        <v>svv4682v</v>
      </c>
      <c r="B4684" t="s">
        <v>408</v>
      </c>
      <c r="C4684" t="s">
        <v>403</v>
      </c>
      <c r="D4684" s="2" t="s">
        <v>404</v>
      </c>
      <c r="E4684" t="s">
        <v>365</v>
      </c>
      <c r="F4684" s="11">
        <v>43215</v>
      </c>
      <c r="G4684" s="14">
        <f t="array" ref="G4684">VLOOKUP(E4684,Produtos!$A:$E,5,FALSE)</f>
        <v>170</v>
      </c>
      <c r="H4684" s="14">
        <f>VLOOKUP(E4684,Produtos!$A:$E,4,FALSE)</f>
        <v>85</v>
      </c>
      <c r="I4684" s="2">
        <v>2</v>
      </c>
    </row>
    <row r="4685" spans="1:9" x14ac:dyDescent="0.25">
      <c r="A4685" s="2" t="str">
        <f>CONCATENATE(Códigos!S4684,Códigos!T4684,Códigos!U4684)</f>
        <v>svv4683v</v>
      </c>
      <c r="B4685" t="s">
        <v>408</v>
      </c>
      <c r="C4685" t="s">
        <v>403</v>
      </c>
      <c r="D4685" s="2" t="s">
        <v>404</v>
      </c>
      <c r="E4685" t="s">
        <v>365</v>
      </c>
      <c r="F4685" s="11">
        <v>43216</v>
      </c>
      <c r="G4685" s="14">
        <f t="array" ref="G4685">VLOOKUP(E4685,Produtos!$A:$E,5,FALSE)</f>
        <v>170</v>
      </c>
      <c r="H4685" s="14">
        <f>VLOOKUP(E4685,Produtos!$A:$E,4,FALSE)</f>
        <v>85</v>
      </c>
      <c r="I4685" s="2">
        <v>2</v>
      </c>
    </row>
    <row r="4686" spans="1:9" x14ac:dyDescent="0.25">
      <c r="A4686" s="2" t="str">
        <f>CONCATENATE(Códigos!S4685,Códigos!T4685,Códigos!U4685)</f>
        <v>svv4684v</v>
      </c>
      <c r="B4686" t="s">
        <v>408</v>
      </c>
      <c r="C4686" t="s">
        <v>403</v>
      </c>
      <c r="D4686" s="2" t="s">
        <v>404</v>
      </c>
      <c r="E4686" t="s">
        <v>366</v>
      </c>
      <c r="F4686" s="11">
        <v>43217</v>
      </c>
      <c r="G4686" s="14">
        <f t="array" ref="G4686">VLOOKUP(E4686,Produtos!$A:$E,5,FALSE)</f>
        <v>220</v>
      </c>
      <c r="H4686" s="14">
        <f>VLOOKUP(E4686,Produtos!$A:$E,4,FALSE)</f>
        <v>110</v>
      </c>
      <c r="I4686" s="2">
        <v>2</v>
      </c>
    </row>
    <row r="4687" spans="1:9" x14ac:dyDescent="0.25">
      <c r="A4687" s="2" t="str">
        <f>CONCATENATE(Códigos!S4686,Códigos!T4686,Códigos!U4686)</f>
        <v>svv4685v</v>
      </c>
      <c r="B4687" t="s">
        <v>408</v>
      </c>
      <c r="C4687" t="s">
        <v>403</v>
      </c>
      <c r="D4687" s="2" t="s">
        <v>404</v>
      </c>
      <c r="E4687" t="s">
        <v>366</v>
      </c>
      <c r="F4687" s="11">
        <v>43218</v>
      </c>
      <c r="G4687" s="14">
        <f t="array" ref="G4687">VLOOKUP(E4687,Produtos!$A:$E,5,FALSE)</f>
        <v>220</v>
      </c>
      <c r="H4687" s="14">
        <f>VLOOKUP(E4687,Produtos!$A:$E,4,FALSE)</f>
        <v>110</v>
      </c>
      <c r="I4687" s="2">
        <v>2</v>
      </c>
    </row>
    <row r="4688" spans="1:9" x14ac:dyDescent="0.25">
      <c r="A4688" s="2" t="str">
        <f>CONCATENATE(Códigos!S4687,Códigos!T4687,Códigos!U4687)</f>
        <v>svv4686v</v>
      </c>
      <c r="B4688" t="s">
        <v>408</v>
      </c>
      <c r="C4688" t="s">
        <v>403</v>
      </c>
      <c r="D4688" s="2" t="s">
        <v>404</v>
      </c>
      <c r="E4688" t="s">
        <v>366</v>
      </c>
      <c r="F4688" s="11">
        <v>43219</v>
      </c>
      <c r="G4688" s="14">
        <f t="array" ref="G4688">VLOOKUP(E4688,Produtos!$A:$E,5,FALSE)</f>
        <v>220</v>
      </c>
      <c r="H4688" s="14">
        <f>VLOOKUP(E4688,Produtos!$A:$E,4,FALSE)</f>
        <v>110</v>
      </c>
      <c r="I4688" s="2">
        <v>2</v>
      </c>
    </row>
    <row r="4689" spans="1:9" x14ac:dyDescent="0.25">
      <c r="A4689" s="2" t="str">
        <f>CONCATENATE(Códigos!S4688,Códigos!T4688,Códigos!U4688)</f>
        <v>svv4687v</v>
      </c>
      <c r="B4689" t="s">
        <v>408</v>
      </c>
      <c r="C4689" t="s">
        <v>403</v>
      </c>
      <c r="D4689" s="2" t="s">
        <v>404</v>
      </c>
      <c r="E4689" t="s">
        <v>366</v>
      </c>
      <c r="F4689" s="11">
        <v>43220</v>
      </c>
      <c r="G4689" s="14">
        <f t="array" ref="G4689">VLOOKUP(E4689,Produtos!$A:$E,5,FALSE)</f>
        <v>220</v>
      </c>
      <c r="H4689" s="14">
        <f>VLOOKUP(E4689,Produtos!$A:$E,4,FALSE)</f>
        <v>110</v>
      </c>
      <c r="I4689" s="2">
        <v>2</v>
      </c>
    </row>
    <row r="4690" spans="1:9" x14ac:dyDescent="0.25">
      <c r="A4690" s="2" t="str">
        <f>CONCATENATE(Códigos!S4689,Códigos!T4689,Códigos!U4689)</f>
        <v>svv4688v</v>
      </c>
      <c r="B4690" t="s">
        <v>408</v>
      </c>
      <c r="C4690" t="s">
        <v>403</v>
      </c>
      <c r="D4690" s="2" t="s">
        <v>404</v>
      </c>
      <c r="E4690" t="s">
        <v>366</v>
      </c>
      <c r="F4690" s="11">
        <v>43221</v>
      </c>
      <c r="G4690" s="14">
        <f t="array" ref="G4690">VLOOKUP(E4690,Produtos!$A:$E,5,FALSE)</f>
        <v>220</v>
      </c>
      <c r="H4690" s="14">
        <f>VLOOKUP(E4690,Produtos!$A:$E,4,FALSE)</f>
        <v>110</v>
      </c>
      <c r="I4690" s="2">
        <v>2</v>
      </c>
    </row>
    <row r="4691" spans="1:9" x14ac:dyDescent="0.25">
      <c r="A4691" s="2" t="str">
        <f>CONCATENATE(Códigos!S4690,Códigos!T4690,Códigos!U4690)</f>
        <v>svv4689v</v>
      </c>
      <c r="B4691" t="s">
        <v>408</v>
      </c>
      <c r="C4691" t="s">
        <v>403</v>
      </c>
      <c r="D4691" s="2" t="s">
        <v>404</v>
      </c>
      <c r="E4691" t="s">
        <v>366</v>
      </c>
      <c r="F4691" s="11">
        <v>43222</v>
      </c>
      <c r="G4691" s="14">
        <f t="array" ref="G4691">VLOOKUP(E4691,Produtos!$A:$E,5,FALSE)</f>
        <v>220</v>
      </c>
      <c r="H4691" s="14">
        <f>VLOOKUP(E4691,Produtos!$A:$E,4,FALSE)</f>
        <v>110</v>
      </c>
      <c r="I4691" s="2">
        <v>2</v>
      </c>
    </row>
    <row r="4692" spans="1:9" x14ac:dyDescent="0.25">
      <c r="A4692" s="2" t="str">
        <f>CONCATENATE(Códigos!S4691,Códigos!T4691,Códigos!U4691)</f>
        <v>svv4690v</v>
      </c>
      <c r="B4692" t="s">
        <v>408</v>
      </c>
      <c r="C4692" t="s">
        <v>403</v>
      </c>
      <c r="D4692" s="2" t="s">
        <v>404</v>
      </c>
      <c r="E4692" t="s">
        <v>366</v>
      </c>
      <c r="F4692" s="11">
        <v>43223</v>
      </c>
      <c r="G4692" s="14">
        <f t="array" ref="G4692">VLOOKUP(E4692,Produtos!$A:$E,5,FALSE)</f>
        <v>220</v>
      </c>
      <c r="H4692" s="14">
        <f>VLOOKUP(E4692,Produtos!$A:$E,4,FALSE)</f>
        <v>110</v>
      </c>
      <c r="I4692" s="2">
        <v>2</v>
      </c>
    </row>
    <row r="4693" spans="1:9" x14ac:dyDescent="0.25">
      <c r="A4693" s="2" t="str">
        <f>CONCATENATE(Códigos!S4692,Códigos!T4692,Códigos!U4692)</f>
        <v>svv4691v</v>
      </c>
      <c r="B4693" t="s">
        <v>408</v>
      </c>
      <c r="C4693" t="s">
        <v>403</v>
      </c>
      <c r="D4693" s="2" t="s">
        <v>404</v>
      </c>
      <c r="E4693" t="s">
        <v>366</v>
      </c>
      <c r="F4693" s="11">
        <v>43224</v>
      </c>
      <c r="G4693" s="14">
        <f t="array" ref="G4693">VLOOKUP(E4693,Produtos!$A:$E,5,FALSE)</f>
        <v>220</v>
      </c>
      <c r="H4693" s="14">
        <f>VLOOKUP(E4693,Produtos!$A:$E,4,FALSE)</f>
        <v>110</v>
      </c>
      <c r="I4693" s="2">
        <v>2</v>
      </c>
    </row>
    <row r="4694" spans="1:9" x14ac:dyDescent="0.25">
      <c r="A4694" s="2" t="str">
        <f>CONCATENATE(Códigos!S4693,Códigos!T4693,Códigos!U4693)</f>
        <v>svv4692v</v>
      </c>
      <c r="B4694" t="s">
        <v>408</v>
      </c>
      <c r="C4694" t="s">
        <v>403</v>
      </c>
      <c r="D4694" s="2" t="s">
        <v>404</v>
      </c>
      <c r="E4694" t="s">
        <v>366</v>
      </c>
      <c r="F4694" s="11">
        <v>43225</v>
      </c>
      <c r="G4694" s="14">
        <f t="array" ref="G4694">VLOOKUP(E4694,Produtos!$A:$E,5,FALSE)</f>
        <v>220</v>
      </c>
      <c r="H4694" s="14">
        <f>VLOOKUP(E4694,Produtos!$A:$E,4,FALSE)</f>
        <v>110</v>
      </c>
      <c r="I4694" s="2">
        <v>2</v>
      </c>
    </row>
    <row r="4695" spans="1:9" x14ac:dyDescent="0.25">
      <c r="A4695" s="2" t="str">
        <f>CONCATENATE(Códigos!S4694,Códigos!T4694,Códigos!U4694)</f>
        <v>svv4693v</v>
      </c>
      <c r="B4695" t="s">
        <v>407</v>
      </c>
      <c r="C4695" t="s">
        <v>403</v>
      </c>
      <c r="D4695" s="2" t="s">
        <v>404</v>
      </c>
      <c r="E4695" t="s">
        <v>366</v>
      </c>
      <c r="F4695" s="11">
        <v>43226</v>
      </c>
      <c r="G4695" s="14">
        <f t="array" ref="G4695">VLOOKUP(E4695,Produtos!$A:$E,5,FALSE)</f>
        <v>220</v>
      </c>
      <c r="H4695" s="14">
        <f>VLOOKUP(E4695,Produtos!$A:$E,4,FALSE)</f>
        <v>110</v>
      </c>
      <c r="I4695" s="2">
        <v>2</v>
      </c>
    </row>
    <row r="4696" spans="1:9" x14ac:dyDescent="0.25">
      <c r="A4696" s="2" t="str">
        <f>CONCATENATE(Códigos!S4695,Códigos!T4695,Códigos!U4695)</f>
        <v>svv4694v</v>
      </c>
      <c r="B4696" t="s">
        <v>407</v>
      </c>
      <c r="C4696" t="s">
        <v>403</v>
      </c>
      <c r="D4696" s="2" t="s">
        <v>404</v>
      </c>
      <c r="E4696" t="s">
        <v>366</v>
      </c>
      <c r="F4696" s="11">
        <v>43585</v>
      </c>
      <c r="G4696" s="14">
        <f t="array" ref="G4696">VLOOKUP(E4696,Produtos!$A:$E,5,FALSE)</f>
        <v>220</v>
      </c>
      <c r="H4696" s="14">
        <f>VLOOKUP(E4696,Produtos!$A:$E,4,FALSE)</f>
        <v>110</v>
      </c>
      <c r="I4696" s="2">
        <v>2</v>
      </c>
    </row>
    <row r="4697" spans="1:9" x14ac:dyDescent="0.25">
      <c r="A4697" s="2" t="str">
        <f>CONCATENATE(Códigos!S4696,Códigos!T4696,Códigos!U4696)</f>
        <v>svv4695v</v>
      </c>
      <c r="B4697" t="s">
        <v>407</v>
      </c>
      <c r="C4697" t="s">
        <v>403</v>
      </c>
      <c r="D4697" s="2" t="s">
        <v>404</v>
      </c>
      <c r="E4697" t="s">
        <v>366</v>
      </c>
      <c r="F4697" s="11">
        <v>43586</v>
      </c>
      <c r="G4697" s="14">
        <f t="array" ref="G4697">VLOOKUP(E4697,Produtos!$A:$E,5,FALSE)</f>
        <v>220</v>
      </c>
      <c r="H4697" s="14">
        <f>VLOOKUP(E4697,Produtos!$A:$E,4,FALSE)</f>
        <v>110</v>
      </c>
      <c r="I4697" s="2">
        <v>2</v>
      </c>
    </row>
    <row r="4698" spans="1:9" x14ac:dyDescent="0.25">
      <c r="A4698" s="2" t="str">
        <f>CONCATENATE(Códigos!S4697,Códigos!T4697,Códigos!U4697)</f>
        <v>svv4696v</v>
      </c>
      <c r="B4698" t="s">
        <v>407</v>
      </c>
      <c r="C4698" t="s">
        <v>403</v>
      </c>
      <c r="D4698" s="2" t="s">
        <v>404</v>
      </c>
      <c r="E4698" t="s">
        <v>366</v>
      </c>
      <c r="F4698" s="11">
        <v>43587</v>
      </c>
      <c r="G4698" s="14">
        <f t="array" ref="G4698">VLOOKUP(E4698,Produtos!$A:$E,5,FALSE)</f>
        <v>220</v>
      </c>
      <c r="H4698" s="14">
        <f>VLOOKUP(E4698,Produtos!$A:$E,4,FALSE)</f>
        <v>110</v>
      </c>
      <c r="I4698" s="2">
        <v>2</v>
      </c>
    </row>
    <row r="4699" spans="1:9" x14ac:dyDescent="0.25">
      <c r="A4699" s="2" t="str">
        <f>CONCATENATE(Códigos!S4698,Códigos!T4698,Códigos!U4698)</f>
        <v>svv4697v</v>
      </c>
      <c r="B4699" t="s">
        <v>407</v>
      </c>
      <c r="C4699" t="s">
        <v>403</v>
      </c>
      <c r="D4699" s="2" t="s">
        <v>404</v>
      </c>
      <c r="E4699" t="s">
        <v>366</v>
      </c>
      <c r="F4699" s="11">
        <v>43588</v>
      </c>
      <c r="G4699" s="14">
        <f t="array" ref="G4699">VLOOKUP(E4699,Produtos!$A:$E,5,FALSE)</f>
        <v>220</v>
      </c>
      <c r="H4699" s="14">
        <f>VLOOKUP(E4699,Produtos!$A:$E,4,FALSE)</f>
        <v>110</v>
      </c>
      <c r="I4699" s="2">
        <v>2</v>
      </c>
    </row>
    <row r="4700" spans="1:9" x14ac:dyDescent="0.25">
      <c r="A4700" s="2" t="str">
        <f>CONCATENATE(Códigos!S4699,Códigos!T4699,Códigos!U4699)</f>
        <v>svv4698v</v>
      </c>
      <c r="B4700" t="s">
        <v>407</v>
      </c>
      <c r="C4700" t="s">
        <v>368</v>
      </c>
      <c r="D4700" s="2" t="s">
        <v>331</v>
      </c>
      <c r="E4700" t="s">
        <v>366</v>
      </c>
      <c r="F4700" s="11">
        <v>43589</v>
      </c>
      <c r="G4700" s="14">
        <f t="array" ref="G4700">VLOOKUP(E4700,Produtos!$A:$E,5,FALSE)</f>
        <v>220</v>
      </c>
      <c r="H4700" s="14">
        <f>VLOOKUP(E4700,Produtos!$A:$E,4,FALSE)</f>
        <v>110</v>
      </c>
      <c r="I4700" s="2">
        <v>2</v>
      </c>
    </row>
    <row r="4701" spans="1:9" x14ac:dyDescent="0.25">
      <c r="A4701" s="2" t="str">
        <f>CONCATENATE(Códigos!S4700,Códigos!T4700,Códigos!U4700)</f>
        <v>svv4699v</v>
      </c>
      <c r="B4701" t="s">
        <v>407</v>
      </c>
      <c r="C4701" t="s">
        <v>368</v>
      </c>
      <c r="D4701" s="2" t="s">
        <v>331</v>
      </c>
      <c r="E4701" t="s">
        <v>366</v>
      </c>
      <c r="F4701" s="11">
        <v>43590</v>
      </c>
      <c r="G4701" s="14">
        <f t="array" ref="G4701">VLOOKUP(E4701,Produtos!$A:$E,5,FALSE)</f>
        <v>220</v>
      </c>
      <c r="H4701" s="14">
        <f>VLOOKUP(E4701,Produtos!$A:$E,4,FALSE)</f>
        <v>110</v>
      </c>
      <c r="I4701" s="2">
        <v>2</v>
      </c>
    </row>
    <row r="4702" spans="1:9" x14ac:dyDescent="0.25">
      <c r="A4702" s="2" t="str">
        <f>CONCATENATE(Códigos!S4701,Códigos!T4701,Códigos!U4701)</f>
        <v>svv4700v</v>
      </c>
      <c r="B4702" t="s">
        <v>407</v>
      </c>
      <c r="C4702" t="s">
        <v>368</v>
      </c>
      <c r="D4702" s="2" t="s">
        <v>331</v>
      </c>
      <c r="E4702" t="s">
        <v>366</v>
      </c>
      <c r="F4702" s="11">
        <v>43591</v>
      </c>
      <c r="G4702" s="14">
        <f t="array" ref="G4702">VLOOKUP(E4702,Produtos!$A:$E,5,FALSE)</f>
        <v>220</v>
      </c>
      <c r="H4702" s="14">
        <f>VLOOKUP(E4702,Produtos!$A:$E,4,FALSE)</f>
        <v>110</v>
      </c>
      <c r="I4702" s="2">
        <v>2</v>
      </c>
    </row>
    <row r="4703" spans="1:9" x14ac:dyDescent="0.25">
      <c r="A4703" s="2" t="str">
        <f>CONCATENATE(Códigos!S4702,Códigos!T4702,Códigos!U4702)</f>
        <v>svv4701v</v>
      </c>
      <c r="B4703" t="s">
        <v>407</v>
      </c>
      <c r="C4703" t="s">
        <v>368</v>
      </c>
      <c r="D4703" s="2" t="s">
        <v>331</v>
      </c>
      <c r="E4703" t="s">
        <v>366</v>
      </c>
      <c r="F4703" s="11">
        <v>43592</v>
      </c>
      <c r="G4703" s="14">
        <f t="array" ref="G4703">VLOOKUP(E4703,Produtos!$A:$E,5,FALSE)</f>
        <v>220</v>
      </c>
      <c r="H4703" s="14">
        <f>VLOOKUP(E4703,Produtos!$A:$E,4,FALSE)</f>
        <v>110</v>
      </c>
      <c r="I4703" s="2">
        <v>2</v>
      </c>
    </row>
    <row r="4704" spans="1:9" x14ac:dyDescent="0.25">
      <c r="A4704" s="2" t="str">
        <f>CONCATENATE(Códigos!S4703,Códigos!T4703,Códigos!U4703)</f>
        <v>svv4702v</v>
      </c>
      <c r="B4704" t="s">
        <v>407</v>
      </c>
      <c r="C4704" t="s">
        <v>368</v>
      </c>
      <c r="D4704" s="2" t="s">
        <v>331</v>
      </c>
      <c r="E4704" t="s">
        <v>366</v>
      </c>
      <c r="F4704" s="11">
        <v>43593</v>
      </c>
      <c r="G4704" s="14">
        <f t="array" ref="G4704">VLOOKUP(E4704,Produtos!$A:$E,5,FALSE)</f>
        <v>220</v>
      </c>
      <c r="H4704" s="14">
        <f>VLOOKUP(E4704,Produtos!$A:$E,4,FALSE)</f>
        <v>110</v>
      </c>
      <c r="I4704" s="2">
        <v>2</v>
      </c>
    </row>
    <row r="4705" spans="1:9" x14ac:dyDescent="0.25">
      <c r="A4705" s="2" t="str">
        <f>CONCATENATE(Códigos!S4704,Códigos!T4704,Códigos!U4704)</f>
        <v>svv4703v</v>
      </c>
      <c r="B4705" t="s">
        <v>407</v>
      </c>
      <c r="C4705" t="s">
        <v>368</v>
      </c>
      <c r="D4705" s="2" t="s">
        <v>331</v>
      </c>
      <c r="E4705" t="s">
        <v>366</v>
      </c>
      <c r="F4705" s="11">
        <v>43594</v>
      </c>
      <c r="G4705" s="14">
        <f t="array" ref="G4705">VLOOKUP(E4705,Produtos!$A:$E,5,FALSE)</f>
        <v>220</v>
      </c>
      <c r="H4705" s="14">
        <f>VLOOKUP(E4705,Produtos!$A:$E,4,FALSE)</f>
        <v>110</v>
      </c>
      <c r="I4705" s="2">
        <v>2</v>
      </c>
    </row>
    <row r="4706" spans="1:9" x14ac:dyDescent="0.25">
      <c r="A4706" s="2" t="str">
        <f>CONCATENATE(Códigos!S4705,Códigos!T4705,Códigos!U4705)</f>
        <v>svv4704v</v>
      </c>
      <c r="B4706" t="s">
        <v>407</v>
      </c>
      <c r="C4706" t="s">
        <v>368</v>
      </c>
      <c r="D4706" s="2" t="s">
        <v>331</v>
      </c>
      <c r="E4706" t="s">
        <v>366</v>
      </c>
      <c r="F4706" s="11">
        <v>43595</v>
      </c>
      <c r="G4706" s="14">
        <f t="array" ref="G4706">VLOOKUP(E4706,Produtos!$A:$E,5,FALSE)</f>
        <v>220</v>
      </c>
      <c r="H4706" s="14">
        <f>VLOOKUP(E4706,Produtos!$A:$E,4,FALSE)</f>
        <v>110</v>
      </c>
      <c r="I4706" s="2">
        <v>2</v>
      </c>
    </row>
    <row r="4707" spans="1:9" x14ac:dyDescent="0.25">
      <c r="A4707" s="2" t="str">
        <f>CONCATENATE(Códigos!S4706,Códigos!T4706,Códigos!U4706)</f>
        <v>svv4705v</v>
      </c>
      <c r="B4707" t="s">
        <v>407</v>
      </c>
      <c r="C4707" t="s">
        <v>368</v>
      </c>
      <c r="D4707" s="2" t="s">
        <v>331</v>
      </c>
      <c r="E4707" t="s">
        <v>366</v>
      </c>
      <c r="F4707" s="11">
        <v>43596</v>
      </c>
      <c r="G4707" s="14">
        <f t="array" ref="G4707">VLOOKUP(E4707,Produtos!$A:$E,5,FALSE)</f>
        <v>220</v>
      </c>
      <c r="H4707" s="14">
        <f>VLOOKUP(E4707,Produtos!$A:$E,4,FALSE)</f>
        <v>110</v>
      </c>
      <c r="I4707" s="2">
        <v>2</v>
      </c>
    </row>
    <row r="4708" spans="1:9" x14ac:dyDescent="0.25">
      <c r="A4708" s="2" t="str">
        <f>CONCATENATE(Códigos!S4707,Códigos!T4707,Códigos!U4707)</f>
        <v>svv4706v</v>
      </c>
      <c r="B4708" t="s">
        <v>407</v>
      </c>
      <c r="C4708" t="s">
        <v>368</v>
      </c>
      <c r="D4708" s="2" t="s">
        <v>331</v>
      </c>
      <c r="E4708" t="s">
        <v>412</v>
      </c>
      <c r="F4708" s="11">
        <v>43597</v>
      </c>
      <c r="G4708" s="14">
        <f t="array" ref="G4708">VLOOKUP(E4708,Produtos!$A:$E,5,FALSE)</f>
        <v>280</v>
      </c>
      <c r="H4708" s="14">
        <f>VLOOKUP(E4708,Produtos!$A:$E,4,FALSE)</f>
        <v>130</v>
      </c>
      <c r="I4708" s="2">
        <v>2</v>
      </c>
    </row>
    <row r="4709" spans="1:9" x14ac:dyDescent="0.25">
      <c r="A4709" s="2" t="str">
        <f>CONCATENATE(Códigos!S4708,Códigos!T4708,Códigos!U4708)</f>
        <v>svv4707v</v>
      </c>
      <c r="B4709" t="s">
        <v>407</v>
      </c>
      <c r="C4709" t="s">
        <v>368</v>
      </c>
      <c r="D4709" s="2" t="s">
        <v>331</v>
      </c>
      <c r="E4709" t="s">
        <v>412</v>
      </c>
      <c r="F4709" s="11">
        <v>43598</v>
      </c>
      <c r="G4709" s="14">
        <f t="array" ref="G4709">VLOOKUP(E4709,Produtos!$A:$E,5,FALSE)</f>
        <v>280</v>
      </c>
      <c r="H4709" s="14">
        <f>VLOOKUP(E4709,Produtos!$A:$E,4,FALSE)</f>
        <v>130</v>
      </c>
      <c r="I4709" s="2">
        <v>2</v>
      </c>
    </row>
    <row r="4710" spans="1:9" x14ac:dyDescent="0.25">
      <c r="A4710" s="2" t="str">
        <f>CONCATENATE(Códigos!S4709,Códigos!T4709,Códigos!U4709)</f>
        <v>svv4708v</v>
      </c>
      <c r="B4710" t="s">
        <v>407</v>
      </c>
      <c r="C4710" t="s">
        <v>368</v>
      </c>
      <c r="D4710" s="2" t="s">
        <v>331</v>
      </c>
      <c r="E4710" t="s">
        <v>412</v>
      </c>
      <c r="F4710" s="11">
        <v>43599</v>
      </c>
      <c r="G4710" s="14">
        <f t="array" ref="G4710">VLOOKUP(E4710,Produtos!$A:$E,5,FALSE)</f>
        <v>280</v>
      </c>
      <c r="H4710" s="14">
        <f>VLOOKUP(E4710,Produtos!$A:$E,4,FALSE)</f>
        <v>130</v>
      </c>
      <c r="I4710" s="2">
        <v>2</v>
      </c>
    </row>
    <row r="4711" spans="1:9" x14ac:dyDescent="0.25">
      <c r="A4711" s="2" t="str">
        <f>CONCATENATE(Códigos!S4710,Códigos!T4710,Códigos!U4710)</f>
        <v>svv4709v</v>
      </c>
      <c r="B4711" t="s">
        <v>407</v>
      </c>
      <c r="C4711" t="s">
        <v>368</v>
      </c>
      <c r="D4711" s="2" t="s">
        <v>331</v>
      </c>
      <c r="E4711" t="s">
        <v>412</v>
      </c>
      <c r="F4711" s="11">
        <v>43600</v>
      </c>
      <c r="G4711" s="14">
        <f t="array" ref="G4711">VLOOKUP(E4711,Produtos!$A:$E,5,FALSE)</f>
        <v>280</v>
      </c>
      <c r="H4711" s="14">
        <f>VLOOKUP(E4711,Produtos!$A:$E,4,FALSE)</f>
        <v>130</v>
      </c>
      <c r="I4711" s="2">
        <v>2</v>
      </c>
    </row>
    <row r="4712" spans="1:9" x14ac:dyDescent="0.25">
      <c r="A4712" s="2" t="str">
        <f>CONCATENATE(Códigos!S4711,Códigos!T4711,Códigos!U4711)</f>
        <v>svv4710v</v>
      </c>
      <c r="B4712" t="s">
        <v>407</v>
      </c>
      <c r="C4712" t="s">
        <v>368</v>
      </c>
      <c r="D4712" s="2" t="s">
        <v>331</v>
      </c>
      <c r="E4712" t="s">
        <v>412</v>
      </c>
      <c r="F4712" s="11">
        <v>43601</v>
      </c>
      <c r="G4712" s="14">
        <f t="array" ref="G4712">VLOOKUP(E4712,Produtos!$A:$E,5,FALSE)</f>
        <v>280</v>
      </c>
      <c r="H4712" s="14">
        <f>VLOOKUP(E4712,Produtos!$A:$E,4,FALSE)</f>
        <v>130</v>
      </c>
      <c r="I4712" s="2">
        <v>2</v>
      </c>
    </row>
    <row r="4713" spans="1:9" x14ac:dyDescent="0.25">
      <c r="A4713" s="2" t="str">
        <f>CONCATENATE(Códigos!S4712,Códigos!T4712,Códigos!U4712)</f>
        <v>svv4711v</v>
      </c>
      <c r="B4713" t="s">
        <v>407</v>
      </c>
      <c r="C4713" t="s">
        <v>368</v>
      </c>
      <c r="D4713" s="2" t="s">
        <v>331</v>
      </c>
      <c r="E4713" t="s">
        <v>412</v>
      </c>
      <c r="F4713" s="11">
        <v>43602</v>
      </c>
      <c r="G4713" s="14">
        <f t="array" ref="G4713">VLOOKUP(E4713,Produtos!$A:$E,5,FALSE)</f>
        <v>280</v>
      </c>
      <c r="H4713" s="14">
        <f>VLOOKUP(E4713,Produtos!$A:$E,4,FALSE)</f>
        <v>130</v>
      </c>
      <c r="I4713" s="2">
        <v>2</v>
      </c>
    </row>
    <row r="4714" spans="1:9" x14ac:dyDescent="0.25">
      <c r="A4714" s="2" t="str">
        <f>CONCATENATE(Códigos!S4713,Códigos!T4713,Códigos!U4713)</f>
        <v>svv4712v</v>
      </c>
      <c r="B4714" t="s">
        <v>407</v>
      </c>
      <c r="C4714" t="s">
        <v>368</v>
      </c>
      <c r="D4714" s="2" t="s">
        <v>331</v>
      </c>
      <c r="E4714" t="s">
        <v>412</v>
      </c>
      <c r="F4714" s="11">
        <v>43603</v>
      </c>
      <c r="G4714" s="14">
        <f t="array" ref="G4714">VLOOKUP(E4714,Produtos!$A:$E,5,FALSE)</f>
        <v>280</v>
 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 <f>CONCATENATE(Códigos!S4714,Códigos!T4714,Códigos!U4714)</f>
        <v>svv4713v</v>
      </c>
      <c r="B4715" t="s">
        <v>407</v>
      </c>
      <c r="C4715" t="s">
        <v>368</v>
      </c>
      <c r="D4715" s="2" t="s">
        <v>331</v>
      </c>
      <c r="E4715" t="s">
        <v>412</v>
      </c>
      <c r="F4715" s="11">
        <v>43604</v>
      </c>
      <c r="G4715" s="14">
        <f t="array" ref="G4715">VLOOKUP(E4715,Produtos!$A:$E,5,FALSE)</f>
        <v>280</v>
      </c>
      <c r="H4715" s="14">
        <f>VLOOKUP(E4715,Produtos!$A:$E,4,FALSE)</f>
        <v>130</v>
      </c>
      <c r="I4715" s="2">
        <v>2</v>
      </c>
    </row>
    <row r="4716" spans="1:9" x14ac:dyDescent="0.25">
      <c r="A4716" s="2" t="str">
        <f>CONCATENATE(Códigos!S4715,Códigos!T4715,Códigos!U4715)</f>
        <v>svv4714v</v>
      </c>
      <c r="B4716" t="s">
        <v>407</v>
      </c>
      <c r="C4716" t="s">
        <v>368</v>
      </c>
      <c r="D4716" s="2" t="s">
        <v>331</v>
      </c>
      <c r="E4716" t="s">
        <v>412</v>
      </c>
      <c r="F4716" s="11">
        <v>43605</v>
      </c>
      <c r="G4716" s="14">
        <f t="array" ref="G4716">VLOOKUP(E4716,Produtos!$A:$E,5,FALSE)</f>
        <v>280</v>
      </c>
      <c r="H4716" s="14">
        <f>VLOOKUP(E4716,Produtos!$A:$E,4,FALSE)</f>
        <v>130</v>
      </c>
      <c r="I4716" s="2">
        <v>2</v>
      </c>
    </row>
    <row r="4717" spans="1:9" x14ac:dyDescent="0.25">
      <c r="A4717" s="2" t="str">
        <f>CONCATENATE(Códigos!S4716,Códigos!T4716,Códigos!U4716)</f>
        <v>svv4715v</v>
      </c>
      <c r="B4717" t="s">
        <v>407</v>
      </c>
      <c r="C4717" t="s">
        <v>368</v>
      </c>
      <c r="D4717" s="2" t="s">
        <v>331</v>
      </c>
      <c r="E4717" t="s">
        <v>412</v>
      </c>
      <c r="F4717" s="11">
        <v>43606</v>
      </c>
      <c r="G4717" s="14">
        <f t="array" ref="G4717">VLOOKUP(E4717,Produtos!$A:$E,5,FALSE)</f>
        <v>280</v>
      </c>
      <c r="H4717" s="14">
        <f>VLOOKUP(E4717,Produtos!$A:$E,4,FALSE)</f>
        <v>130</v>
      </c>
      <c r="I4717" s="2">
        <v>2</v>
      </c>
    </row>
    <row r="4718" spans="1:9" x14ac:dyDescent="0.25">
      <c r="A4718" s="2" t="str">
        <f>CONCATENATE(Códigos!S4717,Códigos!T4717,Códigos!U4717)</f>
        <v>svv4716v</v>
      </c>
      <c r="B4718" t="s">
        <v>407</v>
      </c>
      <c r="C4718" t="s">
        <v>368</v>
      </c>
      <c r="D4718" s="2" t="s">
        <v>331</v>
      </c>
      <c r="E4718" t="s">
        <v>412</v>
      </c>
      <c r="F4718" s="11">
        <v>43607</v>
      </c>
      <c r="G4718" s="14">
        <f t="array" ref="G4718">VLOOKUP(E4718,Produtos!$A:$E,5,FALSE)</f>
        <v>280</v>
      </c>
      <c r="H4718" s="14">
        <f>VLOOKUP(E4718,Produtos!$A:$E,4,FALSE)</f>
        <v>130</v>
      </c>
      <c r="I4718" s="2">
        <v>2</v>
      </c>
    </row>
    <row r="4719" spans="1:9" x14ac:dyDescent="0.25">
      <c r="A4719" s="2" t="str">
        <f>CONCATENATE(Códigos!S4718,Códigos!T4718,Códigos!U4718)</f>
        <v>svv4717v</v>
      </c>
      <c r="B4719" t="s">
        <v>407</v>
      </c>
      <c r="C4719" t="s">
        <v>368</v>
      </c>
      <c r="D4719" s="2" t="s">
        <v>331</v>
      </c>
      <c r="E4719" t="s">
        <v>412</v>
      </c>
      <c r="F4719" s="11">
        <v>43608</v>
      </c>
      <c r="G4719" s="14">
        <f t="array" ref="G4719">VLOOKUP(E4719,Produtos!$A:$E,5,FALSE)</f>
        <v>280</v>
      </c>
      <c r="H4719" s="14">
        <f>VLOOKUP(E4719,Produtos!$A:$E,4,FALSE)</f>
        <v>130</v>
      </c>
      <c r="I4719" s="2">
        <v>2</v>
      </c>
    </row>
    <row r="4720" spans="1:9" x14ac:dyDescent="0.25">
      <c r="A4720" s="2" t="str">
        <f>CONCATENATE(Códigos!S4719,Códigos!T4719,Códigos!U4719)</f>
        <v>svv4718v</v>
      </c>
      <c r="B4720" t="s">
        <v>407</v>
      </c>
      <c r="C4720" t="s">
        <v>368</v>
      </c>
      <c r="D4720" s="2" t="s">
        <v>331</v>
      </c>
      <c r="E4720" t="s">
        <v>412</v>
      </c>
      <c r="F4720" s="11">
        <v>43609</v>
      </c>
      <c r="G4720" s="14">
        <f t="array" ref="G4720">VLOOKUP(E4720,Produtos!$A:$E,5,FALSE)</f>
        <v>280</v>
      </c>
      <c r="H4720" s="14">
        <f>VLOOKUP(E4720,Produtos!$A:$E,4,FALSE)</f>
        <v>130</v>
      </c>
      <c r="I4720" s="2">
        <v>2</v>
      </c>
    </row>
    <row r="4721" spans="1:9" x14ac:dyDescent="0.25">
      <c r="A4721" s="2" t="str">
        <f>CONCATENATE(Códigos!S4720,Códigos!T4720,Códigos!U4720)</f>
        <v>svv4719v</v>
      </c>
      <c r="B4721" t="s">
        <v>407</v>
      </c>
      <c r="C4721" t="s">
        <v>368</v>
      </c>
      <c r="D4721" s="2" t="s">
        <v>331</v>
      </c>
      <c r="E4721" t="s">
        <v>412</v>
      </c>
      <c r="F4721" s="11">
        <v>43610</v>
      </c>
      <c r="G4721" s="14">
        <f t="array" ref="G4721">VLOOKUP(E4721,Produtos!$A:$E,5,FALSE)</f>
        <v>280</v>
      </c>
      <c r="H4721" s="14">
        <f>VLOOKUP(E4721,Produtos!$A:$E,4,FALSE)</f>
        <v>130</v>
      </c>
      <c r="I4721" s="2">
        <v>2</v>
      </c>
    </row>
    <row r="4722" spans="1:9" x14ac:dyDescent="0.25">
      <c r="A4722" s="2" t="str">
        <f>CONCATENATE(Códigos!S4721,Códigos!T4721,Códigos!U4721)</f>
        <v>svv4720v</v>
      </c>
      <c r="B4722" t="s">
        <v>406</v>
      </c>
      <c r="C4722" t="s">
        <v>368</v>
      </c>
      <c r="D4722" s="2" t="s">
        <v>331</v>
      </c>
      <c r="E4722" t="s">
        <v>412</v>
      </c>
      <c r="F4722" s="11">
        <v>43611</v>
      </c>
      <c r="G4722" s="14">
        <f t="array" ref="G4722">VLOOKUP(E4722,Produtos!$A:$E,5,FALSE)</f>
        <v>280</v>
      </c>
      <c r="H4722" s="14">
        <f>VLOOKUP(E4722,Produtos!$A:$E,4,FALSE)</f>
        <v>130</v>
      </c>
      <c r="I4722" s="2">
        <v>2</v>
      </c>
    </row>
    <row r="4723" spans="1:9" x14ac:dyDescent="0.25">
      <c r="A4723" s="2" t="str">
        <f>CONCATENATE(Códigos!S4722,Códigos!T4722,Códigos!U4722)</f>
        <v>svv4721v</v>
      </c>
      <c r="B4723" t="s">
        <v>406</v>
      </c>
      <c r="C4723" t="s">
        <v>368</v>
      </c>
      <c r="D4723" s="2" t="s">
        <v>331</v>
      </c>
      <c r="E4723" t="s">
        <v>412</v>
      </c>
      <c r="F4723" s="11">
        <v>43612</v>
      </c>
      <c r="G4723" s="14">
        <f t="array" ref="G4723">VLOOKUP(E4723,Produtos!$A:$E,5,FALSE)</f>
        <v>280</v>
      </c>
      <c r="H4723" s="14">
        <f>VLOOKUP(E4723,Produtos!$A:$E,4,FALSE)</f>
        <v>130</v>
      </c>
      <c r="I4723" s="2">
        <v>2</v>
      </c>
    </row>
    <row r="4724" spans="1:9" x14ac:dyDescent="0.25">
      <c r="A4724" s="2" t="str">
        <f>CONCATENATE(Códigos!S4723,Códigos!T4723,Códigos!U4723)</f>
        <v>svv4722v</v>
      </c>
      <c r="B4724" t="s">
        <v>406</v>
      </c>
      <c r="C4724" t="s">
        <v>368</v>
      </c>
      <c r="D4724" s="2" t="s">
        <v>331</v>
      </c>
      <c r="E4724" t="s">
        <v>412</v>
      </c>
      <c r="F4724" s="11">
        <v>43687</v>
      </c>
      <c r="G4724" s="14">
        <f t="array" ref="G4724">VLOOKUP(E4724,Produtos!$A:$E,5,FALSE)</f>
        <v>280</v>
      </c>
      <c r="H4724" s="14">
        <f>VLOOKUP(E4724,Produtos!$A:$E,4,FALSE)</f>
        <v>130</v>
      </c>
      <c r="I4724" s="2">
        <v>2</v>
      </c>
    </row>
    <row r="4725" spans="1:9" x14ac:dyDescent="0.25">
      <c r="A4725" s="2" t="str">
        <f>CONCATENATE(Códigos!S4724,Códigos!T4724,Códigos!U4724)</f>
        <v>svv4723v</v>
      </c>
      <c r="B4725" t="s">
        <v>406</v>
      </c>
      <c r="C4725" t="s">
        <v>368</v>
      </c>
      <c r="D4725" s="2" t="s">
        <v>331</v>
      </c>
      <c r="E4725" t="s">
        <v>412</v>
      </c>
      <c r="F4725" s="11">
        <v>43688</v>
      </c>
      <c r="G4725" s="14">
        <f t="array" ref="G4725">VLOOKUP(E4725,Produtos!$A:$E,5,FALSE)</f>
        <v>280</v>
      </c>
      <c r="H4725" s="14">
        <f>VLOOKUP(E4725,Produtos!$A:$E,4,FALSE)</f>
        <v>130</v>
      </c>
      <c r="I4725" s="2">
        <v>2</v>
      </c>
    </row>
    <row r="4726" spans="1:9" x14ac:dyDescent="0.25">
      <c r="A4726" s="2" t="str">
        <f>CONCATENATE(Códigos!S4725,Códigos!T4725,Códigos!U4725)</f>
        <v>svv4724v</v>
      </c>
      <c r="B4726" t="s">
        <v>406</v>
      </c>
      <c r="C4726" t="s">
        <v>368</v>
      </c>
      <c r="D4726" s="2" t="s">
        <v>331</v>
      </c>
      <c r="E4726" t="s">
        <v>412</v>
      </c>
      <c r="F4726" s="11">
        <v>43689</v>
      </c>
      <c r="G4726" s="14">
        <f t="array" ref="G4726">VLOOKUP(E4726,Produtos!$A:$E,5,FALSE)</f>
        <v>280</v>
      </c>
      <c r="H4726" s="14">
        <f>VLOOKUP(E4726,Produtos!$A:$E,4,FALSE)</f>
        <v>130</v>
      </c>
      <c r="I4726" s="2">
        <v>2</v>
      </c>
    </row>
    <row r="4727" spans="1:9" x14ac:dyDescent="0.25">
      <c r="A4727" s="2" t="str">
        <f>CONCATENATE(Códigos!S4726,Códigos!T4726,Códigos!U4726)</f>
        <v>svv4725v</v>
      </c>
      <c r="B4727" t="s">
        <v>406</v>
      </c>
      <c r="C4727" t="s">
        <v>368</v>
      </c>
      <c r="D4727" s="2" t="s">
        <v>331</v>
      </c>
      <c r="E4727" t="s">
        <v>412</v>
      </c>
      <c r="F4727" s="11">
        <v>43690</v>
      </c>
      <c r="G4727" s="14">
        <f t="array" ref="G4727">VLOOKUP(E4727,Produtos!$A:$E,5,FALSE)</f>
        <v>280</v>
      </c>
      <c r="H4727" s="14">
        <f>VLOOKUP(E4727,Produtos!$A:$E,4,FALSE)</f>
        <v>130</v>
      </c>
      <c r="I4727" s="2">
        <v>2</v>
      </c>
    </row>
    <row r="4728" spans="1:9" x14ac:dyDescent="0.25">
      <c r="A4728" s="2" t="str">
        <f>CONCATENATE(Códigos!S4727,Códigos!T4727,Códigos!U4727)</f>
        <v>svv4726v</v>
      </c>
      <c r="B4728" t="s">
        <v>406</v>
      </c>
      <c r="C4728" t="s">
        <v>368</v>
      </c>
      <c r="D4728" s="2" t="s">
        <v>331</v>
      </c>
      <c r="E4728" t="s">
        <v>412</v>
      </c>
      <c r="F4728" s="11">
        <v>43691</v>
      </c>
      <c r="G4728" s="14">
        <f t="array" ref="G4728">VLOOKUP(E4728,Produtos!$A:$E,5,FALSE)</f>
        <v>280</v>
      </c>
      <c r="H4728" s="14">
        <f>VLOOKUP(E4728,Produtos!$A:$E,4,FALSE)</f>
        <v>130</v>
      </c>
      <c r="I4728" s="2">
        <v>2</v>
      </c>
    </row>
    <row r="4729" spans="1:9" x14ac:dyDescent="0.25">
      <c r="A4729" s="2" t="str">
        <f>CONCATENATE(Códigos!S4728,Códigos!T4728,Códigos!U4728)</f>
        <v>svv4727v</v>
      </c>
      <c r="B4729" t="s">
        <v>406</v>
      </c>
      <c r="C4729" t="s">
        <v>368</v>
      </c>
      <c r="D4729" s="2" t="s">
        <v>331</v>
      </c>
      <c r="E4729" t="s">
        <v>412</v>
      </c>
      <c r="F4729" s="11">
        <v>43692</v>
      </c>
      <c r="G4729" s="14">
        <f t="array" ref="G4729">VLOOKUP(E4729,Produtos!$A:$E,5,FALSE)</f>
        <v>280</v>
      </c>
      <c r="H4729" s="14">
        <f>VLOOKUP(E4729,Produtos!$A:$E,4,FALSE)</f>
        <v>130</v>
      </c>
      <c r="I4729" s="2">
        <v>2</v>
      </c>
    </row>
    <row r="4730" spans="1:9" x14ac:dyDescent="0.25">
      <c r="A4730" s="2" t="str">
        <f>CONCATENATE(Códigos!S4729,Códigos!T4729,Códigos!U4729)</f>
        <v>svv4728v</v>
      </c>
      <c r="B4730" t="s">
        <v>406</v>
      </c>
      <c r="C4730" t="s">
        <v>397</v>
      </c>
      <c r="D4730" s="2" t="s">
        <v>398</v>
      </c>
      <c r="E4730" t="s">
        <v>390</v>
      </c>
      <c r="F4730" s="11">
        <v>43693</v>
      </c>
      <c r="G4730" s="14">
        <f t="array" ref="G4730">VLOOKUP(E4730,Produtos!$A:$E,5,FALSE)</f>
        <v>700</v>
      </c>
      <c r="H4730" s="14">
        <f>VLOOKUP(E4730,Produtos!$A:$E,4,FALSE)</f>
        <v>400</v>
      </c>
      <c r="I4730" s="2">
        <v>2</v>
      </c>
    </row>
    <row r="4731" spans="1:9" x14ac:dyDescent="0.25">
      <c r="A4731" s="2" t="str">
        <f>CONCATENATE(Códigos!S4730,Códigos!T4730,Códigos!U4730)</f>
        <v>svv4729v</v>
      </c>
      <c r="B4731" t="s">
        <v>406</v>
      </c>
      <c r="C4731" t="s">
        <v>397</v>
      </c>
      <c r="D4731" s="2" t="s">
        <v>398</v>
      </c>
      <c r="E4731" t="s">
        <v>390</v>
      </c>
      <c r="F4731" s="11">
        <v>43694</v>
      </c>
      <c r="G4731" s="14">
        <f t="array" ref="G4731">VLOOKUP(E4731,Produtos!$A:$E,5,FALSE)</f>
        <v>700</v>
      </c>
      <c r="H4731" s="14">
        <f>VLOOKUP(E4731,Produtos!$A:$E,4,FALSE)</f>
        <v>400</v>
      </c>
      <c r="I4731" s="2">
        <v>2</v>
      </c>
    </row>
    <row r="4732" spans="1:9" x14ac:dyDescent="0.25">
      <c r="A4732" s="2" t="str">
        <f>CONCATENATE(Códigos!S4731,Códigos!T4731,Códigos!U4731)</f>
        <v>svv4730v</v>
      </c>
      <c r="B4732" t="s">
        <v>406</v>
      </c>
      <c r="C4732" t="s">
        <v>397</v>
      </c>
      <c r="D4732" s="2" t="s">
        <v>398</v>
      </c>
      <c r="E4732" t="s">
        <v>411</v>
      </c>
      <c r="F4732" s="11">
        <v>43695</v>
      </c>
      <c r="G4732" s="14">
        <f t="array" ref="G4732">VLOOKUP(E4732,Produtos!$A:$E,5,FALSE)</f>
        <v>1100</v>
      </c>
      <c r="H4732" s="14">
        <f>VLOOKUP(E4732,Produtos!$A:$E,4,FALSE)</f>
        <v>700</v>
      </c>
      <c r="I4732" s="2">
        <v>2</v>
      </c>
    </row>
    <row r="4733" spans="1:9" x14ac:dyDescent="0.25">
      <c r="A4733" s="2" t="str">
        <f>CONCATENATE(Códigos!S4732,Códigos!T4732,Códigos!U4732)</f>
        <v>svv4731v</v>
      </c>
      <c r="B4733" t="s">
        <v>406</v>
      </c>
      <c r="C4733" t="s">
        <v>397</v>
      </c>
      <c r="D4733" s="2" t="s">
        <v>398</v>
      </c>
      <c r="E4733" t="s">
        <v>411</v>
      </c>
      <c r="F4733" s="11">
        <v>43696</v>
      </c>
      <c r="G4733" s="14">
        <f t="array" ref="G4733">VLOOKUP(E4733,Produtos!$A:$E,5,FALSE)</f>
        <v>1100</v>
      </c>
      <c r="H4733" s="14">
        <f>VLOOKUP(E4733,Produtos!$A:$E,4,FALSE)</f>
        <v>700</v>
      </c>
      <c r="I4733" s="2">
        <v>2</v>
      </c>
    </row>
    <row r="4734" spans="1:9" x14ac:dyDescent="0.25">
      <c r="A4734" s="2" t="str">
        <f>CONCATENATE(Códigos!S4733,Códigos!T4733,Códigos!U4733)</f>
        <v>svv4732v</v>
      </c>
      <c r="B4734" t="s">
        <v>406</v>
      </c>
      <c r="C4734" t="s">
        <v>397</v>
      </c>
      <c r="D4734" s="2" t="s">
        <v>398</v>
      </c>
      <c r="E4734" t="s">
        <v>411</v>
      </c>
      <c r="F4734" s="11">
        <v>43697</v>
      </c>
      <c r="G4734" s="14">
        <f t="array" ref="G4734">VLOOKUP(E4734,Produtos!$A:$E,5,FALSE)</f>
        <v>1100</v>
      </c>
      <c r="H4734" s="14">
        <f>VLOOKUP(E4734,Produtos!$A:$E,4,FALSE)</f>
        <v>700</v>
      </c>
      <c r="I4734" s="2">
        <v>2</v>
      </c>
    </row>
    <row r="4735" spans="1:9" x14ac:dyDescent="0.25">
      <c r="A4735" s="2" t="str">
        <f>CONCATENATE(Códigos!S4734,Códigos!T4734,Códigos!U4734)</f>
        <v>svv4733v</v>
      </c>
      <c r="B4735" t="s">
        <v>406</v>
      </c>
      <c r="C4735" t="s">
        <v>397</v>
      </c>
      <c r="D4735" s="2" t="s">
        <v>398</v>
      </c>
      <c r="E4735" t="s">
        <v>411</v>
      </c>
      <c r="F4735" s="11">
        <v>43698</v>
      </c>
      <c r="G4735" s="14">
        <f t="array" ref="G4735">VLOOKUP(E4735,Produtos!$A:$E,5,FALSE)</f>
        <v>1100</v>
      </c>
      <c r="H4735" s="14">
        <f>VLOOKUP(E4735,Produtos!$A:$E,4,FALSE)</f>
        <v>700</v>
      </c>
      <c r="I4735" s="2">
        <v>2</v>
      </c>
    </row>
    <row r="4736" spans="1:9" x14ac:dyDescent="0.25">
      <c r="A4736" s="2" t="str">
        <f>CONCATENATE(Códigos!S4735,Códigos!T4735,Códigos!U4735)</f>
        <v>svv4734v</v>
      </c>
      <c r="B4736" t="s">
        <v>406</v>
      </c>
      <c r="C4736" t="s">
        <v>397</v>
      </c>
      <c r="D4736" s="2" t="s">
        <v>398</v>
      </c>
      <c r="E4736" t="s">
        <v>411</v>
      </c>
      <c r="F4736" s="11">
        <v>43699</v>
      </c>
      <c r="G4736" s="14">
        <f t="array" ref="G4736">VLOOKUP(E4736,Produtos!$A:$E,5,FALSE)</f>
        <v>1100</v>
      </c>
      <c r="H4736" s="14">
        <f>VLOOKUP(E4736,Produtos!$A:$E,4,FALSE)</f>
        <v>700</v>
      </c>
      <c r="I4736" s="2">
        <v>2</v>
      </c>
    </row>
    <row r="4737" spans="1:9" x14ac:dyDescent="0.25">
      <c r="A4737" s="2" t="str">
        <f>CONCATENATE(Códigos!S4736,Códigos!T4736,Códigos!U4736)</f>
        <v>svv4735v</v>
      </c>
      <c r="B4737" t="s">
        <v>406</v>
      </c>
      <c r="C4737" t="s">
        <v>397</v>
      </c>
      <c r="D4737" s="2" t="s">
        <v>398</v>
      </c>
      <c r="E4737" t="s">
        <v>411</v>
      </c>
      <c r="F4737" s="11">
        <v>43700</v>
      </c>
      <c r="G4737" s="14">
        <f t="array" ref="G4737">VLOOKUP(E4737,Produtos!$A:$E,5,FALSE)</f>
        <v>1100</v>
      </c>
      <c r="H4737" s="14">
        <f>VLOOKUP(E4737,Produtos!$A:$E,4,FALSE)</f>
        <v>700</v>
      </c>
      <c r="I4737" s="2">
        <v>2</v>
      </c>
    </row>
    <row r="4738" spans="1:9" x14ac:dyDescent="0.25">
      <c r="A4738" s="2" t="str">
        <f>CONCATENATE(Códigos!S4737,Códigos!T4737,Códigos!U4737)</f>
        <v>svv4736v</v>
      </c>
      <c r="B4738" t="s">
        <v>406</v>
      </c>
      <c r="C4738" t="s">
        <v>368</v>
      </c>
      <c r="D4738" s="2" t="s">
        <v>331</v>
      </c>
      <c r="E4738" t="s">
        <v>411</v>
      </c>
      <c r="F4738" s="11">
        <v>43701</v>
      </c>
      <c r="G4738" s="14">
        <f t="array" ref="G4738">VLOOKUP(E4738,Produtos!$A:$E,5,FALSE)</f>
        <v>1100</v>
      </c>
      <c r="H4738" s="14">
        <f>VLOOKUP(E4738,Produtos!$A:$E,4,FALSE)</f>
        <v>700</v>
      </c>
      <c r="I4738" s="2">
        <v>2</v>
      </c>
    </row>
    <row r="4739" spans="1:9" x14ac:dyDescent="0.25">
      <c r="A4739" s="2" t="str">
        <f>CONCATENATE(Códigos!S4738,Códigos!T4738,Códigos!U4738)</f>
        <v>svv4737v</v>
      </c>
      <c r="B4739" t="s">
        <v>406</v>
      </c>
      <c r="C4739" t="s">
        <v>368</v>
      </c>
      <c r="D4739" s="2" t="s">
        <v>331</v>
      </c>
      <c r="E4739" t="s">
        <v>411</v>
      </c>
      <c r="F4739" s="11">
        <v>43702</v>
      </c>
      <c r="G4739" s="14">
        <f t="array" ref="G4739">VLOOKUP(E4739,Produtos!$A:$E,5,FALSE)</f>
        <v>1100</v>
      </c>
      <c r="H4739" s="14">
        <f>VLOOKUP(E4739,Produtos!$A:$E,4,FALSE)</f>
        <v>700</v>
      </c>
      <c r="I4739" s="2">
        <v>2</v>
      </c>
    </row>
    <row r="4740" spans="1:9" x14ac:dyDescent="0.25">
      <c r="A4740" s="2" t="str">
        <f>CONCATENATE(Códigos!S4739,Códigos!T4739,Códigos!U4739)</f>
        <v>svv4738v</v>
      </c>
      <c r="B4740" t="s">
        <v>406</v>
      </c>
      <c r="C4740" t="s">
        <v>368</v>
      </c>
      <c r="D4740" s="2" t="s">
        <v>331</v>
      </c>
      <c r="E4740" t="s">
        <v>411</v>
      </c>
      <c r="F4740" s="11">
        <v>43703</v>
      </c>
      <c r="G4740" s="14">
        <f t="array" ref="G4740">VLOOKUP(E4740,Produtos!$A:$E,5,FALSE)</f>
        <v>1100</v>
      </c>
      <c r="H4740" s="14">
        <f>VLOOKUP(E4740,Produtos!$A:$E,4,FALSE)</f>
        <v>700</v>
      </c>
      <c r="I4740" s="2">
        <v>2</v>
      </c>
    </row>
    <row r="4741" spans="1:9" x14ac:dyDescent="0.25">
      <c r="A4741" s="2" t="str">
        <f>CONCATENATE(Códigos!S4740,Códigos!T4740,Códigos!U4740)</f>
        <v>svv4739v</v>
      </c>
      <c r="B4741" t="s">
        <v>406</v>
      </c>
      <c r="C4741" t="s">
        <v>368</v>
      </c>
      <c r="D4741" s="2" t="s">
        <v>331</v>
      </c>
      <c r="E4741" t="s">
        <v>411</v>
      </c>
      <c r="F4741" s="11">
        <v>43704</v>
      </c>
      <c r="G4741" s="14">
        <f t="array" ref="G4741">VLOOKUP(E4741,Produtos!$A:$E,5,FALSE)</f>
        <v>1100</v>
      </c>
      <c r="H4741" s="14">
        <f>VLOOKUP(E4741,Produtos!$A:$E,4,FALSE)</f>
        <v>700</v>
      </c>
      <c r="I4741" s="2">
        <v>2</v>
      </c>
    </row>
    <row r="4742" spans="1:9" x14ac:dyDescent="0.25">
      <c r="A4742" s="2" t="str">
        <f>CONCATENATE(Códigos!S4741,Códigos!T4741,Códigos!U4741)</f>
        <v>svv4740v</v>
      </c>
      <c r="B4742" t="s">
        <v>406</v>
      </c>
      <c r="C4742" t="s">
        <v>368</v>
      </c>
      <c r="D4742" s="2" t="s">
        <v>331</v>
      </c>
      <c r="E4742" t="s">
        <v>411</v>
      </c>
      <c r="F4742" s="11">
        <v>43705</v>
      </c>
      <c r="G4742" s="14">
        <f t="array" ref="G4742">VLOOKUP(E4742,Produtos!$A:$E,5,FALSE)</f>
        <v>1100</v>
      </c>
      <c r="H4742" s="14">
        <f>VLOOKUP(E4742,Produtos!$A:$E,4,FALSE)</f>
        <v>700</v>
      </c>
      <c r="I4742" s="2">
        <v>2</v>
      </c>
    </row>
    <row r="4743" spans="1:9" x14ac:dyDescent="0.25">
      <c r="A4743" s="2" t="str">
        <f>CONCATENATE(Códigos!S4742,Códigos!T4742,Códigos!U4742)</f>
        <v>svv4741v</v>
      </c>
      <c r="B4743" t="s">
        <v>394</v>
      </c>
      <c r="C4743" t="s">
        <v>368</v>
      </c>
      <c r="D4743" s="2" t="s">
        <v>331</v>
      </c>
      <c r="E4743" t="s">
        <v>379</v>
      </c>
      <c r="F4743" s="11">
        <v>43706</v>
      </c>
      <c r="G4743" s="14">
        <f t="array" ref="G4743">VLOOKUP(E4743,Produtos!$A:$E,5,FALSE)</f>
        <v>12</v>
      </c>
      <c r="H4743" s="14">
        <f>VLOOKUP(E4743,Produtos!$A:$E,4,FALSE)</f>
        <v>5</v>
      </c>
      <c r="I4743" s="2">
        <v>2</v>
      </c>
    </row>
    <row r="4744" spans="1:9" x14ac:dyDescent="0.25">
      <c r="A4744" s="2" t="str">
        <f>CONCATENATE(Códigos!S4743,Códigos!T4743,Códigos!U4743)</f>
        <v>svv4742v</v>
      </c>
      <c r="B4744" t="s">
        <v>394</v>
      </c>
      <c r="C4744" t="s">
        <v>368</v>
      </c>
      <c r="D4744" s="2" t="s">
        <v>331</v>
      </c>
      <c r="E4744" t="s">
        <v>379</v>
      </c>
      <c r="F4744" s="11">
        <v>43707</v>
      </c>
      <c r="G4744" s="14">
        <f t="array" ref="G4744">VLOOKUP(E4744,Produtos!$A:$E,5,FALSE)</f>
        <v>12</v>
      </c>
      <c r="H4744" s="14">
        <f>VLOOKUP(E4744,Produtos!$A:$E,4,FALSE)</f>
        <v>5</v>
      </c>
      <c r="I4744" s="2">
        <v>2</v>
      </c>
    </row>
    <row r="4745" spans="1:9" x14ac:dyDescent="0.25">
      <c r="A4745" s="2" t="str">
        <f>CONCATENATE(Códigos!S4744,Códigos!T4744,Códigos!U4744)</f>
        <v>svv4743v</v>
      </c>
      <c r="B4745" t="s">
        <v>394</v>
      </c>
      <c r="C4745" t="s">
        <v>368</v>
      </c>
      <c r="D4745" s="2" t="s">
        <v>331</v>
      </c>
      <c r="E4745" t="s">
        <v>379</v>
      </c>
      <c r="F4745" s="11">
        <v>43708</v>
      </c>
      <c r="G4745" s="14">
        <f t="array" ref="G4745">VLOOKUP(E4745,Produtos!$A:$E,5,FALSE)</f>
        <v>12</v>
      </c>
      <c r="H4745" s="14">
        <f>VLOOKUP(E4745,Produtos!$A:$E,4,FALSE)</f>
        <v>5</v>
      </c>
      <c r="I4745" s="2">
        <v>2</v>
      </c>
    </row>
    <row r="4746" spans="1:9" x14ac:dyDescent="0.25">
      <c r="A4746" s="2" t="str">
        <f>CONCATENATE(Códigos!S4745,Códigos!T4745,Códigos!U4745)</f>
        <v>svv4744v</v>
      </c>
      <c r="B4746" t="s">
        <v>394</v>
      </c>
      <c r="C4746" t="s">
        <v>368</v>
      </c>
      <c r="D4746" s="2" t="s">
        <v>331</v>
      </c>
      <c r="E4746" t="s">
        <v>379</v>
      </c>
      <c r="F4746" s="11">
        <v>43709</v>
      </c>
      <c r="G4746" s="14">
        <f t="array" ref="G4746">VLOOKUP(E4746,Produtos!$A:$E,5,FALSE)</f>
        <v>12</v>
      </c>
      <c r="H4746" s="14">
        <f>VLOOKUP(E4746,Produtos!$A:$E,4,FALSE)</f>
        <v>5</v>
      </c>
      <c r="I4746" s="2">
        <v>2</v>
      </c>
    </row>
    <row r="4747" spans="1:9" x14ac:dyDescent="0.25">
      <c r="A4747" s="2" t="str">
        <f>CONCATENATE(Códigos!S4746,Códigos!T4746,Códigos!U4746)</f>
        <v>svv4745v</v>
      </c>
      <c r="B4747" t="s">
        <v>394</v>
      </c>
      <c r="C4747" t="s">
        <v>368</v>
      </c>
      <c r="D4747" s="2" t="s">
        <v>331</v>
      </c>
      <c r="E4747" t="s">
        <v>379</v>
      </c>
      <c r="F4747" s="11">
        <v>43710</v>
      </c>
      <c r="G4747" s="14">
        <f t="array" ref="G4747">VLOOKUP(E4747,Produtos!$A:$E,5,FALSE)</f>
        <v>12</v>
      </c>
      <c r="H4747" s="14">
        <f>VLOOKUP(E4747,Produtos!$A:$E,4,FALSE)</f>
        <v>5</v>
      </c>
      <c r="I4747" s="2">
        <v>2</v>
      </c>
    </row>
    <row r="4748" spans="1:9" x14ac:dyDescent="0.25">
      <c r="A4748" s="2" t="str">
        <f>CONCATENATE(Códigos!S4747,Códigos!T4747,Códigos!U4747)</f>
        <v>svv4746v</v>
      </c>
      <c r="B4748" t="s">
        <v>394</v>
      </c>
      <c r="C4748" t="s">
        <v>368</v>
      </c>
      <c r="D4748" s="2" t="s">
        <v>331</v>
      </c>
      <c r="E4748" t="s">
        <v>379</v>
      </c>
      <c r="F4748" s="11">
        <v>43711</v>
      </c>
      <c r="G4748" s="14">
        <f t="array" ref="G4748">VLOOKUP(E4748,Produtos!$A:$E,5,FALSE)</f>
        <v>12</v>
      </c>
      <c r="H4748" s="14">
        <f>VLOOKUP(E4748,Produtos!$A:$E,4,FALSE)</f>
        <v>5</v>
      </c>
      <c r="I4748" s="2">
        <v>2</v>
      </c>
    </row>
    <row r="4749" spans="1:9" x14ac:dyDescent="0.25">
      <c r="A4749" s="2" t="str">
        <f>CONCATENATE(Códigos!S4748,Códigos!T4748,Códigos!U4748)</f>
        <v>svv4747v</v>
      </c>
      <c r="B4749" t="s">
        <v>394</v>
      </c>
      <c r="C4749" t="s">
        <v>368</v>
      </c>
      <c r="D4749" s="2" t="s">
        <v>331</v>
      </c>
      <c r="E4749" t="s">
        <v>378</v>
      </c>
      <c r="F4749" s="11">
        <v>43712</v>
      </c>
      <c r="G4749" s="14">
        <f t="array" ref="G4749">VLOOKUP(E4749,Produtos!$A:$E,5,FALSE)</f>
        <v>6</v>
      </c>
      <c r="H4749" s="14">
        <f>VLOOKUP(E4749,Produtos!$A:$E,4,FALSE)</f>
        <v>3</v>
      </c>
      <c r="I4749" s="2">
        <v>2</v>
      </c>
    </row>
    <row r="4750" spans="1:9" x14ac:dyDescent="0.25">
      <c r="A4750" s="2" t="str">
        <f>CONCATENATE(Códigos!S4749,Códigos!T4749,Códigos!U4749)</f>
        <v>svv4748v</v>
      </c>
      <c r="B4750" t="s">
        <v>394</v>
      </c>
      <c r="C4750" t="s">
        <v>368</v>
      </c>
      <c r="D4750" s="2" t="s">
        <v>331</v>
      </c>
      <c r="E4750" t="s">
        <v>378</v>
      </c>
      <c r="F4750" s="11">
        <v>43713</v>
      </c>
      <c r="G4750" s="14">
        <f t="array" ref="G4750">VLOOKUP(E4750,Produtos!$A:$E,5,FALSE)</f>
        <v>6</v>
      </c>
      <c r="H4750" s="14">
        <f>VLOOKUP(E4750,Produtos!$A:$E,4,FALSE)</f>
        <v>3</v>
      </c>
      <c r="I4750" s="2">
        <v>2</v>
      </c>
    </row>
    <row r="4751" spans="1:9" x14ac:dyDescent="0.25">
      <c r="A4751" s="2" t="str">
        <f>CONCATENATE(Códigos!S4750,Códigos!T4750,Códigos!U4750)</f>
        <v>svv4749v</v>
      </c>
      <c r="B4751" t="s">
        <v>394</v>
      </c>
      <c r="C4751" t="s">
        <v>368</v>
      </c>
      <c r="D4751" s="2" t="s">
        <v>331</v>
      </c>
      <c r="E4751" t="s">
        <v>378</v>
      </c>
      <c r="F4751" s="11">
        <v>43714</v>
      </c>
      <c r="G4751" s="14">
        <f t="array" ref="G4751">VLOOKUP(E4751,Produtos!$A:$E,5,FALSE)</f>
        <v>6</v>
      </c>
      <c r="H4751" s="14">
        <f>VLOOKUP(E4751,Produtos!$A:$E,4,FALSE)</f>
        <v>3</v>
      </c>
      <c r="I4751" s="2">
        <v>2</v>
      </c>
    </row>
    <row r="4752" spans="1:9" x14ac:dyDescent="0.25">
      <c r="A4752" s="2" t="str">
        <f>CONCATENATE(Códigos!S4751,Códigos!T4751,Códigos!U4751)</f>
        <v>svv4750v</v>
      </c>
      <c r="B4752" t="s">
        <v>394</v>
      </c>
      <c r="C4752" t="s">
        <v>368</v>
      </c>
      <c r="D4752" s="2" t="s">
        <v>331</v>
      </c>
      <c r="E4752" t="s">
        <v>378</v>
      </c>
      <c r="F4752" s="11">
        <v>43715</v>
      </c>
      <c r="G4752" s="14">
        <f t="array" ref="G4752">VLOOKUP(E4752,Produtos!$A:$E,5,FALSE)</f>
        <v>6</v>
      </c>
      <c r="H4752" s="14">
        <f>VLOOKUP(E4752,Produtos!$A:$E,4,FALSE)</f>
        <v>3</v>
      </c>
      <c r="I4752" s="2">
        <v>2</v>
      </c>
    </row>
    <row r="4753" spans="1:9" x14ac:dyDescent="0.25">
      <c r="A4753" s="2" t="str">
        <f>CONCATENATE(Códigos!S4752,Códigos!T4752,Códigos!U4752)</f>
        <v>svv4751v</v>
      </c>
      <c r="B4753" t="s">
        <v>394</v>
      </c>
      <c r="C4753" t="s">
        <v>368</v>
      </c>
      <c r="D4753" s="2" t="s">
        <v>331</v>
      </c>
      <c r="E4753" t="s">
        <v>378</v>
      </c>
      <c r="F4753" s="11">
        <v>43716</v>
      </c>
      <c r="G4753" s="14">
        <f t="array" ref="G4753">VLOOKUP(E4753,Produtos!$A:$E,5,FALSE)</f>
        <v>6</v>
      </c>
      <c r="H4753" s="14">
        <f>VLOOKUP(E4753,Produtos!$A:$E,4,FALSE)</f>
        <v>3</v>
      </c>
      <c r="I4753" s="2">
        <v>2</v>
      </c>
    </row>
    <row r="4754" spans="1:9" x14ac:dyDescent="0.25">
      <c r="A4754" s="2" t="str">
        <f>CONCATENATE(Códigos!S4753,Códigos!T4753,Códigos!U4753)</f>
        <v>svv4752v</v>
      </c>
      <c r="B4754" t="s">
        <v>394</v>
      </c>
      <c r="C4754" t="s">
        <v>383</v>
      </c>
      <c r="D4754" s="2" t="s">
        <v>384</v>
      </c>
      <c r="E4754" t="s">
        <v>378</v>
      </c>
      <c r="F4754" s="11">
        <v>43717</v>
      </c>
      <c r="G4754" s="14">
        <f t="array" ref="G4754">VLOOKUP(E4754,Produtos!$A:$E,5,FALSE)</f>
        <v>6</v>
      </c>
      <c r="H4754" s="14">
        <f>VLOOKUP(E4754,Produtos!$A:$E,4,FALSE)</f>
        <v>3</v>
      </c>
      <c r="I4754" s="2">
        <v>2</v>
      </c>
    </row>
    <row r="4755" spans="1:9" x14ac:dyDescent="0.25">
      <c r="A4755" s="2" t="str">
        <f>CONCATENATE(Códigos!S4754,Códigos!T4754,Códigos!U4754)</f>
        <v>svv4753v</v>
      </c>
      <c r="B4755" t="s">
        <v>394</v>
      </c>
      <c r="C4755" t="s">
        <v>383</v>
      </c>
      <c r="D4755" s="2" t="s">
        <v>384</v>
      </c>
      <c r="E4755" t="s">
        <v>378</v>
      </c>
      <c r="F4755" s="11">
        <v>43718</v>
      </c>
      <c r="G4755" s="14">
        <f t="array" ref="G4755">VLOOKUP(E4755,Produtos!$A:$E,5,FALSE)</f>
        <v>6</v>
      </c>
      <c r="H4755" s="14">
        <f>VLOOKUP(E4755,Produtos!$A:$E,4,FALSE)</f>
        <v>3</v>
      </c>
      <c r="I4755" s="2">
        <v>2</v>
      </c>
    </row>
    <row r="4756" spans="1:9" x14ac:dyDescent="0.25">
      <c r="A4756" s="2" t="str">
        <f>CONCATENATE(Códigos!S4755,Códigos!T4755,Códigos!U4755)</f>
        <v>svv4754v</v>
      </c>
      <c r="B4756" t="s">
        <v>394</v>
      </c>
      <c r="C4756" t="s">
        <v>383</v>
      </c>
      <c r="D4756" s="2" t="s">
        <v>384</v>
      </c>
      <c r="E4756" t="s">
        <v>378</v>
      </c>
      <c r="F4756" s="11">
        <v>43719</v>
      </c>
      <c r="G4756" s="14">
        <f t="array" ref="G4756">VLOOKUP(E4756,Produtos!$A:$E,5,FALSE)</f>
        <v>6</v>
      </c>
      <c r="H4756" s="14">
        <f>VLOOKUP(E4756,Produtos!$A:$E,4,FALSE)</f>
        <v>3</v>
      </c>
      <c r="I4756" s="2">
        <v>2</v>
      </c>
    </row>
    <row r="4757" spans="1:9" x14ac:dyDescent="0.25">
      <c r="A4757" s="2" t="str">
        <f>CONCATENATE(Códigos!S4756,Códigos!T4756,Códigos!U4756)</f>
        <v>svv4755v</v>
      </c>
      <c r="B4757" t="s">
        <v>394</v>
      </c>
      <c r="C4757" t="s">
        <v>383</v>
      </c>
      <c r="D4757" s="2" t="s">
        <v>384</v>
      </c>
      <c r="E4757" t="s">
        <v>378</v>
      </c>
      <c r="F4757" s="11">
        <v>43720</v>
      </c>
      <c r="G4757" s="14">
        <f t="array" ref="G4757">VLOOKUP(E4757,Produtos!$A:$E,5,FALSE)</f>
        <v>6</v>
      </c>
      <c r="H4757" s="14">
        <f>VLOOKUP(E4757,Produtos!$A:$E,4,FALSE)</f>
        <v>3</v>
      </c>
      <c r="I4757" s="2">
        <v>2</v>
      </c>
    </row>
    <row r="4758" spans="1:9" x14ac:dyDescent="0.25">
      <c r="A4758" s="2" t="str">
        <f>CONCATENATE(Códigos!S4757,Códigos!T4757,Códigos!U4757)</f>
        <v>svv4756v</v>
      </c>
      <c r="B4758" t="s">
        <v>394</v>
      </c>
      <c r="C4758" t="s">
        <v>383</v>
      </c>
      <c r="D4758" s="2" t="s">
        <v>384</v>
      </c>
      <c r="E4758" t="s">
        <v>378</v>
      </c>
      <c r="F4758" s="11">
        <v>43721</v>
      </c>
      <c r="G4758" s="14">
        <f t="array" ref="G4758">VLOOKUP(E4758,Produtos!$A:$E,5,FALSE)</f>
        <v>6</v>
      </c>
      <c r="H4758" s="14">
        <f>VLOOKUP(E4758,Produtos!$A:$E,4,FALSE)</f>
        <v>3</v>
      </c>
      <c r="I4758" s="2">
        <v>2</v>
      </c>
    </row>
    <row r="4759" spans="1:9" x14ac:dyDescent="0.25">
      <c r="A4759" s="2" t="str">
        <f>CONCATENATE(Códigos!S4758,Códigos!T4758,Códigos!U4758)</f>
        <v>svv4757v</v>
      </c>
      <c r="B4759" t="s">
        <v>396</v>
      </c>
      <c r="C4759" t="s">
        <v>383</v>
      </c>
      <c r="D4759" s="2" t="s">
        <v>384</v>
      </c>
      <c r="E4759" t="s">
        <v>378</v>
      </c>
      <c r="F4759" s="11">
        <v>43722</v>
      </c>
      <c r="G4759" s="14">
        <f t="array" ref="G4759">VLOOKUP(E4759,Produtos!$A:$E,5,FALSE)</f>
        <v>6</v>
      </c>
      <c r="H4759" s="14">
        <f>VLOOKUP(E4759,Produtos!$A:$E,4,FALSE)</f>
        <v>3</v>
      </c>
      <c r="I4759" s="2">
        <v>2</v>
      </c>
    </row>
    <row r="4760" spans="1:9" x14ac:dyDescent="0.25">
      <c r="A4760" s="2" t="str">
        <f>CONCATENATE(Códigos!S4759,Códigos!T4759,Códigos!U4759)</f>
        <v>svv4758v</v>
      </c>
      <c r="B4760" t="s">
        <v>396</v>
      </c>
      <c r="C4760" t="s">
        <v>383</v>
      </c>
      <c r="D4760" s="2" t="s">
        <v>384</v>
      </c>
      <c r="E4760" t="s">
        <v>378</v>
      </c>
      <c r="F4760" s="11">
        <v>43723</v>
      </c>
      <c r="G4760" s="14">
        <f t="array" ref="G4760">VLOOKUP(E4760,Produtos!$A:$E,5,FALSE)</f>
        <v>6</v>
      </c>
      <c r="H4760" s="14">
        <f>VLOOKUP(E4760,Produtos!$A:$E,4,FALSE)</f>
        <v>3</v>
      </c>
      <c r="I4760" s="2">
        <v>2</v>
      </c>
    </row>
    <row r="4761" spans="1:9" x14ac:dyDescent="0.25">
      <c r="A4761" s="2" t="str">
        <f>CONCATENATE(Códigos!S4760,Códigos!T4760,Códigos!U4760)</f>
        <v>svv4759v</v>
      </c>
      <c r="B4761" t="s">
        <v>396</v>
      </c>
      <c r="C4761" t="s">
        <v>383</v>
      </c>
      <c r="D4761" s="2" t="s">
        <v>384</v>
      </c>
      <c r="E4761" t="s">
        <v>378</v>
      </c>
      <c r="F4761" s="11">
        <v>43724</v>
      </c>
      <c r="G4761" s="14">
        <f t="array" ref="G4761">VLOOKUP(E4761,Produtos!$A:$E,5,FALSE)</f>
        <v>6</v>
      </c>
      <c r="H4761" s="14">
        <f>VLOOKUP(E4761,Produtos!$A:$E,4,FALSE)</f>
        <v>3</v>
      </c>
      <c r="I4761" s="2">
        <v>2</v>
      </c>
    </row>
    <row r="4762" spans="1:9" x14ac:dyDescent="0.25">
      <c r="A4762" s="2" t="str">
        <f>CONCATENATE(Códigos!S4761,Códigos!T4761,Códigos!U4761)</f>
        <v>svv4760v</v>
      </c>
      <c r="B4762" t="s">
        <v>396</v>
      </c>
      <c r="C4762" t="s">
        <v>383</v>
      </c>
      <c r="D4762" s="2" t="s">
        <v>384</v>
      </c>
      <c r="E4762" t="s">
        <v>378</v>
      </c>
      <c r="F4762" s="11">
        <v>43725</v>
      </c>
      <c r="G4762" s="14">
        <f t="array" ref="G4762">VLOOKUP(E4762,Produtos!$A:$E,5,FALSE)</f>
        <v>6</v>
      </c>
      <c r="H4762" s="14">
        <f>VLOOKUP(E4762,Produtos!$A:$E,4,FALSE)</f>
        <v>3</v>
      </c>
      <c r="I4762" s="2">
        <v>2</v>
      </c>
    </row>
    <row r="4763" spans="1:9" x14ac:dyDescent="0.25">
      <c r="A4763" s="2" t="str">
        <f>CONCATENATE(Códigos!S4762,Códigos!T4762,Códigos!U4762)</f>
        <v>svv4761v</v>
      </c>
      <c r="B4763" t="s">
        <v>396</v>
      </c>
      <c r="C4763" t="s">
        <v>383</v>
      </c>
      <c r="D4763" s="2" t="s">
        <v>384</v>
      </c>
      <c r="E4763" t="s">
        <v>378</v>
      </c>
      <c r="F4763" s="11">
        <v>43726</v>
      </c>
      <c r="G4763" s="14">
        <f t="array" ref="G4763">VLOOKUP(E4763,Produtos!$A:$E,5,FALSE)</f>
        <v>6</v>
      </c>
      <c r="H4763" s="14">
        <f>VLOOKUP(E4763,Produtos!$A:$E,4,FALSE)</f>
        <v>3</v>
      </c>
      <c r="I4763" s="2">
        <v>2</v>
      </c>
    </row>
    <row r="4764" spans="1:9" x14ac:dyDescent="0.25">
      <c r="A4764" s="2" t="str">
        <f>CONCATENATE(Códigos!S4763,Códigos!T4763,Códigos!U4763)</f>
        <v>svv4762v</v>
      </c>
      <c r="B4764" t="s">
        <v>396</v>
      </c>
      <c r="C4764" t="s">
        <v>383</v>
      </c>
      <c r="D4764" s="2" t="s">
        <v>384</v>
      </c>
      <c r="E4764" t="s">
        <v>378</v>
      </c>
      <c r="F4764" s="11">
        <v>43727</v>
      </c>
      <c r="G4764" s="14">
        <f t="array" ref="G4764">VLOOKUP(E4764,Produtos!$A:$E,5,FALSE)</f>
        <v>6</v>
      </c>
      <c r="H4764" s="14">
        <f>VLOOKUP(E4764,Produtos!$A:$E,4,FALSE)</f>
        <v>3</v>
      </c>
      <c r="I4764" s="2">
        <v>2</v>
      </c>
    </row>
    <row r="4765" spans="1:9" x14ac:dyDescent="0.25">
      <c r="A4765" s="2" t="str">
        <f>CONCATENATE(Códigos!S4764,Códigos!T4764,Códigos!U4764)</f>
        <v>svv4763v</v>
      </c>
      <c r="B4765" t="s">
        <v>396</v>
      </c>
      <c r="C4765" t="s">
        <v>383</v>
      </c>
      <c r="D4765" s="2" t="s">
        <v>384</v>
      </c>
      <c r="E4765" t="s">
        <v>378</v>
      </c>
      <c r="F4765" s="11">
        <v>43728</v>
      </c>
      <c r="G4765" s="14">
        <f t="array" ref="G4765">VLOOKUP(E4765,Produtos!$A:$E,5,FALSE)</f>
        <v>6</v>
      </c>
      <c r="H4765" s="14">
        <f>VLOOKUP(E4765,Produtos!$A:$E,4,FALSE)</f>
        <v>3</v>
      </c>
      <c r="I4765" s="2">
        <v>2</v>
      </c>
    </row>
    <row r="4766" spans="1:9" x14ac:dyDescent="0.25">
      <c r="A4766" s="2" t="str">
        <f>CONCATENATE(Códigos!S4765,Códigos!T4765,Códigos!U4765)</f>
        <v>svv4764v</v>
      </c>
      <c r="B4766" t="s">
        <v>396</v>
      </c>
      <c r="C4766" t="s">
        <v>383</v>
      </c>
      <c r="D4766" s="2" t="s">
        <v>384</v>
      </c>
      <c r="E4766" t="s">
        <v>386</v>
      </c>
      <c r="F4766" s="11">
        <v>43729</v>
      </c>
      <c r="G4766" s="14">
        <f t="array" ref="G4766">VLOOKUP(E4766,Produtos!$A:$E,5,FALSE)</f>
        <v>6.5</v>
      </c>
      <c r="H4766" s="14">
        <f>VLOOKUP(E4766,Produtos!$A:$E,4,FALSE)</f>
        <v>3</v>
      </c>
      <c r="I4766" s="2">
        <v>2</v>
      </c>
    </row>
    <row r="4767" spans="1:9" x14ac:dyDescent="0.25">
      <c r="A4767" s="2" t="str">
        <f>CONCATENATE(Códigos!S4766,Códigos!T4766,Códigos!U4766)</f>
        <v>svv4765v</v>
      </c>
      <c r="B4767" t="s">
        <v>396</v>
      </c>
      <c r="C4767" t="s">
        <v>383</v>
      </c>
      <c r="D4767" s="2" t="s">
        <v>384</v>
      </c>
      <c r="E4767" t="s">
        <v>386</v>
      </c>
      <c r="F4767" s="11">
        <v>43730</v>
      </c>
      <c r="G4767" s="14">
        <f t="array" ref="G4767">VLOOKUP(E4767,Produtos!$A:$E,5,FALSE)</f>
        <v>6.5</v>
      </c>
      <c r="H4767" s="14">
        <f>VLOOKUP(E4767,Produtos!$A:$E,4,FALSE)</f>
        <v>3</v>
      </c>
      <c r="I4767" s="2">
        <v>2</v>
      </c>
    </row>
    <row r="4768" spans="1:9" x14ac:dyDescent="0.25">
      <c r="A4768" s="2" t="str">
        <f>CONCATENATE(Códigos!S4767,Códigos!T4767,Códigos!U4767)</f>
        <v>svv4766v</v>
      </c>
      <c r="B4768" t="s">
        <v>396</v>
      </c>
      <c r="C4768" t="s">
        <v>383</v>
      </c>
      <c r="D4768" s="2" t="s">
        <v>384</v>
      </c>
      <c r="E4768" t="s">
        <v>386</v>
      </c>
      <c r="F4768" s="11">
        <v>43731</v>
      </c>
      <c r="G4768" s="14">
        <f t="array" ref="G4768">VLOOKUP(E4768,Produtos!$A:$E,5,FALSE)</f>
        <v>6.5</v>
      </c>
      <c r="H4768" s="14">
        <f>VLOOKUP(E4768,Produtos!$A:$E,4,FALSE)</f>
        <v>3</v>
      </c>
      <c r="I4768" s="2">
        <v>2</v>
      </c>
    </row>
    <row r="4769" spans="1:9" x14ac:dyDescent="0.25">
      <c r="A4769" s="2" t="str">
        <f>CONCATENATE(Códigos!S4768,Códigos!T4768,Códigos!U4768)</f>
        <v>svv4767v</v>
      </c>
      <c r="B4769" t="s">
        <v>396</v>
      </c>
      <c r="C4769" t="s">
        <v>383</v>
      </c>
      <c r="D4769" s="2" t="s">
        <v>384</v>
      </c>
      <c r="E4769" t="s">
        <v>386</v>
      </c>
      <c r="F4769" s="11">
        <v>43732</v>
      </c>
      <c r="G4769" s="14">
        <f t="array" ref="G4769">VLOOKUP(E4769,Produtos!$A:$E,5,FALSE)</f>
        <v>6.5</v>
      </c>
      <c r="H4769" s="14">
        <f>VLOOKUP(E4769,Produtos!$A:$E,4,FALSE)</f>
        <v>3</v>
      </c>
      <c r="I4769" s="2">
        <v>2</v>
      </c>
    </row>
    <row r="4770" spans="1:9" x14ac:dyDescent="0.25">
      <c r="A4770" s="2" t="str">
        <f>CONCATENATE(Códigos!S4769,Códigos!T4769,Códigos!U4769)</f>
        <v>svv4768v</v>
      </c>
      <c r="B4770" t="s">
        <v>396</v>
      </c>
      <c r="C4770" t="s">
        <v>383</v>
      </c>
      <c r="D4770" s="2" t="s">
        <v>384</v>
      </c>
      <c r="E4770" t="s">
        <v>386</v>
      </c>
      <c r="F4770" s="11">
        <v>43733</v>
      </c>
      <c r="G4770" s="14">
        <f t="array" ref="G4770">VLOOKUP(E4770,Produtos!$A:$E,5,FALSE)</f>
        <v>6.5</v>
      </c>
      <c r="H4770" s="14">
        <f>VLOOKUP(E4770,Produtos!$A:$E,4,FALSE)</f>
        <v>3</v>
      </c>
      <c r="I4770" s="2">
        <v>2</v>
      </c>
    </row>
    <row r="4771" spans="1:9" x14ac:dyDescent="0.25">
      <c r="A4771" s="2" t="str">
        <f>CONCATENATE(Códigos!S4770,Códigos!T4770,Códigos!U4770)</f>
        <v>svv4769v</v>
      </c>
      <c r="B4771" t="s">
        <v>396</v>
      </c>
      <c r="C4771" t="s">
        <v>383</v>
      </c>
      <c r="D4771" s="2" t="s">
        <v>384</v>
      </c>
      <c r="E4771" t="s">
        <v>386</v>
      </c>
      <c r="F4771" s="11">
        <v>43734</v>
      </c>
      <c r="G4771" s="14">
        <f t="array" ref="G4771">VLOOKUP(E4771,Produtos!$A:$E,5,FALSE)</f>
        <v>6.5</v>
      </c>
      <c r="H4771" s="14">
        <f>VLOOKUP(E4771,Produtos!$A:$E,4,FALSE)</f>
        <v>3</v>
      </c>
      <c r="I4771" s="2">
        <v>2</v>
      </c>
    </row>
    <row r="4772" spans="1:9" x14ac:dyDescent="0.25">
      <c r="A4772" s="2" t="str">
        <f>CONCATENATE(Códigos!S4771,Códigos!T4771,Códigos!U4771)</f>
        <v>svv4770v</v>
      </c>
      <c r="B4772" t="s">
        <v>396</v>
      </c>
      <c r="C4772" t="s">
        <v>383</v>
      </c>
      <c r="D4772" s="2" t="s">
        <v>384</v>
      </c>
      <c r="E4772" t="s">
        <v>386</v>
      </c>
      <c r="F4772" s="11">
        <v>43735</v>
      </c>
      <c r="G4772" s="14">
        <f t="array" ref="G4772">VLOOKUP(E4772,Produtos!$A:$E,5,FALSE)</f>
        <v>6.5</v>
      </c>
      <c r="H4772" s="14">
        <f>VLOOKUP(E4772,Produtos!$A:$E,4,FALSE)</f>
        <v>3</v>
      </c>
      <c r="I4772" s="2">
        <v>2</v>
      </c>
    </row>
    <row r="4773" spans="1:9" x14ac:dyDescent="0.25">
      <c r="A4773" s="2" t="str">
        <f>CONCATENATE(Códigos!S4772,Códigos!T4772,Códigos!U4772)</f>
        <v>svv4771v</v>
      </c>
      <c r="B4773" t="s">
        <v>396</v>
      </c>
      <c r="C4773" t="s">
        <v>383</v>
      </c>
      <c r="D4773" s="2" t="s">
        <v>384</v>
      </c>
      <c r="E4773" t="s">
        <v>386</v>
      </c>
      <c r="F4773" s="11">
        <v>43736</v>
      </c>
      <c r="G4773" s="14">
        <f t="array" ref="G4773">VLOOKUP(E4773,Produtos!$A:$E,5,FALSE)</f>
        <v>6.5</v>
      </c>
      <c r="H4773" s="14">
        <f>VLOOKUP(E4773,Produtos!$A:$E,4,FALSE)</f>
        <v>3</v>
      </c>
      <c r="I4773" s="2">
        <v>2</v>
      </c>
    </row>
    <row r="4774" spans="1:9" x14ac:dyDescent="0.25">
      <c r="A4774" s="2" t="str">
        <f>CONCATENATE(Códigos!S4773,Códigos!T4773,Códigos!U4773)</f>
        <v>svv4772v</v>
      </c>
      <c r="B4774" t="s">
        <v>396</v>
      </c>
      <c r="C4774" t="s">
        <v>383</v>
      </c>
      <c r="D4774" s="2" t="s">
        <v>384</v>
      </c>
      <c r="E4774" t="s">
        <v>386</v>
      </c>
      <c r="F4774" s="11">
        <v>43737</v>
      </c>
      <c r="G4774" s="14">
        <f t="array" ref="G4774">VLOOKUP(E4774,Produtos!$A:$E,5,FALSE)</f>
        <v>6.5</v>
      </c>
      <c r="H4774" s="14">
        <f>VLOOKUP(E4774,Produtos!$A:$E,4,FALSE)</f>
        <v>3</v>
      </c>
      <c r="I4774" s="2">
        <v>2</v>
      </c>
    </row>
    <row r="4775" spans="1:9" x14ac:dyDescent="0.25">
      <c r="A4775" s="2" t="str">
        <f>CONCATENATE(Códigos!S4774,Códigos!T4774,Códigos!U4774)</f>
        <v>svv4773v</v>
      </c>
      <c r="B4775" t="s">
        <v>396</v>
      </c>
      <c r="C4775" t="s">
        <v>383</v>
      </c>
      <c r="D4775" s="2" t="s">
        <v>384</v>
      </c>
      <c r="E4775" t="s">
        <v>386</v>
      </c>
      <c r="F4775" s="11">
        <v>43738</v>
      </c>
      <c r="G4775" s="14">
        <f t="array" ref="G4775">VLOOKUP(E4775,Produtos!$A:$E,5,FALSE)</f>
        <v>6.5</v>
      </c>
      <c r="H4775" s="14">
        <f>VLOOKUP(E4775,Produtos!$A:$E,4,FALSE)</f>
        <v>3</v>
      </c>
      <c r="I4775" s="2">
        <v>2</v>
      </c>
    </row>
    <row r="4776" spans="1:9" x14ac:dyDescent="0.25">
      <c r="A4776" s="2" t="str">
        <f>CONCATENATE(Códigos!S4775,Códigos!T4775,Códigos!U4775)</f>
        <v>svv4774v</v>
      </c>
      <c r="B4776" t="s">
        <v>396</v>
      </c>
      <c r="C4776" t="s">
        <v>383</v>
      </c>
      <c r="D4776" s="2" t="s">
        <v>384</v>
      </c>
      <c r="E4776" t="s">
        <v>386</v>
      </c>
      <c r="F4776" s="11">
        <v>43739</v>
      </c>
      <c r="G4776" s="14">
        <f t="array" ref="G4776">VLOOKUP(E4776,Produtos!$A:$E,5,FALSE)</f>
        <v>6.5</v>
      </c>
      <c r="H4776" s="14">
        <f>VLOOKUP(E4776,Produtos!$A:$E,4,FALSE)</f>
        <v>3</v>
      </c>
      <c r="I4776" s="2">
        <v>2</v>
      </c>
    </row>
    <row r="4777" spans="1:9" x14ac:dyDescent="0.25">
      <c r="A4777" s="2" t="str">
        <f>CONCATENATE(Códigos!S4776,Códigos!T4776,Códigos!U4776)</f>
        <v>svv4775v</v>
      </c>
      <c r="B4777" t="s">
        <v>396</v>
      </c>
      <c r="C4777" t="s">
        <v>383</v>
      </c>
      <c r="D4777" s="2" t="s">
        <v>384</v>
      </c>
      <c r="E4777" t="s">
        <v>386</v>
      </c>
      <c r="F4777" s="11">
        <v>43740</v>
      </c>
      <c r="G4777" s="14">
        <f t="array" ref="G4777">VLOOKUP(E4777,Produtos!$A:$E,5,FALSE)</f>
        <v>6.5</v>
      </c>
      <c r="H4777" s="14">
        <f>VLOOKUP(E4777,Produtos!$A:$E,4,FALSE)</f>
        <v>3</v>
      </c>
      <c r="I4777" s="2">
        <v>2</v>
      </c>
    </row>
    <row r="4778" spans="1:9" x14ac:dyDescent="0.25">
      <c r="A4778" s="2" t="str">
        <f>CONCATENATE(Códigos!S4777,Códigos!T4777,Códigos!U4777)</f>
        <v>svv4776v</v>
      </c>
      <c r="B4778" t="s">
        <v>396</v>
      </c>
      <c r="C4778" t="s">
        <v>383</v>
      </c>
      <c r="D4778" s="2" t="s">
        <v>384</v>
      </c>
      <c r="E4778" t="s">
        <v>386</v>
      </c>
      <c r="F4778" s="11">
        <v>43741</v>
      </c>
      <c r="G4778" s="14">
        <f t="array" ref="G4778">VLOOKUP(E4778,Produtos!$A:$E,5,FALSE)</f>
        <v>6.5</v>
      </c>
      <c r="H4778" s="14">
        <f>VLOOKUP(E4778,Produtos!$A:$E,4,FALSE)</f>
        <v>3</v>
      </c>
      <c r="I4778" s="2">
        <v>2</v>
      </c>
    </row>
    <row r="4779" spans="1:9" x14ac:dyDescent="0.25">
      <c r="A4779" s="2" t="str">
        <f>CONCATENATE(Códigos!S4778,Códigos!T4778,Códigos!U4778)</f>
        <v>svv4777v</v>
      </c>
      <c r="B4779" t="s">
        <v>396</v>
      </c>
      <c r="C4779" t="s">
        <v>383</v>
      </c>
      <c r="D4779" s="2" t="s">
        <v>384</v>
      </c>
      <c r="E4779" t="s">
        <v>386</v>
      </c>
      <c r="F4779" s="11">
        <v>43742</v>
      </c>
      <c r="G4779" s="14">
        <f t="array" ref="G4779">VLOOKUP(E4779,Produtos!$A:$E,5,FALSE)</f>
        <v>6.5</v>
      </c>
      <c r="H4779" s="14">
        <f>VLOOKUP(E4779,Produtos!$A:$E,4,FALSE)</f>
        <v>3</v>
      </c>
      <c r="I4779" s="2">
        <v>2</v>
      </c>
    </row>
    <row r="4780" spans="1:9" x14ac:dyDescent="0.25">
      <c r="A4780" s="2" t="str">
        <f>CONCATENATE(Códigos!S4779,Códigos!T4779,Códigos!U4779)</f>
        <v>svv4778v</v>
      </c>
      <c r="B4780" t="s">
        <v>396</v>
      </c>
      <c r="C4780" t="s">
        <v>383</v>
      </c>
      <c r="D4780" s="2" t="s">
        <v>384</v>
      </c>
      <c r="E4780" t="s">
        <v>386</v>
      </c>
      <c r="F4780" s="11">
        <v>43743</v>
      </c>
      <c r="G4780" s="14">
        <f t="array" ref="G4780">VLOOKUP(E4780,Produtos!$A:$E,5,FALSE)</f>
        <v>6.5</v>
      </c>
      <c r="H4780" s="14">
        <f>VLOOKUP(E4780,Produtos!$A:$E,4,FALSE)</f>
        <v>3</v>
      </c>
      <c r="I4780" s="2">
        <v>2</v>
      </c>
    </row>
    <row r="4781" spans="1:9" x14ac:dyDescent="0.25">
      <c r="A4781" s="2" t="str">
        <f>CONCATENATE(Códigos!S4780,Códigos!T4780,Códigos!U4780)</f>
        <v>svv4779v</v>
      </c>
      <c r="B4781" t="s">
        <v>396</v>
      </c>
      <c r="C4781" t="s">
        <v>383</v>
      </c>
      <c r="D4781" s="2" t="s">
        <v>384</v>
      </c>
      <c r="E4781" t="s">
        <v>386</v>
      </c>
      <c r="F4781" s="11">
        <v>43744</v>
      </c>
      <c r="G4781" s="14">
        <f t="array" ref="G4781">VLOOKUP(E4781,Produtos!$A:$E,5,FALSE)</f>
        <v>6.5</v>
      </c>
      <c r="H4781" s="14">
        <f>VLOOKUP(E4781,Produtos!$A:$E,4,FALSE)</f>
        <v>3</v>
      </c>
      <c r="I4781" s="2">
        <v>2</v>
      </c>
    </row>
    <row r="4782" spans="1:9" x14ac:dyDescent="0.25">
      <c r="A4782" s="2" t="str">
        <f>CONCATENATE(Códigos!S4781,Códigos!T4781,Códigos!U4781)</f>
        <v>svv4780v</v>
      </c>
      <c r="B4782" t="s">
        <v>396</v>
      </c>
      <c r="C4782" t="s">
        <v>383</v>
      </c>
      <c r="D4782" s="2" t="s">
        <v>384</v>
      </c>
      <c r="E4782" t="s">
        <v>386</v>
      </c>
      <c r="F4782" s="11">
        <v>43745</v>
      </c>
      <c r="G4782" s="14">
        <f t="array" ref="G4782">VLOOKUP(E4782,Produtos!$A:$E,5,FALSE)</f>
        <v>6.5</v>
      </c>
      <c r="H4782" s="14">
        <f>VLOOKUP(E4782,Produtos!$A:$E,4,FALSE)</f>
        <v>3</v>
      </c>
      <c r="I4782" s="2">
        <v>2</v>
      </c>
    </row>
    <row r="4783" spans="1:9" x14ac:dyDescent="0.25">
      <c r="A4783" s="2" t="str">
        <f>CONCATENATE(Códigos!S4782,Códigos!T4782,Códigos!U4782)</f>
        <v>svv4781v</v>
      </c>
      <c r="B4783" t="s">
        <v>396</v>
      </c>
      <c r="C4783" t="s">
        <v>383</v>
      </c>
      <c r="D4783" s="2" t="s">
        <v>384</v>
      </c>
      <c r="E4783" t="s">
        <v>386</v>
      </c>
      <c r="F4783" s="11">
        <v>43746</v>
      </c>
      <c r="G4783" s="14">
        <f t="array" ref="G4783">VLOOKUP(E4783,Produtos!$A:$E,5,FALSE)</f>
        <v>6.5</v>
      </c>
      <c r="H4783" s="14">
        <f>VLOOKUP(E4783,Produtos!$A:$E,4,FALSE)</f>
        <v>3</v>
      </c>
      <c r="I4783" s="2">
        <v>2</v>
      </c>
    </row>
    <row r="4784" spans="1:9" x14ac:dyDescent="0.25">
      <c r="A4784" s="2" t="str">
        <f>CONCATENATE(Códigos!S4783,Códigos!T4783,Códigos!U4783)</f>
        <v>svv4782v</v>
      </c>
      <c r="B4784" t="s">
        <v>396</v>
      </c>
      <c r="C4784" t="s">
        <v>383</v>
      </c>
      <c r="D4784" s="2" t="s">
        <v>384</v>
      </c>
      <c r="E4784" t="s">
        <v>386</v>
      </c>
      <c r="F4784" s="11">
        <v>43747</v>
      </c>
      <c r="G4784" s="14">
        <f t="array" ref="G4784">VLOOKUP(E4784,Produtos!$A:$E,5,FALSE)</f>
        <v>6.5</v>
      </c>
      <c r="H4784" s="14">
        <f>VLOOKUP(E4784,Produtos!$A:$E,4,FALSE)</f>
        <v>3</v>
      </c>
      <c r="I4784" s="2">
        <v>2</v>
      </c>
    </row>
    <row r="4785" spans="1:9" x14ac:dyDescent="0.25">
      <c r="A4785" s="2" t="str">
        <f>CONCATENATE(Códigos!S4784,Códigos!T4784,Códigos!U4784)</f>
        <v>svv4783v</v>
      </c>
      <c r="B4785" t="s">
        <v>396</v>
      </c>
      <c r="C4785" t="s">
        <v>383</v>
      </c>
      <c r="D4785" s="2" t="s">
        <v>384</v>
      </c>
      <c r="E4785" t="s">
        <v>386</v>
      </c>
      <c r="F4785" s="11">
        <v>43748</v>
      </c>
      <c r="G4785" s="14">
        <f t="array" ref="G4785">VLOOKUP(E4785,Produtos!$A:$E,5,FALSE)</f>
        <v>6.5</v>
      </c>
      <c r="H4785" s="14">
        <f>VLOOKUP(E4785,Produtos!$A:$E,4,FALSE)</f>
        <v>3</v>
      </c>
      <c r="I4785" s="2">
        <v>2</v>
      </c>
    </row>
    <row r="4786" spans="1:9" x14ac:dyDescent="0.25">
      <c r="A4786" s="2" t="str">
        <f>CONCATENATE(Códigos!S4785,Códigos!T4785,Códigos!U4785)</f>
        <v>svv4784v</v>
      </c>
      <c r="B4786" t="s">
        <v>396</v>
      </c>
      <c r="C4786" t="s">
        <v>368</v>
      </c>
      <c r="D4786" s="2" t="s">
        <v>331</v>
      </c>
      <c r="E4786" t="s">
        <v>386</v>
      </c>
      <c r="F4786" s="11">
        <v>43749</v>
      </c>
      <c r="G4786" s="14">
        <f t="array" ref="G4786">VLOOKUP(E4786,Produtos!$A:$E,5,FALSE)</f>
        <v>6.5</v>
      </c>
      <c r="H4786" s="14">
        <f>VLOOKUP(E4786,Produtos!$A:$E,4,FALSE)</f>
        <v>3</v>
      </c>
      <c r="I4786" s="2">
        <v>2</v>
      </c>
    </row>
    <row r="4787" spans="1:9" x14ac:dyDescent="0.25">
      <c r="A4787" s="2" t="str">
        <f>CONCATENATE(Códigos!S4786,Códigos!T4786,Códigos!U4786)</f>
        <v>svv4785v</v>
      </c>
      <c r="B4787" t="s">
        <v>396</v>
      </c>
      <c r="C4787" t="s">
        <v>368</v>
      </c>
      <c r="D4787" s="2" t="s">
        <v>331</v>
      </c>
      <c r="E4787" t="s">
        <v>386</v>
      </c>
      <c r="F4787" s="11">
        <v>43750</v>
      </c>
      <c r="G4787" s="14">
        <f t="array" ref="G4787">VLOOKUP(E4787,Produtos!$A:$E,5,FALSE)</f>
        <v>6.5</v>
      </c>
      <c r="H4787" s="14">
        <f>VLOOKUP(E4787,Produtos!$A:$E,4,FALSE)</f>
        <v>3</v>
      </c>
      <c r="I4787" s="2">
        <v>2</v>
      </c>
    </row>
    <row r="4788" spans="1:9" x14ac:dyDescent="0.25">
      <c r="A4788" s="2" t="str">
        <f>CONCATENATE(Códigos!S4787,Códigos!T4787,Códigos!U4787)</f>
        <v>svv4786v</v>
      </c>
      <c r="B4788" t="s">
        <v>396</v>
      </c>
      <c r="C4788" t="s">
        <v>368</v>
      </c>
      <c r="D4788" s="2" t="s">
        <v>331</v>
      </c>
      <c r="E4788" t="s">
        <v>386</v>
      </c>
      <c r="F4788" s="11">
        <v>43751</v>
      </c>
      <c r="G4788" s="14">
        <f t="array" ref="G4788">VLOOKUP(E4788,Produtos!$A:$E,5,FALSE)</f>
        <v>6.5</v>
      </c>
      <c r="H4788" s="14">
        <f>VLOOKUP(E4788,Produtos!$A:$E,4,FALSE)</f>
        <v>3</v>
      </c>
      <c r="I4788" s="2">
        <v>2</v>
      </c>
    </row>
    <row r="4789" spans="1:9" x14ac:dyDescent="0.25">
      <c r="A4789" s="2" t="str">
        <f>CONCATENATE(Códigos!S4788,Códigos!T4788,Códigos!U4788)</f>
        <v>svv4787v</v>
      </c>
      <c r="B4789" t="s">
        <v>396</v>
      </c>
      <c r="C4789" t="s">
        <v>368</v>
      </c>
      <c r="D4789" s="2" t="s">
        <v>331</v>
      </c>
      <c r="E4789" t="s">
        <v>386</v>
      </c>
      <c r="F4789" s="11">
        <v>43752</v>
      </c>
      <c r="G4789" s="14">
        <f t="array" ref="G4789">VLOOKUP(E4789,Produtos!$A:$E,5,FALSE)</f>
        <v>6.5</v>
      </c>
      <c r="H4789" s="14">
        <f>VLOOKUP(E4789,Produtos!$A:$E,4,FALSE)</f>
        <v>3</v>
      </c>
      <c r="I4789" s="2">
        <v>2</v>
      </c>
    </row>
    <row r="4790" spans="1:9" x14ac:dyDescent="0.25">
      <c r="A4790" s="2" t="str">
        <f>CONCATENATE(Códigos!S4789,Códigos!T4789,Códigos!U4789)</f>
        <v>svv4788v</v>
      </c>
      <c r="B4790" t="s">
        <v>396</v>
      </c>
      <c r="C4790" t="s">
        <v>368</v>
      </c>
      <c r="D4790" s="2" t="s">
        <v>331</v>
      </c>
      <c r="E4790" t="s">
        <v>386</v>
      </c>
      <c r="F4790" s="11">
        <v>43753</v>
      </c>
      <c r="G4790" s="14">
        <f t="array" ref="G4790">VLOOKUP(E4790,Produtos!$A:$E,5,FALSE)</f>
        <v>6.5</v>
      </c>
      <c r="H4790" s="14">
        <f>VLOOKUP(E4790,Produtos!$A:$E,4,FALSE)</f>
        <v>3</v>
      </c>
      <c r="I4790" s="2">
        <v>2</v>
      </c>
    </row>
    <row r="4791" spans="1:9" x14ac:dyDescent="0.25">
      <c r="A4791" s="2" t="str">
        <f>CONCATENATE(Códigos!S4790,Códigos!T4790,Códigos!U4790)</f>
        <v>svv4789v</v>
      </c>
      <c r="B4791" t="s">
        <v>396</v>
      </c>
      <c r="C4791" t="s">
        <v>368</v>
      </c>
      <c r="D4791" s="2" t="s">
        <v>331</v>
      </c>
      <c r="E4791" t="s">
        <v>378</v>
      </c>
      <c r="F4791" s="11">
        <v>43754</v>
      </c>
      <c r="G4791" s="14">
        <f t="array" ref="G4791">VLOOKUP(E4791,Produtos!$A:$E,5,FALSE)</f>
        <v>6</v>
      </c>
      <c r="H4791" s="14">
        <f>VLOOKUP(E4791,Produtos!$A:$E,4,FALSE)</f>
        <v>3</v>
      </c>
      <c r="I4791" s="2">
        <v>2</v>
      </c>
    </row>
    <row r="4792" spans="1:9" x14ac:dyDescent="0.25">
      <c r="A4792" s="2" t="str">
        <f>CONCATENATE(Códigos!S4791,Códigos!T4791,Códigos!U4791)</f>
        <v>svv4790v</v>
      </c>
      <c r="B4792" t="s">
        <v>396</v>
      </c>
      <c r="C4792" t="s">
        <v>368</v>
      </c>
      <c r="D4792" s="2" t="s">
        <v>331</v>
      </c>
      <c r="E4792" t="s">
        <v>378</v>
      </c>
      <c r="F4792" s="11">
        <v>43755</v>
      </c>
      <c r="G4792" s="14">
        <f t="array" ref="G4792">VLOOKUP(E4792,Produtos!$A:$E,5,FALSE)</f>
        <v>6</v>
      </c>
      <c r="H4792" s="14">
        <f>VLOOKUP(E4792,Produtos!$A:$E,4,FALSE)</f>
        <v>3</v>
      </c>
      <c r="I4792" s="2">
        <v>2</v>
      </c>
    </row>
    <row r="4793" spans="1:9" x14ac:dyDescent="0.25">
      <c r="A4793" s="2" t="str">
        <f>CONCATENATE(Códigos!S4792,Códigos!T4792,Códigos!U4792)</f>
        <v>svv4791v</v>
      </c>
      <c r="B4793" t="s">
        <v>396</v>
      </c>
      <c r="C4793" t="s">
        <v>368</v>
      </c>
      <c r="D4793" s="2" t="s">
        <v>331</v>
      </c>
      <c r="E4793" t="s">
        <v>378</v>
      </c>
      <c r="F4793" s="11">
        <v>43756</v>
      </c>
      <c r="G4793" s="14">
        <f t="array" ref="G4793">VLOOKUP(E4793,Produtos!$A:$E,5,FALSE)</f>
        <v>6</v>
      </c>
      <c r="H4793" s="14">
        <f>VLOOKUP(E4793,Produtos!$A:$E,4,FALSE)</f>
        <v>3</v>
      </c>
      <c r="I4793" s="2">
        <v>2</v>
      </c>
    </row>
    <row r="4794" spans="1:9" x14ac:dyDescent="0.25">
      <c r="A4794" s="2" t="str">
        <f>CONCATENATE(Códigos!S4793,Códigos!T4793,Códigos!U4793)</f>
        <v>svv4792v</v>
      </c>
      <c r="B4794" t="s">
        <v>396</v>
      </c>
      <c r="C4794" t="s">
        <v>368</v>
      </c>
      <c r="D4794" s="2" t="s">
        <v>331</v>
      </c>
      <c r="E4794" t="s">
        <v>378</v>
      </c>
      <c r="F4794" s="11">
        <v>43757</v>
      </c>
      <c r="G4794" s="14">
        <f t="array" ref="G4794">VLOOKUP(E4794,Produtos!$A:$E,5,FALSE)</f>
        <v>6</v>
      </c>
      <c r="H4794" s="14">
        <f>VLOOKUP(E4794,Produtos!$A:$E,4,FALSE)</f>
        <v>3</v>
      </c>
      <c r="I4794" s="2">
        <v>2</v>
      </c>
    </row>
    <row r="4795" spans="1:9" x14ac:dyDescent="0.25">
      <c r="A4795" s="2" t="str">
        <f>CONCATENATE(Códigos!S4794,Códigos!T4794,Códigos!U4794)</f>
        <v>svv4793v</v>
      </c>
      <c r="B4795" t="s">
        <v>396</v>
      </c>
      <c r="C4795" t="s">
        <v>368</v>
      </c>
      <c r="D4795" s="2" t="s">
        <v>331</v>
      </c>
      <c r="E4795" t="s">
        <v>378</v>
      </c>
      <c r="F4795" s="11">
        <v>43758</v>
      </c>
      <c r="G4795" s="14">
        <f t="array" ref="G4795">VLOOKUP(E4795,Produtos!$A:$E,5,FALSE)</f>
        <v>6</v>
      </c>
      <c r="H4795" s="14">
        <f>VLOOKUP(E4795,Produtos!$A:$E,4,FALSE)</f>
        <v>3</v>
      </c>
      <c r="I4795" s="2">
        <v>2</v>
      </c>
    </row>
    <row r="4796" spans="1:9" x14ac:dyDescent="0.25">
      <c r="A4796" s="2" t="str">
        <f>CONCATENATE(Códigos!S4795,Códigos!T4795,Códigos!U4795)</f>
        <v>svv4794v</v>
      </c>
      <c r="B4796" t="s">
        <v>396</v>
      </c>
      <c r="C4796" t="s">
        <v>368</v>
      </c>
      <c r="D4796" s="2" t="s">
        <v>331</v>
      </c>
      <c r="E4796" t="s">
        <v>378</v>
      </c>
      <c r="F4796" s="11">
        <v>43759</v>
      </c>
      <c r="G4796" s="14">
        <f t="array" ref="G4796">VLOOKUP(E4796,Produtos!$A:$E,5,FALSE)</f>
        <v>6</v>
      </c>
      <c r="H4796" s="14">
        <f>VLOOKUP(E4796,Produtos!$A:$E,4,FALSE)</f>
        <v>3</v>
      </c>
      <c r="I4796" s="2">
        <v>2</v>
      </c>
    </row>
    <row r="4797" spans="1:9" x14ac:dyDescent="0.25">
      <c r="A4797" s="2" t="str">
        <f>CONCATENATE(Códigos!S4796,Códigos!T4796,Códigos!U4796)</f>
        <v>svv4795v</v>
      </c>
      <c r="B4797" t="s">
        <v>396</v>
      </c>
      <c r="C4797" t="s">
        <v>368</v>
      </c>
      <c r="D4797" s="2" t="s">
        <v>331</v>
      </c>
      <c r="E4797" t="s">
        <v>405</v>
      </c>
      <c r="F4797" s="11">
        <v>43760</v>
      </c>
      <c r="G4797" s="14">
        <f t="array" ref="G4797">VLOOKUP(E4797,Produtos!$A:$E,5,FALSE)</f>
        <v>7</v>
      </c>
      <c r="H4797" s="14">
        <f>VLOOKUP(E4797,Produtos!$A:$E,4,FALSE)</f>
        <v>3.5</v>
      </c>
      <c r="I4797" s="2">
        <v>2</v>
      </c>
    </row>
    <row r="4798" spans="1:9" x14ac:dyDescent="0.25">
      <c r="A4798" s="2" t="str">
        <f>CONCATENATE(Códigos!S4797,Códigos!T4797,Códigos!U4797)</f>
        <v>svv4796v</v>
      </c>
      <c r="B4798" t="s">
        <v>396</v>
      </c>
      <c r="C4798" t="s">
        <v>368</v>
      </c>
      <c r="D4798" s="2" t="s">
        <v>331</v>
      </c>
      <c r="E4798" t="s">
        <v>405</v>
      </c>
      <c r="F4798" s="11">
        <v>43761</v>
      </c>
      <c r="G4798" s="14">
        <f t="array" ref="G4798">VLOOKUP(E4798,Produtos!$A:$E,5,FALSE)</f>
        <v>7</v>
      </c>
      <c r="H4798" s="14">
        <f>VLOOKUP(E4798,Produtos!$A:$E,4,FALSE)</f>
        <v>3.5</v>
      </c>
      <c r="I4798" s="2">
        <v>2</v>
      </c>
    </row>
    <row r="4799" spans="1:9" x14ac:dyDescent="0.25">
      <c r="A4799" s="2" t="str">
        <f>CONCATENATE(Códigos!S4798,Códigos!T4798,Códigos!U4798)</f>
        <v>svv4797v</v>
      </c>
      <c r="B4799" t="s">
        <v>396</v>
      </c>
      <c r="C4799" t="s">
        <v>368</v>
      </c>
      <c r="D4799" s="2" t="s">
        <v>331</v>
      </c>
      <c r="E4799" t="s">
        <v>405</v>
      </c>
      <c r="F4799" s="11">
        <v>43762</v>
      </c>
      <c r="G4799" s="14">
        <f t="array" ref="G4799">VLOOKUP(E4799,Produtos!$A:$E,5,FALSE)</f>
        <v>7</v>
      </c>
      <c r="H4799" s="14">
        <f>VLOOKUP(E4799,Produtos!$A:$E,4,FALSE)</f>
        <v>3.5</v>
      </c>
      <c r="I4799" s="2">
        <v>2</v>
      </c>
    </row>
    <row r="4800" spans="1:9" x14ac:dyDescent="0.25">
      <c r="A4800" s="2" t="str">
        <f>CONCATENATE(Códigos!S4799,Códigos!T4799,Códigos!U4799)</f>
        <v>svv4798v</v>
      </c>
      <c r="B4800" t="s">
        <v>396</v>
      </c>
      <c r="C4800" t="s">
        <v>368</v>
      </c>
      <c r="D4800" s="2" t="s">
        <v>331</v>
      </c>
      <c r="E4800" t="s">
        <v>405</v>
      </c>
      <c r="F4800" s="11">
        <v>43763</v>
      </c>
      <c r="G4800" s="14">
        <f t="array" ref="G4800">VLOOKUP(E4800,Produtos!$A:$E,5,FALSE)</f>
        <v>7</v>
      </c>
      <c r="H4800" s="14">
        <f>VLOOKUP(E4800,Produtos!$A:$E,4,FALSE)</f>
        <v>3.5</v>
      </c>
      <c r="I4800" s="2">
        <v>2</v>
      </c>
    </row>
    <row r="4801" spans="1:9" x14ac:dyDescent="0.25">
      <c r="A4801" s="2" t="str">
        <f>CONCATENATE(Códigos!S4800,Códigos!T4800,Códigos!U4800)</f>
        <v>svv4799v</v>
      </c>
      <c r="B4801" t="s">
        <v>396</v>
      </c>
      <c r="C4801" t="s">
        <v>368</v>
      </c>
      <c r="D4801" s="2" t="s">
        <v>331</v>
      </c>
      <c r="E4801" t="s">
        <v>405</v>
      </c>
      <c r="F4801" s="11">
        <v>43764</v>
      </c>
      <c r="G4801" s="14">
        <f t="array" ref="G4801">VLOOKUP(E4801,Produtos!$A:$E,5,FALSE)</f>
        <v>7</v>
      </c>
      <c r="H4801" s="14">
        <f>VLOOKUP(E4801,Produtos!$A:$E,4,FALSE)</f>
        <v>3.5</v>
      </c>
      <c r="I4801" s="2">
        <v>2</v>
      </c>
    </row>
    <row r="4802" spans="1:9" x14ac:dyDescent="0.25">
      <c r="A4802" s="2" t="str">
        <f>CONCATENATE(Códigos!S4801,Códigos!T4801,Códigos!U4801)</f>
        <v>svv4800v</v>
      </c>
      <c r="B4802" t="s">
        <v>396</v>
      </c>
      <c r="C4802" t="s">
        <v>368</v>
      </c>
      <c r="D4802" s="2" t="s">
        <v>331</v>
      </c>
      <c r="E4802" t="s">
        <v>405</v>
      </c>
      <c r="F4802" s="11">
        <v>43765</v>
      </c>
      <c r="G4802" s="14">
        <f t="array" ref="G4802">VLOOKUP(E4802,Produtos!$A:$E,5,FALSE)</f>
        <v>7</v>
      </c>
      <c r="H4802" s="14">
        <f>VLOOKUP(E4802,Produtos!$A:$E,4,FALSE)</f>
        <v>3.5</v>
      </c>
      <c r="I4802" s="2">
        <v>2</v>
      </c>
    </row>
    <row r="4803" spans="1:9" x14ac:dyDescent="0.25">
      <c r="A4803" s="2" t="str">
        <f>CONCATENATE(Códigos!S4802,Códigos!T4802,Códigos!U4802)</f>
        <v>svv4801v</v>
      </c>
      <c r="B4803" t="s">
        <v>396</v>
      </c>
      <c r="C4803" t="s">
        <v>368</v>
      </c>
      <c r="D4803" s="2" t="s">
        <v>331</v>
      </c>
      <c r="E4803" t="s">
        <v>405</v>
      </c>
      <c r="F4803" s="11">
        <v>43766</v>
      </c>
      <c r="G4803" s="14">
        <f t="array" ref="G4803">VLOOKUP(E4803,Produtos!$A:$E,5,FALSE)</f>
        <v>7</v>
      </c>
      <c r="H4803" s="14">
        <f>VLOOKUP(E4803,Produtos!$A:$E,4,FALSE)</f>
        <v>3.5</v>
      </c>
      <c r="I4803" s="2">
        <v>2</v>
      </c>
    </row>
    <row r="4804" spans="1:9" x14ac:dyDescent="0.25">
      <c r="A4804" s="2" t="str">
        <f>CONCATENATE(Códigos!S4803,Códigos!T4803,Códigos!U4803)</f>
        <v>svv4802v</v>
      </c>
      <c r="B4804" t="s">
        <v>396</v>
      </c>
      <c r="C4804" t="s">
        <v>368</v>
      </c>
      <c r="D4804" s="2" t="s">
        <v>331</v>
      </c>
      <c r="E4804" t="s">
        <v>405</v>
      </c>
      <c r="F4804" s="11">
        <v>43767</v>
      </c>
      <c r="G4804" s="14">
        <f t="array" ref="G4804">VLOOKUP(E4804,Produtos!$A:$E,5,FALSE)</f>
        <v>7</v>
      </c>
      <c r="H4804" s="14">
        <f>VLOOKUP(E4804,Produtos!$A:$E,4,FALSE)</f>
        <v>3.5</v>
      </c>
      <c r="I4804" s="2">
        <v>2</v>
      </c>
    </row>
    <row r="4805" spans="1:9" x14ac:dyDescent="0.25">
      <c r="A4805" s="2" t="str">
        <f>CONCATENATE(Códigos!S4804,Códigos!T4804,Códigos!U4804)</f>
        <v>svv4803v</v>
      </c>
      <c r="B4805" t="s">
        <v>396</v>
      </c>
      <c r="C4805" t="s">
        <v>368</v>
      </c>
      <c r="D4805" s="2" t="s">
        <v>331</v>
      </c>
      <c r="E4805" t="s">
        <v>405</v>
      </c>
      <c r="F4805" s="11">
        <v>43768</v>
      </c>
      <c r="G4805" s="14">
        <f t="array" ref="G4805">VLOOKUP(E4805,Produtos!$A:$E,5,FALSE)</f>
        <v>7</v>
      </c>
      <c r="H4805" s="14">
        <f>VLOOKUP(E4805,Produtos!$A:$E,4,FALSE)</f>
        <v>3.5</v>
      </c>
      <c r="I4805" s="2">
        <v>2</v>
      </c>
    </row>
    <row r="4806" spans="1:9" x14ac:dyDescent="0.25">
      <c r="A4806" s="2" t="str">
        <f>CONCATENATE(Códigos!S4805,Códigos!T4805,Códigos!U4805)</f>
        <v>svv4804v</v>
      </c>
      <c r="B4806" t="s">
        <v>396</v>
      </c>
      <c r="C4806" t="s">
        <v>368</v>
      </c>
      <c r="D4806" s="2" t="s">
        <v>331</v>
      </c>
      <c r="E4806" t="s">
        <v>405</v>
      </c>
      <c r="F4806" s="11">
        <v>43769</v>
      </c>
      <c r="G4806" s="14">
        <f t="array" ref="G4806">VLOOKUP(E4806,Produtos!$A:$E,5,FALSE)</f>
        <v>7</v>
      </c>
      <c r="H4806" s="14">
        <f>VLOOKUP(E4806,Produtos!$A:$E,4,FALSE)</f>
        <v>3.5</v>
      </c>
      <c r="I4806" s="2">
        <v>2</v>
      </c>
    </row>
    <row r="4807" spans="1:9" x14ac:dyDescent="0.25">
      <c r="A4807" s="2" t="str">
        <f>CONCATENATE(Códigos!S4806,Códigos!T4806,Códigos!U4806)</f>
        <v>svv4805v</v>
      </c>
      <c r="B4807" t="s">
        <v>396</v>
      </c>
      <c r="C4807" t="s">
        <v>368</v>
      </c>
      <c r="D4807" s="2" t="s">
        <v>331</v>
      </c>
      <c r="E4807" t="s">
        <v>405</v>
      </c>
      <c r="F4807" s="11">
        <v>43770</v>
      </c>
      <c r="G4807" s="14">
        <f t="array" ref="G4807">VLOOKUP(E4807,Produtos!$A:$E,5,FALSE)</f>
        <v>7</v>
      </c>
      <c r="H4807" s="14">
        <f>VLOOKUP(E4807,Produtos!$A:$E,4,FALSE)</f>
        <v>3.5</v>
      </c>
      <c r="I4807" s="2">
        <v>2</v>
      </c>
    </row>
    <row r="4808" spans="1:9" x14ac:dyDescent="0.25">
      <c r="A4808" s="2" t="str">
        <f>CONCATENATE(Códigos!S4807,Códigos!T4807,Códigos!U4807)</f>
        <v>svv4806v</v>
      </c>
      <c r="B4808" t="s">
        <v>396</v>
      </c>
      <c r="C4808" t="s">
        <v>368</v>
      </c>
      <c r="D4808" s="2" t="s">
        <v>331</v>
      </c>
      <c r="E4808" t="s">
        <v>405</v>
      </c>
      <c r="F4808" s="11">
        <v>43771</v>
      </c>
      <c r="G4808" s="14">
        <f t="array" ref="G4808">VLOOKUP(E4808,Produtos!$A:$E,5,FALSE)</f>
        <v>7</v>
      </c>
      <c r="H4808" s="14">
        <f>VLOOKUP(E4808,Produtos!$A:$E,4,FALSE)</f>
        <v>3.5</v>
      </c>
      <c r="I4808" s="2">
        <v>2</v>
      </c>
    </row>
    <row r="4809" spans="1:9" x14ac:dyDescent="0.25">
      <c r="A4809" s="2" t="str">
        <f>CONCATENATE(Códigos!S4808,Códigos!T4808,Códigos!U4808)</f>
        <v>svv4807v</v>
      </c>
      <c r="B4809" t="s">
        <v>396</v>
      </c>
      <c r="C4809" t="s">
        <v>399</v>
      </c>
      <c r="D4809" s="2" t="s">
        <v>400</v>
      </c>
      <c r="E4809" t="s">
        <v>405</v>
      </c>
      <c r="F4809" s="11">
        <v>43772</v>
      </c>
      <c r="G4809" s="14">
        <f t="array" ref="G4809">VLOOKUP(E4809,Produtos!$A:$E,5,FALSE)</f>
        <v>7</v>
      </c>
      <c r="H4809" s="14">
        <f>VLOOKUP(E4809,Produtos!$A:$E,4,FALSE)</f>
        <v>3.5</v>
      </c>
      <c r="I4809" s="2">
        <v>2</v>
      </c>
    </row>
    <row r="4810" spans="1:9" x14ac:dyDescent="0.25">
      <c r="A4810" s="2" t="str">
        <f>CONCATENATE(Códigos!S4809,Códigos!T4809,Códigos!U4809)</f>
        <v>svv4808v</v>
      </c>
      <c r="B4810" t="s">
        <v>396</v>
      </c>
      <c r="C4810" t="s">
        <v>399</v>
      </c>
      <c r="D4810" s="2" t="s">
        <v>400</v>
      </c>
      <c r="E4810" t="s">
        <v>405</v>
      </c>
      <c r="F4810" s="11">
        <v>43773</v>
      </c>
      <c r="G4810" s="14">
        <f t="array" ref="G4810">VLOOKUP(E4810,Produtos!$A:$E,5,FALSE)</f>
        <v>7</v>
      </c>
      <c r="H4810" s="14">
        <f>VLOOKUP(E4810,Produtos!$A:$E,4,FALSE)</f>
        <v>3.5</v>
      </c>
      <c r="I4810" s="2">
        <v>2</v>
      </c>
    </row>
    <row r="4811" spans="1:9" x14ac:dyDescent="0.25">
      <c r="A4811" s="2" t="str">
        <f>CONCATENATE(Códigos!S4810,Códigos!T4810,Códigos!U4810)</f>
        <v>svv4809v</v>
      </c>
      <c r="B4811" t="s">
        <v>396</v>
      </c>
      <c r="C4811" t="s">
        <v>399</v>
      </c>
      <c r="D4811" s="2" t="s">
        <v>400</v>
      </c>
      <c r="E4811" t="s">
        <v>405</v>
      </c>
      <c r="F4811" s="11">
        <v>43774</v>
      </c>
      <c r="G4811" s="14">
        <f t="array" ref="G4811">VLOOKUP(E4811,Produtos!$A:$E,5,FALSE)</f>
        <v>7</v>
      </c>
      <c r="H4811" s="14">
        <f>VLOOKUP(E4811,Produtos!$A:$E,4,FALSE)</f>
        <v>3.5</v>
      </c>
      <c r="I4811" s="2">
        <v>2</v>
      </c>
    </row>
    <row r="4812" spans="1:9" x14ac:dyDescent="0.25">
      <c r="A4812" s="2" t="str">
        <f>CONCATENATE(Códigos!S4811,Códigos!T4811,Códigos!U4811)</f>
        <v>svv4810v</v>
      </c>
      <c r="B4812" t="s">
        <v>396</v>
      </c>
      <c r="C4812" t="s">
        <v>399</v>
      </c>
      <c r="D4812" s="2" t="s">
        <v>400</v>
      </c>
      <c r="E4812" t="s">
        <v>405</v>
      </c>
      <c r="F4812" s="11">
        <v>43775</v>
      </c>
      <c r="G4812" s="14">
        <f t="array" ref="G4812">VLOOKUP(E4812,Produtos!$A:$E,5,FALSE)</f>
        <v>7</v>
      </c>
      <c r="H4812" s="14">
        <f>VLOOKUP(E4812,Produtos!$A:$E,4,FALSE)</f>
        <v>3.5</v>
      </c>
      <c r="I4812" s="2">
        <v>2</v>
      </c>
    </row>
    <row r="4813" spans="1:9" x14ac:dyDescent="0.25">
      <c r="A4813" s="2" t="str">
        <f>CONCATENATE(Códigos!S4812,Códigos!T4812,Códigos!U4812)</f>
        <v>svv4811v</v>
      </c>
      <c r="B4813" t="s">
        <v>396</v>
      </c>
      <c r="C4813" t="s">
        <v>399</v>
      </c>
      <c r="D4813" s="2" t="s">
        <v>400</v>
      </c>
      <c r="E4813" t="s">
        <v>405</v>
      </c>
      <c r="F4813" s="11">
        <v>43776</v>
      </c>
      <c r="G4813" s="14">
        <f t="array" ref="G4813">VLOOKUP(E4813,Produtos!$A:$E,5,FALSE)</f>
        <v>7</v>
      </c>
      <c r="H4813" s="14">
        <f>VLOOKUP(E4813,Produtos!$A:$E,4,FALSE)</f>
        <v>3.5</v>
      </c>
      <c r="I4813" s="2">
        <v>2</v>
      </c>
    </row>
    <row r="4814" spans="1:9" x14ac:dyDescent="0.25">
      <c r="A4814" s="2" t="str">
        <f>CONCATENATE(Códigos!S4813,Códigos!T4813,Códigos!U4813)</f>
        <v>svv4812v</v>
      </c>
      <c r="B4814" t="s">
        <v>396</v>
      </c>
      <c r="C4814" t="s">
        <v>399</v>
      </c>
      <c r="D4814" s="2" t="s">
        <v>400</v>
      </c>
      <c r="E4814" t="s">
        <v>405</v>
      </c>
      <c r="F4814" s="11">
        <v>43777</v>
      </c>
      <c r="G4814" s="14">
        <f t="array" ref="G4814">VLOOKUP(E4814,Produtos!$A:$E,5,FALSE)</f>
        <v>7</v>
      </c>
      <c r="H4814" s="14">
        <f>VLOOKUP(E4814,Produtos!$A:$E,4,FALSE)</f>
        <v>3.5</v>
      </c>
      <c r="I4814" s="2">
        <v>2</v>
      </c>
    </row>
    <row r="4815" spans="1:9" x14ac:dyDescent="0.25">
      <c r="A4815" s="2" t="str">
        <f>CONCATENATE(Códigos!S4814,Códigos!T4814,Códigos!U4814)</f>
        <v>svv4813v</v>
      </c>
      <c r="B4815" t="s">
        <v>396</v>
      </c>
      <c r="C4815" t="s">
        <v>399</v>
      </c>
      <c r="D4815" s="2" t="s">
        <v>400</v>
      </c>
      <c r="E4815" t="s">
        <v>405</v>
      </c>
      <c r="F4815" s="11">
        <v>43778</v>
      </c>
      <c r="G4815" s="14">
        <f t="array" ref="G4815">VLOOKUP(E4815,Produtos!$A:$E,5,FALSE)</f>
        <v>7</v>
      </c>
      <c r="H4815" s="14">
        <f>VLOOKUP(E4815,Produtos!$A:$E,4,FALSE)</f>
        <v>3.5</v>
      </c>
      <c r="I4815" s="2">
        <v>2</v>
      </c>
    </row>
    <row r="4816" spans="1:9" x14ac:dyDescent="0.25">
      <c r="A4816" s="2" t="str">
        <f>CONCATENATE(Códigos!S4815,Códigos!T4815,Códigos!U4815)</f>
        <v>svv4814v</v>
      </c>
      <c r="B4816" t="s">
        <v>396</v>
      </c>
      <c r="C4816" t="s">
        <v>399</v>
      </c>
      <c r="D4816" s="2" t="s">
        <v>400</v>
      </c>
      <c r="E4816" t="s">
        <v>405</v>
      </c>
      <c r="F4816" s="11">
        <v>43779</v>
      </c>
      <c r="G4816" s="14">
        <f t="array" ref="G4816">VLOOKUP(E4816,Produtos!$A:$E,5,FALSE)</f>
        <v>7</v>
      </c>
      <c r="H4816" s="14">
        <f>VLOOKUP(E4816,Produtos!$A:$E,4,FALSE)</f>
        <v>3.5</v>
      </c>
      <c r="I4816" s="2">
        <v>2</v>
      </c>
    </row>
    <row r="4817" spans="1:9" x14ac:dyDescent="0.25">
      <c r="A4817" s="2" t="str">
        <f>CONCATENATE(Códigos!S4816,Códigos!T4816,Códigos!U4816)</f>
        <v>svv4815v</v>
      </c>
      <c r="B4817" t="s">
        <v>396</v>
      </c>
      <c r="C4817" t="s">
        <v>399</v>
      </c>
      <c r="D4817" s="2" t="s">
        <v>400</v>
      </c>
      <c r="E4817" t="s">
        <v>405</v>
      </c>
      <c r="F4817" s="11">
        <v>43780</v>
      </c>
      <c r="G4817" s="14">
        <f t="array" ref="G4817">VLOOKUP(E4817,Produtos!$A:$E,5,FALSE)</f>
        <v>7</v>
      </c>
      <c r="H4817" s="14">
        <f>VLOOKUP(E4817,Produtos!$A:$E,4,FALSE)</f>
        <v>3.5</v>
      </c>
      <c r="I4817" s="2">
        <v>2</v>
      </c>
    </row>
    <row r="4818" spans="1:9" x14ac:dyDescent="0.25">
      <c r="A4818" s="2" t="str">
        <f>CONCATENATE(Códigos!S4817,Códigos!T4817,Códigos!U4817)</f>
        <v>svv4816v</v>
      </c>
      <c r="B4818" t="s">
        <v>396</v>
      </c>
      <c r="C4818" t="s">
        <v>399</v>
      </c>
      <c r="D4818" s="2" t="s">
        <v>400</v>
      </c>
      <c r="E4818" t="s">
        <v>405</v>
      </c>
      <c r="F4818" s="11">
        <v>43781</v>
      </c>
      <c r="G4818" s="14">
        <f t="array" ref="G4818">VLOOKUP(E4818,Produtos!$A:$E,5,FALSE)</f>
        <v>7</v>
      </c>
      <c r="H4818" s="14">
        <f>VLOOKUP(E4818,Produtos!$A:$E,4,FALSE)</f>
        <v>3.5</v>
      </c>
      <c r="I4818" s="2">
        <v>2</v>
      </c>
    </row>
    <row r="4819" spans="1:9" x14ac:dyDescent="0.25">
      <c r="A4819" s="2" t="str">
        <f>CONCATENATE(Códigos!S4818,Códigos!T4818,Códigos!U4818)</f>
        <v>svv4817v</v>
      </c>
      <c r="B4819" t="s">
        <v>396</v>
      </c>
      <c r="C4819" t="s">
        <v>399</v>
      </c>
      <c r="D4819" s="2" t="s">
        <v>400</v>
      </c>
      <c r="E4819" t="s">
        <v>405</v>
      </c>
      <c r="F4819" s="11">
        <v>43782</v>
      </c>
      <c r="G4819" s="14">
        <f t="array" ref="G4819">VLOOKUP(E4819,Produtos!$A:$E,5,FALSE)</f>
        <v>7</v>
      </c>
      <c r="H4819" s="14">
        <f>VLOOKUP(E4819,Produtos!$A:$E,4,FALSE)</f>
        <v>3.5</v>
      </c>
      <c r="I4819" s="2">
        <v>2</v>
      </c>
    </row>
    <row r="4820" spans="1:9" x14ac:dyDescent="0.25">
      <c r="A4820" s="2" t="str">
        <f>CONCATENATE(Códigos!S4819,Códigos!T4819,Códigos!U4819)</f>
        <v>svv4818v</v>
      </c>
      <c r="B4820" t="s">
        <v>396</v>
      </c>
      <c r="C4820" t="s">
        <v>399</v>
      </c>
      <c r="D4820" s="2" t="s">
        <v>400</v>
      </c>
      <c r="E4820" t="s">
        <v>379</v>
      </c>
      <c r="F4820" s="11">
        <v>43783</v>
      </c>
      <c r="G4820" s="14">
        <f t="array" ref="G4820">VLOOKUP(E4820,Produtos!$A:$E,5,FALSE)</f>
        <v>12</v>
      </c>
      <c r="H4820" s="14">
        <f>VLOOKUP(E4820,Produtos!$A:$E,4,FALSE)</f>
        <v>5</v>
      </c>
      <c r="I4820" s="2">
        <v>2</v>
      </c>
    </row>
    <row r="4821" spans="1:9" x14ac:dyDescent="0.25">
      <c r="A4821" s="2" t="str">
        <f>CONCATENATE(Códigos!S4820,Códigos!T4820,Códigos!U4820)</f>
        <v>svv4819v</v>
      </c>
      <c r="B4821" t="s">
        <v>396</v>
      </c>
      <c r="C4821" t="s">
        <v>399</v>
      </c>
      <c r="D4821" s="2" t="s">
        <v>400</v>
      </c>
      <c r="E4821" t="s">
        <v>379</v>
      </c>
      <c r="F4821" s="11">
        <v>43784</v>
      </c>
      <c r="G4821" s="14">
        <f t="array" ref="G4821">VLOOKUP(E4821,Produtos!$A:$E,5,FALSE)</f>
        <v>12</v>
      </c>
      <c r="H4821" s="14">
        <f>VLOOKUP(E4821,Produtos!$A:$E,4,FALSE)</f>
        <v>5</v>
      </c>
      <c r="I4821" s="2">
        <v>2</v>
      </c>
    </row>
    <row r="4822" spans="1:9" x14ac:dyDescent="0.25">
      <c r="A4822" s="2" t="str">
        <f>CONCATENATE(Códigos!S4821,Códigos!T4821,Códigos!U4821)</f>
        <v>svv4820v</v>
      </c>
      <c r="B4822" t="s">
        <v>396</v>
      </c>
      <c r="C4822" t="s">
        <v>399</v>
      </c>
      <c r="D4822" s="2" t="s">
        <v>400</v>
      </c>
      <c r="E4822" t="s">
        <v>379</v>
      </c>
      <c r="F4822" s="11">
        <v>43785</v>
      </c>
      <c r="G4822" s="14">
        <f t="array" ref="G4822">VLOOKUP(E4822,Produtos!$A:$E,5,FALSE)</f>
        <v>12</v>
      </c>
      <c r="H4822" s="14">
        <f>VLOOKUP(E4822,Produtos!$A:$E,4,FALSE)</f>
        <v>5</v>
      </c>
      <c r="I4822" s="2">
        <v>2</v>
      </c>
    </row>
    <row r="4823" spans="1:9" x14ac:dyDescent="0.25">
      <c r="A4823" s="2" t="str">
        <f>CONCATENATE(Códigos!S4822,Códigos!T4822,Códigos!U4822)</f>
        <v>svv4821v</v>
      </c>
      <c r="B4823" t="s">
        <v>396</v>
      </c>
      <c r="C4823" t="s">
        <v>397</v>
      </c>
      <c r="D4823" s="2" t="s">
        <v>398</v>
      </c>
      <c r="E4823" t="s">
        <v>379</v>
      </c>
      <c r="F4823" s="11">
        <v>43786</v>
      </c>
      <c r="G4823" s="14">
        <f t="array" ref="G4823">VLOOKUP(E4823,Produtos!$A:$E,5,FALSE)</f>
        <v>12</v>
      </c>
      <c r="H4823" s="14">
        <f>VLOOKUP(E4823,Produtos!$A:$E,4,FALSE)</f>
        <v>5</v>
      </c>
      <c r="I4823" s="2">
        <v>2</v>
      </c>
    </row>
    <row r="4824" spans="1:9" x14ac:dyDescent="0.25">
      <c r="A4824" s="2" t="str">
        <f>CONCATENATE(Códigos!S4823,Códigos!T4823,Códigos!U4823)</f>
        <v>svv4822v</v>
      </c>
      <c r="B4824" t="s">
        <v>396</v>
      </c>
      <c r="C4824" t="s">
        <v>397</v>
      </c>
      <c r="D4824" s="2" t="s">
        <v>398</v>
      </c>
      <c r="E4824" t="s">
        <v>379</v>
      </c>
      <c r="F4824" s="11">
        <v>43787</v>
      </c>
      <c r="G4824" s="14">
        <f t="array" ref="G4824">VLOOKUP(E4824,Produtos!$A:$E,5,FALSE)</f>
        <v>12</v>
      </c>
      <c r="H4824" s="14">
        <f>VLOOKUP(E4824,Produtos!$A:$E,4,FALSE)</f>
        <v>5</v>
      </c>
      <c r="I4824" s="2">
        <v>2</v>
      </c>
    </row>
    <row r="4825" spans="1:9" x14ac:dyDescent="0.25">
      <c r="A4825" s="2" t="str">
        <f>CONCATENATE(Códigos!S4824,Códigos!T4824,Códigos!U4824)</f>
        <v>svv4823v</v>
      </c>
      <c r="B4825" t="s">
        <v>396</v>
      </c>
      <c r="C4825" t="s">
        <v>397</v>
      </c>
      <c r="D4825" s="2" t="s">
        <v>398</v>
      </c>
      <c r="E4825" t="s">
        <v>379</v>
      </c>
      <c r="F4825" s="11">
        <v>43788</v>
      </c>
      <c r="G4825" s="14">
        <f t="array" ref="G4825">VLOOKUP(E4825,Produtos!$A:$E,5,FALSE)</f>
        <v>12</v>
      </c>
      <c r="H4825" s="14">
        <f>VLOOKUP(E4825,Produtos!$A:$E,4,FALSE)</f>
        <v>5</v>
      </c>
      <c r="I4825" s="2">
        <v>2</v>
      </c>
    </row>
    <row r="4826" spans="1:9" x14ac:dyDescent="0.25">
      <c r="A4826" s="2" t="str">
        <f>CONCATENATE(Códigos!S4825,Códigos!T4825,Códigos!U4825)</f>
        <v>svv4824v</v>
      </c>
      <c r="B4826" t="s">
        <v>396</v>
      </c>
      <c r="C4826" t="s">
        <v>397</v>
      </c>
      <c r="D4826" s="2" t="s">
        <v>398</v>
      </c>
      <c r="E4826" t="s">
        <v>379</v>
      </c>
      <c r="F4826" s="11">
        <v>43789</v>
      </c>
      <c r="G4826" s="14">
        <f t="array" ref="G4826">VLOOKUP(E4826,Produtos!$A:$E,5,FALSE)</f>
        <v>12</v>
      </c>
      <c r="H4826" s="14">
        <f>VLOOKUP(E4826,Produtos!$A:$E,4,FALSE)</f>
        <v>5</v>
      </c>
      <c r="I4826" s="2">
        <v>2</v>
      </c>
    </row>
    <row r="4827" spans="1:9" x14ac:dyDescent="0.25">
      <c r="A4827" s="2" t="str">
        <f>CONCATENATE(Códigos!S4826,Códigos!T4826,Códigos!U4826)</f>
        <v>svv4825v</v>
      </c>
      <c r="B4827" t="s">
        <v>396</v>
      </c>
      <c r="C4827" t="s">
        <v>397</v>
      </c>
      <c r="D4827" s="2" t="s">
        <v>398</v>
      </c>
      <c r="E4827" t="s">
        <v>379</v>
      </c>
      <c r="F4827" s="11">
        <v>43516</v>
      </c>
      <c r="G4827" s="14">
        <f t="array" ref="G4827">VLOOKUP(E4827,Produtos!$A:$E,5,FALSE)</f>
        <v>12</v>
      </c>
      <c r="H4827" s="14">
        <f>VLOOKUP(E4827,Produtos!$A:$E,4,FALSE)</f>
        <v>5</v>
      </c>
      <c r="I4827" s="2">
        <v>2</v>
      </c>
    </row>
    <row r="4828" spans="1:9" x14ac:dyDescent="0.25">
      <c r="A4828" s="2" t="str">
        <f>CONCATENATE(Códigos!S4827,Códigos!T4827,Códigos!U4827)</f>
        <v>svv4826v</v>
      </c>
      <c r="B4828" t="s">
        <v>396</v>
      </c>
      <c r="C4828" t="s">
        <v>397</v>
      </c>
      <c r="D4828" s="2" t="s">
        <v>398</v>
      </c>
      <c r="E4828" t="s">
        <v>379</v>
      </c>
      <c r="F4828" s="11">
        <v>43517</v>
      </c>
      <c r="G4828" s="14">
        <f t="array" ref="G4828">VLOOKUP(E4828,Produtos!$A:$E,5,FALSE)</f>
        <v>12</v>
      </c>
      <c r="H4828" s="14">
        <f>VLOOKUP(E4828,Produtos!$A:$E,4,FALSE)</f>
        <v>5</v>
      </c>
      <c r="I4828" s="2">
        <v>2</v>
      </c>
    </row>
    <row r="4829" spans="1:9" x14ac:dyDescent="0.25">
      <c r="A4829" s="2" t="str">
        <f>CONCATENATE(Códigos!S4828,Códigos!T4828,Códigos!U4828)</f>
        <v>svv4827v</v>
      </c>
      <c r="B4829" t="s">
        <v>396</v>
      </c>
      <c r="C4829" t="s">
        <v>397</v>
      </c>
      <c r="D4829" s="2" t="s">
        <v>398</v>
      </c>
      <c r="E4829" t="s">
        <v>379</v>
      </c>
      <c r="F4829" s="11">
        <v>43518</v>
      </c>
      <c r="G4829" s="14">
        <f t="array" ref="G4829">VLOOKUP(E4829,Produtos!$A:$E,5,FALSE)</f>
        <v>12</v>
      </c>
      <c r="H4829" s="14">
        <f>VLOOKUP(E4829,Produtos!$A:$E,4,FALSE)</f>
        <v>5</v>
      </c>
      <c r="I4829" s="2">
        <v>2</v>
      </c>
    </row>
    <row r="4830" spans="1:9" x14ac:dyDescent="0.25">
      <c r="A4830" s="2" t="str">
        <f>CONCATENATE(Códigos!S4829,Códigos!T4829,Códigos!U4829)</f>
        <v>svv4828v</v>
      </c>
      <c r="B4830" t="s">
        <v>396</v>
      </c>
      <c r="C4830" t="s">
        <v>397</v>
      </c>
      <c r="D4830" s="2" t="s">
        <v>398</v>
      </c>
      <c r="E4830" t="s">
        <v>379</v>
      </c>
      <c r="F4830" s="11">
        <v>43519</v>
      </c>
      <c r="G4830" s="14">
        <f t="array" ref="G4830">VLOOKUP(E4830,Produtos!$A:$E,5,FALSE)</f>
        <v>12</v>
      </c>
      <c r="H4830" s="14">
        <f>VLOOKUP(E4830,Produtos!$A:$E,4,FALSE)</f>
        <v>5</v>
      </c>
      <c r="I4830" s="2">
        <v>2</v>
      </c>
    </row>
    <row r="4831" spans="1:9" x14ac:dyDescent="0.25">
      <c r="A4831" s="2" t="str">
        <f>CONCATENATE(Códigos!S4830,Códigos!T4830,Códigos!U4830)</f>
        <v>svv4829v</v>
      </c>
      <c r="B4831" t="s">
        <v>396</v>
      </c>
      <c r="C4831" t="s">
        <v>397</v>
      </c>
      <c r="D4831" s="2" t="s">
        <v>398</v>
      </c>
      <c r="E4831" t="s">
        <v>379</v>
      </c>
      <c r="F4831" s="11">
        <v>43520</v>
      </c>
      <c r="G4831" s="14">
        <f t="array" ref="G4831">VLOOKUP(E4831,Produtos!$A:$E,5,FALSE)</f>
        <v>12</v>
      </c>
      <c r="H4831" s="14">
        <f>VLOOKUP(E4831,Produtos!$A:$E,4,FALSE)</f>
        <v>5</v>
      </c>
      <c r="I4831" s="2">
        <v>2</v>
      </c>
    </row>
    <row r="4832" spans="1:9" x14ac:dyDescent="0.25">
      <c r="A4832" s="2" t="str">
        <f>CONCATENATE(Códigos!S4831,Códigos!T4831,Códigos!U4831)</f>
        <v>svv4830v</v>
      </c>
      <c r="B4832" t="s">
        <v>396</v>
      </c>
      <c r="C4832" t="s">
        <v>397</v>
      </c>
      <c r="D4832" s="2" t="s">
        <v>398</v>
      </c>
      <c r="E4832" t="s">
        <v>379</v>
      </c>
      <c r="F4832" s="11">
        <v>43521</v>
      </c>
      <c r="G4832" s="14">
        <f t="array" ref="G4832">VLOOKUP(E4832,Produtos!$A:$E,5,FALSE)</f>
        <v>12</v>
      </c>
      <c r="H4832" s="14">
        <f>VLOOKUP(E4832,Produtos!$A:$E,4,FALSE)</f>
        <v>5</v>
      </c>
      <c r="I4832" s="2">
        <v>2</v>
      </c>
    </row>
    <row r="4833" spans="1:9" x14ac:dyDescent="0.25">
      <c r="A4833" s="2" t="str">
        <f>CONCATENATE(Códigos!S4832,Códigos!T4832,Códigos!U4832)</f>
        <v>svv4831v</v>
      </c>
      <c r="B4833" t="s">
        <v>396</v>
      </c>
      <c r="C4833" t="s">
        <v>397</v>
      </c>
      <c r="D4833" s="2" t="s">
        <v>398</v>
      </c>
      <c r="E4833" t="s">
        <v>379</v>
      </c>
      <c r="F4833" s="11">
        <v>43522</v>
      </c>
      <c r="G4833" s="14">
        <f t="array" ref="G4833">VLOOKUP(E4833,Produtos!$A:$E,5,FALSE)</f>
        <v>12</v>
      </c>
      <c r="H4833" s="14">
        <f>VLOOKUP(E4833,Produtos!$A:$E,4,FALSE)</f>
        <v>5</v>
      </c>
      <c r="I4833" s="2">
        <v>2</v>
      </c>
    </row>
    <row r="4834" spans="1:9" x14ac:dyDescent="0.25">
      <c r="A4834" s="2" t="str">
        <f>CONCATENATE(Códigos!S4833,Códigos!T4833,Códigos!U4833)</f>
        <v>svv4832v</v>
      </c>
      <c r="B4834" t="s">
        <v>396</v>
      </c>
      <c r="C4834" t="s">
        <v>397</v>
      </c>
      <c r="D4834" s="2" t="s">
        <v>398</v>
      </c>
      <c r="E4834" t="s">
        <v>379</v>
      </c>
      <c r="F4834" s="11">
        <v>43523</v>
      </c>
      <c r="G4834" s="14">
        <f t="array" ref="G4834">VLOOKUP(E4834,Produtos!$A:$E,5,FALSE)</f>
        <v>12</v>
      </c>
      <c r="H4834" s="14">
        <f>VLOOKUP(E4834,Produtos!$A:$E,4,FALSE)</f>
        <v>5</v>
      </c>
      <c r="I4834" s="2">
        <v>2</v>
      </c>
    </row>
    <row r="4835" spans="1:9" x14ac:dyDescent="0.25">
      <c r="A4835" s="2" t="str">
        <f>CONCATENATE(Códigos!S4834,Códigos!T4834,Códigos!U4834)</f>
        <v>svv4833v</v>
      </c>
      <c r="B4835" t="s">
        <v>395</v>
      </c>
      <c r="C4835" t="s">
        <v>397</v>
      </c>
      <c r="D4835" s="2" t="s">
        <v>398</v>
      </c>
      <c r="E4835" t="s">
        <v>379</v>
      </c>
      <c r="F4835" s="11">
        <v>43524</v>
      </c>
      <c r="G4835" s="14">
        <f t="array" ref="G4835">VLOOKUP(E4835,Produtos!$A:$E,5,FALSE)</f>
        <v>12</v>
      </c>
      <c r="H4835" s="14">
        <f>VLOOKUP(E4835,Produtos!$A:$E,4,FALSE)</f>
        <v>5</v>
      </c>
      <c r="I4835" s="2">
        <v>2</v>
      </c>
    </row>
    <row r="4836" spans="1:9" x14ac:dyDescent="0.25">
      <c r="A4836" s="2" t="str">
        <f>CONCATENATE(Códigos!S4835,Códigos!T4835,Códigos!U4835)</f>
        <v>svv4834v</v>
      </c>
      <c r="B4836" t="s">
        <v>395</v>
      </c>
      <c r="C4836" t="s">
        <v>397</v>
      </c>
      <c r="D4836" s="2" t="s">
        <v>398</v>
      </c>
      <c r="E4836" t="s">
        <v>379</v>
      </c>
      <c r="F4836" s="11">
        <v>43525</v>
      </c>
      <c r="G4836" s="14">
        <f t="array" ref="G4836">VLOOKUP(E4836,Produtos!$A:$E,5,FALSE)</f>
        <v>12</v>
      </c>
      <c r="H4836" s="14">
        <f>VLOOKUP(E4836,Produtos!$A:$E,4,FALSE)</f>
        <v>5</v>
      </c>
      <c r="I4836" s="2">
        <v>2</v>
      </c>
    </row>
    <row r="4837" spans="1:9" x14ac:dyDescent="0.25">
      <c r="A4837" s="2" t="str">
        <f>CONCATENATE(Códigos!S4836,Códigos!T4836,Códigos!U4836)</f>
        <v>svv4835v</v>
      </c>
      <c r="B4837" t="s">
        <v>395</v>
      </c>
      <c r="C4837" t="s">
        <v>397</v>
      </c>
      <c r="D4837" s="2" t="s">
        <v>398</v>
      </c>
      <c r="E4837" t="s">
        <v>379</v>
      </c>
      <c r="F4837" s="11">
        <v>43526</v>
      </c>
      <c r="G4837" s="14">
        <f t="array" ref="G4837">VLOOKUP(E4837,Produtos!$A:$E,5,FALSE)</f>
        <v>12</v>
      </c>
      <c r="H4837" s="14">
        <f>VLOOKUP(E4837,Produtos!$A:$E,4,FALSE)</f>
        <v>5</v>
      </c>
      <c r="I4837" s="2">
        <v>2</v>
      </c>
    </row>
    <row r="4838" spans="1:9" x14ac:dyDescent="0.25">
      <c r="A4838" s="2" t="str">
        <f>CONCATENATE(Códigos!S4837,Códigos!T4837,Códigos!U4837)</f>
        <v>svv4836v</v>
      </c>
      <c r="B4838" t="s">
        <v>395</v>
      </c>
      <c r="C4838" t="s">
        <v>397</v>
      </c>
      <c r="D4838" s="2" t="s">
        <v>398</v>
      </c>
      <c r="E4838" t="s">
        <v>379</v>
      </c>
      <c r="F4838" s="11">
        <v>43527</v>
      </c>
      <c r="G4838" s="14">
        <f t="array" ref="G4838">VLOOKUP(E4838,Produtos!$A:$E,5,FALSE)</f>
        <v>12</v>
      </c>
      <c r="H4838" s="14">
        <f>VLOOKUP(E4838,Produtos!$A:$E,4,FALSE)</f>
        <v>5</v>
      </c>
      <c r="I4838" s="2">
        <v>2</v>
      </c>
    </row>
    <row r="4839" spans="1:9" x14ac:dyDescent="0.25">
      <c r="A4839" s="2" t="str">
        <f>CONCATENATE(Códigos!S4838,Códigos!T4838,Códigos!U4838)</f>
        <v>svv4837v</v>
      </c>
      <c r="B4839" t="s">
        <v>395</v>
      </c>
      <c r="C4839" t="s">
        <v>397</v>
      </c>
      <c r="D4839" s="2" t="s">
        <v>398</v>
      </c>
      <c r="E4839" t="s">
        <v>379</v>
      </c>
      <c r="F4839" s="11">
        <v>43528</v>
      </c>
      <c r="G4839" s="14">
        <f t="array" ref="G4839">VLOOKUP(E4839,Produtos!$A:$E,5,FALSE)</f>
        <v>12</v>
      </c>
      <c r="H4839" s="14">
        <f>VLOOKUP(E4839,Produtos!$A:$E,4,FALSE)</f>
        <v>5</v>
      </c>
      <c r="I4839" s="2">
        <v>2</v>
      </c>
    </row>
    <row r="4840" spans="1:9" x14ac:dyDescent="0.25">
      <c r="A4840" s="2" t="str">
        <f>CONCATENATE(Códigos!S4839,Códigos!T4839,Códigos!U4839)</f>
        <v>svv4838v</v>
      </c>
      <c r="B4840" t="s">
        <v>395</v>
      </c>
      <c r="C4840" t="s">
        <v>403</v>
      </c>
      <c r="D4840" s="2" t="s">
        <v>404</v>
      </c>
      <c r="E4840" t="s">
        <v>379</v>
      </c>
      <c r="F4840" s="11">
        <v>43529</v>
      </c>
      <c r="G4840" s="14">
        <f t="array" ref="G4840">VLOOKUP(E4840,Produtos!$A:$E,5,FALSE)</f>
        <v>12</v>
      </c>
      <c r="H4840" s="14">
        <f>VLOOKUP(E4840,Produtos!$A:$E,4,FALSE)</f>
        <v>5</v>
      </c>
      <c r="I4840" s="2">
        <v>2</v>
      </c>
    </row>
    <row r="4841" spans="1:9" x14ac:dyDescent="0.25">
      <c r="A4841" s="2" t="str">
        <f>CONCATENATE(Códigos!S4840,Códigos!T4840,Códigos!U4840)</f>
        <v>svv4839v</v>
      </c>
      <c r="B4841" t="s">
        <v>395</v>
      </c>
      <c r="C4841" t="s">
        <v>403</v>
      </c>
      <c r="D4841" s="2" t="s">
        <v>404</v>
      </c>
      <c r="E4841" t="s">
        <v>379</v>
      </c>
      <c r="F4841" s="11">
        <v>43530</v>
      </c>
      <c r="G4841" s="14">
        <f t="array" ref="G4841">VLOOKUP(E4841,Produtos!$A:$E,5,FALSE)</f>
        <v>12</v>
      </c>
      <c r="H4841" s="14">
        <f>VLOOKUP(E4841,Produtos!$A:$E,4,FALSE)</f>
        <v>5</v>
      </c>
      <c r="I4841" s="2">
        <v>2</v>
      </c>
    </row>
    <row r="4842" spans="1:9" x14ac:dyDescent="0.25">
      <c r="A4842" s="2" t="str">
        <f>CONCATENATE(Códigos!S4841,Códigos!T4841,Códigos!U4841)</f>
        <v>svv4840v</v>
      </c>
      <c r="B4842" t="s">
        <v>395</v>
      </c>
      <c r="C4842" t="s">
        <v>403</v>
      </c>
      <c r="D4842" s="2" t="s">
        <v>404</v>
      </c>
      <c r="E4842" t="s">
        <v>379</v>
      </c>
      <c r="F4842" s="11">
        <v>43531</v>
      </c>
      <c r="G4842" s="14">
        <f t="array" ref="G4842">VLOOKUP(E4842,Produtos!$A:$E,5,FALSE)</f>
        <v>12</v>
      </c>
      <c r="H4842" s="14">
        <f>VLOOKUP(E4842,Produtos!$A:$E,4,FALSE)</f>
        <v>5</v>
      </c>
      <c r="I4842" s="2">
        <v>2</v>
      </c>
    </row>
    <row r="4843" spans="1:9" x14ac:dyDescent="0.25">
      <c r="A4843" s="2" t="str">
        <f>CONCATENATE(Códigos!S4842,Códigos!T4842,Códigos!U4842)</f>
        <v>svv4841v</v>
      </c>
      <c r="B4843" t="s">
        <v>395</v>
      </c>
      <c r="C4843" t="s">
        <v>403</v>
      </c>
      <c r="D4843" s="2" t="s">
        <v>404</v>
      </c>
      <c r="E4843" t="s">
        <v>379</v>
      </c>
      <c r="F4843" s="11">
        <v>43532</v>
      </c>
      <c r="G4843" s="14">
        <f t="array" ref="G4843">VLOOKUP(E4843,Produtos!$A:$E,5,FALSE)</f>
        <v>12</v>
      </c>
      <c r="H4843" s="14">
        <f>VLOOKUP(E4843,Produtos!$A:$E,4,FALSE)</f>
        <v>5</v>
      </c>
      <c r="I4843" s="2">
        <v>2</v>
      </c>
    </row>
    <row r="4844" spans="1:9" x14ac:dyDescent="0.25">
      <c r="A4844" s="2" t="str">
        <f>CONCATENATE(Códigos!S4843,Códigos!T4843,Códigos!U4843)</f>
        <v>svv4842v</v>
      </c>
      <c r="B4844" t="s">
        <v>395</v>
      </c>
      <c r="C4844" t="s">
        <v>403</v>
      </c>
      <c r="D4844" s="2" t="s">
        <v>404</v>
      </c>
      <c r="E4844" t="s">
        <v>379</v>
      </c>
      <c r="F4844" s="11">
        <v>43533</v>
      </c>
      <c r="G4844" s="14">
        <f t="array" ref="G4844">VLOOKUP(E4844,Produtos!$A:$E,5,FALSE)</f>
        <v>12</v>
      </c>
      <c r="H4844" s="14">
        <f>VLOOKUP(E4844,Produtos!$A:$E,4,FALSE)</f>
        <v>5</v>
      </c>
      <c r="I4844" s="2">
        <v>2</v>
      </c>
    </row>
    <row r="4845" spans="1:9" x14ac:dyDescent="0.25">
      <c r="A4845" s="2" t="str">
        <f>CONCATENATE(Códigos!S4844,Códigos!T4844,Códigos!U4844)</f>
        <v>svv4843v</v>
      </c>
      <c r="B4845" t="s">
        <v>395</v>
      </c>
      <c r="C4845" t="s">
        <v>403</v>
      </c>
      <c r="D4845" s="2" t="s">
        <v>404</v>
      </c>
      <c r="E4845" t="s">
        <v>401</v>
      </c>
      <c r="F4845" s="11">
        <v>43534</v>
      </c>
      <c r="G4845" s="14">
        <f t="array" ref="G4845">VLOOKUP(E4845,Produtos!$A:$E,5,FALSE)</f>
        <v>6</v>
      </c>
      <c r="H4845" s="14">
        <f>VLOOKUP(E4845,Produtos!$A:$E,4,FALSE)</f>
        <v>3</v>
      </c>
      <c r="I4845" s="2">
        <v>2</v>
      </c>
    </row>
    <row r="4846" spans="1:9" x14ac:dyDescent="0.25">
      <c r="A4846" s="2" t="str">
        <f>CONCATENATE(Códigos!S4845,Códigos!T4845,Códigos!U4845)</f>
        <v>svv4844v</v>
      </c>
      <c r="B4846" t="s">
        <v>395</v>
      </c>
      <c r="C4846" t="s">
        <v>403</v>
      </c>
      <c r="D4846" s="2" t="s">
        <v>404</v>
      </c>
      <c r="E4846" t="s">
        <v>401</v>
      </c>
      <c r="F4846" s="11">
        <v>43535</v>
      </c>
      <c r="G4846" s="14">
        <f t="array" ref="G4846">VLOOKUP(E4846,Produtos!$A:$E,5,FALSE)</f>
        <v>6</v>
      </c>
      <c r="H4846" s="14">
        <f>VLOOKUP(E4846,Produtos!$A:$E,4,FALSE)</f>
        <v>3</v>
      </c>
      <c r="I4846" s="2">
        <v>2</v>
      </c>
    </row>
    <row r="4847" spans="1:9" x14ac:dyDescent="0.25">
      <c r="A4847" s="2" t="str">
        <f>CONCATENATE(Códigos!S4846,Códigos!T4846,Códigos!U4846)</f>
        <v>svv4845v</v>
      </c>
      <c r="B4847" t="s">
        <v>395</v>
      </c>
      <c r="C4847" t="s">
        <v>403</v>
      </c>
      <c r="D4847" s="2" t="s">
        <v>404</v>
      </c>
      <c r="E4847" t="s">
        <v>401</v>
      </c>
      <c r="F4847" s="11">
        <v>43536</v>
      </c>
      <c r="G4847" s="14">
        <f t="array" ref="G4847">VLOOKUP(E4847,Produtos!$A:$E,5,FALSE)</f>
        <v>6</v>
      </c>
      <c r="H4847" s="14">
        <f>VLOOKUP(E4847,Produtos!$A:$E,4,FALSE)</f>
        <v>3</v>
      </c>
      <c r="I4847" s="2">
        <v>2</v>
      </c>
    </row>
    <row r="4848" spans="1:9" x14ac:dyDescent="0.25">
      <c r="A4848" s="2" t="str">
        <f>CONCATENATE(Códigos!S4847,Códigos!T4847,Códigos!U4847)</f>
        <v>svv4846v</v>
      </c>
      <c r="B4848" t="s">
        <v>395</v>
      </c>
      <c r="C4848" t="s">
        <v>403</v>
      </c>
      <c r="D4848" s="2" t="s">
        <v>404</v>
      </c>
      <c r="E4848" t="s">
        <v>401</v>
      </c>
      <c r="F4848" s="11">
        <v>43537</v>
      </c>
      <c r="G4848" s="14">
        <f t="array" ref="G4848">VLOOKUP(E4848,Produtos!$A:$E,5,FALSE)</f>
        <v>6</v>
      </c>
      <c r="H4848" s="14">
        <f>VLOOKUP(E4848,Produtos!$A:$E,4,FALSE)</f>
        <v>3</v>
      </c>
      <c r="I4848" s="2">
        <v>2</v>
      </c>
    </row>
    <row r="4849" spans="1:9" x14ac:dyDescent="0.25">
      <c r="A4849" s="2" t="str">
        <f>CONCATENATE(Códigos!S4848,Códigos!T4848,Códigos!U4848)</f>
        <v>svv4847v</v>
      </c>
      <c r="B4849" t="s">
        <v>395</v>
      </c>
      <c r="C4849" t="s">
        <v>403</v>
      </c>
      <c r="D4849" s="2" t="s">
        <v>404</v>
      </c>
      <c r="E4849" t="s">
        <v>401</v>
      </c>
      <c r="F4849" s="11">
        <v>43538</v>
      </c>
      <c r="G4849" s="14">
        <f t="array" ref="G4849">VLOOKUP(E4849,Produtos!$A:$E,5,FALSE)</f>
        <v>6</v>
      </c>
      <c r="H4849" s="14">
        <f>VLOOKUP(E4849,Produtos!$A:$E,4,FALSE)</f>
        <v>3</v>
      </c>
      <c r="I4849" s="2">
        <v>2</v>
      </c>
    </row>
    <row r="4850" spans="1:9" x14ac:dyDescent="0.25">
      <c r="A4850" s="2" t="str">
        <f>CONCATENATE(Códigos!S4849,Códigos!T4849,Códigos!U4849)</f>
        <v>svv4848v</v>
      </c>
      <c r="B4850" t="s">
        <v>395</v>
      </c>
      <c r="C4850" t="s">
        <v>362</v>
      </c>
      <c r="D4850" s="2" t="s">
        <v>363</v>
      </c>
      <c r="E4850" t="s">
        <v>401</v>
      </c>
      <c r="F4850" s="11">
        <v>43539</v>
      </c>
      <c r="G4850" s="14">
        <f t="array" ref="G4850">VLOOKUP(E4850,Produtos!$A:$E,5,FALSE)</f>
        <v>6</v>
      </c>
      <c r="H4850" s="14">
        <f>VLOOKUP(E4850,Produtos!$A:$E,4,FALSE)</f>
        <v>3</v>
      </c>
      <c r="I4850" s="2">
        <v>2</v>
      </c>
    </row>
    <row r="4851" spans="1:9" x14ac:dyDescent="0.25">
      <c r="A4851" s="2" t="str">
        <f>CONCATENATE(Códigos!S4850,Códigos!T4850,Códigos!U4850)</f>
        <v>svv4849v</v>
      </c>
      <c r="B4851" t="s">
        <v>395</v>
      </c>
      <c r="C4851" t="s">
        <v>362</v>
      </c>
      <c r="D4851" s="2" t="s">
        <v>363</v>
      </c>
      <c r="E4851" t="s">
        <v>401</v>
      </c>
      <c r="F4851" s="11">
        <v>43540</v>
      </c>
      <c r="G4851" s="14">
        <f t="array" ref="G4851">VLOOKUP(E4851,Produtos!$A:$E,5,FALSE)</f>
        <v>6</v>
      </c>
      <c r="H4851" s="14">
        <f>VLOOKUP(E4851,Produtos!$A:$E,4,FALSE)</f>
        <v>3</v>
      </c>
      <c r="I4851" s="2">
        <v>2</v>
      </c>
    </row>
    <row r="4852" spans="1:9" x14ac:dyDescent="0.25">
      <c r="A4852" s="2" t="str">
        <f>CONCATENATE(Códigos!S4851,Códigos!T4851,Códigos!U4851)</f>
        <v>svv4850v</v>
      </c>
      <c r="B4852" t="s">
        <v>395</v>
      </c>
      <c r="C4852" t="s">
        <v>362</v>
      </c>
      <c r="D4852" s="2" t="s">
        <v>363</v>
      </c>
      <c r="E4852" t="s">
        <v>401</v>
      </c>
      <c r="F4852" s="11">
        <v>43541</v>
      </c>
      <c r="G4852" s="14">
        <f t="array" ref="G4852">VLOOKUP(E4852,Produtos!$A:$E,5,FALSE)</f>
        <v>6</v>
      </c>
      <c r="H4852" s="14">
        <f>VLOOKUP(E4852,Produtos!$A:$E,4,FALSE)</f>
        <v>3</v>
      </c>
      <c r="I4852" s="2">
        <v>2</v>
      </c>
    </row>
    <row r="4853" spans="1:9" x14ac:dyDescent="0.25">
      <c r="A4853" s="2" t="str">
        <f>CONCATENATE(Códigos!S4852,Códigos!T4852,Códigos!U4852)</f>
        <v>svv4851v</v>
      </c>
      <c r="B4853" t="s">
        <v>395</v>
      </c>
      <c r="C4853" t="s">
        <v>362</v>
      </c>
      <c r="D4853" s="2" t="s">
        <v>363</v>
      </c>
      <c r="E4853" t="s">
        <v>378</v>
      </c>
      <c r="F4853" s="11">
        <v>43542</v>
      </c>
      <c r="G4853" s="14">
        <f t="array" ref="G4853">VLOOKUP(E4853,Produtos!$A:$E,5,FALSE)</f>
        <v>6</v>
      </c>
      <c r="H4853" s="14">
        <f>VLOOKUP(E4853,Produtos!$A:$E,4,FALSE)</f>
        <v>3</v>
      </c>
      <c r="I4853" s="2">
        <v>2</v>
      </c>
    </row>
    <row r="4854" spans="1:9" x14ac:dyDescent="0.25">
      <c r="A4854" s="2" t="str">
        <f>CONCATENATE(Códigos!S4853,Códigos!T4853,Códigos!U4853)</f>
        <v>svv4852v</v>
      </c>
      <c r="B4854" t="s">
        <v>395</v>
      </c>
      <c r="C4854" t="s">
        <v>362</v>
      </c>
      <c r="D4854" s="2" t="s">
        <v>363</v>
      </c>
      <c r="E4854" t="s">
        <v>378</v>
      </c>
      <c r="F4854" s="11">
        <v>43543</v>
      </c>
      <c r="G4854" s="14">
        <f t="array" ref="G4854">VLOOKUP(E4854,Produtos!$A:$E,5,FALSE)</f>
        <v>6</v>
      </c>
      <c r="H4854" s="14">
        <f>VLOOKUP(E4854,Produtos!$A:$E,4,FALSE)</f>
        <v>3</v>
      </c>
      <c r="I4854" s="2">
        <v>2</v>
      </c>
    </row>
    <row r="4855" spans="1:9" x14ac:dyDescent="0.25">
      <c r="A4855" s="2" t="str">
        <f>CONCATENATE(Códigos!S4854,Códigos!T4854,Códigos!U4854)</f>
        <v>svv4853v</v>
      </c>
      <c r="B4855" t="s">
        <v>395</v>
      </c>
      <c r="C4855" t="s">
        <v>362</v>
      </c>
      <c r="D4855" s="2" t="s">
        <v>363</v>
      </c>
      <c r="E4855" t="s">
        <v>378</v>
      </c>
      <c r="F4855" s="11">
        <v>43544</v>
      </c>
      <c r="G4855" s="14">
        <f t="array" ref="G4855">VLOOKUP(E4855,Produtos!$A:$E,5,FALSE)</f>
        <v>6</v>
      </c>
      <c r="H4855" s="14">
        <f>VLOOKUP(E4855,Produtos!$A:$E,4,FALSE)</f>
        <v>3</v>
      </c>
      <c r="I4855" s="2">
        <v>2</v>
      </c>
    </row>
    <row r="4856" spans="1:9" x14ac:dyDescent="0.25">
      <c r="A4856" s="2" t="str">
        <f>CONCATENATE(Códigos!S4855,Códigos!T4855,Códigos!U4855)</f>
        <v>svv4854v</v>
      </c>
      <c r="B4856" t="s">
        <v>395</v>
      </c>
      <c r="C4856" t="s">
        <v>362</v>
      </c>
      <c r="D4856" s="2" t="s">
        <v>363</v>
      </c>
      <c r="E4856" t="s">
        <v>378</v>
      </c>
      <c r="F4856" s="11">
        <v>43545</v>
      </c>
      <c r="G4856" s="14">
        <f t="array" ref="G4856">VLOOKUP(E4856,Produtos!$A:$E,5,FALSE)</f>
        <v>6</v>
      </c>
      <c r="H4856" s="14">
        <f>VLOOKUP(E4856,Produtos!$A:$E,4,FALSE)</f>
        <v>3</v>
      </c>
      <c r="I4856" s="2">
        <v>2</v>
      </c>
    </row>
    <row r="4857" spans="1:9" x14ac:dyDescent="0.25">
      <c r="A4857" s="2" t="str">
        <f>CONCATENATE(Códigos!S4856,Códigos!T4856,Códigos!U4856)</f>
        <v>svv4855v</v>
      </c>
      <c r="B4857" t="s">
        <v>395</v>
      </c>
      <c r="C4857" t="s">
        <v>362</v>
      </c>
      <c r="D4857" s="2" t="s">
        <v>363</v>
      </c>
      <c r="E4857" t="s">
        <v>378</v>
      </c>
      <c r="F4857" s="11">
        <v>43546</v>
      </c>
      <c r="G4857" s="14">
        <f t="array" ref="G4857">VLOOKUP(E4857,Produtos!$A:$E,5,FALSE)</f>
        <v>6</v>
      </c>
      <c r="H4857" s="14">
        <f>VLOOKUP(E4857,Produtos!$A:$E,4,FALSE)</f>
        <v>3</v>
      </c>
      <c r="I4857" s="2">
        <v>2</v>
      </c>
    </row>
    <row r="4858" spans="1:9" x14ac:dyDescent="0.25">
      <c r="A4858" s="2" t="str">
        <f>CONCATENATE(Códigos!S4857,Códigos!T4857,Códigos!U4857)</f>
        <v>svv4856v</v>
      </c>
      <c r="B4858" t="s">
        <v>395</v>
      </c>
      <c r="C4858" t="s">
        <v>362</v>
      </c>
      <c r="D4858" s="2" t="s">
        <v>363</v>
      </c>
      <c r="E4858" t="s">
        <v>378</v>
      </c>
      <c r="F4858" s="11">
        <v>43547</v>
      </c>
      <c r="G4858" s="14">
        <f t="array" ref="G4858">VLOOKUP(E4858,Produtos!$A:$E,5,FALSE)</f>
        <v>6</v>
      </c>
      <c r="H4858" s="14">
        <f>VLOOKUP(E4858,Produtos!$A:$E,4,FALSE)</f>
        <v>3</v>
      </c>
      <c r="I4858" s="2">
        <v>2</v>
      </c>
    </row>
    <row r="4859" spans="1:9" x14ac:dyDescent="0.25">
      <c r="A4859" s="2" t="str">
        <f>CONCATENATE(Códigos!S4858,Códigos!T4858,Códigos!U4858)</f>
        <v>svv4857v</v>
      </c>
      <c r="B4859" t="s">
        <v>395</v>
      </c>
      <c r="C4859" t="s">
        <v>362</v>
      </c>
      <c r="D4859" s="2" t="s">
        <v>363</v>
      </c>
      <c r="E4859" t="s">
        <v>378</v>
      </c>
      <c r="F4859" s="11">
        <v>43548</v>
      </c>
      <c r="G4859" s="14">
        <f t="array" ref="G4859">VLOOKUP(E4859,Produtos!$A:$E,5,FALSE)</f>
        <v>6</v>
      </c>
      <c r="H4859" s="14">
        <f>VLOOKUP(E4859,Produtos!$A:$E,4,FALSE)</f>
        <v>3</v>
      </c>
      <c r="I4859" s="2">
        <v>2</v>
      </c>
    </row>
    <row r="4860" spans="1:9" x14ac:dyDescent="0.25">
      <c r="A4860" s="2" t="str">
        <f>CONCATENATE(Códigos!S4859,Códigos!T4859,Códigos!U4859)</f>
        <v>svv4858v</v>
      </c>
      <c r="B4860" t="s">
        <v>395</v>
      </c>
      <c r="C4860" t="s">
        <v>362</v>
      </c>
      <c r="D4860" s="2" t="s">
        <v>363</v>
      </c>
      <c r="E4860" t="s">
        <v>378</v>
      </c>
      <c r="F4860" s="11">
        <v>43549</v>
      </c>
      <c r="G4860" s="14">
        <f t="array" ref="G4860">VLOOKUP(E4860,Produtos!$A:$E,5,FALSE)</f>
        <v>6</v>
      </c>
      <c r="H4860" s="14">
        <f>VLOOKUP(E4860,Produtos!$A:$E,4,FALSE)</f>
        <v>3</v>
      </c>
      <c r="I4860" s="2">
        <v>2</v>
      </c>
    </row>
    <row r="4861" spans="1:9" x14ac:dyDescent="0.25">
      <c r="A4861" s="2" t="str">
        <f>CONCATENATE(Códigos!S4860,Códigos!T4860,Códigos!U4860)</f>
        <v>svv4859v</v>
      </c>
      <c r="B4861" t="s">
        <v>395</v>
      </c>
      <c r="C4861" t="s">
        <v>362</v>
      </c>
      <c r="D4861" s="2" t="s">
        <v>363</v>
      </c>
      <c r="E4861" t="s">
        <v>378</v>
      </c>
      <c r="F4861" s="11">
        <v>43550</v>
      </c>
      <c r="G4861" s="14">
        <f t="array" ref="G4861">VLOOKUP(E4861,Produtos!$A:$E,5,FALSE)</f>
        <v>6</v>
      </c>
      <c r="H4861" s="14">
        <f>VLOOKUP(E4861,Produtos!$A:$E,4,FALSE)</f>
        <v>3</v>
      </c>
      <c r="I4861" s="2">
        <v>2</v>
      </c>
    </row>
    <row r="4862" spans="1:9" x14ac:dyDescent="0.25">
      <c r="A4862" s="2" t="str">
        <f>CONCATENATE(Códigos!S4861,Códigos!T4861,Códigos!U4861)</f>
        <v>svv4860v</v>
      </c>
      <c r="B4862" t="s">
        <v>395</v>
      </c>
      <c r="C4862" t="s">
        <v>362</v>
      </c>
      <c r="D4862" s="2" t="s">
        <v>363</v>
      </c>
      <c r="E4862" t="s">
        <v>378</v>
      </c>
      <c r="F4862" s="11">
        <v>43551</v>
      </c>
      <c r="G4862" s="14">
        <f t="array" ref="G4862">VLOOKUP(E4862,Produtos!$A:$E,5,FALSE)</f>
        <v>6</v>
      </c>
      <c r="H4862" s="14">
        <f>VLOOKUP(E4862,Produtos!$A:$E,4,FALSE)</f>
        <v>3</v>
      </c>
      <c r="I4862" s="2">
        <v>2</v>
      </c>
    </row>
    <row r="4863" spans="1:9" x14ac:dyDescent="0.25">
      <c r="A4863" s="2" t="str">
        <f>CONCATENATE(Códigos!S4862,Códigos!T4862,Códigos!U4862)</f>
        <v>svv4861v</v>
      </c>
      <c r="B4863" t="s">
        <v>395</v>
      </c>
      <c r="C4863" t="s">
        <v>368</v>
      </c>
      <c r="D4863" s="2" t="s">
        <v>331</v>
      </c>
      <c r="E4863" t="s">
        <v>378</v>
      </c>
      <c r="F4863" s="11">
        <v>43552</v>
      </c>
      <c r="G4863" s="14">
        <f t="array" ref="G4863">VLOOKUP(E4863,Produtos!$A:$E,5,FALSE)</f>
        <v>6</v>
      </c>
      <c r="H4863" s="14">
        <f>VLOOKUP(E4863,Produtos!$A:$E,4,FALSE)</f>
        <v>3</v>
      </c>
      <c r="I4863" s="2">
        <v>2</v>
      </c>
    </row>
    <row r="4864" spans="1:9" x14ac:dyDescent="0.25">
      <c r="A4864" s="2" t="str">
        <f>CONCATENATE(Códigos!S4863,Códigos!T4863,Códigos!U4863)</f>
        <v>svv4862v</v>
      </c>
      <c r="B4864" t="s">
        <v>395</v>
      </c>
      <c r="C4864" t="s">
        <v>368</v>
      </c>
      <c r="D4864" s="2" t="s">
        <v>331</v>
      </c>
      <c r="E4864" t="s">
        <v>378</v>
      </c>
      <c r="F4864" s="11">
        <v>43553</v>
      </c>
      <c r="G4864" s="14">
        <f t="array" ref="G4864">VLOOKUP(E4864,Produtos!$A:$E,5,FALSE)</f>
        <v>6</v>
      </c>
      <c r="H4864" s="14">
        <f>VLOOKUP(E4864,Produtos!$A:$E,4,FALSE)</f>
        <v>3</v>
      </c>
      <c r="I4864" s="2">
        <v>2</v>
      </c>
    </row>
    <row r="4865" spans="1:9" x14ac:dyDescent="0.25">
      <c r="A4865" s="2" t="str">
        <f>CONCATENATE(Códigos!S4864,Códigos!T4864,Códigos!U4864)</f>
        <v>svv4863v</v>
      </c>
      <c r="B4865" t="s">
        <v>395</v>
      </c>
      <c r="C4865" t="s">
        <v>368</v>
      </c>
      <c r="D4865" s="2" t="s">
        <v>331</v>
      </c>
      <c r="E4865" t="s">
        <v>378</v>
      </c>
      <c r="F4865" s="11">
        <v>43554</v>
      </c>
      <c r="G4865" s="14">
        <f t="array" ref="G4865">VLOOKUP(E4865,Produtos!$A:$E,5,FALSE)</f>
        <v>6</v>
      </c>
      <c r="H4865" s="14">
        <f>VLOOKUP(E4865,Produtos!$A:$E,4,FALSE)</f>
        <v>3</v>
      </c>
      <c r="I4865" s="2">
        <v>2</v>
      </c>
    </row>
    <row r="4866" spans="1:9" x14ac:dyDescent="0.25">
      <c r="A4866" s="2" t="str">
        <f>CONCATENATE(Códigos!S4865,Códigos!T4865,Códigos!U4865)</f>
        <v>svv4864v</v>
      </c>
      <c r="B4866" t="s">
        <v>395</v>
      </c>
      <c r="C4866" t="s">
        <v>368</v>
      </c>
      <c r="D4866" s="2" t="s">
        <v>331</v>
      </c>
      <c r="E4866" t="s">
        <v>378</v>
      </c>
      <c r="F4866" s="11">
        <v>43555</v>
      </c>
      <c r="G4866" s="14">
        <f t="array" ref="G4866">VLOOKUP(E4866,Produtos!$A:$E,5,FALSE)</f>
        <v>6</v>
      </c>
      <c r="H4866" s="14">
        <f>VLOOKUP(E4866,Produtos!$A:$E,4,FALSE)</f>
        <v>3</v>
      </c>
      <c r="I4866" s="2">
        <v>2</v>
      </c>
    </row>
    <row r="4867" spans="1:9" x14ac:dyDescent="0.25">
      <c r="A4867" s="2" t="str">
        <f>CONCATENATE(Códigos!S4866,Códigos!T4866,Códigos!U4866)</f>
        <v>svv4865v</v>
      </c>
      <c r="B4867" t="s">
        <v>395</v>
      </c>
      <c r="C4867" t="s">
        <v>368</v>
      </c>
      <c r="D4867" s="2" t="s">
        <v>331</v>
      </c>
      <c r="E4867" t="s">
        <v>378</v>
      </c>
      <c r="F4867" s="11">
        <v>43556</v>
      </c>
      <c r="G4867" s="14">
        <f t="array" ref="G4867">VLOOKUP(E4867,Produtos!$A:$E,5,FALSE)</f>
        <v>6</v>
      </c>
      <c r="H4867" s="14">
        <f>VLOOKUP(E4867,Produtos!$A:$E,4,FALSE)</f>
        <v>3</v>
      </c>
      <c r="I4867" s="2">
        <v>2</v>
      </c>
    </row>
    <row r="4868" spans="1:9" x14ac:dyDescent="0.25">
      <c r="A4868" s="2" t="str">
        <f>CONCATENATE(Códigos!S4867,Códigos!T4867,Códigos!U4867)</f>
        <v>svv4866v</v>
      </c>
      <c r="B4868" t="s">
        <v>395</v>
      </c>
      <c r="C4868" t="s">
        <v>368</v>
      </c>
      <c r="D4868" s="2" t="s">
        <v>331</v>
      </c>
      <c r="E4868" t="s">
        <v>402</v>
      </c>
      <c r="F4868" s="11">
        <v>43557</v>
      </c>
      <c r="G4868" s="14">
        <f t="array" ref="G4868">VLOOKUP(E4868,Produtos!$A:$E,5,FALSE)</f>
        <v>9</v>
      </c>
      <c r="H4868" s="14">
        <f>VLOOKUP(E4868,Produtos!$A:$E,4,FALSE)</f>
        <v>4</v>
      </c>
      <c r="I4868" s="2">
        <v>2</v>
      </c>
    </row>
    <row r="4869" spans="1:9" x14ac:dyDescent="0.25">
      <c r="A4869" s="2" t="str">
        <f>CONCATENATE(Códigos!S4868,Códigos!T4868,Códigos!U4868)</f>
        <v>svv4867v</v>
      </c>
      <c r="B4869" t="s">
        <v>395</v>
      </c>
      <c r="C4869" t="s">
        <v>368</v>
      </c>
      <c r="D4869" s="2" t="s">
        <v>331</v>
      </c>
      <c r="E4869" t="s">
        <v>402</v>
      </c>
      <c r="F4869" s="11">
        <v>43558</v>
      </c>
      <c r="G4869" s="14">
        <f t="array" ref="G4869">VLOOKUP(E4869,Produtos!$A:$E,5,FALSE)</f>
        <v>9</v>
      </c>
      <c r="H4869" s="14">
        <f>VLOOKUP(E4869,Produtos!$A:$E,4,FALSE)</f>
        <v>4</v>
      </c>
      <c r="I4869" s="2">
        <v>2</v>
      </c>
    </row>
    <row r="4870" spans="1:9" x14ac:dyDescent="0.25">
      <c r="A4870" s="2" t="str">
        <f>CONCATENATE(Códigos!S4869,Códigos!T4869,Códigos!U4869)</f>
        <v>svv4868v</v>
      </c>
      <c r="B4870" t="s">
        <v>395</v>
      </c>
      <c r="C4870" t="s">
        <v>368</v>
      </c>
      <c r="D4870" s="2" t="s">
        <v>331</v>
      </c>
      <c r="E4870" t="s">
        <v>402</v>
      </c>
      <c r="F4870" s="11">
        <v>43559</v>
      </c>
      <c r="G4870" s="14">
        <f t="array" ref="G4870">VLOOKUP(E4870,Produtos!$A:$E,5,FALSE)</f>
        <v>9</v>
      </c>
      <c r="H4870" s="14">
        <f>VLOOKUP(E4870,Produtos!$A:$E,4,FALSE)</f>
        <v>4</v>
      </c>
      <c r="I4870" s="2">
        <v>2</v>
      </c>
    </row>
    <row r="4871" spans="1:9" x14ac:dyDescent="0.25">
      <c r="A4871" s="2" t="str">
        <f>CONCATENATE(Códigos!S4870,Códigos!T4870,Códigos!U4870)</f>
        <v>svv4869v</v>
      </c>
      <c r="B4871" t="s">
        <v>395</v>
      </c>
      <c r="C4871" t="s">
        <v>368</v>
      </c>
      <c r="D4871" s="2" t="s">
        <v>331</v>
      </c>
      <c r="E4871" t="s">
        <v>402</v>
      </c>
      <c r="F4871" s="11">
        <v>43560</v>
      </c>
      <c r="G4871" s="14">
        <f t="array" ref="G4871">VLOOKUP(E4871,Produtos!$A:$E,5,FALSE)</f>
        <v>9</v>
      </c>
      <c r="H4871" s="14">
        <f>VLOOKUP(E4871,Produtos!$A:$E,4,FALSE)</f>
        <v>4</v>
      </c>
      <c r="I4871" s="2">
        <v>2</v>
      </c>
    </row>
    <row r="4872" spans="1:9" x14ac:dyDescent="0.25">
      <c r="A4872" s="2" t="str">
        <f>CONCATENATE(Códigos!S4871,Códigos!T4871,Códigos!U4871)</f>
        <v>svv4870v</v>
      </c>
      <c r="B4872" t="s">
        <v>395</v>
      </c>
      <c r="C4872" t="s">
        <v>368</v>
      </c>
      <c r="D4872" s="2" t="s">
        <v>331</v>
      </c>
      <c r="E4872" t="s">
        <v>402</v>
      </c>
      <c r="F4872" s="11">
        <v>43561</v>
      </c>
      <c r="G4872" s="14">
        <f t="array" ref="G4872">VLOOKUP(E4872,Produtos!$A:$E,5,FALSE)</f>
        <v>9</v>
      </c>
      <c r="H4872" s="14">
        <f>VLOOKUP(E4872,Produtos!$A:$E,4,FALSE)</f>
        <v>4</v>
      </c>
      <c r="I4872" s="2">
        <v>2</v>
      </c>
    </row>
    <row r="4873" spans="1:9" x14ac:dyDescent="0.25">
      <c r="A4873" s="2" t="str">
        <f>CONCATENATE(Códigos!S4872,Códigos!T4872,Códigos!U4872)</f>
        <v>svv4871v</v>
      </c>
      <c r="B4873" t="s">
        <v>395</v>
      </c>
      <c r="C4873" t="s">
        <v>368</v>
      </c>
      <c r="D4873" s="2" t="s">
        <v>331</v>
      </c>
      <c r="E4873" t="s">
        <v>402</v>
      </c>
      <c r="F4873" s="11">
        <v>43562</v>
      </c>
      <c r="G4873" s="14">
        <f t="array" ref="G4873">VLOOKUP(E4873,Produtos!$A:$E,5,FALSE)</f>
        <v>9</v>
      </c>
      <c r="H4873" s="14">
        <f>VLOOKUP(E4873,Produtos!$A:$E,4,FALSE)</f>
        <v>4</v>
      </c>
      <c r="I4873" s="2">
        <v>2</v>
      </c>
    </row>
    <row r="4874" spans="1:9" x14ac:dyDescent="0.25">
      <c r="A4874" s="2" t="str">
        <f>CONCATENATE(Códigos!S4873,Códigos!T4873,Códigos!U4873)</f>
        <v>svv4872v</v>
      </c>
      <c r="B4874" t="s">
        <v>395</v>
      </c>
      <c r="C4874" t="s">
        <v>368</v>
      </c>
      <c r="D4874" s="2" t="s">
        <v>331</v>
      </c>
      <c r="E4874" t="s">
        <v>402</v>
      </c>
      <c r="F4874" s="11">
        <v>43563</v>
      </c>
      <c r="G4874" s="14">
        <f t="array" ref="G4874">VLOOKUP(E4874,Produtos!$A:$E,5,FALSE)</f>
        <v>9</v>
      </c>
      <c r="H4874" s="14">
        <f>VLOOKUP(E4874,Produtos!$A:$E,4,FALSE)</f>
        <v>4</v>
      </c>
      <c r="I4874" s="2">
        <v>2</v>
      </c>
    </row>
    <row r="4875" spans="1:9" x14ac:dyDescent="0.25">
      <c r="A4875" s="2" t="str">
        <f>CONCATENATE(Códigos!S4874,Códigos!T4874,Códigos!U4874)</f>
        <v>svv4873v</v>
      </c>
      <c r="B4875" t="s">
        <v>395</v>
      </c>
      <c r="C4875" t="s">
        <v>368</v>
      </c>
      <c r="D4875" s="2" t="s">
        <v>331</v>
      </c>
      <c r="E4875" t="s">
        <v>402</v>
      </c>
      <c r="F4875" s="11">
        <v>43564</v>
      </c>
      <c r="G4875" s="14">
        <f t="array" ref="G4875">VLOOKUP(E4875,Produtos!$A:$E,5,FALSE)</f>
        <v>9</v>
      </c>
      <c r="H4875" s="14">
        <f>VLOOKUP(E4875,Produtos!$A:$E,4,FALSE)</f>
        <v>4</v>
      </c>
      <c r="I4875" s="2">
        <v>2</v>
      </c>
    </row>
    <row r="4876" spans="1:9" x14ac:dyDescent="0.25">
      <c r="A4876" s="2" t="str">
        <f>CONCATENATE(Códigos!S4875,Códigos!T4875,Códigos!U4875)</f>
        <v>svv4874v</v>
      </c>
      <c r="B4876" t="s">
        <v>395</v>
      </c>
      <c r="C4876" t="s">
        <v>368</v>
      </c>
      <c r="D4876" s="2" t="s">
        <v>331</v>
      </c>
      <c r="E4876" t="s">
        <v>402</v>
      </c>
      <c r="F4876" s="11">
        <v>43565</v>
      </c>
      <c r="G4876" s="14">
        <f t="array" ref="G4876">VLOOKUP(E4876,Produtos!$A:$E,5,FALSE)</f>
        <v>9</v>
      </c>
      <c r="H4876" s="14">
        <f>VLOOKUP(E4876,Produtos!$A:$E,4,FALSE)</f>
        <v>4</v>
      </c>
      <c r="I4876" s="2">
        <v>2</v>
      </c>
    </row>
    <row r="4877" spans="1:9" x14ac:dyDescent="0.25">
      <c r="A4877" s="2" t="str">
        <f>CONCATENATE(Códigos!S4876,Códigos!T4876,Códigos!U4876)</f>
        <v>svv4875v</v>
      </c>
      <c r="B4877" t="s">
        <v>395</v>
      </c>
      <c r="C4877" t="s">
        <v>368</v>
      </c>
      <c r="D4877" s="2" t="s">
        <v>331</v>
      </c>
      <c r="E4877" t="s">
        <v>402</v>
      </c>
      <c r="F4877" s="11">
        <v>43566</v>
      </c>
      <c r="G4877" s="14">
        <f t="array" ref="G4877">VLOOKUP(E4877,Produtos!$A:$E,5,FALSE)</f>
        <v>9</v>
      </c>
      <c r="H4877" s="14">
        <f>VLOOKUP(E4877,Produtos!$A:$E,4,FALSE)</f>
        <v>4</v>
      </c>
      <c r="I4877" s="2">
        <v>2</v>
      </c>
    </row>
    <row r="4878" spans="1:9" x14ac:dyDescent="0.25">
      <c r="A4878" s="2" t="str">
        <f>CONCATENATE(Códigos!S4877,Códigos!T4877,Códigos!U4877)</f>
        <v>svv4876v</v>
      </c>
      <c r="B4878" t="s">
        <v>395</v>
      </c>
      <c r="C4878" t="s">
        <v>368</v>
      </c>
      <c r="D4878" s="2" t="s">
        <v>331</v>
      </c>
      <c r="E4878" t="s">
        <v>402</v>
      </c>
      <c r="F4878" s="11">
        <v>43567</v>
      </c>
      <c r="G4878" s="14">
        <f t="array" ref="G4878">VLOOKUP(E4878,Produtos!$A:$E,5,FALSE)</f>
        <v>9</v>
      </c>
      <c r="H4878" s="14">
        <f>VLOOKUP(E4878,Produtos!$A:$E,4,FALSE)</f>
        <v>4</v>
      </c>
      <c r="I4878" s="2">
        <v>2</v>
      </c>
    </row>
    <row r="4879" spans="1:9" x14ac:dyDescent="0.25">
      <c r="A4879" s="2" t="str">
        <f>CONCATENATE(Códigos!S4878,Códigos!T4878,Códigos!U4878)</f>
        <v>svv4877v</v>
      </c>
      <c r="B4879" t="s">
        <v>395</v>
      </c>
      <c r="C4879" t="s">
        <v>397</v>
      </c>
      <c r="D4879" s="2" t="s">
        <v>398</v>
      </c>
      <c r="E4879" t="s">
        <v>402</v>
      </c>
      <c r="F4879" s="11">
        <v>43568</v>
      </c>
      <c r="G4879" s="14">
        <f t="array" ref="G4879">VLOOKUP(E4879,Produtos!$A:$E,5,FALSE)</f>
        <v>9</v>
      </c>
      <c r="H4879" s="14">
        <f>VLOOKUP(E4879,Produtos!$A:$E,4,FALSE)</f>
        <v>4</v>
      </c>
      <c r="I4879" s="2">
        <v>2</v>
      </c>
    </row>
    <row r="4880" spans="1:9" x14ac:dyDescent="0.25">
      <c r="A4880" s="2" t="str">
        <f>CONCATENATE(Códigos!S4879,Códigos!T4879,Códigos!U4879)</f>
        <v>svv4878v</v>
      </c>
      <c r="B4880" t="s">
        <v>395</v>
      </c>
      <c r="C4880" t="s">
        <v>397</v>
      </c>
      <c r="D4880" s="2" t="s">
        <v>398</v>
      </c>
      <c r="E4880" t="s">
        <v>402</v>
      </c>
      <c r="F4880" s="11">
        <v>43569</v>
      </c>
      <c r="G4880" s="14">
        <f t="array" ref="G4880">VLOOKUP(E4880,Produtos!$A:$E,5,FALSE)</f>
        <v>9</v>
      </c>
      <c r="H4880" s="14">
        <f>VLOOKUP(E4880,Produtos!$A:$E,4,FALSE)</f>
        <v>4</v>
      </c>
      <c r="I4880" s="2">
        <v>2</v>
      </c>
    </row>
    <row r="4881" spans="1:9" x14ac:dyDescent="0.25">
      <c r="A4881" s="2" t="str">
        <f>CONCATENATE(Códigos!S4880,Códigos!T4880,Códigos!U4880)</f>
        <v>svv4879v</v>
      </c>
      <c r="B4881" t="s">
        <v>395</v>
      </c>
      <c r="C4881" t="s">
        <v>397</v>
      </c>
      <c r="D4881" s="2" t="s">
        <v>398</v>
      </c>
      <c r="E4881" t="s">
        <v>402</v>
      </c>
      <c r="F4881" s="11">
        <v>43570</v>
      </c>
      <c r="G4881" s="14">
        <f t="array" ref="G4881">VLOOKUP(E4881,Produtos!$A:$E,5,FALSE)</f>
        <v>9</v>
      </c>
      <c r="H4881" s="14">
        <f>VLOOKUP(E4881,Produtos!$A:$E,4,FALSE)</f>
        <v>4</v>
      </c>
      <c r="I4881" s="2">
        <v>2</v>
      </c>
    </row>
    <row r="4882" spans="1:9" x14ac:dyDescent="0.25">
      <c r="A4882" s="2" t="str">
        <f>CONCATENATE(Códigos!S4881,Códigos!T4881,Códigos!U4881)</f>
        <v>svv4880v</v>
      </c>
      <c r="B4882" t="s">
        <v>395</v>
      </c>
      <c r="C4882" t="s">
        <v>397</v>
      </c>
      <c r="D4882" s="2" t="s">
        <v>398</v>
      </c>
      <c r="E4882" t="s">
        <v>402</v>
      </c>
      <c r="F4882" s="11">
        <v>43758</v>
      </c>
      <c r="G4882" s="14">
        <f t="array" ref="G4882">VLOOKUP(E4882,Produtos!$A:$E,5,FALSE)</f>
        <v>9</v>
      </c>
      <c r="H4882" s="14">
        <f>VLOOKUP(E4882,Produtos!$A:$E,4,FALSE)</f>
        <v>4</v>
      </c>
      <c r="I4882" s="2">
        <v>2</v>
      </c>
    </row>
    <row r="4883" spans="1:9" x14ac:dyDescent="0.25">
      <c r="A4883" s="2" t="str">
        <f>CONCATENATE(Códigos!S4882,Códigos!T4882,Códigos!U4882)</f>
        <v>svv4881v</v>
      </c>
      <c r="B4883" t="s">
        <v>395</v>
      </c>
      <c r="C4883" t="s">
        <v>397</v>
      </c>
      <c r="D4883" s="2" t="s">
        <v>398</v>
      </c>
      <c r="E4883" t="s">
        <v>377</v>
      </c>
      <c r="F4883" s="11">
        <v>43759</v>
      </c>
      <c r="G4883" s="14">
        <f t="array" ref="G4883">VLOOKUP(E4883,Produtos!$A:$E,5,FALSE)</f>
        <v>12</v>
      </c>
      <c r="H4883" s="14">
        <f>VLOOKUP(E4883,Produtos!$A:$E,4,FALSE)</f>
        <v>5</v>
      </c>
      <c r="I4883" s="2">
        <v>2</v>
      </c>
    </row>
    <row r="4884" spans="1:9" x14ac:dyDescent="0.25">
      <c r="A4884" s="2" t="str">
        <f>CONCATENATE(Códigos!S4883,Códigos!T4883,Códigos!U4883)</f>
        <v>svv4882v</v>
      </c>
      <c r="B4884" t="s">
        <v>395</v>
      </c>
      <c r="C4884" t="s">
        <v>397</v>
      </c>
      <c r="D4884" s="2" t="s">
        <v>398</v>
      </c>
      <c r="E4884" t="s">
        <v>377</v>
      </c>
      <c r="F4884" s="11">
        <v>43760</v>
      </c>
      <c r="G4884" s="14">
        <f t="array" ref="G4884">VLOOKUP(E4884,Produtos!$A:$E,5,FALSE)</f>
        <v>12</v>
      </c>
      <c r="H4884" s="14">
        <f>VLOOKUP(E4884,Produtos!$A:$E,4,FALSE)</f>
        <v>5</v>
      </c>
      <c r="I4884" s="2">
        <v>2</v>
      </c>
    </row>
    <row r="4885" spans="1:9" x14ac:dyDescent="0.25">
      <c r="A4885" s="2" t="str">
        <f>CONCATENATE(Códigos!S4884,Códigos!T4884,Códigos!U4884)</f>
        <v>svv4883v</v>
      </c>
      <c r="B4885" t="s">
        <v>395</v>
      </c>
      <c r="C4885" t="s">
        <v>397</v>
      </c>
      <c r="D4885" s="2" t="s">
        <v>398</v>
      </c>
      <c r="E4885" t="s">
        <v>377</v>
      </c>
      <c r="F4885" s="11">
        <v>43761</v>
      </c>
      <c r="G4885" s="14">
        <f t="array" ref="G4885">VLOOKUP(E4885,Produtos!$A:$E,5,FALSE)</f>
        <v>12</v>
      </c>
      <c r="H4885" s="14">
        <f>VLOOKUP(E4885,Produtos!$A:$E,4,FALSE)</f>
        <v>5</v>
      </c>
      <c r="I4885" s="2">
        <v>2</v>
      </c>
    </row>
    <row r="4886" spans="1:9" x14ac:dyDescent="0.25">
      <c r="A4886" s="2" t="str">
        <f>CONCATENATE(Códigos!S4885,Códigos!T4885,Códigos!U4885)</f>
        <v>svv4884v</v>
      </c>
      <c r="B4886" t="s">
        <v>395</v>
      </c>
      <c r="C4886" t="s">
        <v>397</v>
      </c>
      <c r="D4886" s="2" t="s">
        <v>398</v>
      </c>
      <c r="E4886" t="s">
        <v>377</v>
      </c>
      <c r="F4886" s="11">
        <v>43762</v>
      </c>
      <c r="G4886" s="14">
        <f t="array" ref="G4886">VLOOKUP(E4886,Produtos!$A:$E,5,FALSE)</f>
        <v>12</v>
      </c>
      <c r="H4886" s="14">
        <f>VLOOKUP(E4886,Produtos!$A:$E,4,FALSE)</f>
        <v>5</v>
      </c>
      <c r="I4886" s="2">
        <v>2</v>
      </c>
    </row>
    <row r="4887" spans="1:9" x14ac:dyDescent="0.25">
      <c r="A4887" s="2" t="str">
        <f>CONCATENATE(Códigos!S4886,Códigos!T4886,Códigos!U4886)</f>
        <v>svv4885v</v>
      </c>
      <c r="B4887" t="s">
        <v>395</v>
      </c>
      <c r="C4887" t="s">
        <v>397</v>
      </c>
      <c r="D4887" s="2" t="s">
        <v>398</v>
      </c>
      <c r="E4887" t="s">
        <v>343</v>
      </c>
      <c r="F4887" s="11">
        <v>43763</v>
      </c>
      <c r="G4887" s="14">
        <f t="array" ref="G4887">VLOOKUP(E4887,Produtos!$A:$E,5,FALSE)</f>
        <v>6</v>
      </c>
      <c r="H4887" s="14">
        <f>VLOOKUP(E4887,Produtos!$A:$E,4,FALSE)</f>
        <v>2.5</v>
      </c>
      <c r="I4887" s="2">
        <v>2</v>
      </c>
    </row>
    <row r="4888" spans="1:9" x14ac:dyDescent="0.25">
      <c r="A4888" s="2" t="str">
        <f>CONCATENATE(Códigos!S4887,Códigos!T4887,Códigos!U4887)</f>
        <v>svv4886v</v>
      </c>
      <c r="B4888" t="s">
        <v>395</v>
      </c>
      <c r="C4888" t="s">
        <v>397</v>
      </c>
      <c r="D4888" s="2" t="s">
        <v>398</v>
      </c>
      <c r="E4888" t="s">
        <v>343</v>
      </c>
      <c r="F4888" s="11">
        <v>43764</v>
      </c>
      <c r="G4888" s="14">
        <f t="array" ref="G4888">VLOOKUP(E4888,Produtos!$A:$E,5,FALSE)</f>
        <v>6</v>
      </c>
      <c r="H4888" s="14">
        <f>VLOOKUP(E4888,Produtos!$A:$E,4,FALSE)</f>
        <v>2.5</v>
      </c>
      <c r="I4888" s="2">
        <v>2</v>
      </c>
    </row>
    <row r="4889" spans="1:9" x14ac:dyDescent="0.25">
      <c r="A4889" s="2" t="str">
        <f>CONCATENATE(Códigos!S4888,Códigos!T4888,Códigos!U4888)</f>
        <v>svv4887v</v>
      </c>
      <c r="B4889" t="s">
        <v>395</v>
      </c>
      <c r="C4889" t="s">
        <v>397</v>
      </c>
      <c r="D4889" s="2" t="s">
        <v>398</v>
      </c>
      <c r="E4889" t="s">
        <v>343</v>
      </c>
      <c r="F4889" s="11">
        <v>43765</v>
      </c>
      <c r="G4889" s="14">
        <f t="array" ref="G4889">VLOOKUP(E4889,Produtos!$A:$E,5,FALSE)</f>
        <v>6</v>
      </c>
      <c r="H4889" s="14">
        <f>VLOOKUP(E4889,Produtos!$A:$E,4,FALSE)</f>
        <v>2.5</v>
      </c>
      <c r="I4889" s="2">
        <v>2</v>
      </c>
    </row>
    <row r="4890" spans="1:9" x14ac:dyDescent="0.25">
      <c r="A4890" s="2" t="str">
        <f>CONCATENATE(Códigos!S4889,Códigos!T4889,Códigos!U4889)</f>
        <v>svv4888v</v>
      </c>
      <c r="B4890" t="s">
        <v>395</v>
      </c>
      <c r="C4890" t="s">
        <v>397</v>
      </c>
      <c r="D4890" s="2" t="s">
        <v>398</v>
      </c>
      <c r="E4890" t="s">
        <v>343</v>
      </c>
      <c r="F4890" s="11">
        <v>43766</v>
      </c>
      <c r="G4890" s="14">
        <f t="array" ref="G4890">VLOOKUP(E4890,Produtos!$A:$E,5,FALSE)</f>
        <v>6</v>
      </c>
      <c r="H4890" s="14">
        <f>VLOOKUP(E4890,Produtos!$A:$E,4,FALSE)</f>
        <v>2.5</v>
      </c>
      <c r="I4890" s="2">
        <v>2</v>
      </c>
    </row>
    <row r="4891" spans="1:9" x14ac:dyDescent="0.25">
      <c r="A4891" s="2" t="str">
        <f>CONCATENATE(Códigos!S4890,Códigos!T4890,Códigos!U4890)</f>
        <v>svv4889v</v>
      </c>
      <c r="B4891" t="s">
        <v>395</v>
      </c>
      <c r="C4891" t="s">
        <v>397</v>
      </c>
      <c r="D4891" s="2" t="s">
        <v>398</v>
      </c>
      <c r="E4891" t="s">
        <v>343</v>
      </c>
      <c r="F4891" s="11">
        <v>43767</v>
      </c>
      <c r="G4891" s="14">
        <f t="array" ref="G4891">VLOOKUP(E4891,Produtos!$A:$E,5,FALSE)</f>
        <v>6</v>
      </c>
      <c r="H4891" s="14">
        <f>VLOOKUP(E4891,Produtos!$A:$E,4,FALSE)</f>
        <v>2.5</v>
      </c>
      <c r="I4891" s="2">
        <v>2</v>
      </c>
    </row>
    <row r="4892" spans="1:9" x14ac:dyDescent="0.25">
      <c r="A4892" s="2" t="str">
        <f>CONCATENATE(Códigos!S4891,Códigos!T4891,Códigos!U4891)</f>
        <v>svv4890v</v>
      </c>
      <c r="B4892" t="s">
        <v>395</v>
      </c>
      <c r="C4892" t="s">
        <v>397</v>
      </c>
      <c r="D4892" s="2" t="s">
        <v>398</v>
      </c>
      <c r="E4892" t="s">
        <v>343</v>
      </c>
      <c r="F4892" s="11">
        <v>43768</v>
      </c>
      <c r="G4892" s="14">
        <f t="array" ref="G4892">VLOOKUP(E4892,Produtos!$A:$E,5,FALSE)</f>
        <v>6</v>
      </c>
      <c r="H4892" s="14">
        <f>VLOOKUP(E4892,Produtos!$A:$E,4,FALSE)</f>
        <v>2.5</v>
      </c>
      <c r="I4892" s="2">
        <v>2</v>
      </c>
    </row>
    <row r="4893" spans="1:9" x14ac:dyDescent="0.25">
      <c r="A4893" s="2" t="str">
        <f>CONCATENATE(Códigos!S4892,Códigos!T4892,Códigos!U4892)</f>
        <v>svv4891v</v>
      </c>
      <c r="B4893" t="s">
        <v>395</v>
      </c>
      <c r="C4893" t="s">
        <v>397</v>
      </c>
      <c r="D4893" s="2" t="s">
        <v>398</v>
      </c>
      <c r="E4893" t="s">
        <v>343</v>
      </c>
      <c r="F4893" s="11">
        <v>43769</v>
      </c>
      <c r="G4893" s="14">
        <f t="array" ref="G4893">VLOOKUP(E4893,Produtos!$A:$E,5,FALSE)</f>
        <v>6</v>
      </c>
      <c r="H4893" s="14">
        <f>VLOOKUP(E4893,Produtos!$A:$E,4,FALSE)</f>
        <v>2.5</v>
      </c>
      <c r="I4893" s="2">
        <v>2</v>
      </c>
    </row>
    <row r="4894" spans="1:9" x14ac:dyDescent="0.25">
      <c r="A4894" s="2" t="str">
        <f>CONCATENATE(Códigos!S4893,Códigos!T4893,Códigos!U4893)</f>
        <v>svv4892v</v>
      </c>
      <c r="B4894" t="s">
        <v>395</v>
      </c>
      <c r="C4894" t="s">
        <v>397</v>
      </c>
      <c r="D4894" s="2" t="s">
        <v>398</v>
      </c>
      <c r="E4894" t="s">
        <v>343</v>
      </c>
      <c r="F4894" s="11">
        <v>43770</v>
      </c>
      <c r="G4894" s="14">
        <f t="array" ref="G4894">VLOOKUP(E4894,Produtos!$A:$E,5,FALSE)</f>
        <v>6</v>
      </c>
      <c r="H4894" s="14">
        <f>VLOOKUP(E4894,Produtos!$A:$E,4,FALSE)</f>
        <v>2.5</v>
      </c>
      <c r="I4894" s="2">
        <v>2</v>
      </c>
    </row>
    <row r="4895" spans="1:9" x14ac:dyDescent="0.25">
      <c r="A4895" s="2" t="str">
        <f>CONCATENATE(Códigos!S4894,Códigos!T4894,Códigos!U4894)</f>
        <v>svv4893v</v>
      </c>
      <c r="B4895" t="s">
        <v>395</v>
      </c>
      <c r="C4895" t="s">
        <v>397</v>
      </c>
      <c r="D4895" s="2" t="s">
        <v>398</v>
      </c>
      <c r="E4895" t="s">
        <v>343</v>
      </c>
      <c r="F4895" s="11">
        <v>43771</v>
      </c>
      <c r="G4895" s="14">
        <f t="array" ref="G4895">VLOOKUP(E4895,Produtos!$A:$E,5,FALSE)</f>
        <v>6</v>
      </c>
      <c r="H4895" s="14">
        <f>VLOOKUP(E4895,Produtos!$A:$E,4,FALSE)</f>
        <v>2.5</v>
      </c>
      <c r="I4895" s="2">
        <v>3</v>
      </c>
    </row>
    <row r="4896" spans="1:9" x14ac:dyDescent="0.25">
      <c r="A4896" s="2" t="str">
        <f>CONCATENATE(Códigos!S4895,Códigos!T4895,Códigos!U4895)</f>
        <v>svv4894v</v>
      </c>
      <c r="B4896" t="s">
        <v>395</v>
      </c>
      <c r="C4896" t="s">
        <v>399</v>
      </c>
      <c r="D4896" s="2" t="s">
        <v>400</v>
      </c>
      <c r="E4896" t="s">
        <v>343</v>
      </c>
      <c r="F4896" s="11">
        <v>43772</v>
      </c>
      <c r="G4896" s="14">
        <f t="array" ref="G4896">VLOOKUP(E4896,Produtos!$A:$E,5,FALSE)</f>
        <v>6</v>
      </c>
      <c r="H4896" s="14">
        <f>VLOOKUP(E4896,Produtos!$A:$E,4,FALSE)</f>
        <v>2.5</v>
      </c>
      <c r="I4896" s="2">
        <v>3</v>
      </c>
    </row>
    <row r="4897" spans="1:9" x14ac:dyDescent="0.25">
      <c r="A4897" s="2" t="str">
        <f>CONCATENATE(Códigos!S4896,Códigos!T4896,Códigos!U4896)</f>
        <v>svv4895v</v>
      </c>
      <c r="B4897" t="s">
        <v>395</v>
      </c>
      <c r="C4897" t="s">
        <v>399</v>
      </c>
      <c r="D4897" s="2" t="s">
        <v>400</v>
      </c>
      <c r="E4897" t="s">
        <v>343</v>
      </c>
      <c r="F4897" s="11">
        <v>43773</v>
      </c>
      <c r="G4897" s="14">
        <f t="array" ref="G4897">VLOOKUP(E4897,Produtos!$A:$E,5,FALSE)</f>
        <v>6</v>
      </c>
      <c r="H4897" s="14">
        <f>VLOOKUP(E4897,Produtos!$A:$E,4,FALSE)</f>
        <v>2.5</v>
      </c>
      <c r="I4897" s="2">
        <v>3</v>
      </c>
    </row>
    <row r="4898" spans="1:9" x14ac:dyDescent="0.25">
      <c r="A4898" s="2" t="str">
        <f>CONCATENATE(Códigos!S4897,Códigos!T4897,Códigos!U4897)</f>
        <v>svv4896v</v>
      </c>
      <c r="B4898" t="s">
        <v>395</v>
      </c>
      <c r="C4898" t="s">
        <v>399</v>
      </c>
      <c r="D4898" s="2" t="s">
        <v>400</v>
      </c>
      <c r="E4898" t="s">
        <v>343</v>
      </c>
      <c r="F4898" s="11">
        <v>43774</v>
      </c>
      <c r="G4898" s="14">
        <f t="array" ref="G4898">VLOOKUP(E4898,Produtos!$A:$E,5,FALSE)</f>
        <v>6</v>
      </c>
      <c r="H4898" s="14">
        <f>VLOOKUP(E4898,Produtos!$A:$E,4,FALSE)</f>
        <v>2.5</v>
      </c>
      <c r="I4898" s="2">
        <v>3</v>
      </c>
    </row>
    <row r="4899" spans="1:9" x14ac:dyDescent="0.25">
      <c r="A4899" s="2" t="str">
        <f>CONCATENATE(Códigos!S4898,Códigos!T4898,Códigos!U4898)</f>
        <v>svv4897v</v>
      </c>
      <c r="B4899" t="s">
        <v>395</v>
      </c>
      <c r="C4899" t="s">
        <v>399</v>
      </c>
      <c r="D4899" s="2" t="s">
        <v>400</v>
      </c>
      <c r="E4899" t="s">
        <v>343</v>
      </c>
      <c r="F4899" s="11">
        <v>43775</v>
      </c>
      <c r="G4899" s="14">
        <f t="array" ref="G4899">VLOOKUP(E4899,Produtos!$A:$E,5,FALSE)</f>
        <v>6</v>
      </c>
      <c r="H4899" s="14">
        <f>VLOOKUP(E4899,Produtos!$A:$E,4,FALSE)</f>
        <v>2.5</v>
      </c>
      <c r="I4899" s="2">
        <v>3</v>
      </c>
    </row>
    <row r="4900" spans="1:9" x14ac:dyDescent="0.25">
      <c r="A4900" s="2" t="str">
        <f>CONCATENATE(Códigos!S4899,Códigos!T4899,Códigos!U4899)</f>
        <v>svv4898v</v>
      </c>
      <c r="B4900" t="s">
        <v>395</v>
      </c>
      <c r="C4900" t="s">
        <v>399</v>
      </c>
      <c r="D4900" s="2" t="s">
        <v>400</v>
      </c>
      <c r="E4900" t="s">
        <v>343</v>
      </c>
      <c r="F4900" s="11">
        <v>43776</v>
      </c>
      <c r="G4900" s="14">
        <f t="array" ref="G4900">VLOOKUP(E4900,Produtos!$A:$E,5,FALSE)</f>
        <v>6</v>
      </c>
      <c r="H4900" s="14">
        <f>VLOOKUP(E4900,Produtos!$A:$E,4,FALSE)</f>
        <v>2.5</v>
      </c>
      <c r="I4900" s="2">
        <v>3</v>
      </c>
    </row>
    <row r="4901" spans="1:9" x14ac:dyDescent="0.25">
      <c r="A4901" s="2" t="str">
        <f>CONCATENATE(Códigos!S4900,Códigos!T4900,Códigos!U4900)</f>
        <v>svv4899v</v>
      </c>
      <c r="B4901" t="s">
        <v>395</v>
      </c>
      <c r="C4901" t="s">
        <v>399</v>
      </c>
      <c r="D4901" s="2" t="s">
        <v>400</v>
      </c>
      <c r="E4901" t="s">
        <v>343</v>
      </c>
      <c r="F4901" s="11">
        <v>43777</v>
      </c>
      <c r="G4901" s="14">
        <f t="array" ref="G4901">VLOOKUP(E4901,Produtos!$A:$E,5,FALSE)</f>
        <v>6</v>
      </c>
      <c r="H4901" s="14">
        <f>VLOOKUP(E4901,Produtos!$A:$E,4,FALSE)</f>
        <v>2.5</v>
      </c>
      <c r="I4901" s="2">
        <v>3</v>
      </c>
    </row>
    <row r="4902" spans="1:9" x14ac:dyDescent="0.25">
      <c r="A4902" s="2" t="str">
        <f>CONCATENATE(Códigos!S4901,Códigos!T4901,Códigos!U4901)</f>
        <v>svv4900v</v>
      </c>
      <c r="B4902" t="s">
        <v>395</v>
      </c>
      <c r="C4902" t="s">
        <v>399</v>
      </c>
      <c r="D4902" s="2" t="s">
        <v>400</v>
      </c>
      <c r="E4902" t="s">
        <v>343</v>
      </c>
      <c r="F4902" s="11">
        <v>43778</v>
      </c>
      <c r="G4902" s="14">
        <f t="array" ref="G4902">VLOOKUP(E4902,Produtos!$A:$E,5,FALSE)</f>
        <v>6</v>
      </c>
      <c r="H4902" s="14">
        <f>VLOOKUP(E4902,Produtos!$A:$E,4,FALSE)</f>
        <v>2.5</v>
      </c>
      <c r="I4902" s="2">
        <v>3</v>
      </c>
    </row>
    <row r="4903" spans="1:9" x14ac:dyDescent="0.25">
      <c r="A4903" s="2" t="str">
        <f>CONCATENATE(Códigos!S4902,Códigos!T4902,Códigos!U4902)</f>
        <v>svv4901v</v>
      </c>
      <c r="B4903" t="s">
        <v>395</v>
      </c>
      <c r="C4903" t="s">
        <v>399</v>
      </c>
      <c r="D4903" s="2" t="s">
        <v>400</v>
      </c>
      <c r="E4903" t="s">
        <v>343</v>
      </c>
      <c r="F4903" s="11">
        <v>43779</v>
      </c>
      <c r="G4903" s="14">
        <f t="array" ref="G4903">VLOOKUP(E4903,Produtos!$A:$E,5,FALSE)</f>
        <v>6</v>
      </c>
      <c r="H4903" s="14">
        <f>VLOOKUP(E4903,Produtos!$A:$E,4,FALSE)</f>
        <v>2.5</v>
      </c>
      <c r="I4903" s="2">
        <v>3</v>
      </c>
    </row>
    <row r="4904" spans="1:9" x14ac:dyDescent="0.25">
      <c r="A4904" s="2" t="str">
        <f>CONCATENATE(Códigos!S4903,Códigos!T4903,Códigos!U4903)</f>
        <v>svv4902v</v>
      </c>
      <c r="B4904" t="s">
        <v>395</v>
      </c>
      <c r="C4904" t="s">
        <v>399</v>
      </c>
      <c r="D4904" s="2" t="s">
        <v>400</v>
      </c>
      <c r="E4904" t="s">
        <v>343</v>
      </c>
      <c r="F4904" s="11">
        <v>43780</v>
      </c>
      <c r="G4904" s="14">
        <f t="array" ref="G4904">VLOOKUP(E4904,Produtos!$A:$E,5,FALSE)</f>
        <v>6</v>
      </c>
      <c r="H4904" s="14">
        <f>VLOOKUP(E4904,Produtos!$A:$E,4,FALSE)</f>
        <v>2.5</v>
      </c>
      <c r="I4904" s="2">
        <v>3</v>
      </c>
    </row>
    <row r="4905" spans="1:9" x14ac:dyDescent="0.25">
      <c r="A4905" s="2" t="str">
        <f>CONCATENATE(Códigos!S4904,Códigos!T4904,Códigos!U4904)</f>
        <v>svv4903v</v>
      </c>
      <c r="B4905" t="s">
        <v>395</v>
      </c>
      <c r="C4905" t="s">
        <v>399</v>
      </c>
      <c r="D4905" s="2" t="s">
        <v>400</v>
      </c>
      <c r="E4905" t="s">
        <v>343</v>
      </c>
      <c r="F4905" s="11">
        <v>43781</v>
      </c>
      <c r="G4905" s="14">
        <f t="array" ref="G4905">VLOOKUP(E4905,Produtos!$A:$E,5,FALSE)</f>
        <v>6</v>
      </c>
      <c r="H4905" s="14">
        <f>VLOOKUP(E4905,Produtos!$A:$E,4,FALSE)</f>
        <v>2.5</v>
      </c>
      <c r="I4905" s="2">
        <v>3</v>
      </c>
    </row>
    <row r="4906" spans="1:9" x14ac:dyDescent="0.25">
      <c r="A4906" s="2" t="str">
        <f>CONCATENATE(Códigos!S4905,Códigos!T4905,Códigos!U4905)</f>
        <v>svv4904v</v>
      </c>
      <c r="B4906" t="s">
        <v>395</v>
      </c>
      <c r="C4906" t="s">
        <v>399</v>
      </c>
      <c r="D4906" s="2" t="s">
        <v>400</v>
      </c>
      <c r="E4906" t="s">
        <v>343</v>
      </c>
      <c r="F4906" s="11">
        <v>43782</v>
      </c>
      <c r="G4906" s="14">
        <f t="array" ref="G4906">VLOOKUP(E4906,Produtos!$A:$E,5,FALSE)</f>
        <v>6</v>
      </c>
      <c r="H4906" s="14">
        <f>VLOOKUP(E4906,Produtos!$A:$E,4,FALSE)</f>
        <v>2.5</v>
      </c>
      <c r="I4906" s="2">
        <v>3</v>
      </c>
    </row>
    <row r="4907" spans="1:9" x14ac:dyDescent="0.25">
      <c r="A4907" s="2" t="str">
        <f>CONCATENATE(Códigos!S4906,Códigos!T4906,Códigos!U4906)</f>
        <v>svv4905v</v>
      </c>
      <c r="B4907" t="s">
        <v>395</v>
      </c>
      <c r="C4907" t="s">
        <v>399</v>
      </c>
      <c r="D4907" s="2" t="s">
        <v>400</v>
      </c>
      <c r="E4907" t="s">
        <v>343</v>
      </c>
      <c r="F4907" s="11">
        <v>43783</v>
      </c>
      <c r="G4907" s="14">
        <f t="array" ref="G4907">VLOOKUP(E4907,Produtos!$A:$E,5,FALSE)</f>
        <v>6</v>
      </c>
      <c r="H4907" s="14">
        <f>VLOOKUP(E4907,Produtos!$A:$E,4,FALSE)</f>
        <v>2.5</v>
      </c>
      <c r="I4907" s="2">
        <v>3</v>
      </c>
    </row>
    <row r="4908" spans="1:9" x14ac:dyDescent="0.25">
      <c r="A4908" s="2" t="str">
        <f>CONCATENATE(Códigos!S4907,Códigos!T4907,Códigos!U4907)</f>
        <v>svv4906v</v>
      </c>
      <c r="B4908" t="s">
        <v>395</v>
      </c>
      <c r="C4908" t="s">
        <v>399</v>
      </c>
      <c r="D4908" s="2" t="s">
        <v>400</v>
      </c>
      <c r="E4908" t="s">
        <v>343</v>
      </c>
      <c r="F4908" s="11">
        <v>43784</v>
      </c>
      <c r="G4908" s="14">
        <f t="array" ref="G4908">VLOOKUP(E4908,Produtos!$A:$E,5,FALSE)</f>
        <v>6</v>
      </c>
      <c r="H4908" s="14">
        <f>VLOOKUP(E4908,Produtos!$A:$E,4,FALSE)</f>
        <v>2.5</v>
      </c>
      <c r="I4908" s="2">
        <v>3</v>
      </c>
    </row>
    <row r="4909" spans="1:9" x14ac:dyDescent="0.25">
      <c r="A4909" s="2" t="str">
        <f>CONCATENATE(Códigos!S4908,Códigos!T4908,Códigos!U4908)</f>
        <v>svv4907v</v>
      </c>
      <c r="B4909" t="s">
        <v>395</v>
      </c>
      <c r="C4909" t="s">
        <v>399</v>
      </c>
      <c r="D4909" s="2" t="s">
        <v>400</v>
      </c>
      <c r="E4909" t="s">
        <v>343</v>
      </c>
      <c r="F4909" s="11">
        <v>43785</v>
      </c>
      <c r="G4909" s="14">
        <f t="array" ref="G4909">VLOOKUP(E4909,Produtos!$A:$E,5,FALSE)</f>
        <v>6</v>
      </c>
      <c r="H4909" s="14">
        <f>VLOOKUP(E4909,Produtos!$A:$E,4,FALSE)</f>
        <v>2.5</v>
      </c>
      <c r="I4909" s="2">
        <v>3</v>
      </c>
    </row>
    <row r="4910" spans="1:9" x14ac:dyDescent="0.25">
      <c r="A4910" s="2" t="str">
        <f>CONCATENATE(Códigos!S4909,Códigos!T4909,Códigos!U4909)</f>
        <v>svv4908v</v>
      </c>
      <c r="B4910" t="s">
        <v>394</v>
      </c>
      <c r="C4910" t="s">
        <v>399</v>
      </c>
      <c r="D4910" s="2" t="s">
        <v>400</v>
      </c>
      <c r="E4910" t="s">
        <v>343</v>
      </c>
      <c r="F4910" s="11">
        <v>43786</v>
      </c>
      <c r="G4910" s="14">
        <f t="array" ref="G4910">VLOOKUP(E4910,Produtos!$A:$E,5,FALSE)</f>
        <v>6</v>
      </c>
      <c r="H4910" s="14">
        <f>VLOOKUP(E4910,Produtos!$A:$E,4,FALSE)</f>
        <v>2.5</v>
      </c>
      <c r="I4910" s="2">
        <v>3</v>
      </c>
    </row>
    <row r="4911" spans="1:9" x14ac:dyDescent="0.25">
      <c r="A4911" s="2" t="str">
        <f>CONCATENATE(Códigos!S4910,Códigos!T4910,Códigos!U4910)</f>
        <v>svv4909v</v>
      </c>
      <c r="B4911" t="s">
        <v>394</v>
      </c>
      <c r="C4911" t="s">
        <v>399</v>
      </c>
      <c r="D4911" s="2" t="s">
        <v>400</v>
      </c>
      <c r="E4911" t="s">
        <v>343</v>
      </c>
      <c r="F4911" s="11">
        <v>43787</v>
      </c>
      <c r="G4911" s="14">
        <f t="array" ref="G4911">VLOOKUP(E4911,Produtos!$A:$E,5,FALSE)</f>
        <v>6</v>
      </c>
      <c r="H4911" s="14">
        <f>VLOOKUP(E4911,Produtos!$A:$E,4,FALSE)</f>
        <v>2.5</v>
      </c>
      <c r="I4911" s="2">
        <v>3</v>
      </c>
    </row>
    <row r="4912" spans="1:9" x14ac:dyDescent="0.25">
      <c r="A4912" s="2" t="str">
        <f>CONCATENATE(Códigos!S4911,Códigos!T4911,Códigos!U4911)</f>
        <v>svv4910v</v>
      </c>
      <c r="B4912" t="s">
        <v>394</v>
      </c>
      <c r="C4912" t="s">
        <v>399</v>
      </c>
      <c r="D4912" s="2" t="s">
        <v>400</v>
      </c>
      <c r="E4912" t="s">
        <v>343</v>
      </c>
      <c r="F4912" s="11">
        <v>43788</v>
      </c>
      <c r="G4912" s="14">
        <f t="array" ref="G4912">VLOOKUP(E4912,Produtos!$A:$E,5,FALSE)</f>
        <v>6</v>
      </c>
      <c r="H4912" s="14">
        <f>VLOOKUP(E4912,Produtos!$A:$E,4,FALSE)</f>
        <v>2.5</v>
      </c>
      <c r="I4912" s="2">
        <v>3</v>
      </c>
    </row>
    <row r="4913" spans="1:9" x14ac:dyDescent="0.25">
      <c r="A4913" s="2" t="str">
        <f>CONCATENATE(Códigos!S4912,Códigos!T4912,Códigos!U4912)</f>
        <v>svv4911v</v>
      </c>
      <c r="B4913" t="s">
        <v>394</v>
      </c>
      <c r="C4913" t="s">
        <v>399</v>
      </c>
      <c r="D4913" s="2" t="s">
        <v>400</v>
      </c>
      <c r="E4913" t="s">
        <v>343</v>
      </c>
      <c r="F4913" s="11">
        <v>43789</v>
      </c>
      <c r="G4913" s="14">
        <f t="array" ref="G4913">VLOOKUP(E4913,Produtos!$A:$E,5,FALSE)</f>
        <v>6</v>
      </c>
      <c r="H4913" s="14">
        <f>VLOOKUP(E4913,Produtos!$A:$E,4,FALSE)</f>
        <v>2.5</v>
      </c>
      <c r="I4913" s="2">
        <v>3</v>
      </c>
    </row>
    <row r="4914" spans="1:9" x14ac:dyDescent="0.25">
      <c r="A4914" s="2" t="str">
        <f>CONCATENATE(Códigos!S4913,Códigos!T4913,Códigos!U4913)</f>
        <v>svv4912v</v>
      </c>
      <c r="B4914" t="s">
        <v>394</v>
      </c>
      <c r="C4914" t="s">
        <v>399</v>
      </c>
      <c r="D4914" s="2" t="s">
        <v>400</v>
      </c>
      <c r="E4914" t="s">
        <v>343</v>
      </c>
      <c r="F4914" s="11">
        <v>43790</v>
      </c>
      <c r="G4914" s="14">
        <f t="array" ref="G4914">VLOOKUP(E4914,Produtos!$A:$E,5,FALSE)</f>
        <v>6</v>
      </c>
      <c r="H4914" s="14">
        <f>VLOOKUP(E4914,Produtos!$A:$E,4,FALSE)</f>
        <v>2.5</v>
      </c>
      <c r="I4914" s="2">
        <v>3</v>
      </c>
    </row>
    <row r="4915" spans="1:9" x14ac:dyDescent="0.25">
      <c r="A4915" s="2" t="str">
        <f>CONCATENATE(Códigos!S4914,Códigos!T4914,Códigos!U4914)</f>
        <v>svv4913v</v>
      </c>
      <c r="B4915" t="s">
        <v>394</v>
      </c>
      <c r="C4915" t="s">
        <v>399</v>
      </c>
      <c r="D4915" s="2" t="s">
        <v>400</v>
      </c>
      <c r="E4915" t="s">
        <v>343</v>
      </c>
      <c r="F4915" s="11">
        <v>43791</v>
      </c>
      <c r="G4915" s="14">
        <f t="array" ref="G4915">VLOOKUP(E4915,Produtos!$A:$E,5,FALSE)</f>
        <v>6</v>
      </c>
      <c r="H4915" s="14">
        <f>VLOOKUP(E4915,Produtos!$A:$E,4,FALSE)</f>
        <v>2.5</v>
      </c>
      <c r="I4915" s="2">
        <v>3</v>
      </c>
    </row>
    <row r="4916" spans="1:9" x14ac:dyDescent="0.25">
      <c r="A4916" s="2" t="str">
        <f>CONCATENATE(Códigos!S4915,Códigos!T4915,Códigos!U4915)</f>
        <v>svv4914v</v>
      </c>
      <c r="B4916" t="s">
        <v>394</v>
      </c>
      <c r="C4916" t="s">
        <v>399</v>
      </c>
      <c r="D4916" s="2" t="s">
        <v>400</v>
      </c>
      <c r="E4916" t="s">
        <v>343</v>
      </c>
      <c r="F4916" s="11">
        <v>43792</v>
      </c>
      <c r="G4916" s="14">
        <f t="array" ref="G4916">VLOOKUP(E4916,Produtos!$A:$E,5,FALSE)</f>
        <v>6</v>
      </c>
      <c r="H4916" s="14">
        <f>VLOOKUP(E4916,Produtos!$A:$E,4,FALSE)</f>
        <v>2.5</v>
      </c>
      <c r="I4916" s="2">
        <v>3</v>
      </c>
    </row>
    <row r="4917" spans="1:9" x14ac:dyDescent="0.25">
      <c r="A4917" s="2" t="str">
        <f>CONCATENATE(Códigos!S4916,Códigos!T4916,Códigos!U4916)</f>
        <v>svv4915v</v>
      </c>
      <c r="B4917" t="s">
        <v>394</v>
      </c>
      <c r="C4917" t="s">
        <v>399</v>
      </c>
      <c r="D4917" s="2" t="s">
        <v>400</v>
      </c>
      <c r="E4917" t="s">
        <v>343</v>
      </c>
      <c r="F4917" s="11">
        <v>43793</v>
      </c>
      <c r="G4917" s="14">
        <f t="array" ref="G4917">VLOOKUP(E4917,Produtos!$A:$E,5,FALSE)</f>
        <v>6</v>
      </c>
      <c r="H4917" s="14">
        <f>VLOOKUP(E4917,Produtos!$A:$E,4,FALSE)</f>
        <v>2.5</v>
      </c>
      <c r="I4917" s="2">
        <v>3</v>
      </c>
    </row>
    <row r="4918" spans="1:9" x14ac:dyDescent="0.25">
      <c r="A4918" s="2" t="str">
        <f>CONCATENATE(Códigos!S4917,Códigos!T4917,Códigos!U4917)</f>
        <v>svv4916v</v>
      </c>
      <c r="B4918" t="s">
        <v>394</v>
      </c>
      <c r="C4918" t="s">
        <v>399</v>
      </c>
      <c r="D4918" s="2" t="s">
        <v>400</v>
      </c>
      <c r="E4918" t="s">
        <v>347</v>
      </c>
      <c r="F4918" s="11">
        <v>43794</v>
      </c>
      <c r="G4918" s="14">
        <f t="array" ref="G4918">VLOOKUP(E4918,Produtos!$A:$E,5,FALSE)</f>
        <v>3</v>
      </c>
      <c r="H4918" s="14">
        <f>VLOOKUP(E4918,Produtos!$A:$E,4,FALSE)</f>
        <v>1</v>
      </c>
      <c r="I4918" s="2">
        <v>3</v>
      </c>
    </row>
    <row r="4919" spans="1:9" x14ac:dyDescent="0.25">
      <c r="A4919" s="2" t="str">
        <f>CONCATENATE(Códigos!S4918,Códigos!T4918,Códigos!U4918)</f>
        <v>svv4917v</v>
      </c>
      <c r="B4919" t="s">
        <v>394</v>
      </c>
      <c r="C4919" t="s">
        <v>399</v>
      </c>
      <c r="D4919" s="2" t="s">
        <v>400</v>
      </c>
      <c r="E4919" t="s">
        <v>347</v>
      </c>
      <c r="F4919" s="11">
        <v>43795</v>
      </c>
      <c r="G4919" s="14">
        <f t="array" ref="G4919">VLOOKUP(E4919,Produtos!$A:$E,5,FALSE)</f>
        <v>3</v>
      </c>
      <c r="H4919" s="14">
        <f>VLOOKUP(E4919,Produtos!$A:$E,4,FALSE)</f>
        <v>1</v>
      </c>
      <c r="I4919" s="2">
        <v>3</v>
      </c>
    </row>
    <row r="4920" spans="1:9" x14ac:dyDescent="0.25">
      <c r="A4920" s="2" t="str">
        <f>CONCATENATE(Códigos!S4919,Códigos!T4919,Códigos!U4919)</f>
        <v>svv4918v</v>
      </c>
      <c r="B4920" t="s">
        <v>394</v>
      </c>
      <c r="C4920" t="s">
        <v>399</v>
      </c>
      <c r="D4920" s="2" t="s">
        <v>400</v>
      </c>
      <c r="E4920" t="s">
        <v>347</v>
      </c>
      <c r="F4920" s="11">
        <v>43796</v>
      </c>
      <c r="G4920" s="14">
        <f t="array" ref="G4920">VLOOKUP(E4920,Produtos!$A:$E,5,FALSE)</f>
        <v>3</v>
      </c>
      <c r="H4920" s="14">
        <f>VLOOKUP(E4920,Produtos!$A:$E,4,FALSE)</f>
        <v>1</v>
      </c>
      <c r="I4920" s="2">
        <v>3</v>
      </c>
    </row>
    <row r="4921" spans="1:9" x14ac:dyDescent="0.25">
      <c r="A4921" s="2" t="str">
        <f>CONCATENATE(Códigos!S4920,Códigos!T4920,Códigos!U4920)</f>
        <v>svv4919v</v>
      </c>
      <c r="B4921" t="s">
        <v>394</v>
      </c>
      <c r="C4921" t="s">
        <v>399</v>
      </c>
      <c r="D4921" s="2" t="s">
        <v>400</v>
      </c>
      <c r="E4921" t="s">
        <v>347</v>
      </c>
      <c r="F4921" s="11">
        <v>43797</v>
      </c>
      <c r="G4921" s="14">
        <f t="array" ref="G4921">VLOOKUP(E4921,Produtos!$A:$E,5,FALSE)</f>
        <v>3</v>
      </c>
      <c r="H4921" s="14">
        <f>VLOOKUP(E4921,Produtos!$A:$E,4,FALSE)</f>
        <v>1</v>
      </c>
      <c r="I4921" s="2">
        <v>3</v>
      </c>
    </row>
    <row r="4922" spans="1:9" x14ac:dyDescent="0.25">
      <c r="A4922" s="2" t="str">
        <f>CONCATENATE(Códigos!S4921,Códigos!T4921,Códigos!U4921)</f>
        <v>svv4920v</v>
      </c>
      <c r="B4922" t="s">
        <v>394</v>
      </c>
      <c r="C4922" t="s">
        <v>399</v>
      </c>
      <c r="D4922" s="2" t="s">
        <v>400</v>
      </c>
      <c r="E4922" t="s">
        <v>347</v>
      </c>
      <c r="F4922" s="11">
        <v>43798</v>
      </c>
      <c r="G4922" s="14">
        <f t="array" ref="G4922">VLOOKUP(E4922,Produtos!$A:$E,5,FALSE)</f>
        <v>3</v>
      </c>
      <c r="H4922" s="14">
        <f>VLOOKUP(E4922,Produtos!$A:$E,4,FALSE)</f>
        <v>1</v>
      </c>
      <c r="I4922" s="2">
        <v>3</v>
      </c>
    </row>
    <row r="4923" spans="1:9" x14ac:dyDescent="0.25">
      <c r="A4923" s="2" t="str">
        <f>CONCATENATE(Códigos!S4922,Códigos!T4922,Códigos!U4922)</f>
        <v>svv4921v</v>
      </c>
      <c r="B4923" t="s">
        <v>394</v>
      </c>
      <c r="C4923" t="s">
        <v>399</v>
      </c>
      <c r="D4923" s="2" t="s">
        <v>400</v>
      </c>
      <c r="E4923" t="s">
        <v>347</v>
      </c>
      <c r="F4923" s="11">
        <v>43799</v>
      </c>
      <c r="G4923" s="14">
        <f t="array" ref="G4923">VLOOKUP(E4923,Produtos!$A:$E,5,FALSE)</f>
        <v>3</v>
      </c>
      <c r="H4923" s="14">
        <f>VLOOKUP(E4923,Produtos!$A:$E,4,FALSE)</f>
        <v>1</v>
      </c>
      <c r="I4923" s="2">
        <v>3</v>
      </c>
    </row>
    <row r="4924" spans="1:9" x14ac:dyDescent="0.25">
      <c r="A4924" s="2" t="str">
        <f>CONCATENATE(Códigos!S4923,Códigos!T4923,Códigos!U4923)</f>
        <v>svv4922v</v>
      </c>
      <c r="B4924" t="s">
        <v>394</v>
      </c>
      <c r="C4924" t="s">
        <v>399</v>
      </c>
      <c r="D4924" s="2" t="s">
        <v>400</v>
      </c>
      <c r="E4924" t="s">
        <v>347</v>
      </c>
      <c r="F4924" s="11">
        <v>43800</v>
      </c>
      <c r="G4924" s="14">
        <f t="array" ref="G4924">VLOOKUP(E4924,Produtos!$A:$E,5,FALSE)</f>
        <v>3</v>
      </c>
      <c r="H4924" s="14">
        <f>VLOOKUP(E4924,Produtos!$A:$E,4,FALSE)</f>
        <v>1</v>
      </c>
      <c r="I4924" s="2">
        <v>3</v>
      </c>
    </row>
    <row r="4925" spans="1:9" x14ac:dyDescent="0.25">
      <c r="A4925" s="2" t="str">
        <f>CONCATENATE(Códigos!S4924,Códigos!T4924,Códigos!U4924)</f>
        <v>svv4923v</v>
      </c>
      <c r="B4925" t="s">
        <v>394</v>
      </c>
      <c r="C4925" t="s">
        <v>399</v>
      </c>
      <c r="D4925" s="2" t="s">
        <v>400</v>
      </c>
      <c r="E4925" t="s">
        <v>347</v>
      </c>
      <c r="F4925" s="11">
        <v>43801</v>
      </c>
      <c r="G4925" s="14">
        <f t="array" ref="G4925">VLOOKUP(E4925,Produtos!$A:$E,5,FALSE)</f>
        <v>3</v>
      </c>
      <c r="H4925" s="14">
        <f>VLOOKUP(E4925,Produtos!$A:$E,4,FALSE)</f>
        <v>1</v>
      </c>
      <c r="I4925" s="2">
        <v>3</v>
      </c>
    </row>
    <row r="4926" spans="1:9" x14ac:dyDescent="0.25">
      <c r="A4926" s="2" t="str">
        <f>CONCATENATE(Códigos!S4925,Códigos!T4925,Códigos!U4925)</f>
        <v>svv4924v</v>
      </c>
      <c r="B4926" t="s">
        <v>394</v>
      </c>
      <c r="C4926" t="s">
        <v>399</v>
      </c>
      <c r="D4926" s="2" t="s">
        <v>400</v>
      </c>
      <c r="E4926" t="s">
        <v>347</v>
      </c>
      <c r="F4926" s="11">
        <v>43802</v>
      </c>
      <c r="G4926" s="14">
        <f t="array" ref="G4926">VLOOKUP(E4926,Produtos!$A:$E,5,FALSE)</f>
        <v>3</v>
      </c>
      <c r="H4926" s="14">
        <f>VLOOKUP(E4926,Produtos!$A:$E,4,FALSE)</f>
        <v>1</v>
      </c>
      <c r="I4926" s="2">
        <v>3</v>
      </c>
    </row>
    <row r="4927" spans="1:9" x14ac:dyDescent="0.25">
      <c r="A4927" s="2" t="str">
        <f>CONCATENATE(Códigos!S4926,Códigos!T4926,Códigos!U4926)</f>
        <v>svv4925v</v>
      </c>
      <c r="B4927" t="s">
        <v>394</v>
      </c>
      <c r="C4927" t="s">
        <v>399</v>
      </c>
      <c r="D4927" s="2" t="s">
        <v>400</v>
      </c>
      <c r="E4927" t="s">
        <v>347</v>
      </c>
      <c r="F4927" s="11">
        <v>43803</v>
      </c>
      <c r="G4927" s="14">
        <f t="array" ref="G4927">VLOOKUP(E4927,Produtos!$A:$E,5,FALSE)</f>
        <v>3</v>
      </c>
      <c r="H4927" s="14">
        <f>VLOOKUP(E4927,Produtos!$A:$E,4,FALSE)</f>
        <v>1</v>
      </c>
      <c r="I4927" s="2">
        <v>3</v>
      </c>
    </row>
    <row r="4928" spans="1:9" x14ac:dyDescent="0.25">
      <c r="A4928" s="2" t="str">
        <f>CONCATENATE(Códigos!S4927,Códigos!T4927,Códigos!U4927)</f>
        <v>svv4926v</v>
      </c>
      <c r="B4928" t="s">
        <v>394</v>
      </c>
      <c r="C4928" t="s">
        <v>399</v>
      </c>
      <c r="D4928" s="2" t="s">
        <v>400</v>
      </c>
      <c r="E4928" t="s">
        <v>347</v>
      </c>
      <c r="F4928" s="11">
        <v>43804</v>
      </c>
      <c r="G4928" s="14">
        <f t="array" ref="G4928">VLOOKUP(E4928,Produtos!$A:$E,5,FALSE)</f>
        <v>3</v>
      </c>
      <c r="H4928" s="14">
        <f>VLOOKUP(E4928,Produtos!$A:$E,4,FALSE)</f>
        <v>1</v>
      </c>
      <c r="I4928" s="2">
        <v>3</v>
      </c>
    </row>
    <row r="4929" spans="1:9" x14ac:dyDescent="0.25">
      <c r="A4929" s="2" t="str">
        <f>CONCATENATE(Códigos!S4928,Códigos!T4928,Códigos!U4928)</f>
        <v>svv4927v</v>
      </c>
      <c r="B4929" t="s">
        <v>321</v>
      </c>
      <c r="C4929" t="s">
        <v>388</v>
      </c>
      <c r="D4929" s="2" t="s">
        <v>389</v>
      </c>
      <c r="E4929" t="s">
        <v>347</v>
      </c>
      <c r="F4929" s="11">
        <v>43805</v>
      </c>
      <c r="G4929" s="14">
        <f t="array" ref="G4929">VLOOKUP(E4929,Produtos!$A:$E,5,FALSE)</f>
        <v>3</v>
      </c>
      <c r="H4929" s="14">
        <f>VLOOKUP(E4929,Produtos!$A:$E,4,FALSE)</f>
        <v>1</v>
      </c>
      <c r="I4929" s="2">
        <v>3</v>
      </c>
    </row>
    <row r="4930" spans="1:9" x14ac:dyDescent="0.25">
      <c r="A4930" s="2" t="str">
        <f>CONCATENATE(Códigos!S4929,Códigos!T4929,Códigos!U4929)</f>
        <v>svv4928v</v>
      </c>
      <c r="B4930" t="s">
        <v>321</v>
      </c>
      <c r="C4930" t="s">
        <v>388</v>
      </c>
      <c r="D4930" s="2" t="s">
        <v>389</v>
      </c>
      <c r="E4930" t="s">
        <v>347</v>
      </c>
      <c r="F4930" s="11">
        <v>43806</v>
      </c>
      <c r="G4930" s="14">
        <f t="array" ref="G4930">VLOOKUP(E4930,Produtos!$A:$E,5,FALSE)</f>
        <v>3</v>
      </c>
      <c r="H4930" s="14">
        <f>VLOOKUP(E4930,Produtos!$A:$E,4,FALSE)</f>
        <v>1</v>
      </c>
      <c r="I4930" s="2">
        <v>3</v>
      </c>
    </row>
    <row r="4931" spans="1:9" x14ac:dyDescent="0.25">
      <c r="A4931" s="2" t="str">
        <f>CONCATENATE(Códigos!S4930,Códigos!T4930,Códigos!U4930)</f>
        <v>svv4929v</v>
      </c>
      <c r="B4931" t="s">
        <v>321</v>
      </c>
      <c r="C4931" t="s">
        <v>388</v>
      </c>
      <c r="D4931" s="2" t="s">
        <v>389</v>
      </c>
      <c r="E4931" t="s">
        <v>347</v>
      </c>
      <c r="F4931" s="11">
        <v>43807</v>
      </c>
      <c r="G4931" s="14">
        <f t="array" ref="G4931">VLOOKUP(E4931,Produtos!$A:$E,5,FALSE)</f>
        <v>3</v>
      </c>
      <c r="H4931" s="14">
        <f>VLOOKUP(E4931,Produtos!$A:$E,4,FALSE)</f>
        <v>1</v>
      </c>
      <c r="I4931" s="2">
        <v>3</v>
      </c>
    </row>
    <row r="4932" spans="1:9" x14ac:dyDescent="0.25">
      <c r="A4932" s="2" t="str">
        <f>CONCATENATE(Códigos!S4931,Códigos!T4931,Códigos!U4931)</f>
        <v>svv4930v</v>
      </c>
      <c r="B4932" t="s">
        <v>321</v>
      </c>
      <c r="C4932" t="s">
        <v>388</v>
      </c>
      <c r="D4932" s="2" t="s">
        <v>389</v>
      </c>
      <c r="E4932" t="s">
        <v>347</v>
      </c>
      <c r="F4932" s="11">
        <v>43808</v>
      </c>
      <c r="G4932" s="14">
        <f t="array" ref="G4932">VLOOKUP(E4932,Produtos!$A:$E,5,FALSE)</f>
        <v>3</v>
      </c>
      <c r="H4932" s="14">
        <f>VLOOKUP(E4932,Produtos!$A:$E,4,FALSE)</f>
        <v>1</v>
      </c>
      <c r="I4932" s="2">
        <v>3</v>
      </c>
    </row>
    <row r="4933" spans="1:9" x14ac:dyDescent="0.25">
      <c r="A4933" s="2" t="str">
        <f>CONCATENATE(Códigos!S4932,Códigos!T4932,Códigos!U4932)</f>
        <v>svv4931v</v>
      </c>
      <c r="B4933" t="s">
        <v>321</v>
      </c>
      <c r="C4933" t="s">
        <v>388</v>
      </c>
      <c r="D4933" s="2" t="s">
        <v>389</v>
      </c>
      <c r="E4933" t="s">
        <v>347</v>
      </c>
      <c r="F4933" s="11">
        <v>43809</v>
      </c>
      <c r="G4933" s="14">
        <f t="array" ref="G4933">VLOOKUP(E4933,Produtos!$A:$E,5,FALSE)</f>
        <v>3</v>
      </c>
      <c r="H4933" s="14">
        <f>VLOOKUP(E4933,Produtos!$A:$E,4,FALSE)</f>
        <v>1</v>
      </c>
      <c r="I4933" s="2">
        <v>3</v>
      </c>
    </row>
    <row r="4934" spans="1:9" x14ac:dyDescent="0.25">
      <c r="A4934" s="2" t="str">
        <f>CONCATENATE(Códigos!S4933,Códigos!T4933,Códigos!U4933)</f>
        <v>svv4932v</v>
      </c>
      <c r="B4934" t="s">
        <v>321</v>
      </c>
      <c r="C4934" t="s">
        <v>388</v>
      </c>
      <c r="D4934" s="2" t="s">
        <v>389</v>
      </c>
      <c r="E4934" t="s">
        <v>347</v>
      </c>
      <c r="F4934" s="11">
        <v>43810</v>
      </c>
      <c r="G4934" s="14">
        <f t="array" ref="G4934">VLOOKUP(E4934,Produtos!$A:$E,5,FALSE)</f>
        <v>3</v>
      </c>
      <c r="H4934" s="14">
        <f>VLOOKUP(E4934,Produtos!$A:$E,4,FALSE)</f>
        <v>1</v>
      </c>
      <c r="I4934" s="2">
        <v>3</v>
      </c>
    </row>
    <row r="4935" spans="1:9" x14ac:dyDescent="0.25">
      <c r="A4935" s="2" t="str">
        <f>CONCATENATE(Códigos!S4934,Códigos!T4934,Códigos!U4934)</f>
        <v>svv4933v</v>
      </c>
      <c r="B4935" t="s">
        <v>321</v>
      </c>
      <c r="C4935" t="s">
        <v>388</v>
      </c>
      <c r="D4935" s="2" t="s">
        <v>389</v>
      </c>
      <c r="E4935" t="s">
        <v>347</v>
      </c>
      <c r="F4935" s="11">
        <v>43811</v>
      </c>
      <c r="G4935" s="14">
        <f t="array" ref="G4935">VLOOKUP(E4935,Produtos!$A:$E,5,FALSE)</f>
        <v>3</v>
      </c>
      <c r="H4935" s="14">
        <f>VLOOKUP(E4935,Produtos!$A:$E,4,FALSE)</f>
        <v>1</v>
      </c>
      <c r="I4935" s="2">
        <v>3</v>
      </c>
    </row>
    <row r="4936" spans="1:9" x14ac:dyDescent="0.25">
      <c r="A4936" s="2" t="str">
        <f>CONCATENATE(Códigos!S4935,Códigos!T4935,Códigos!U4935)</f>
        <v>svv4934v</v>
      </c>
      <c r="B4936" t="s">
        <v>321</v>
      </c>
      <c r="C4936" t="s">
        <v>388</v>
      </c>
      <c r="D4936" s="2" t="s">
        <v>389</v>
      </c>
      <c r="E4936" t="s">
        <v>347</v>
      </c>
      <c r="F4936" s="11">
        <v>43812</v>
      </c>
      <c r="G4936" s="14">
        <f t="array" ref="G4936">VLOOKUP(E4936,Produtos!$A:$E,5,FALSE)</f>
        <v>3</v>
      </c>
      <c r="H4936" s="14">
        <f>VLOOKUP(E4936,Produtos!$A:$E,4,FALSE)</f>
        <v>1</v>
      </c>
      <c r="I4936" s="2">
        <v>3</v>
      </c>
    </row>
    <row r="4937" spans="1:9" x14ac:dyDescent="0.25">
      <c r="A4937" s="2" t="str">
        <f>CONCATENATE(Códigos!S4936,Códigos!T4936,Códigos!U4936)</f>
        <v>svv4935v</v>
      </c>
      <c r="B4937" t="s">
        <v>321</v>
      </c>
      <c r="C4937" t="s">
        <v>388</v>
      </c>
      <c r="D4937" s="2" t="s">
        <v>389</v>
      </c>
      <c r="E4937" t="s">
        <v>347</v>
      </c>
      <c r="F4937" s="11">
        <v>43813</v>
      </c>
      <c r="G4937" s="14">
        <f t="array" ref="G4937">VLOOKUP(E4937,Produtos!$A:$E,5,FALSE)</f>
        <v>3</v>
      </c>
      <c r="H4937" s="14">
        <f>VLOOKUP(E4937,Produtos!$A:$E,4,FALSE)</f>
        <v>1</v>
      </c>
      <c r="I4937" s="2">
        <v>3</v>
      </c>
    </row>
    <row r="4938" spans="1:9" x14ac:dyDescent="0.25">
      <c r="A4938" s="2" t="str">
        <f>CONCATENATE(Códigos!S4937,Códigos!T4937,Códigos!U4937)</f>
        <v>svv4936v</v>
      </c>
      <c r="B4938" t="s">
        <v>321</v>
      </c>
      <c r="C4938" t="s">
        <v>397</v>
      </c>
      <c r="D4938" s="2" t="s">
        <v>398</v>
      </c>
      <c r="E4938" t="s">
        <v>347</v>
      </c>
      <c r="F4938" s="11">
        <v>43814</v>
      </c>
      <c r="G4938" s="14">
        <f t="array" ref="G4938">VLOOKUP(E4938,Produtos!$A:$E,5,FALSE)</f>
        <v>3</v>
      </c>
      <c r="H4938" s="14">
        <f>VLOOKUP(E4938,Produtos!$A:$E,4,FALSE)</f>
        <v>1</v>
      </c>
      <c r="I4938" s="2">
        <v>3</v>
      </c>
    </row>
    <row r="4939" spans="1:9" x14ac:dyDescent="0.25">
      <c r="A4939" s="2" t="str">
        <f>CONCATENATE(Códigos!S4938,Códigos!T4938,Códigos!U4938)</f>
        <v>svv4937v</v>
      </c>
      <c r="B4939" t="s">
        <v>321</v>
      </c>
      <c r="C4939" t="s">
        <v>397</v>
      </c>
      <c r="D4939" s="2" t="s">
        <v>398</v>
      </c>
      <c r="E4939" t="s">
        <v>347</v>
      </c>
      <c r="F4939" s="11">
        <v>43815</v>
      </c>
      <c r="G4939" s="14">
        <f t="array" ref="G4939">VLOOKUP(E4939,Produtos!$A:$E,5,FALSE)</f>
        <v>3</v>
      </c>
      <c r="H4939" s="14">
        <f>VLOOKUP(E4939,Produtos!$A:$E,4,FALSE)</f>
        <v>1</v>
      </c>
      <c r="I4939" s="2">
        <v>3</v>
      </c>
    </row>
    <row r="4940" spans="1:9" x14ac:dyDescent="0.25">
      <c r="A4940" s="2" t="str">
        <f>CONCATENATE(Códigos!S4939,Códigos!T4939,Códigos!U4939)</f>
        <v>svv4938v</v>
      </c>
      <c r="B4940" t="s">
        <v>321</v>
      </c>
      <c r="C4940" t="s">
        <v>397</v>
      </c>
      <c r="D4940" s="2" t="s">
        <v>398</v>
      </c>
      <c r="E4940" t="s">
        <v>347</v>
      </c>
      <c r="F4940" s="11">
        <v>43816</v>
      </c>
      <c r="G4940" s="14">
        <f t="array" ref="G4940">VLOOKUP(E4940,Produtos!$A:$E,5,FALSE)</f>
        <v>3</v>
      </c>
      <c r="H4940" s="14">
        <f>VLOOKUP(E4940,Produtos!$A:$E,4,FALSE)</f>
        <v>1</v>
      </c>
      <c r="I4940" s="2">
        <v>3</v>
      </c>
    </row>
    <row r="4941" spans="1:9" x14ac:dyDescent="0.25">
      <c r="A4941" s="2" t="str">
        <f>CONCATENATE(Códigos!S4940,Códigos!T4940,Códigos!U4940)</f>
        <v>svv4939v</v>
      </c>
      <c r="B4941" t="s">
        <v>321</v>
      </c>
      <c r="C4941" t="s">
        <v>397</v>
      </c>
      <c r="D4941" s="2" t="s">
        <v>398</v>
      </c>
      <c r="E4941" t="s">
        <v>347</v>
      </c>
      <c r="F4941" s="11">
        <v>43817</v>
      </c>
      <c r="G4941" s="14">
        <f t="array" ref="G4941">VLOOKUP(E4941,Produtos!$A:$E,5,FALSE)</f>
        <v>3</v>
      </c>
      <c r="H4941" s="14">
        <f>VLOOKUP(E4941,Produtos!$A:$E,4,FALSE)</f>
        <v>1</v>
      </c>
      <c r="I4941" s="2">
        <v>3</v>
      </c>
    </row>
    <row r="4942" spans="1:9" x14ac:dyDescent="0.25">
      <c r="A4942" s="2" t="str">
        <f>CONCATENATE(Códigos!S4941,Códigos!T4941,Códigos!U4941)</f>
        <v>svv4940v</v>
      </c>
      <c r="B4942" t="s">
        <v>321</v>
      </c>
      <c r="C4942" t="s">
        <v>362</v>
      </c>
      <c r="D4942" s="2" t="s">
        <v>363</v>
      </c>
      <c r="E4942" t="s">
        <v>347</v>
      </c>
      <c r="F4942" s="11">
        <v>43818</v>
      </c>
      <c r="G4942" s="14">
        <f t="array" ref="G4942">VLOOKUP(E4942,Produtos!$A:$E,5,FALSE)</f>
        <v>3</v>
      </c>
      <c r="H4942" s="14">
        <f>VLOOKUP(E4942,Produtos!$A:$E,4,FALSE)</f>
        <v>1</v>
      </c>
      <c r="I4942" s="2">
        <v>3</v>
      </c>
    </row>
    <row r="4943" spans="1:9" x14ac:dyDescent="0.25">
      <c r="A4943" s="2" t="str">
        <f>CONCATENATE(Códigos!S4942,Códigos!T4942,Códigos!U4942)</f>
        <v>svv4941v</v>
      </c>
      <c r="B4943" t="s">
        <v>321</v>
      </c>
      <c r="C4943" t="s">
        <v>362</v>
      </c>
      <c r="D4943" s="2" t="s">
        <v>363</v>
      </c>
      <c r="E4943" t="s">
        <v>347</v>
      </c>
      <c r="F4943" s="11">
        <v>43819</v>
      </c>
      <c r="G4943" s="14">
        <f t="array" ref="G4943">VLOOKUP(E4943,Produtos!$A:$E,5,FALSE)</f>
        <v>3</v>
      </c>
      <c r="H4943" s="14">
        <f>VLOOKUP(E4943,Produtos!$A:$E,4,FALSE)</f>
        <v>1</v>
      </c>
      <c r="I4943" s="2">
        <v>3</v>
      </c>
    </row>
    <row r="4944" spans="1:9" x14ac:dyDescent="0.25">
      <c r="A4944" s="2" t="str">
        <f>CONCATENATE(Códigos!S4943,Códigos!T4943,Códigos!U4943)</f>
        <v>svv4942v</v>
      </c>
      <c r="B4944" t="s">
        <v>321</v>
      </c>
      <c r="C4944" t="s">
        <v>362</v>
      </c>
      <c r="D4944" s="2" t="s">
        <v>363</v>
      </c>
      <c r="E4944" t="s">
        <v>347</v>
      </c>
      <c r="F4944" s="11">
        <v>43820</v>
      </c>
      <c r="G4944" s="14">
        <f t="array" ref="G4944">VLOOKUP(E4944,Produtos!$A:$E,5,FALSE)</f>
        <v>3</v>
      </c>
      <c r="H4944" s="14">
        <f>VLOOKUP(E4944,Produtos!$A:$E,4,FALSE)</f>
        <v>1</v>
      </c>
      <c r="I4944" s="2">
        <v>3</v>
      </c>
    </row>
    <row r="4945" spans="1:9" x14ac:dyDescent="0.25">
      <c r="A4945" s="2" t="str">
        <f>CONCATENATE(Códigos!S4944,Códigos!T4944,Códigos!U4944)</f>
        <v>svv4943v</v>
      </c>
      <c r="B4945" t="s">
        <v>321</v>
      </c>
      <c r="C4945" t="s">
        <v>362</v>
      </c>
      <c r="D4945" s="2" t="s">
        <v>363</v>
      </c>
      <c r="E4945" t="s">
        <v>347</v>
      </c>
      <c r="F4945" s="11">
        <v>43821</v>
      </c>
      <c r="G4945" s="14">
        <f t="array" ref="G4945">VLOOKUP(E4945,Produtos!$A:$E,5,FALSE)</f>
        <v>3</v>
      </c>
      <c r="H4945" s="14">
        <f>VLOOKUP(E4945,Produtos!$A:$E,4,FALSE)</f>
        <v>1</v>
      </c>
      <c r="I4945" s="2">
        <v>3</v>
      </c>
    </row>
    <row r="4946" spans="1:9" x14ac:dyDescent="0.25">
      <c r="A4946" s="2" t="str">
        <f>CONCATENATE(Códigos!S4945,Códigos!T4945,Códigos!U4945)</f>
        <v>svv4944v</v>
      </c>
      <c r="B4946" t="s">
        <v>321</v>
      </c>
      <c r="C4946" t="s">
        <v>362</v>
      </c>
      <c r="D4946" s="2" t="s">
        <v>363</v>
      </c>
      <c r="E4946" t="s">
        <v>347</v>
      </c>
      <c r="F4946" s="11">
        <v>43822</v>
      </c>
      <c r="G4946" s="14">
        <f t="array" ref="G4946">VLOOKUP(E4946,Produtos!$A:$E,5,FALSE)</f>
        <v>3</v>
      </c>
      <c r="H4946" s="14">
        <f>VLOOKUP(E4946,Produtos!$A:$E,4,FALSE)</f>
        <v>1</v>
      </c>
      <c r="I4946" s="2">
        <v>3</v>
      </c>
    </row>
    <row r="4947" spans="1:9" x14ac:dyDescent="0.25">
      <c r="A4947" s="2" t="str">
        <f>CONCATENATE(Códigos!S4946,Códigos!T4946,Códigos!U4946)</f>
        <v>svv4945v</v>
      </c>
      <c r="B4947" t="s">
        <v>321</v>
      </c>
      <c r="C4947" t="s">
        <v>362</v>
      </c>
      <c r="D4947" s="2" t="s">
        <v>363</v>
      </c>
      <c r="E4947" t="s">
        <v>347</v>
      </c>
      <c r="F4947" s="11">
        <v>43823</v>
      </c>
      <c r="G4947" s="14">
        <f t="array" ref="G4947">VLOOKUP(E4947,Produtos!$A:$E,5,FALSE)</f>
        <v>3</v>
      </c>
      <c r="H4947" s="14">
        <f>VLOOKUP(E4947,Produtos!$A:$E,4,FALSE)</f>
        <v>1</v>
      </c>
      <c r="I4947" s="2">
        <v>3</v>
      </c>
    </row>
    <row r="4948" spans="1:9" x14ac:dyDescent="0.25">
      <c r="A4948" s="2" t="str">
        <f>CONCATENATE(Códigos!S4947,Códigos!T4947,Códigos!U4947)</f>
        <v>svv4946v</v>
      </c>
      <c r="B4948" t="s">
        <v>321</v>
      </c>
      <c r="C4948" t="s">
        <v>362</v>
      </c>
      <c r="D4948" s="2" t="s">
        <v>363</v>
      </c>
      <c r="E4948" t="s">
        <v>347</v>
      </c>
      <c r="F4948" s="11">
        <v>43824</v>
      </c>
      <c r="G4948" s="14">
        <f t="array" ref="G4948">VLOOKUP(E4948,Produtos!$A:$E,5,FALSE)</f>
        <v>3</v>
      </c>
      <c r="H4948" s="14">
        <f>VLOOKUP(E4948,Produtos!$A:$E,4,FALSE)</f>
        <v>1</v>
      </c>
      <c r="I4948" s="2">
        <v>3</v>
      </c>
    </row>
    <row r="4949" spans="1:9" x14ac:dyDescent="0.25">
      <c r="A4949" s="2" t="str">
        <f>CONCATENATE(Códigos!S4948,Códigos!T4948,Códigos!U4948)</f>
        <v>svv4947v</v>
      </c>
      <c r="B4949" t="s">
        <v>321</v>
      </c>
      <c r="C4949" t="s">
        <v>362</v>
      </c>
      <c r="D4949" s="2" t="s">
        <v>363</v>
      </c>
      <c r="E4949" t="s">
        <v>347</v>
      </c>
      <c r="F4949" s="11">
        <v>43825</v>
      </c>
      <c r="G4949" s="14">
        <f t="array" ref="G4949">VLOOKUP(E4949,Produtos!$A:$E,5,FALSE)</f>
        <v>3</v>
      </c>
      <c r="H4949" s="14">
        <f>VLOOKUP(E4949,Produtos!$A:$E,4,FALSE)</f>
        <v>1</v>
      </c>
      <c r="I4949" s="2">
        <v>3</v>
      </c>
    </row>
    <row r="4950" spans="1:9" x14ac:dyDescent="0.25">
      <c r="A4950" s="2" t="str">
        <f>CONCATENATE(Códigos!S4949,Códigos!T4949,Códigos!U4949)</f>
        <v>svv4948v</v>
      </c>
      <c r="B4950" t="s">
        <v>321</v>
      </c>
      <c r="C4950" t="s">
        <v>362</v>
      </c>
      <c r="D4950" s="2" t="s">
        <v>363</v>
      </c>
      <c r="E4950" t="s">
        <v>319</v>
      </c>
      <c r="F4950" s="11">
        <v>43826</v>
      </c>
      <c r="G4950" s="14">
        <f t="array" ref="G4950">VLOOKUP(E4950,Produtos!$A:$E,5,FALSE)</f>
        <v>20</v>
      </c>
      <c r="H4950" s="14">
        <f>VLOOKUP(E4950,Produtos!$A:$E,4,FALSE)</f>
        <v>10</v>
      </c>
      <c r="I4950" s="2">
        <v>3</v>
      </c>
    </row>
    <row r="4951" spans="1:9" x14ac:dyDescent="0.25">
      <c r="A4951" s="2" t="str">
        <f>CONCATENATE(Códigos!S4950,Códigos!T4950,Códigos!U4950)</f>
        <v>svv4949v</v>
      </c>
      <c r="B4951" t="s">
        <v>321</v>
      </c>
      <c r="C4951" t="s">
        <v>362</v>
      </c>
      <c r="D4951" s="2" t="s">
        <v>363</v>
      </c>
      <c r="E4951" t="s">
        <v>319</v>
      </c>
      <c r="F4951" s="11">
        <v>43827</v>
      </c>
      <c r="G4951" s="14">
        <f t="array" ref="G4951">VLOOKUP(E4951,Produtos!$A:$E,5,FALSE)</f>
        <v>20</v>
      </c>
      <c r="H4951" s="14">
        <f>VLOOKUP(E4951,Produtos!$A:$E,4,FALSE)</f>
        <v>10</v>
      </c>
      <c r="I4951" s="2">
        <v>3</v>
      </c>
    </row>
    <row r="4952" spans="1:9" x14ac:dyDescent="0.25">
      <c r="A4952" s="2" t="str">
        <f>CONCATENATE(Códigos!S4951,Códigos!T4951,Códigos!U4951)</f>
        <v>svv4950v</v>
      </c>
      <c r="B4952" t="s">
        <v>321</v>
      </c>
      <c r="C4952" t="s">
        <v>362</v>
      </c>
      <c r="D4952" s="2" t="s">
        <v>363</v>
      </c>
      <c r="E4952" t="s">
        <v>319</v>
      </c>
      <c r="F4952" s="11">
        <v>43828</v>
      </c>
      <c r="G4952" s="14">
        <f t="array" ref="G4952">VLOOKUP(E4952,Produtos!$A:$E,5,FALSE)</f>
        <v>20</v>
      </c>
      <c r="H4952" s="14">
        <f>VLOOKUP(E4952,Produtos!$A:$E,4,FALSE)</f>
        <v>10</v>
      </c>
      <c r="I4952" s="2">
        <v>3</v>
      </c>
    </row>
    <row r="4953" spans="1:9" x14ac:dyDescent="0.25">
      <c r="A4953" s="2" t="str">
        <f>CONCATENATE(Códigos!S4952,Códigos!T4952,Códigos!U4952)</f>
        <v>svv4951v</v>
      </c>
      <c r="B4953" t="s">
        <v>321</v>
      </c>
      <c r="C4953" t="s">
        <v>362</v>
      </c>
      <c r="D4953" s="2" t="s">
        <v>363</v>
      </c>
      <c r="E4953" t="s">
        <v>319</v>
      </c>
      <c r="F4953" s="11">
        <v>43829</v>
      </c>
      <c r="G4953" s="14">
        <f t="array" ref="G4953">VLOOKUP(E4953,Produtos!$A:$E,5,FALSE)</f>
        <v>20</v>
      </c>
      <c r="H4953" s="14">
        <f>VLOOKUP(E4953,Produtos!$A:$E,4,FALSE)</f>
        <v>10</v>
      </c>
      <c r="I4953" s="2">
        <v>3</v>
      </c>
    </row>
    <row r="4954" spans="1:9" x14ac:dyDescent="0.25">
      <c r="A4954" s="2" t="str">
        <f>CONCATENATE(Códigos!S4953,Códigos!T4953,Códigos!U4953)</f>
        <v>svv4952v</v>
      </c>
      <c r="B4954" t="s">
        <v>321</v>
      </c>
      <c r="C4954" t="s">
        <v>362</v>
      </c>
      <c r="D4954" s="2" t="s">
        <v>363</v>
      </c>
      <c r="E4954" t="s">
        <v>319</v>
      </c>
      <c r="F4954" s="11">
        <v>43830</v>
      </c>
      <c r="G4954" s="14">
        <f t="array" ref="G4954">VLOOKUP(E4954,Produtos!$A:$E,5,FALSE)</f>
        <v>20</v>
      </c>
      <c r="H4954" s="14">
        <f>VLOOKUP(E4954,Produtos!$A:$E,4,FALSE)</f>
        <v>10</v>
      </c>
      <c r="I4954" s="2">
        <v>3</v>
      </c>
    </row>
    <row r="4955" spans="1:9" x14ac:dyDescent="0.25">
      <c r="A4955" s="2" t="str">
        <f>CONCATENATE(Códigos!S4954,Códigos!T4954,Códigos!U4954)</f>
        <v>svv4953v</v>
      </c>
      <c r="B4955" t="s">
        <v>321</v>
      </c>
      <c r="C4955" t="s">
        <v>362</v>
      </c>
      <c r="D4955" s="2" t="s">
        <v>363</v>
      </c>
      <c r="E4955" t="s">
        <v>319</v>
      </c>
      <c r="F4955" s="11">
        <v>43831</v>
      </c>
      <c r="G4955" s="14">
        <f t="array" ref="G4955">VLOOKUP(E4955,Produtos!$A:$E,5,FALSE)</f>
        <v>20</v>
      </c>
      <c r="H4955" s="14">
        <f>VLOOKUP(E4955,Produtos!$A:$E,4,FALSE)</f>
        <v>10</v>
      </c>
      <c r="I4955" s="2">
        <v>3</v>
      </c>
    </row>
    <row r="4956" spans="1:9" x14ac:dyDescent="0.25">
      <c r="A4956" s="2" t="str">
        <f>CONCATENATE(Códigos!S4955,Códigos!T4955,Códigos!U4955)</f>
        <v>svv4954v</v>
      </c>
      <c r="B4956" t="s">
        <v>321</v>
      </c>
      <c r="C4956" t="s">
        <v>388</v>
      </c>
      <c r="D4956" s="2" t="s">
        <v>389</v>
      </c>
      <c r="E4956" t="s">
        <v>319</v>
      </c>
      <c r="F4956" s="11">
        <v>43832</v>
      </c>
      <c r="G4956" s="14">
        <f t="array" ref="G4956">VLOOKUP(E4956,Produtos!$A:$E,5,FALSE)</f>
        <v>20</v>
      </c>
      <c r="H4956" s="14">
        <f>VLOOKUP(E4956,Produtos!$A:$E,4,FALSE)</f>
        <v>10</v>
      </c>
      <c r="I4956" s="2">
        <v>3</v>
      </c>
    </row>
    <row r="4957" spans="1:9" x14ac:dyDescent="0.25">
      <c r="A4957" s="2" t="str">
        <f>CONCATENATE(Códigos!S4956,Códigos!T4956,Códigos!U4956)</f>
        <v>svv4955v</v>
      </c>
      <c r="B4957" t="s">
        <v>321</v>
      </c>
      <c r="C4957" t="s">
        <v>388</v>
      </c>
      <c r="D4957" s="2" t="s">
        <v>389</v>
      </c>
      <c r="E4957" t="s">
        <v>319</v>
      </c>
      <c r="F4957" s="11">
        <v>43833</v>
      </c>
      <c r="G4957" s="14">
        <f t="array" ref="G4957">VLOOKUP(E4957,Produtos!$A:$E,5,FALSE)</f>
        <v>20</v>
      </c>
      <c r="H4957" s="14">
        <f>VLOOKUP(E4957,Produtos!$A:$E,4,FALSE)</f>
        <v>10</v>
      </c>
      <c r="I4957" s="2">
        <v>3</v>
      </c>
    </row>
    <row r="4958" spans="1:9" x14ac:dyDescent="0.25">
      <c r="A4958" s="2" t="str">
        <f>CONCATENATE(Códigos!S4957,Códigos!T4957,Códigos!U4957)</f>
        <v>svv4956v</v>
      </c>
      <c r="B4958" t="s">
        <v>321</v>
      </c>
      <c r="C4958" t="s">
        <v>388</v>
      </c>
      <c r="D4958" s="2" t="s">
        <v>389</v>
      </c>
      <c r="E4958" t="s">
        <v>319</v>
      </c>
      <c r="F4958" s="11">
        <v>43834</v>
      </c>
      <c r="G4958" s="14">
        <f t="array" ref="G4958">VLOOKUP(E4958,Produtos!$A:$E,5,FALSE)</f>
        <v>20</v>
      </c>
      <c r="H4958" s="14">
        <f>VLOOKUP(E4958,Produtos!$A:$E,4,FALSE)</f>
        <v>10</v>
      </c>
      <c r="I4958" s="2">
        <v>3</v>
      </c>
    </row>
    <row r="4959" spans="1:9" x14ac:dyDescent="0.25">
      <c r="A4959" s="2" t="str">
        <f>CONCATENATE(Códigos!S4958,Códigos!T4958,Códigos!U4958)</f>
        <v>svv4957v</v>
      </c>
      <c r="B4959" t="s">
        <v>321</v>
      </c>
      <c r="C4959" t="s">
        <v>388</v>
      </c>
      <c r="D4959" s="2" t="s">
        <v>389</v>
      </c>
      <c r="E4959" t="s">
        <v>393</v>
      </c>
      <c r="F4959" s="11">
        <v>43835</v>
      </c>
      <c r="G4959" s="14">
        <f t="array" ref="G4959">VLOOKUP(E4959,Produtos!$A:$E,5,FALSE)</f>
        <v>60</v>
      </c>
      <c r="H4959" s="14">
        <f>VLOOKUP(E4959,Produtos!$A:$E,4,FALSE)</f>
        <v>30</v>
      </c>
      <c r="I4959" s="2">
        <v>3</v>
      </c>
    </row>
    <row r="4960" spans="1:9" x14ac:dyDescent="0.25">
      <c r="A4960" s="2" t="str">
        <f>CONCATENATE(Códigos!S4959,Códigos!T4959,Códigos!U4959)</f>
        <v>svv4958v</v>
      </c>
      <c r="B4960" t="s">
        <v>321</v>
      </c>
      <c r="C4960" t="s">
        <v>388</v>
      </c>
      <c r="D4960" s="2" t="s">
        <v>389</v>
      </c>
      <c r="E4960" t="s">
        <v>393</v>
      </c>
      <c r="F4960" s="11">
        <v>43836</v>
      </c>
      <c r="G4960" s="14">
        <f t="array" ref="G4960">VLOOKUP(E4960,Produtos!$A:$E,5,FALSE)</f>
        <v>60</v>
      </c>
      <c r="H4960" s="14">
        <f>VLOOKUP(E4960,Produtos!$A:$E,4,FALSE)</f>
        <v>30</v>
      </c>
      <c r="I4960" s="2">
        <v>3</v>
      </c>
    </row>
    <row r="4961" spans="1:9" x14ac:dyDescent="0.25">
      <c r="A4961" s="2" t="str">
        <f>CONCATENATE(Códigos!S4960,Códigos!T4960,Códigos!U4960)</f>
        <v>svv4959v</v>
      </c>
      <c r="B4961" t="s">
        <v>321</v>
      </c>
      <c r="C4961" t="s">
        <v>388</v>
      </c>
      <c r="D4961" s="2" t="s">
        <v>389</v>
      </c>
      <c r="E4961" t="s">
        <v>393</v>
      </c>
      <c r="F4961" s="11">
        <v>43837</v>
      </c>
      <c r="G4961" s="14">
        <f t="array" ref="G4961">VLOOKUP(E4961,Produtos!$A:$E,5,FALSE)</f>
        <v>60</v>
      </c>
      <c r="H4961" s="14">
        <f>VLOOKUP(E4961,Produtos!$A:$E,4,FALSE)</f>
        <v>30</v>
      </c>
      <c r="I4961" s="2">
        <v>3</v>
      </c>
    </row>
    <row r="4962" spans="1:9" x14ac:dyDescent="0.25">
      <c r="A4962" s="2" t="str">
        <f>CONCATENATE(Códigos!S4961,Códigos!T4961,Códigos!U4961)</f>
        <v>svv4960v</v>
      </c>
      <c r="B4962" t="s">
        <v>321</v>
      </c>
      <c r="C4962" t="s">
        <v>388</v>
      </c>
      <c r="D4962" s="2" t="s">
        <v>389</v>
      </c>
      <c r="E4962" t="s">
        <v>393</v>
      </c>
      <c r="F4962" s="11">
        <v>43838</v>
      </c>
      <c r="G4962" s="14">
        <f t="array" ref="G4962">VLOOKUP(E4962,Produtos!$A:$E,5,FALSE)</f>
        <v>60</v>
      </c>
      <c r="H4962" s="14">
        <f>VLOOKUP(E4962,Produtos!$A:$E,4,FALSE)</f>
        <v>30</v>
      </c>
      <c r="I4962" s="2">
        <v>3</v>
      </c>
    </row>
    <row r="4963" spans="1:9" x14ac:dyDescent="0.25">
      <c r="A4963" s="2" t="str">
        <f>CONCATENATE(Códigos!S4962,Códigos!T4962,Códigos!U4962)</f>
        <v>svv4961v</v>
      </c>
      <c r="B4963" t="s">
        <v>321</v>
      </c>
      <c r="C4963" t="s">
        <v>388</v>
      </c>
      <c r="D4963" s="2" t="s">
        <v>389</v>
      </c>
      <c r="E4963" t="s">
        <v>393</v>
      </c>
      <c r="F4963" s="11">
        <v>43839</v>
      </c>
      <c r="G4963" s="14">
        <f t="array" ref="G4963">VLOOKUP(E4963,Produtos!$A:$E,5,FALSE)</f>
        <v>60</v>
      </c>
      <c r="H4963" s="14">
        <f>VLOOKUP(E4963,Produtos!$A:$E,4,FALSE)</f>
        <v>30</v>
      </c>
      <c r="I4963" s="2">
        <v>3</v>
      </c>
    </row>
    <row r="4964" spans="1:9" x14ac:dyDescent="0.25">
      <c r="A4964" s="2" t="str">
        <f>CONCATENATE(Códigos!S4963,Códigos!T4963,Códigos!U4963)</f>
        <v>svv4962v</v>
      </c>
      <c r="B4964" t="s">
        <v>321</v>
      </c>
      <c r="C4964" t="s">
        <v>388</v>
      </c>
      <c r="D4964" s="2" t="s">
        <v>389</v>
      </c>
      <c r="E4964" t="s">
        <v>393</v>
      </c>
      <c r="F4964" s="11">
        <v>43840</v>
      </c>
      <c r="G4964" s="14">
        <f t="array" ref="G4964">VLOOKUP(E4964,Produtos!$A:$E,5,FALSE)</f>
        <v>60</v>
      </c>
      <c r="H4964" s="14">
        <f>VLOOKUP(E4964,Produtos!$A:$E,4,FALSE)</f>
        <v>30</v>
      </c>
      <c r="I4964" s="2">
        <v>3</v>
      </c>
    </row>
    <row r="4965" spans="1:9" x14ac:dyDescent="0.25">
      <c r="A4965" s="2" t="str">
        <f>CONCATENATE(Códigos!S4964,Códigos!T4964,Códigos!U4964)</f>
        <v>svv4963v</v>
      </c>
      <c r="B4965" t="s">
        <v>321</v>
      </c>
      <c r="C4965" t="s">
        <v>388</v>
      </c>
      <c r="D4965" s="2" t="s">
        <v>389</v>
      </c>
      <c r="E4965" t="s">
        <v>393</v>
      </c>
      <c r="F4965" s="11">
        <v>43841</v>
      </c>
      <c r="G4965" s="14">
        <f t="array" ref="G4965">VLOOKUP(E4965,Produtos!$A:$E,5,FALSE)</f>
        <v>60</v>
      </c>
      <c r="H4965" s="14">
        <f>VLOOKUP(E4965,Produtos!$A:$E,4,FALSE)</f>
        <v>30</v>
      </c>
      <c r="I4965" s="2">
        <v>3</v>
      </c>
    </row>
    <row r="4966" spans="1:9" x14ac:dyDescent="0.25">
      <c r="A4966" s="2" t="str">
        <f>CONCATENATE(Códigos!S4965,Códigos!T4965,Códigos!U4965)</f>
        <v>svv4964v</v>
      </c>
      <c r="B4966" t="s">
        <v>321</v>
      </c>
      <c r="C4966" t="s">
        <v>388</v>
      </c>
      <c r="D4966" s="2" t="s">
        <v>389</v>
      </c>
      <c r="E4966" t="s">
        <v>393</v>
      </c>
      <c r="F4966" s="11">
        <v>43842</v>
      </c>
      <c r="G4966" s="14">
        <f t="array" ref="G4966">VLOOKUP(E4966,Produtos!$A:$E,5,FALSE)</f>
        <v>60</v>
      </c>
      <c r="H4966" s="14">
        <f>VLOOKUP(E4966,Produtos!$A:$E,4,FALSE)</f>
        <v>30</v>
      </c>
      <c r="I4966" s="2">
        <v>3</v>
      </c>
    </row>
    <row r="4967" spans="1:9" x14ac:dyDescent="0.25">
      <c r="A4967" s="2" t="str">
        <f>CONCATENATE(Códigos!S4966,Códigos!T4966,Códigos!U4966)</f>
        <v>svv4965v</v>
      </c>
      <c r="B4967" t="s">
        <v>321</v>
      </c>
      <c r="C4967" t="s">
        <v>388</v>
      </c>
      <c r="D4967" s="2" t="s">
        <v>389</v>
      </c>
      <c r="E4967" t="s">
        <v>393</v>
      </c>
      <c r="F4967" s="11">
        <v>43843</v>
      </c>
      <c r="G4967" s="14">
        <f t="array" ref="G4967">VLOOKUP(E4967,Produtos!$A:$E,5,FALSE)</f>
        <v>60</v>
      </c>
      <c r="H4967" s="14">
        <f>VLOOKUP(E4967,Produtos!$A:$E,4,FALSE)</f>
        <v>30</v>
      </c>
      <c r="I4967" s="2">
        <v>3</v>
      </c>
    </row>
    <row r="4968" spans="1:9" x14ac:dyDescent="0.25">
      <c r="A4968" s="2" t="str">
        <f>CONCATENATE(Códigos!S4967,Códigos!T4967,Códigos!U4967)</f>
        <v>svv4966v</v>
      </c>
      <c r="B4968" t="s">
        <v>321</v>
      </c>
      <c r="C4968" t="s">
        <v>388</v>
      </c>
      <c r="D4968" s="2" t="s">
        <v>389</v>
      </c>
      <c r="E4968" t="s">
        <v>393</v>
      </c>
      <c r="F4968" s="11">
        <v>43844</v>
      </c>
      <c r="G4968" s="14">
        <f t="array" ref="G4968">VLOOKUP(E4968,Produtos!$A:$E,5,FALSE)</f>
        <v>60</v>
      </c>
      <c r="H4968" s="14">
        <f>VLOOKUP(E4968,Produtos!$A:$E,4,FALSE)</f>
        <v>30</v>
      </c>
      <c r="I4968" s="2">
        <v>3</v>
      </c>
    </row>
    <row r="4969" spans="1:9" x14ac:dyDescent="0.25">
      <c r="A4969" s="2" t="str">
        <f>CONCATENATE(Códigos!S4968,Códigos!T4968,Códigos!U4968)</f>
        <v>svv4967v</v>
      </c>
      <c r="B4969" t="s">
        <v>321</v>
      </c>
      <c r="C4969" t="s">
        <v>388</v>
      </c>
      <c r="D4969" s="2" t="s">
        <v>389</v>
      </c>
      <c r="E4969" t="s">
        <v>392</v>
      </c>
      <c r="F4969" s="11">
        <v>43845</v>
      </c>
      <c r="G4969" s="14">
        <f t="array" ref="G4969">VLOOKUP(E4969,Produtos!$A:$E,5,FALSE)</f>
        <v>110</v>
      </c>
      <c r="H4969" s="14">
        <f>VLOOKUP(E4969,Produtos!$A:$E,4,FALSE)</f>
        <v>50</v>
      </c>
      <c r="I4969" s="2">
        <v>3</v>
      </c>
    </row>
    <row r="4970" spans="1:9" x14ac:dyDescent="0.25">
      <c r="A4970" s="2" t="str">
        <f>CONCATENATE(Códigos!S4969,Códigos!T4969,Códigos!U4969)</f>
        <v>svv4968v</v>
      </c>
      <c r="B4970" t="s">
        <v>321</v>
      </c>
      <c r="C4970" t="s">
        <v>388</v>
      </c>
      <c r="D4970" s="2" t="s">
        <v>389</v>
      </c>
      <c r="E4970" t="s">
        <v>392</v>
      </c>
      <c r="F4970" s="11">
        <v>43846</v>
      </c>
      <c r="G4970" s="14">
        <f t="array" ref="G4970">VLOOKUP(E4970,Produtos!$A:$E,5,FALSE)</f>
        <v>110</v>
      </c>
      <c r="H4970" s="14">
        <f>VLOOKUP(E4970,Produtos!$A:$E,4,FALSE)</f>
        <v>50</v>
      </c>
      <c r="I4970" s="2">
        <v>3</v>
      </c>
    </row>
    <row r="4971" spans="1:9" x14ac:dyDescent="0.25">
      <c r="A4971" s="2" t="str">
        <f>CONCATENATE(Códigos!S4970,Códigos!T4970,Códigos!U4970)</f>
        <v>svv4969v</v>
      </c>
      <c r="B4971" t="s">
        <v>321</v>
      </c>
      <c r="C4971" t="s">
        <v>388</v>
      </c>
      <c r="D4971" s="2" t="s">
        <v>389</v>
      </c>
      <c r="E4971" t="s">
        <v>392</v>
      </c>
      <c r="F4971" s="11">
        <v>43847</v>
      </c>
      <c r="G4971" s="14">
        <f t="array" ref="G4971">VLOOKUP(E4971,Produtos!$A:$E,5,FALSE)</f>
        <v>110</v>
      </c>
      <c r="H4971" s="14">
        <f>VLOOKUP(E4971,Produtos!$A:$E,4,FALSE)</f>
        <v>50</v>
      </c>
      <c r="I4971" s="2">
        <v>3</v>
      </c>
    </row>
    <row r="4972" spans="1:9" x14ac:dyDescent="0.25">
      <c r="A4972" s="2" t="str">
        <f>CONCATENATE(Códigos!S4971,Códigos!T4971,Códigos!U4971)</f>
        <v>svv4970v</v>
      </c>
      <c r="B4972" t="s">
        <v>321</v>
      </c>
      <c r="C4972" t="s">
        <v>388</v>
      </c>
      <c r="D4972" s="2" t="s">
        <v>389</v>
      </c>
      <c r="E4972" t="s">
        <v>392</v>
      </c>
      <c r="F4972" s="11">
        <v>43848</v>
      </c>
      <c r="G4972" s="14">
        <f t="array" ref="G4972">VLOOKUP(E4972,Produtos!$A:$E,5,FALSE)</f>
        <v>110</v>
      </c>
      <c r="H4972" s="14">
        <f>VLOOKUP(E4972,Produtos!$A:$E,4,FALSE)</f>
        <v>50</v>
      </c>
      <c r="I4972" s="2">
        <v>3</v>
      </c>
    </row>
    <row r="4973" spans="1:9" x14ac:dyDescent="0.25">
      <c r="A4973" s="2" t="str">
        <f>CONCATENATE(Códigos!S4972,Códigos!T4972,Códigos!U4972)</f>
        <v>svv4971v</v>
      </c>
      <c r="B4973" t="s">
        <v>321</v>
      </c>
      <c r="C4973" t="s">
        <v>388</v>
      </c>
      <c r="D4973" s="2" t="s">
        <v>389</v>
      </c>
      <c r="E4973" t="s">
        <v>392</v>
      </c>
      <c r="F4973" s="11">
        <v>43849</v>
      </c>
      <c r="G4973" s="14">
        <f t="array" ref="G4973">VLOOKUP(E4973,Produtos!$A:$E,5,FALSE)</f>
        <v>110</v>
      </c>
      <c r="H4973" s="14">
        <f>VLOOKUP(E4973,Produtos!$A:$E,4,FALSE)</f>
        <v>50</v>
      </c>
      <c r="I4973" s="2">
        <v>3</v>
      </c>
    </row>
    <row r="4974" spans="1:9" x14ac:dyDescent="0.25">
      <c r="A4974" s="2" t="str">
        <f>CONCATENATE(Códigos!S4973,Códigos!T4973,Códigos!U4973)</f>
        <v>svv4972v</v>
      </c>
      <c r="B4974" t="s">
        <v>321</v>
      </c>
      <c r="C4974" t="s">
        <v>388</v>
      </c>
      <c r="D4974" s="2" t="s">
        <v>389</v>
      </c>
      <c r="E4974" t="s">
        <v>392</v>
      </c>
      <c r="F4974" s="11">
        <v>43850</v>
      </c>
      <c r="G4974" s="14">
        <f t="array" ref="G4974">VLOOKUP(E4974,Produtos!$A:$E,5,FALSE)</f>
        <v>110</v>
      </c>
      <c r="H4974" s="14">
        <f>VLOOKUP(E4974,Produtos!$A:$E,4,FALSE)</f>
        <v>50</v>
      </c>
      <c r="I4974" s="2">
        <v>3</v>
      </c>
    </row>
    <row r="4975" spans="1:9" x14ac:dyDescent="0.25">
      <c r="A4975" s="2" t="str">
        <f>CONCATENATE(Códigos!S4974,Códigos!T4974,Códigos!U4974)</f>
        <v>svv4973v</v>
      </c>
      <c r="B4975" t="s">
        <v>321</v>
      </c>
      <c r="C4975" t="s">
        <v>388</v>
      </c>
      <c r="D4975" s="2" t="s">
        <v>389</v>
      </c>
      <c r="E4975" t="s">
        <v>392</v>
      </c>
      <c r="F4975" s="11">
        <v>43851</v>
      </c>
      <c r="G4975" s="14">
        <f t="array" ref="G4975">VLOOKUP(E4975,Produtos!$A:$E,5,FALSE)</f>
        <v>110</v>
      </c>
      <c r="H4975" s="14">
        <f>VLOOKUP(E4975,Produtos!$A:$E,4,FALSE)</f>
        <v>50</v>
      </c>
      <c r="I4975" s="2">
        <v>3</v>
      </c>
    </row>
    <row r="4976" spans="1:9" x14ac:dyDescent="0.25">
      <c r="A4976" s="2" t="str">
        <f>CONCATENATE(Códigos!S4975,Códigos!T4975,Códigos!U4975)</f>
        <v>svv4974v</v>
      </c>
      <c r="B4976" t="s">
        <v>321</v>
      </c>
      <c r="C4976" t="s">
        <v>388</v>
      </c>
      <c r="D4976" s="2" t="s">
        <v>389</v>
      </c>
      <c r="E4976" t="s">
        <v>392</v>
      </c>
      <c r="F4976" s="11">
        <v>43852</v>
      </c>
      <c r="G4976" s="14">
        <f t="array" ref="G4976">VLOOKUP(E4976,Produtos!$A:$E,5,FALSE)</f>
        <v>110</v>
      </c>
      <c r="H4976" s="14">
        <f>VLOOKUP(E4976,Produtos!$A:$E,4,FALSE)</f>
        <v>50</v>
      </c>
      <c r="I4976" s="2">
        <v>3</v>
      </c>
    </row>
    <row r="4977" spans="1:9" x14ac:dyDescent="0.25">
      <c r="A4977" s="2" t="str">
        <f>CONCATENATE(Códigos!S4976,Códigos!T4976,Códigos!U4976)</f>
        <v>svv4975v</v>
      </c>
      <c r="B4977" t="s">
        <v>321</v>
      </c>
      <c r="C4977" t="s">
        <v>388</v>
      </c>
      <c r="D4977" s="2" t="s">
        <v>389</v>
      </c>
      <c r="E4977" t="s">
        <v>392</v>
      </c>
      <c r="F4977" s="11">
        <v>43853</v>
      </c>
      <c r="G4977" s="14">
        <f t="array" ref="G4977">VLOOKUP(E4977,Produtos!$A:$E,5,FALSE)</f>
        <v>110</v>
      </c>
      <c r="H4977" s="14">
        <f>VLOOKUP(E4977,Produtos!$A:$E,4,FALSE)</f>
        <v>50</v>
      </c>
      <c r="I4977" s="2">
        <v>3</v>
      </c>
    </row>
    <row r="4978" spans="1:9" x14ac:dyDescent="0.25">
      <c r="A4978" s="2" t="str">
        <f>CONCATENATE(Códigos!S4977,Códigos!T4977,Códigos!U4977)</f>
        <v>svv4976v</v>
      </c>
      <c r="B4978" t="s">
        <v>321</v>
      </c>
      <c r="C4978" t="s">
        <v>388</v>
      </c>
      <c r="D4978" s="2" t="s">
        <v>389</v>
      </c>
      <c r="E4978" t="s">
        <v>392</v>
      </c>
      <c r="F4978" s="11">
        <v>43854</v>
      </c>
      <c r="G4978" s="14">
        <f t="array" ref="G4978">VLOOKUP(E4978,Produtos!$A:$E,5,FALSE)</f>
        <v>110</v>
      </c>
      <c r="H4978" s="14">
        <f>VLOOKUP(E4978,Produtos!$A:$E,4,FALSE)</f>
        <v>50</v>
      </c>
      <c r="I4978" s="2">
        <v>3</v>
      </c>
    </row>
    <row r="4979" spans="1:9" x14ac:dyDescent="0.25">
      <c r="A4979" s="2" t="str">
        <f>CONCATENATE(Códigos!S4978,Códigos!T4978,Códigos!U4978)</f>
        <v>svv4977v</v>
      </c>
      <c r="B4979" t="s">
        <v>321</v>
      </c>
      <c r="C4979" t="s">
        <v>388</v>
      </c>
      <c r="D4979" s="2" t="s">
        <v>389</v>
      </c>
      <c r="E4979" t="s">
        <v>392</v>
      </c>
      <c r="F4979" s="11">
        <v>43855</v>
      </c>
      <c r="G4979" s="14">
        <f t="array" ref="G4979">VLOOKUP(E4979,Produtos!$A:$E,5,FALSE)</f>
        <v>110</v>
      </c>
      <c r="H4979" s="14">
        <f>VLOOKUP(E4979,Produtos!$A:$E,4,FALSE)</f>
        <v>50</v>
      </c>
      <c r="I4979" s="2">
        <v>3</v>
      </c>
    </row>
    <row r="4980" spans="1:9" x14ac:dyDescent="0.25">
      <c r="A4980" s="2" t="str">
        <f>CONCATENATE(Códigos!S4979,Códigos!T4979,Códigos!U4979)</f>
        <v>svv4978v</v>
      </c>
      <c r="B4980" t="s">
        <v>321</v>
      </c>
      <c r="C4980" t="s">
        <v>380</v>
      </c>
      <c r="D4980" s="2" t="s">
        <v>381</v>
      </c>
      <c r="E4980" t="s">
        <v>392</v>
      </c>
      <c r="F4980" s="11">
        <v>43856</v>
      </c>
      <c r="G4980" s="14">
        <f t="array" ref="G4980">VLOOKUP(E4980,Produtos!$A:$E,5,FALSE)</f>
        <v>110</v>
      </c>
      <c r="H4980" s="14">
        <f>VLOOKUP(E4980,Produtos!$A:$E,4,FALSE)</f>
        <v>50</v>
      </c>
      <c r="I4980" s="2">
        <v>3</v>
      </c>
    </row>
    <row r="4981" spans="1:9" x14ac:dyDescent="0.25">
      <c r="A4981" s="2" t="str">
        <f>CONCATENATE(Códigos!S4980,Códigos!T4980,Códigos!U4980)</f>
        <v>svv4979v</v>
      </c>
      <c r="B4981" t="s">
        <v>321</v>
      </c>
      <c r="C4981" t="s">
        <v>380</v>
      </c>
      <c r="D4981" s="2" t="s">
        <v>381</v>
      </c>
      <c r="E4981" t="s">
        <v>392</v>
      </c>
      <c r="F4981" s="11">
        <v>43857</v>
      </c>
      <c r="G4981" s="14">
        <f t="array" ref="G4981">VLOOKUP(E4981,Produtos!$A:$E,5,FALSE)</f>
        <v>110</v>
      </c>
      <c r="H4981" s="14">
        <f>VLOOKUP(E4981,Produtos!$A:$E,4,FALSE)</f>
        <v>50</v>
      </c>
      <c r="I4981" s="2">
        <v>3</v>
      </c>
    </row>
    <row r="4982" spans="1:9" x14ac:dyDescent="0.25">
      <c r="A4982" s="2" t="str">
        <f>CONCATENATE(Códigos!S4981,Códigos!T4981,Códigos!U4981)</f>
        <v>svv4980v</v>
      </c>
      <c r="B4982" t="s">
        <v>321</v>
      </c>
      <c r="C4982" t="s">
        <v>380</v>
      </c>
      <c r="D4982" s="2" t="s">
        <v>381</v>
      </c>
      <c r="E4982" t="s">
        <v>392</v>
      </c>
      <c r="F4982" s="11">
        <v>43858</v>
      </c>
      <c r="G4982" s="14">
        <f t="array" ref="G4982">VLOOKUP(E4982,Produtos!$A:$E,5,FALSE)</f>
        <v>110</v>
      </c>
      <c r="H4982" s="14">
        <f>VLOOKUP(E4982,Produtos!$A:$E,4,FALSE)</f>
        <v>50</v>
      </c>
      <c r="I4982" s="2">
        <v>3</v>
      </c>
    </row>
    <row r="4983" spans="1:9" x14ac:dyDescent="0.25">
      <c r="A4983" s="2" t="str">
        <f>CONCATENATE(Códigos!S4982,Códigos!T4982,Códigos!U4982)</f>
        <v>svv4981v</v>
      </c>
      <c r="B4983" t="s">
        <v>321</v>
      </c>
      <c r="C4983" t="s">
        <v>380</v>
      </c>
      <c r="D4983" s="2" t="s">
        <v>381</v>
      </c>
      <c r="E4983" t="s">
        <v>392</v>
      </c>
      <c r="F4983" s="11">
        <v>43859</v>
      </c>
      <c r="G4983" s="14">
        <f t="array" ref="G4983">VLOOKUP(E4983,Produtos!$A:$E,5,FALSE)</f>
        <v>110</v>
      </c>
      <c r="H4983" s="14">
        <f>VLOOKUP(E4983,Produtos!$A:$E,4,FALSE)</f>
        <v>50</v>
      </c>
      <c r="I4983" s="2">
        <v>3</v>
      </c>
    </row>
    <row r="4984" spans="1:9" x14ac:dyDescent="0.25">
      <c r="A4984" s="2" t="str">
        <f>CONCATENATE(Códigos!S4983,Códigos!T4983,Códigos!U4983)</f>
        <v>svv4982v</v>
      </c>
      <c r="B4984" t="s">
        <v>321</v>
      </c>
      <c r="C4984" t="s">
        <v>380</v>
      </c>
      <c r="D4984" s="2" t="s">
        <v>381</v>
      </c>
      <c r="E4984" t="s">
        <v>387</v>
      </c>
      <c r="F4984" s="11">
        <v>43860</v>
      </c>
      <c r="G4984" s="14">
        <f t="array" ref="G4984">VLOOKUP(E4984,Produtos!$A:$E,5,FALSE)</f>
        <v>100</v>
      </c>
      <c r="H4984" s="14">
        <f>VLOOKUP(E4984,Produtos!$A:$E,4,FALSE)</f>
        <v>60</v>
      </c>
      <c r="I4984" s="2">
        <v>3</v>
      </c>
    </row>
    <row r="4985" spans="1:9" x14ac:dyDescent="0.25">
      <c r="A4985" s="2" t="str">
        <f>CONCATENATE(Códigos!S4984,Códigos!T4984,Códigos!U4984)</f>
        <v>svv4983v</v>
      </c>
      <c r="B4985" t="s">
        <v>321</v>
      </c>
      <c r="C4985" t="s">
        <v>380</v>
      </c>
      <c r="D4985" s="2" t="s">
        <v>381</v>
      </c>
      <c r="E4985" t="s">
        <v>387</v>
      </c>
      <c r="F4985" s="11">
        <v>43861</v>
      </c>
      <c r="G4985" s="14">
        <f t="array" ref="G4985">VLOOKUP(E4985,Produtos!$A:$E,5,FALSE)</f>
        <v>100</v>
      </c>
      <c r="H4985" s="14">
        <f>VLOOKUP(E4985,Produtos!$A:$E,4,FALSE)</f>
        <v>60</v>
      </c>
      <c r="I4985" s="2">
        <v>3</v>
      </c>
    </row>
    <row r="4986" spans="1:9" x14ac:dyDescent="0.25">
      <c r="A4986" s="2" t="str">
        <f>CONCATENATE(Códigos!S4985,Códigos!T4985,Códigos!U4985)</f>
        <v>svv4984v</v>
      </c>
      <c r="B4986" t="s">
        <v>321</v>
      </c>
      <c r="C4986" t="s">
        <v>380</v>
      </c>
      <c r="D4986" s="2" t="s">
        <v>381</v>
      </c>
      <c r="E4986" t="s">
        <v>391</v>
      </c>
      <c r="F4986" s="11">
        <v>43862</v>
      </c>
      <c r="G4986" s="14">
        <f t="array" ref="G4986">VLOOKUP(E4986,Produtos!$A:$E,5,FALSE)</f>
        <v>110</v>
      </c>
      <c r="H4986" s="14">
        <f>VLOOKUP(E4986,Produtos!$A:$E,4,FALSE)</f>
        <v>50</v>
      </c>
      <c r="I4986" s="2">
        <v>3</v>
      </c>
    </row>
    <row r="4987" spans="1:9" x14ac:dyDescent="0.25">
      <c r="A4987" s="2" t="str">
        <f>CONCATENATE(Códigos!S4986,Códigos!T4986,Códigos!U4986)</f>
        <v>svv4985v</v>
      </c>
      <c r="B4987" t="s">
        <v>321</v>
      </c>
      <c r="C4987" t="s">
        <v>380</v>
      </c>
      <c r="D4987" s="2" t="s">
        <v>381</v>
      </c>
      <c r="E4987" t="s">
        <v>391</v>
      </c>
      <c r="F4987" s="11">
        <v>43863</v>
      </c>
      <c r="G4987" s="14">
        <f t="array" ref="G4987">VLOOKUP(E4987,Produtos!$A:$E,5,FALSE)</f>
        <v>110</v>
      </c>
      <c r="H4987" s="14">
        <f>VLOOKUP(E4987,Produtos!$A:$E,4,FALSE)</f>
        <v>50</v>
      </c>
      <c r="I4987" s="2">
        <v>3</v>
      </c>
    </row>
    <row r="4988" spans="1:9" x14ac:dyDescent="0.25">
      <c r="A4988" s="2" t="str">
        <f>CONCATENATE(Códigos!S4987,Códigos!T4987,Códigos!U4987)</f>
        <v>svv4986v</v>
      </c>
      <c r="B4988" t="s">
        <v>321</v>
      </c>
      <c r="C4988" t="s">
        <v>380</v>
      </c>
      <c r="D4988" s="2" t="s">
        <v>381</v>
      </c>
      <c r="E4988" t="s">
        <v>391</v>
      </c>
      <c r="F4988" s="11">
        <v>43864</v>
      </c>
      <c r="G4988" s="14">
        <f t="array" ref="G4988">VLOOKUP(E4988,Produtos!$A:$E,5,FALSE)</f>
        <v>110</v>
      </c>
      <c r="H4988" s="14">
        <f>VLOOKUP(E4988,Produtos!$A:$E,4,FALSE)</f>
        <v>50</v>
      </c>
      <c r="I4988" s="2">
        <v>3</v>
      </c>
    </row>
    <row r="4989" spans="1:9" x14ac:dyDescent="0.25">
      <c r="A4989" s="2" t="str">
        <f>CONCATENATE(Códigos!S4988,Códigos!T4988,Códigos!U4988)</f>
        <v>svv4987v</v>
      </c>
      <c r="B4989" t="s">
        <v>321</v>
      </c>
      <c r="C4989" t="s">
        <v>380</v>
      </c>
      <c r="D4989" s="2" t="s">
        <v>381</v>
      </c>
      <c r="E4989" t="s">
        <v>391</v>
      </c>
      <c r="F4989" s="11">
        <v>43865</v>
      </c>
      <c r="G4989" s="14">
        <f t="array" ref="G4989">VLOOKUP(E4989,Produtos!$A:$E,5,FALSE)</f>
        <v>110</v>
      </c>
      <c r="H4989" s="14">
        <f>VLOOKUP(E4989,Produtos!$A:$E,4,FALSE)</f>
        <v>50</v>
      </c>
      <c r="I4989" s="2">
        <v>3</v>
      </c>
    </row>
    <row r="4990" spans="1:9" x14ac:dyDescent="0.25">
      <c r="A4990" s="2" t="str">
        <f>CONCATENATE(Códigos!S4989,Códigos!T4989,Códigos!U4989)</f>
        <v>svv4988v</v>
      </c>
      <c r="B4990" t="s">
        <v>321</v>
      </c>
      <c r="C4990" t="s">
        <v>380</v>
      </c>
      <c r="D4990" s="2" t="s">
        <v>381</v>
      </c>
      <c r="E4990" t="s">
        <v>391</v>
      </c>
      <c r="F4990" s="11">
        <v>43866</v>
      </c>
      <c r="G4990" s="14">
        <f t="array" ref="G4990">VLOOKUP(E4990,Produtos!$A:$E,5,FALSE)</f>
        <v>110</v>
      </c>
      <c r="H4990" s="14">
        <f>VLOOKUP(E4990,Produtos!$A:$E,4,FALSE)</f>
        <v>50</v>
      </c>
      <c r="I4990" s="2">
        <v>3</v>
      </c>
    </row>
    <row r="4991" spans="1:9" x14ac:dyDescent="0.25">
      <c r="A4991" s="2" t="str">
        <f>CONCATENATE(Códigos!S4990,Códigos!T4990,Códigos!U4990)</f>
        <v>svv4989v</v>
      </c>
      <c r="B4991" t="s">
        <v>321</v>
      </c>
      <c r="C4991" t="s">
        <v>380</v>
      </c>
      <c r="D4991" s="2" t="s">
        <v>381</v>
      </c>
      <c r="E4991" t="s">
        <v>391</v>
      </c>
      <c r="F4991" s="11">
        <v>43867</v>
      </c>
      <c r="G4991" s="14">
        <f t="array" ref="G4991">VLOOKUP(E4991,Produtos!$A:$E,5,FALSE)</f>
        <v>110</v>
      </c>
      <c r="H4991" s="14">
        <f>VLOOKUP(E4991,Produtos!$A:$E,4,FALSE)</f>
        <v>50</v>
      </c>
      <c r="I4991" s="2">
        <v>3</v>
      </c>
    </row>
    <row r="4992" spans="1:9" x14ac:dyDescent="0.25">
      <c r="A4992" s="2" t="str">
        <f>CONCATENATE(Códigos!S4991,Códigos!T4991,Códigos!U4991)</f>
        <v>svv4990v</v>
      </c>
      <c r="B4992" t="s">
        <v>321</v>
      </c>
      <c r="C4992" t="s">
        <v>380</v>
      </c>
      <c r="D4992" s="2" t="s">
        <v>381</v>
      </c>
      <c r="E4992" t="s">
        <v>391</v>
      </c>
      <c r="F4992" s="11">
        <v>43868</v>
      </c>
      <c r="G4992" s="14">
        <f t="array" ref="G4992">VLOOKUP(E4992,Produtos!$A:$E,5,FALSE)</f>
        <v>110</v>
      </c>
      <c r="H4992" s="14">
        <f>VLOOKUP(E4992,Produtos!$A:$E,4,FALSE)</f>
        <v>50</v>
      </c>
      <c r="I4992" s="2">
        <v>3</v>
      </c>
    </row>
    <row r="4993" spans="1:9" x14ac:dyDescent="0.25">
      <c r="A4993" s="2" t="str">
        <f>CONCATENATE(Códigos!S4992,Códigos!T4992,Códigos!U4992)</f>
        <v>svv4991v</v>
      </c>
      <c r="B4993" t="s">
        <v>321</v>
      </c>
      <c r="C4993" t="s">
        <v>380</v>
      </c>
      <c r="D4993" s="2" t="s">
        <v>381</v>
      </c>
      <c r="E4993" t="s">
        <v>391</v>
      </c>
      <c r="F4993" s="11">
        <v>43869</v>
      </c>
      <c r="G4993" s="14">
        <f t="array" ref="G4993">VLOOKUP(E4993,Produtos!$A:$E,5,FALSE)</f>
        <v>110</v>
      </c>
      <c r="H4993" s="14">
        <f>VLOOKUP(E4993,Produtos!$A:$E,4,FALSE)</f>
        <v>50</v>
      </c>
      <c r="I4993" s="2">
        <v>3</v>
      </c>
    </row>
    <row r="4994" spans="1:9" x14ac:dyDescent="0.25">
      <c r="A4994" s="2" t="str">
        <f>CONCATENATE(Códigos!S4993,Códigos!T4993,Códigos!U4993)</f>
        <v>svv4992v</v>
      </c>
      <c r="B4994" t="s">
        <v>321</v>
      </c>
      <c r="C4994" t="s">
        <v>380</v>
      </c>
      <c r="D4994" s="2" t="s">
        <v>381</v>
      </c>
      <c r="E4994" t="s">
        <v>391</v>
      </c>
      <c r="F4994" s="11">
        <v>43870</v>
      </c>
      <c r="G4994" s="14">
        <f t="array" ref="G4994">VLOOKUP(E4994,Produtos!$A:$E,5,FALSE)</f>
        <v>110</v>
      </c>
      <c r="H4994" s="14">
        <f>VLOOKUP(E4994,Produtos!$A:$E,4,FALSE)</f>
        <v>50</v>
      </c>
      <c r="I4994" s="2">
        <v>3</v>
      </c>
    </row>
    <row r="4995" spans="1:9" x14ac:dyDescent="0.25">
      <c r="A4995" s="2" t="str">
        <f>CONCATENATE(Códigos!S4994,Códigos!T4994,Códigos!U4994)</f>
        <v>svv4993v</v>
      </c>
      <c r="B4995" t="s">
        <v>321</v>
      </c>
      <c r="C4995" t="s">
        <v>380</v>
      </c>
      <c r="D4995" s="2" t="s">
        <v>381</v>
      </c>
      <c r="E4995" t="s">
        <v>391</v>
      </c>
      <c r="F4995" s="11">
        <v>43871</v>
      </c>
      <c r="G4995" s="14">
        <f t="array" ref="G4995">VLOOKUP(E4995,Produtos!$A:$E,5,FALSE)</f>
        <v>110</v>
      </c>
      <c r="H4995" s="14">
        <f>VLOOKUP(E4995,Produtos!$A:$E,4,FALSE)</f>
        <v>50</v>
      </c>
      <c r="I4995" s="2">
        <v>3</v>
      </c>
    </row>
    <row r="4996" spans="1:9" x14ac:dyDescent="0.25">
      <c r="A4996" s="2" t="str">
        <f>CONCATENATE(Códigos!S4995,Códigos!T4995,Códigos!U4995)</f>
        <v>svv4994v</v>
      </c>
      <c r="B4996" t="s">
        <v>321</v>
      </c>
      <c r="C4996" t="s">
        <v>380</v>
      </c>
      <c r="D4996" s="2" t="s">
        <v>381</v>
      </c>
      <c r="E4996" t="s">
        <v>391</v>
      </c>
      <c r="F4996" s="11">
        <v>43872</v>
      </c>
      <c r="G4996" s="14">
        <f t="array" ref="G4996">VLOOKUP(E4996,Produtos!$A:$E,5,FALSE)</f>
        <v>110</v>
      </c>
      <c r="H4996" s="14">
        <f>VLOOKUP(E4996,Produtos!$A:$E,4,FALSE)</f>
        <v>50</v>
      </c>
      <c r="I4996" s="2">
        <v>3</v>
      </c>
    </row>
    <row r="4997" spans="1:9" x14ac:dyDescent="0.25">
      <c r="A4997" s="2" t="str">
        <f>CONCATENATE(Códigos!S4996,Códigos!T4996,Códigos!U4996)</f>
        <v>svv4995v</v>
      </c>
      <c r="B4997" t="s">
        <v>321</v>
      </c>
      <c r="C4997" t="s">
        <v>388</v>
      </c>
      <c r="D4997" s="2" t="s">
        <v>389</v>
      </c>
      <c r="E4997" t="s">
        <v>390</v>
      </c>
      <c r="F4997" s="11">
        <v>43873</v>
      </c>
      <c r="G4997" s="14">
        <f t="array" ref="G4997">VLOOKUP(E4997,Produtos!$A:$E,5,FALSE)</f>
        <v>700</v>
      </c>
      <c r="H4997" s="14">
        <f>VLOOKUP(E4997,Produtos!$A:$E,4,FALSE)</f>
        <v>400</v>
      </c>
      <c r="I4997" s="2">
        <v>3</v>
      </c>
    </row>
    <row r="4998" spans="1:9" x14ac:dyDescent="0.25">
      <c r="A4998" s="2" t="str">
        <f>CONCATENATE(Códigos!S4997,Códigos!T4997,Códigos!U4997)</f>
        <v>svv4996v</v>
      </c>
      <c r="B4998" t="s">
        <v>321</v>
      </c>
      <c r="C4998" t="s">
        <v>388</v>
      </c>
      <c r="D4998" s="2" t="s">
        <v>389</v>
      </c>
      <c r="E4998" t="s">
        <v>390</v>
      </c>
      <c r="F4998" s="11">
        <v>43874</v>
      </c>
      <c r="G4998" s="14">
        <f t="array" ref="G4998">VLOOKUP(E4998,Produtos!$A:$E,5,FALSE)</f>
        <v>700</v>
      </c>
      <c r="H4998" s="14">
        <f>VLOOKUP(E4998,Produtos!$A:$E,4,FALSE)</f>
        <v>400</v>
      </c>
      <c r="I4998" s="2">
        <v>3</v>
      </c>
    </row>
    <row r="4999" spans="1:9" x14ac:dyDescent="0.25">
      <c r="A4999" s="2" t="str">
        <f>CONCATENATE(Códigos!S4998,Códigos!T4998,Códigos!U4998)</f>
        <v>svv4997v</v>
      </c>
      <c r="B4999" t="s">
        <v>321</v>
      </c>
      <c r="C4999" t="s">
        <v>388</v>
      </c>
      <c r="D4999" s="2" t="s">
        <v>389</v>
      </c>
      <c r="E4999" t="s">
        <v>390</v>
      </c>
      <c r="F4999" s="11">
        <v>43875</v>
      </c>
      <c r="G4999" s="14">
        <f t="array" ref="G4999">VLOOKUP(E4999,Produtos!$A:$E,5,FALSE)</f>
        <v>700</v>
      </c>
      <c r="H4999" s="14">
        <f>VLOOKUP(E4999,Produtos!$A:$E,4,FALSE)</f>
        <v>400</v>
      </c>
      <c r="I4999" s="2">
        <v>3</v>
      </c>
    </row>
    <row r="5000" spans="1:9" x14ac:dyDescent="0.25">
      <c r="A5000" s="2" t="str">
        <f>CONCATENATE(Códigos!S4999,Códigos!T4999,Códigos!U4999)</f>
        <v>svv4998v</v>
      </c>
      <c r="B5000" t="s">
        <v>321</v>
      </c>
      <c r="C5000" t="s">
        <v>388</v>
      </c>
      <c r="D5000" s="2" t="s">
        <v>389</v>
      </c>
      <c r="E5000" t="s">
        <v>390</v>
      </c>
      <c r="F5000" s="11">
        <v>43876</v>
      </c>
      <c r="G5000" s="14">
        <f t="array" ref="G5000">VLOOKUP(E5000,Produtos!$A:$E,5,FALSE)</f>
        <v>700</v>
      </c>
      <c r="H5000" s="14">
        <f>VLOOKUP(E5000,Produtos!$A:$E,4,FALSE)</f>
        <v>400</v>
      </c>
      <c r="I5000" s="2">
        <v>3</v>
      </c>
    </row>
    <row r="5001" spans="1:9" x14ac:dyDescent="0.25">
      <c r="A5001" s="2" t="str">
        <f>CONCATENATE(Códigos!S5000,Códigos!T5000,Códigos!U5000)</f>
        <v>svv4999v</v>
      </c>
      <c r="B5001" t="s">
        <v>321</v>
      </c>
      <c r="C5001" t="s">
        <v>388</v>
      </c>
      <c r="D5001" s="2" t="s">
        <v>389</v>
      </c>
      <c r="E5001" t="s">
        <v>390</v>
      </c>
      <c r="F5001" s="11">
        <v>43877</v>
      </c>
      <c r="G5001" s="14">
        <f t="array" ref="G5001">VLOOKUP(E5001,Produtos!$A:$E,5,FALSE)</f>
        <v>700</v>
      </c>
      <c r="H5001" s="14">
        <f>VLOOKUP(E5001,Produtos!$A:$E,4,FALSE)</f>
        <v>400</v>
      </c>
      <c r="I5001" s="2">
        <v>3</v>
      </c>
    </row>
    <row r="5002" spans="1:9" x14ac:dyDescent="0.25">
      <c r="A5002" s="2" t="str">
        <f>CONCATENATE(Códigos!S5001,Códigos!T5001,Códigos!U5001)</f>
        <v>svv5000v</v>
      </c>
      <c r="B5002" t="s">
        <v>321</v>
      </c>
      <c r="C5002" t="s">
        <v>388</v>
      </c>
      <c r="D5002" s="2" t="s">
        <v>389</v>
      </c>
      <c r="E5002" t="s">
        <v>390</v>
      </c>
      <c r="F5002" s="11">
        <v>43878</v>
      </c>
      <c r="G5002" s="14">
        <f t="array" ref="G5002">VLOOKUP(E5002,Produtos!$A:$E,5,FALSE)</f>
        <v>700</v>
      </c>
      <c r="H5002" s="14">
        <f>VLOOKUP(E5002,Produtos!$A:$E,4,FALSE)</f>
        <v>400</v>
      </c>
      <c r="I5002" s="2">
        <v>3</v>
      </c>
    </row>
    <row r="5003" spans="1:9" x14ac:dyDescent="0.25">
      <c r="A5003" s="2" t="str">
        <f>CONCATENATE(Códigos!S5002,Códigos!T5002,Códigos!U5002)</f>
        <v>svv5001v</v>
      </c>
      <c r="B5003" t="s">
        <v>321</v>
      </c>
      <c r="C5003" t="s">
        <v>388</v>
      </c>
      <c r="D5003" s="2" t="s">
        <v>389</v>
      </c>
      <c r="E5003" t="s">
        <v>390</v>
      </c>
      <c r="F5003" s="11">
        <v>43879</v>
      </c>
      <c r="G5003" s="14">
        <f t="array" ref="G5003">VLOOKUP(E5003,Produtos!$A:$E,5,FALSE)</f>
        <v>700</v>
      </c>
      <c r="H5003" s="14">
        <f>VLOOKUP(E5003,Produtos!$A:$E,4,FALSE)</f>
        <v>400</v>
      </c>
      <c r="I5003" s="2">
        <v>3</v>
      </c>
    </row>
    <row r="5004" spans="1:9" x14ac:dyDescent="0.25">
      <c r="A5004" s="2" t="str">
        <f>CONCATENATE(Códigos!S5003,Códigos!T5003,Códigos!U5003)</f>
        <v>svv5002v</v>
      </c>
      <c r="B5004" t="s">
        <v>321</v>
      </c>
      <c r="C5004" t="s">
        <v>388</v>
      </c>
      <c r="D5004" s="2" t="s">
        <v>389</v>
      </c>
      <c r="E5004" t="s">
        <v>333</v>
      </c>
      <c r="F5004" s="11">
        <v>43880</v>
      </c>
      <c r="G5004" s="14">
        <f t="array" ref="G5004">VLOOKUP(E5004,Produtos!$A:$E,5,FALSE)</f>
        <v>170</v>
      </c>
      <c r="H5004" s="14">
        <f>VLOOKUP(E5004,Produtos!$A:$E,4,FALSE)</f>
        <v>80</v>
      </c>
      <c r="I5004" s="2">
        <v>3</v>
      </c>
    </row>
    <row r="5005" spans="1:9" x14ac:dyDescent="0.25">
      <c r="A5005" s="2" t="str">
        <f>CONCATENATE(Códigos!S5004,Códigos!T5004,Códigos!U5004)</f>
        <v>svv5003v</v>
      </c>
      <c r="B5005" t="s">
        <v>321</v>
      </c>
      <c r="C5005" t="s">
        <v>388</v>
      </c>
      <c r="D5005" s="2" t="s">
        <v>389</v>
      </c>
      <c r="E5005" t="s">
        <v>333</v>
      </c>
      <c r="F5005" s="11">
        <v>43881</v>
      </c>
      <c r="G5005" s="14">
        <f t="array" ref="G5005">VLOOKUP(E5005,Produtos!$A:$E,5,FALSE)</f>
        <v>170</v>
      </c>
      <c r="H5005" s="14">
        <f>VLOOKUP(E5005,Produtos!$A:$E,4,FALSE)</f>
        <v>80</v>
      </c>
      <c r="I5005" s="2">
        <v>3</v>
      </c>
    </row>
    <row r="5006" spans="1:9" x14ac:dyDescent="0.25">
      <c r="A5006" s="2" t="str">
        <f>CONCATENATE(Códigos!S5005,Códigos!T5005,Códigos!U5005)</f>
        <v>svv5004v</v>
      </c>
      <c r="B5006" t="s">
        <v>321</v>
      </c>
      <c r="C5006" t="s">
        <v>388</v>
      </c>
      <c r="D5006" s="2" t="s">
        <v>389</v>
      </c>
      <c r="E5006" t="s">
        <v>333</v>
      </c>
      <c r="F5006" s="11">
        <v>43882</v>
      </c>
      <c r="G5006" s="14">
        <f t="array" ref="G5006">VLOOKUP(E5006,Produtos!$A:$E,5,FALSE)</f>
        <v>170</v>
      </c>
      <c r="H5006" s="14">
        <f>VLOOKUP(E5006,Produtos!$A:$E,4,FALSE)</f>
        <v>80</v>
      </c>
      <c r="I5006" s="2">
        <v>3</v>
      </c>
    </row>
    <row r="5007" spans="1:9" x14ac:dyDescent="0.25">
      <c r="A5007" s="2" t="str">
        <f>CONCATENATE(Códigos!S5006,Códigos!T5006,Códigos!U5006)</f>
        <v>svv5005v</v>
      </c>
      <c r="B5007" t="s">
        <v>321</v>
      </c>
      <c r="C5007" t="s">
        <v>388</v>
      </c>
      <c r="D5007" s="2" t="s">
        <v>389</v>
      </c>
      <c r="E5007" t="s">
        <v>333</v>
      </c>
      <c r="F5007" s="11">
        <v>43883</v>
      </c>
      <c r="G5007" s="14">
        <f t="array" ref="G5007">VLOOKUP(E5007,Produtos!$A:$E,5,FALSE)</f>
        <v>170</v>
      </c>
      <c r="H5007" s="14">
        <f>VLOOKUP(E5007,Produtos!$A:$E,4,FALSE)</f>
        <v>80</v>
      </c>
      <c r="I5007" s="2">
        <v>3</v>
      </c>
    </row>
    <row r="5008" spans="1:9" x14ac:dyDescent="0.25">
      <c r="A5008" s="2" t="str">
        <f>CONCATENATE(Códigos!S5007,Códigos!T5007,Códigos!U5007)</f>
        <v>svv5006v</v>
      </c>
      <c r="B5008" t="s">
        <v>321</v>
      </c>
      <c r="C5008" t="s">
        <v>388</v>
      </c>
      <c r="D5008" s="2" t="s">
        <v>389</v>
      </c>
      <c r="E5008" t="s">
        <v>333</v>
      </c>
      <c r="F5008" s="11">
        <v>43884</v>
      </c>
      <c r="G5008" s="14">
        <f t="array" ref="G5008">VLOOKUP(E5008,Produtos!$A:$E,5,FALSE)</f>
        <v>170</v>
      </c>
      <c r="H5008" s="14">
        <f>VLOOKUP(E5008,Produtos!$A:$E,4,FALSE)</f>
        <v>80</v>
      </c>
      <c r="I5008" s="2">
        <v>3</v>
      </c>
    </row>
    <row r="5009" spans="1:9" x14ac:dyDescent="0.25">
      <c r="A5009" s="2" t="str">
        <f>CONCATENATE(Códigos!S5008,Códigos!T5008,Códigos!U5008)</f>
        <v>svv5007v</v>
      </c>
      <c r="B5009" t="s">
        <v>321</v>
      </c>
      <c r="C5009" t="s">
        <v>388</v>
      </c>
      <c r="D5009" s="2" t="s">
        <v>389</v>
      </c>
      <c r="E5009" t="s">
        <v>327</v>
      </c>
      <c r="F5009" s="11">
        <v>43885</v>
      </c>
      <c r="G5009" s="14">
        <f t="array" ref="G5009">VLOOKUP(E5009,Produtos!$A:$E,5,FALSE)</f>
        <v>890</v>
      </c>
      <c r="H5009" s="14">
        <f>VLOOKUP(E5009,Produtos!$A:$E,4,FALSE)</f>
        <v>600</v>
      </c>
      <c r="I5009" s="2">
        <v>3</v>
      </c>
    </row>
    <row r="5010" spans="1:9" x14ac:dyDescent="0.25">
      <c r="A5010" s="2" t="str">
        <f>CONCATENATE(Códigos!S5009,Códigos!T5009,Códigos!U5009)</f>
        <v>svv5008v</v>
      </c>
      <c r="B5010" t="s">
        <v>321</v>
      </c>
      <c r="C5010" t="s">
        <v>388</v>
      </c>
      <c r="D5010" s="2" t="s">
        <v>389</v>
      </c>
      <c r="E5010" t="s">
        <v>327</v>
      </c>
      <c r="F5010" s="11">
        <v>43886</v>
      </c>
      <c r="G5010" s="14">
        <f t="array" ref="G5010">VLOOKUP(E5010,Produtos!$A:$E,5,FALSE)</f>
        <v>890</v>
      </c>
      <c r="H5010" s="14">
        <f>VLOOKUP(E5010,Produtos!$A:$E,4,FALSE)</f>
        <v>600</v>
      </c>
      <c r="I5010" s="2">
        <v>3</v>
      </c>
    </row>
    <row r="5011" spans="1:9" x14ac:dyDescent="0.25">
      <c r="A5011" s="2" t="str">
        <f>CONCATENATE(Códigos!S5010,Códigos!T5010,Códigos!U5010)</f>
        <v>svv5009v</v>
      </c>
      <c r="B5011" t="s">
        <v>321</v>
      </c>
      <c r="C5011" t="s">
        <v>388</v>
      </c>
      <c r="D5011" s="2" t="s">
        <v>389</v>
      </c>
      <c r="E5011" t="s">
        <v>327</v>
      </c>
      <c r="F5011" s="11">
        <v>43887</v>
      </c>
      <c r="G5011" s="14">
        <f t="array" ref="G5011">VLOOKUP(E5011,Produtos!$A:$E,5,FALSE)</f>
        <v>890</v>
      </c>
      <c r="H5011" s="14">
        <f>VLOOKUP(E5011,Produtos!$A:$E,4,FALSE)</f>
        <v>600</v>
      </c>
      <c r="I5011" s="2">
        <v>3</v>
      </c>
    </row>
    <row r="5012" spans="1:9" x14ac:dyDescent="0.25">
      <c r="A5012" s="2" t="str">
        <f>CONCATENATE(Códigos!S5011,Códigos!T5011,Códigos!U5011)</f>
        <v>svv5010v</v>
      </c>
      <c r="B5012" t="s">
        <v>321</v>
      </c>
      <c r="C5012" t="s">
        <v>388</v>
      </c>
      <c r="D5012" s="2" t="s">
        <v>389</v>
      </c>
      <c r="E5012" t="s">
        <v>327</v>
      </c>
      <c r="F5012" s="11">
        <v>43888</v>
      </c>
      <c r="G5012" s="14">
        <f t="array" ref="G5012">VLOOKUP(E5012,Produtos!$A:$E,5,FALSE)</f>
        <v>890</v>
      </c>
      <c r="H5012" s="14">
        <f>VLOOKUP(E5012,Produtos!$A:$E,4,FALSE)</f>
        <v>600</v>
      </c>
      <c r="I5012" s="2">
        <v>3</v>
      </c>
    </row>
    <row r="5013" spans="1:9" x14ac:dyDescent="0.25">
      <c r="A5013" s="2" t="str">
        <f>CONCATENATE(Códigos!S5012,Códigos!T5012,Códigos!U5012)</f>
        <v>svv5011v</v>
      </c>
      <c r="B5013" t="s">
        <v>321</v>
      </c>
      <c r="C5013" t="s">
        <v>388</v>
      </c>
      <c r="D5013" s="2" t="s">
        <v>389</v>
      </c>
      <c r="E5013" t="s">
        <v>327</v>
      </c>
      <c r="F5013" s="11">
        <v>43889</v>
      </c>
      <c r="G5013" s="14">
        <f t="array" ref="G5013">VLOOKUP(E5013,Produtos!$A:$E,5,FALSE)</f>
        <v>890</v>
      </c>
      <c r="H5013" s="14">
        <f>VLOOKUP(E5013,Produtos!$A:$E,4,FALSE)</f>
        <v>600</v>
      </c>
      <c r="I5013" s="2">
        <v>3</v>
      </c>
    </row>
    <row r="5014" spans="1:9" x14ac:dyDescent="0.25">
      <c r="A5014" s="2" t="str">
        <f>CONCATENATE(Códigos!S5013,Códigos!T5013,Códigos!U5013)</f>
        <v>svv5012v</v>
      </c>
      <c r="B5014" t="s">
        <v>321</v>
      </c>
      <c r="C5014" t="s">
        <v>388</v>
      </c>
      <c r="D5014" s="2" t="s">
        <v>389</v>
      </c>
      <c r="E5014" t="s">
        <v>327</v>
      </c>
      <c r="F5014" s="11">
        <v>43890</v>
      </c>
      <c r="G5014" s="14">
        <f t="array" ref="G5014">VLOOKUP(E5014,Produtos!$A:$E,5,FALSE)</f>
        <v>890</v>
      </c>
      <c r="H5014" s="14">
        <f>VLOOKUP(E5014,Produtos!$A:$E,4,FALSE)</f>
        <v>600</v>
      </c>
      <c r="I5014" s="2">
        <v>3</v>
      </c>
    </row>
    <row r="5015" spans="1:9" x14ac:dyDescent="0.25">
      <c r="A5015" s="2" t="str">
        <f>CONCATENATE(Códigos!S5014,Códigos!T5014,Códigos!U5014)</f>
        <v>svv5013v</v>
      </c>
      <c r="B5015" t="s">
        <v>332</v>
      </c>
      <c r="C5015" t="s">
        <v>380</v>
      </c>
      <c r="D5015" s="2" t="s">
        <v>381</v>
      </c>
      <c r="E5015" t="s">
        <v>327</v>
      </c>
      <c r="F5015" s="11">
        <v>43891</v>
      </c>
      <c r="G5015" s="14">
        <f t="array" ref="G5015">VLOOKUP(E5015,Produtos!$A:$E,5,FALSE)</f>
        <v>890</v>
      </c>
      <c r="H5015" s="14">
        <f>VLOOKUP(E5015,Produtos!$A:$E,4,FALSE)</f>
        <v>600</v>
      </c>
      <c r="I5015" s="2">
        <v>3</v>
      </c>
    </row>
    <row r="5016" spans="1:9" x14ac:dyDescent="0.25">
      <c r="A5016" s="2" t="str">
        <f>CONCATENATE(Códigos!S5015,Códigos!T5015,Códigos!U5015)</f>
        <v>svv5014v</v>
      </c>
      <c r="B5016" t="s">
        <v>332</v>
      </c>
      <c r="C5016" t="s">
        <v>380</v>
      </c>
      <c r="D5016" s="2" t="s">
        <v>381</v>
      </c>
      <c r="E5016" t="s">
        <v>327</v>
      </c>
      <c r="F5016" s="11">
        <v>43892</v>
      </c>
      <c r="G5016" s="14">
        <f t="array" ref="G5016">VLOOKUP(E5016,Produtos!$A:$E,5,FALSE)</f>
        <v>890</v>
      </c>
      <c r="H5016" s="14">
        <f>VLOOKUP(E5016,Produtos!$A:$E,4,FALSE)</f>
        <v>600</v>
      </c>
      <c r="I5016" s="2">
        <v>3</v>
      </c>
    </row>
    <row r="5017" spans="1:9" x14ac:dyDescent="0.25">
      <c r="A5017" s="2" t="str">
        <f>CONCATENATE(Códigos!S5016,Códigos!T5016,Códigos!U5016)</f>
        <v>svv5015v</v>
      </c>
      <c r="B5017" t="s">
        <v>332</v>
      </c>
      <c r="C5017" t="s">
        <v>380</v>
      </c>
      <c r="D5017" s="2" t="s">
        <v>381</v>
      </c>
      <c r="E5017" t="s">
        <v>327</v>
      </c>
      <c r="F5017" s="11">
        <v>43893</v>
      </c>
      <c r="G5017" s="14">
        <f t="array" ref="G5017">VLOOKUP(E5017,Produtos!$A:$E,5,FALSE)</f>
        <v>890</v>
      </c>
      <c r="H5017" s="14">
        <f>VLOOKUP(E5017,Produtos!$A:$E,4,FALSE)</f>
        <v>600</v>
      </c>
      <c r="I5017" s="2">
        <v>3</v>
      </c>
    </row>
    <row r="5018" spans="1:9" x14ac:dyDescent="0.25">
      <c r="A5018" s="2" t="str">
        <f>CONCATENATE(Códigos!S5017,Códigos!T5017,Códigos!U5017)</f>
        <v>svv5016v</v>
      </c>
      <c r="B5018" t="s">
        <v>332</v>
      </c>
      <c r="C5018" t="s">
        <v>380</v>
      </c>
      <c r="D5018" s="2" t="s">
        <v>381</v>
      </c>
      <c r="E5018" t="s">
        <v>327</v>
      </c>
      <c r="F5018" s="11">
        <v>43894</v>
      </c>
      <c r="G5018" s="14">
        <f t="array" ref="G5018">VLOOKUP(E5018,Produtos!$A:$E,5,FALSE)</f>
        <v>890</v>
      </c>
      <c r="H5018" s="14">
        <f>VLOOKUP(E5018,Produtos!$A:$E,4,FALSE)</f>
        <v>600</v>
      </c>
      <c r="I5018" s="2">
        <v>3</v>
      </c>
    </row>
    <row r="5019" spans="1:9" x14ac:dyDescent="0.25">
      <c r="A5019" s="2" t="str">
        <f>CONCATENATE(Códigos!S5018,Códigos!T5018,Códigos!U5018)</f>
        <v>svv5017v</v>
      </c>
      <c r="B5019" t="s">
        <v>332</v>
      </c>
      <c r="C5019" t="s">
        <v>380</v>
      </c>
      <c r="D5019" s="2" t="s">
        <v>381</v>
      </c>
      <c r="E5019" t="s">
        <v>385</v>
      </c>
      <c r="F5019" s="11">
        <v>43895</v>
      </c>
      <c r="G5019" s="14">
        <f t="array" ref="G5019">VLOOKUP(E5019,Produtos!$A:$E,5,FALSE)</f>
        <v>150</v>
      </c>
      <c r="H5019" s="14">
        <f>VLOOKUP(E5019,Produtos!$A:$E,4,FALSE)</f>
        <v>70</v>
      </c>
      <c r="I5019" s="2">
        <v>3</v>
      </c>
    </row>
    <row r="5020" spans="1:9" x14ac:dyDescent="0.25">
      <c r="A5020" s="2" t="str">
        <f>CONCATENATE(Códigos!S5019,Códigos!T5019,Códigos!U5019)</f>
        <v>svv5018v</v>
      </c>
      <c r="B5020" t="s">
        <v>332</v>
      </c>
      <c r="C5020" t="s">
        <v>380</v>
      </c>
      <c r="D5020" s="2" t="s">
        <v>381</v>
      </c>
      <c r="E5020" t="s">
        <v>385</v>
      </c>
      <c r="F5020" s="11">
        <v>43896</v>
      </c>
      <c r="G5020" s="14">
        <f t="array" ref="G5020">VLOOKUP(E5020,Produtos!$A:$E,5,FALSE)</f>
        <v>150</v>
      </c>
      <c r="H5020" s="14">
        <f>VLOOKUP(E5020,Produtos!$A:$E,4,FALSE)</f>
        <v>70</v>
      </c>
      <c r="I5020" s="2">
        <v>3</v>
      </c>
    </row>
    <row r="5021" spans="1:9" x14ac:dyDescent="0.25">
      <c r="A5021" s="2" t="str">
        <f>CONCATENATE(Códigos!S5020,Códigos!T5020,Códigos!U5020)</f>
        <v>svv5019v</v>
      </c>
      <c r="B5021" t="s">
        <v>332</v>
      </c>
      <c r="C5021" t="s">
        <v>380</v>
      </c>
      <c r="D5021" s="2" t="s">
        <v>381</v>
      </c>
      <c r="E5021" t="s">
        <v>385</v>
      </c>
      <c r="F5021" s="11">
        <v>43897</v>
      </c>
      <c r="G5021" s="14">
        <f t="array" ref="G5021">VLOOKUP(E5021,Produtos!$A:$E,5,FALSE)</f>
        <v>150</v>
      </c>
      <c r="H5021" s="14">
        <f>VLOOKUP(E5021,Produtos!$A:$E,4,FALSE)</f>
        <v>70</v>
      </c>
      <c r="I5021" s="2">
        <v>3</v>
      </c>
    </row>
    <row r="5022" spans="1:9" x14ac:dyDescent="0.25">
      <c r="A5022" s="2" t="str">
        <f>CONCATENATE(Códigos!S5021,Códigos!T5021,Códigos!U5021)</f>
        <v>svv5020v</v>
      </c>
      <c r="B5022" t="s">
        <v>332</v>
      </c>
      <c r="C5022" t="s">
        <v>380</v>
      </c>
      <c r="D5022" s="2" t="s">
        <v>381</v>
      </c>
      <c r="E5022" t="s">
        <v>385</v>
      </c>
      <c r="F5022" s="11">
        <v>43898</v>
      </c>
      <c r="G5022" s="14">
        <f t="array" ref="G5022">VLOOKUP(E5022,Produtos!$A:$E,5,FALSE)</f>
        <v>150</v>
      </c>
      <c r="H5022" s="14">
        <f>VLOOKUP(E5022,Produtos!$A:$E,4,FALSE)</f>
        <v>70</v>
      </c>
      <c r="I5022" s="2">
        <v>3</v>
      </c>
    </row>
    <row r="5023" spans="1:9" x14ac:dyDescent="0.25">
      <c r="A5023" s="2" t="str">
        <f>CONCATENATE(Códigos!S5022,Códigos!T5022,Códigos!U5022)</f>
        <v>svv5021v</v>
      </c>
      <c r="B5023" t="s">
        <v>332</v>
      </c>
      <c r="C5023" t="s">
        <v>380</v>
      </c>
      <c r="D5023" s="2" t="s">
        <v>381</v>
      </c>
      <c r="E5023" t="s">
        <v>330</v>
      </c>
      <c r="F5023" s="11">
        <v>43899</v>
      </c>
      <c r="G5023" s="14">
        <f t="array" ref="G5023">VLOOKUP(E5023,Produtos!$A:$E,5,FALSE)</f>
        <v>1600</v>
      </c>
      <c r="H5023" s="14">
        <f>VLOOKUP(E5023,Produtos!$A:$E,4,FALSE)</f>
        <v>800</v>
      </c>
      <c r="I5023" s="2">
        <v>3</v>
      </c>
    </row>
    <row r="5024" spans="1:9" x14ac:dyDescent="0.25">
      <c r="A5024" s="2" t="str">
        <f>CONCATENATE(Códigos!S5023,Códigos!T5023,Códigos!U5023)</f>
        <v>svv5022v</v>
      </c>
      <c r="B5024" t="s">
        <v>332</v>
      </c>
      <c r="C5024" t="s">
        <v>380</v>
      </c>
      <c r="D5024" s="2" t="s">
        <v>381</v>
      </c>
      <c r="E5024" t="s">
        <v>330</v>
      </c>
      <c r="F5024" s="11">
        <v>43900</v>
      </c>
      <c r="G5024" s="14">
        <f t="array" ref="G5024">VLOOKUP(E5024,Produtos!$A:$E,5,FALSE)</f>
        <v>1600</v>
      </c>
      <c r="H5024" s="14">
        <f>VLOOKUP(E5024,Produtos!$A:$E,4,FALSE)</f>
        <v>800</v>
      </c>
      <c r="I5024" s="2">
        <v>3</v>
      </c>
    </row>
    <row r="5025" spans="1:9" x14ac:dyDescent="0.25">
      <c r="A5025" s="2" t="str">
        <f>CONCATENATE(Códigos!S5024,Códigos!T5024,Códigos!U5024)</f>
        <v>svv5023v</v>
      </c>
      <c r="B5025" t="s">
        <v>332</v>
      </c>
      <c r="C5025" t="s">
        <v>380</v>
      </c>
      <c r="D5025" s="2" t="s">
        <v>381</v>
      </c>
      <c r="E5025" t="s">
        <v>330</v>
      </c>
      <c r="F5025" s="11">
        <v>43901</v>
      </c>
      <c r="G5025" s="14">
        <f t="array" ref="G5025">VLOOKUP(E5025,Produtos!$A:$E,5,FALSE)</f>
        <v>1600</v>
      </c>
      <c r="H5025" s="14">
        <f>VLOOKUP(E5025,Produtos!$A:$E,4,FALSE)</f>
        <v>800</v>
      </c>
      <c r="I5025" s="2">
        <v>3</v>
      </c>
    </row>
    <row r="5026" spans="1:9" x14ac:dyDescent="0.25">
      <c r="A5026" s="2" t="str">
        <f>CONCATENATE(Códigos!S5025,Códigos!T5025,Códigos!U5025)</f>
        <v>svv5024v</v>
      </c>
      <c r="B5026" t="s">
        <v>332</v>
      </c>
      <c r="C5026" t="s">
        <v>380</v>
      </c>
      <c r="D5026" s="2" t="s">
        <v>381</v>
      </c>
      <c r="E5026" t="s">
        <v>330</v>
      </c>
      <c r="F5026" s="11">
        <v>43902</v>
      </c>
      <c r="G5026" s="14">
        <f t="array" ref="G5026">VLOOKUP(E5026,Produtos!$A:$E,5,FALSE)</f>
        <v>1600</v>
      </c>
      <c r="H5026" s="14">
        <f>VLOOKUP(E5026,Produtos!$A:$E,4,FALSE)</f>
        <v>800</v>
      </c>
      <c r="I5026" s="2">
        <v>3</v>
      </c>
    </row>
    <row r="5027" spans="1:9" x14ac:dyDescent="0.25">
      <c r="A5027" s="2" t="str">
        <f>CONCATENATE(Códigos!S5026,Códigos!T5026,Códigos!U5026)</f>
        <v>svv5025v</v>
      </c>
      <c r="B5027" t="s">
        <v>332</v>
      </c>
      <c r="C5027" t="s">
        <v>380</v>
      </c>
      <c r="D5027" s="2" t="s">
        <v>381</v>
      </c>
      <c r="E5027" t="s">
        <v>330</v>
      </c>
      <c r="F5027" s="11">
        <v>43903</v>
      </c>
      <c r="G5027" s="14">
        <f t="array" ref="G5027">VLOOKUP(E5027,Produtos!$A:$E,5,FALSE)</f>
        <v>1600</v>
      </c>
      <c r="H5027" s="14">
        <f>VLOOKUP(E5027,Produtos!$A:$E,4,FALSE)</f>
        <v>800</v>
      </c>
      <c r="I5027" s="2">
        <v>3</v>
      </c>
    </row>
    <row r="5028" spans="1:9" x14ac:dyDescent="0.25">
      <c r="A5028" s="2" t="str">
        <f>CONCATENATE(Códigos!S5027,Códigos!T5027,Códigos!U5027)</f>
        <v>svv5026v</v>
      </c>
      <c r="B5028" t="s">
        <v>332</v>
      </c>
      <c r="C5028" t="s">
        <v>380</v>
      </c>
      <c r="D5028" s="2" t="s">
        <v>381</v>
      </c>
      <c r="E5028" t="s">
        <v>382</v>
      </c>
      <c r="F5028" s="11">
        <v>43904</v>
      </c>
      <c r="G5028" s="14">
        <f t="array" ref="G5028">VLOOKUP(E5028,Produtos!$A:$E,5,FALSE)</f>
        <v>400</v>
      </c>
      <c r="H5028" s="14">
        <f>VLOOKUP(E5028,Produtos!$A:$E,4,FALSE)</f>
        <v>250</v>
      </c>
      <c r="I5028" s="2">
        <v>3</v>
      </c>
    </row>
    <row r="5029" spans="1:9" x14ac:dyDescent="0.25">
      <c r="A5029" s="2" t="str">
        <f>CONCATENATE(Códigos!S5028,Códigos!T5028,Códigos!U5028)</f>
        <v>svv5027v</v>
      </c>
      <c r="B5029" t="s">
        <v>332</v>
      </c>
      <c r="C5029" t="s">
        <v>380</v>
      </c>
      <c r="D5029" s="2" t="s">
        <v>381</v>
      </c>
      <c r="E5029" t="s">
        <v>382</v>
      </c>
      <c r="F5029" s="11">
        <v>43905</v>
      </c>
      <c r="G5029" s="14">
        <f t="array" ref="G5029">VLOOKUP(E5029,Produtos!$A:$E,5,FALSE)</f>
        <v>400</v>
      </c>
      <c r="H5029" s="14">
        <f>VLOOKUP(E5029,Produtos!$A:$E,4,FALSE)</f>
        <v>250</v>
      </c>
      <c r="I5029" s="2">
        <v>3</v>
      </c>
    </row>
    <row r="5030" spans="1:9" x14ac:dyDescent="0.25">
      <c r="A5030" s="2" t="str">
        <f>CONCATENATE(Códigos!S5029,Códigos!T5029,Códigos!U5029)</f>
        <v>svv5028v</v>
      </c>
      <c r="B5030" t="s">
        <v>332</v>
      </c>
      <c r="C5030" t="s">
        <v>380</v>
      </c>
      <c r="D5030" s="2" t="s">
        <v>381</v>
      </c>
      <c r="E5030" t="s">
        <v>382</v>
      </c>
      <c r="F5030" s="11">
        <v>43906</v>
      </c>
      <c r="G5030" s="14">
        <f t="array" ref="G5030">VLOOKUP(E5030,Produtos!$A:$E,5,FALSE)</f>
        <v>400</v>
      </c>
      <c r="H5030" s="14">
        <f>VLOOKUP(E5030,Produtos!$A:$E,4,FALSE)</f>
        <v>250</v>
      </c>
      <c r="I5030" s="2">
        <v>3</v>
      </c>
    </row>
    <row r="5031" spans="1:9" x14ac:dyDescent="0.25">
      <c r="A5031" s="2" t="str">
        <f>CONCATENATE(Códigos!S5030,Códigos!T5030,Códigos!U5030)</f>
        <v>svv5029v</v>
      </c>
      <c r="B5031" t="s">
        <v>332</v>
      </c>
      <c r="C5031" t="s">
        <v>380</v>
      </c>
      <c r="D5031" s="2" t="s">
        <v>381</v>
      </c>
      <c r="E5031" t="s">
        <v>382</v>
      </c>
      <c r="F5031" s="11">
        <v>43907</v>
      </c>
      <c r="G5031" s="14">
        <f t="array" ref="G5031">VLOOKUP(E5031,Produtos!$A:$E,5,FALSE)</f>
        <v>400</v>
      </c>
      <c r="H5031" s="14">
        <f>VLOOKUP(E5031,Produtos!$A:$E,4,FALSE)</f>
        <v>250</v>
      </c>
      <c r="I5031" s="2">
        <v>3</v>
      </c>
    </row>
    <row r="5032" spans="1:9" x14ac:dyDescent="0.25">
      <c r="A5032" s="2" t="str">
        <f>CONCATENATE(Códigos!S5031,Códigos!T5031,Códigos!U5031)</f>
        <v>svv5030v</v>
      </c>
      <c r="B5032" t="s">
        <v>332</v>
      </c>
      <c r="C5032" t="s">
        <v>380</v>
      </c>
      <c r="D5032" s="2" t="s">
        <v>381</v>
      </c>
      <c r="E5032" t="s">
        <v>382</v>
      </c>
      <c r="F5032" s="11">
        <v>43908</v>
      </c>
      <c r="G5032" s="14">
        <f t="array" ref="G5032">VLOOKUP(E5032,Produtos!$A:$E,5,FALSE)</f>
        <v>400</v>
      </c>
      <c r="H5032" s="14">
        <f>VLOOKUP(E5032,Produtos!$A:$E,4,FALSE)</f>
        <v>250</v>
      </c>
      <c r="I5032" s="2">
        <v>3</v>
      </c>
    </row>
    <row r="5033" spans="1:9" x14ac:dyDescent="0.25">
      <c r="A5033" s="2" t="str">
        <f>CONCATENATE(Códigos!S5032,Códigos!T5032,Códigos!U5032)</f>
        <v>svv5031v</v>
      </c>
      <c r="B5033" t="s">
        <v>332</v>
      </c>
      <c r="C5033" t="s">
        <v>380</v>
      </c>
      <c r="D5033" s="2" t="s">
        <v>381</v>
      </c>
      <c r="E5033" t="s">
        <v>382</v>
      </c>
      <c r="F5033" s="11">
        <v>43909</v>
      </c>
      <c r="G5033" s="14">
        <f t="array" ref="G5033">VLOOKUP(E5033,Produtos!$A:$E,5,FALSE)</f>
        <v>400</v>
      </c>
      <c r="H5033" s="14">
        <f>VLOOKUP(E5033,Produtos!$A:$E,4,FALSE)</f>
        <v>250</v>
      </c>
      <c r="I5033" s="2">
        <v>3</v>
      </c>
    </row>
    <row r="5034" spans="1:9" x14ac:dyDescent="0.25">
      <c r="A5034" s="2" t="str">
        <f>CONCATENATE(Códigos!S5033,Códigos!T5033,Códigos!U5033)</f>
        <v>svv5032v</v>
      </c>
      <c r="B5034" t="s">
        <v>332</v>
      </c>
      <c r="C5034" t="s">
        <v>380</v>
      </c>
      <c r="D5034" s="2" t="s">
        <v>381</v>
      </c>
      <c r="E5034" t="s">
        <v>382</v>
      </c>
      <c r="F5034" s="11">
        <v>43910</v>
      </c>
      <c r="G5034" s="14">
        <f t="array" ref="G5034">VLOOKUP(E5034,Produtos!$A:$E,5,FALSE)</f>
        <v>400</v>
      </c>
      <c r="H5034" s="14">
        <f>VLOOKUP(E5034,Produtos!$A:$E,4,FALSE)</f>
        <v>250</v>
      </c>
      <c r="I5034" s="2">
        <v>1</v>
      </c>
    </row>
    <row r="5035" spans="1:9" x14ac:dyDescent="0.25">
      <c r="A5035" s="2" t="str">
        <f>CONCATENATE(Códigos!S5034,Códigos!T5034,Códigos!U5034)</f>
        <v>svv5033v</v>
      </c>
      <c r="B5035" t="s">
        <v>374</v>
      </c>
      <c r="C5035" t="s">
        <v>383</v>
      </c>
      <c r="D5035" s="2" t="s">
        <v>384</v>
      </c>
      <c r="E5035" t="s">
        <v>382</v>
      </c>
      <c r="F5035" s="11">
        <v>43911</v>
      </c>
      <c r="G5035" s="14">
        <f t="array" ref="G5035">VLOOKUP(E5035,Produtos!$A:$E,5,FALSE)</f>
        <v>400</v>
      </c>
      <c r="H5035" s="14">
        <f>VLOOKUP(E5035,Produtos!$A:$E,4,FALSE)</f>
        <v>250</v>
      </c>
      <c r="I5035" s="2">
        <v>1</v>
      </c>
    </row>
    <row r="5036" spans="1:9" x14ac:dyDescent="0.25">
      <c r="A5036" s="2" t="str">
        <f>CONCATENATE(Códigos!S5035,Códigos!T5035,Códigos!U5035)</f>
        <v>svv5034v</v>
      </c>
      <c r="B5036" t="s">
        <v>374</v>
      </c>
      <c r="C5036" t="s">
        <v>383</v>
      </c>
      <c r="D5036" s="2" t="s">
        <v>384</v>
      </c>
      <c r="E5036" t="s">
        <v>382</v>
      </c>
      <c r="F5036" s="11">
        <v>43912</v>
      </c>
      <c r="G5036" s="14">
        <f t="array" ref="G5036">VLOOKUP(E5036,Produtos!$A:$E,5,FALSE)</f>
        <v>400</v>
      </c>
      <c r="H5036" s="14">
        <f>VLOOKUP(E5036,Produtos!$A:$E,4,FALSE)</f>
        <v>250</v>
      </c>
      <c r="I5036" s="2">
        <v>1</v>
      </c>
    </row>
    <row r="5037" spans="1:9" x14ac:dyDescent="0.25">
      <c r="A5037" s="2" t="str">
        <f>CONCATENATE(Códigos!S5036,Códigos!T5036,Códigos!U5036)</f>
        <v>svv5035v</v>
      </c>
      <c r="B5037" t="s">
        <v>374</v>
      </c>
      <c r="C5037" t="s">
        <v>383</v>
      </c>
      <c r="D5037" s="2" t="s">
        <v>384</v>
      </c>
      <c r="E5037" t="s">
        <v>382</v>
      </c>
      <c r="F5037" s="11">
        <v>43913</v>
      </c>
      <c r="G5037" s="14">
        <f t="array" ref="G5037">VLOOKUP(E5037,Produtos!$A:$E,5,FALSE)</f>
        <v>400</v>
      </c>
      <c r="H5037" s="14">
        <f>VLOOKUP(E5037,Produtos!$A:$E,4,FALSE)</f>
        <v>250</v>
      </c>
      <c r="I5037" s="2">
        <v>1</v>
      </c>
    </row>
    <row r="5038" spans="1:9" x14ac:dyDescent="0.25">
      <c r="A5038" s="2" t="str">
        <f>CONCATENATE(Códigos!S5037,Códigos!T5037,Códigos!U5037)</f>
        <v>svv5036v</v>
      </c>
      <c r="B5038" t="s">
        <v>374</v>
      </c>
      <c r="C5038" t="s">
        <v>383</v>
      </c>
      <c r="D5038" s="2" t="s">
        <v>384</v>
      </c>
      <c r="E5038" t="s">
        <v>382</v>
      </c>
      <c r="F5038" s="11">
        <v>43914</v>
      </c>
      <c r="G5038" s="14">
        <f t="array" ref="G5038">VLOOKUP(E5038,Produtos!$A:$E,5,FALSE)</f>
        <v>400</v>
      </c>
      <c r="H5038" s="14">
        <f>VLOOKUP(E5038,Produtos!$A:$E,4,FALSE)</f>
        <v>250</v>
      </c>
      <c r="I5038" s="2">
        <v>1</v>
      </c>
    </row>
    <row r="5039" spans="1:9" x14ac:dyDescent="0.25">
      <c r="A5039" s="2" t="str">
        <f>CONCATENATE(Códigos!S5038,Códigos!T5038,Códigos!U5038)</f>
        <v>svv5037v</v>
      </c>
      <c r="B5039" t="s">
        <v>374</v>
      </c>
      <c r="C5039" t="s">
        <v>383</v>
      </c>
      <c r="D5039" s="2" t="s">
        <v>384</v>
      </c>
      <c r="E5039" t="s">
        <v>382</v>
      </c>
      <c r="F5039" s="11">
        <v>43915</v>
      </c>
      <c r="G5039" s="14">
        <f t="array" ref="G5039">VLOOKUP(E5039,Produtos!$A:$E,5,FALSE)</f>
        <v>400</v>
      </c>
      <c r="H5039" s="14">
        <f>VLOOKUP(E5039,Produtos!$A:$E,4,FALSE)</f>
        <v>250</v>
      </c>
      <c r="I5039" s="2">
        <v>1</v>
      </c>
    </row>
    <row r="5040" spans="1:9" x14ac:dyDescent="0.25">
      <c r="A5040" s="2" t="str">
        <f>CONCATENATE(Códigos!S5039,Códigos!T5039,Códigos!U5039)</f>
        <v>svv5038v</v>
      </c>
      <c r="B5040" t="s">
        <v>374</v>
      </c>
      <c r="C5040" t="s">
        <v>383</v>
      </c>
      <c r="D5040" s="2" t="s">
        <v>384</v>
      </c>
      <c r="E5040" t="s">
        <v>382</v>
      </c>
      <c r="F5040" s="11">
        <v>43916</v>
      </c>
      <c r="G5040" s="14">
        <f t="array" ref="G5040">VLOOKUP(E5040,Produtos!$A:$E,5,FALSE)</f>
        <v>400</v>
      </c>
      <c r="H5040" s="14">
        <f>VLOOKUP(E5040,Produtos!$A:$E,4,FALSE)</f>
        <v>250</v>
      </c>
      <c r="I5040" s="2">
        <v>1</v>
      </c>
    </row>
    <row r="5041" spans="1:9" x14ac:dyDescent="0.25">
      <c r="A5041" s="2" t="str">
        <f>CONCATENATE(Códigos!S5040,Códigos!T5040,Códigos!U5040)</f>
        <v>svv5039v</v>
      </c>
      <c r="B5041" t="s">
        <v>374</v>
      </c>
      <c r="C5041" t="s">
        <v>383</v>
      </c>
      <c r="D5041" s="2" t="s">
        <v>384</v>
      </c>
      <c r="E5041" t="s">
        <v>382</v>
      </c>
      <c r="F5041" s="11">
        <v>43917</v>
      </c>
      <c r="G5041" s="14">
        <f t="array" ref="G5041">VLOOKUP(E5041,Produtos!$A:$E,5,FALSE)</f>
        <v>400</v>
      </c>
      <c r="H5041" s="14">
        <f>VLOOKUP(E5041,Produtos!$A:$E,4,FALSE)</f>
        <v>250</v>
      </c>
      <c r="I5041" s="2">
        <v>1</v>
      </c>
    </row>
    <row r="5042" spans="1:9" x14ac:dyDescent="0.25">
      <c r="A5042" s="2" t="str">
        <f>CONCATENATE(Códigos!S5041,Códigos!T5041,Códigos!U5041)</f>
        <v>svv5040v</v>
      </c>
      <c r="B5042" t="s">
        <v>374</v>
      </c>
      <c r="C5042" t="s">
        <v>383</v>
      </c>
      <c r="D5042" s="2" t="s">
        <v>384</v>
      </c>
      <c r="E5042" t="s">
        <v>382</v>
      </c>
      <c r="F5042" s="11">
        <v>43918</v>
      </c>
      <c r="G5042" s="14">
        <f t="array" ref="G5042">VLOOKUP(E5042,Produtos!$A:$E,5,FALSE)</f>
        <v>400</v>
      </c>
      <c r="H5042" s="14">
        <f>VLOOKUP(E5042,Produtos!$A:$E,4,FALSE)</f>
        <v>250</v>
      </c>
      <c r="I5042" s="2">
        <v>1</v>
      </c>
    </row>
    <row r="5043" spans="1:9" x14ac:dyDescent="0.25">
      <c r="A5043" s="2" t="str">
        <f>CONCATENATE(Códigos!S5042,Códigos!T5042,Códigos!U5042)</f>
        <v>svv5041v</v>
      </c>
      <c r="B5043" t="s">
        <v>374</v>
      </c>
      <c r="C5043" t="s">
        <v>383</v>
      </c>
      <c r="D5043" s="2" t="s">
        <v>384</v>
      </c>
      <c r="E5043" t="s">
        <v>382</v>
      </c>
      <c r="F5043" s="11">
        <v>43919</v>
      </c>
      <c r="G5043" s="14">
        <f t="array" ref="G5043">VLOOKUP(E5043,Produtos!$A:$E,5,FALSE)</f>
        <v>400</v>
      </c>
      <c r="H5043" s="14">
        <f>VLOOKUP(E5043,Produtos!$A:$E,4,FALSE)</f>
        <v>250</v>
      </c>
      <c r="I5043" s="2">
        <v>1</v>
      </c>
    </row>
    <row r="5044" spans="1:9" x14ac:dyDescent="0.25">
      <c r="A5044" s="2" t="str">
        <f>CONCATENATE(Códigos!S5043,Códigos!T5043,Códigos!U5043)</f>
        <v>svv5042v</v>
      </c>
      <c r="B5044" t="s">
        <v>374</v>
      </c>
      <c r="C5044" t="s">
        <v>383</v>
      </c>
      <c r="D5044" s="2" t="s">
        <v>384</v>
      </c>
      <c r="E5044" t="s">
        <v>382</v>
      </c>
      <c r="F5044" s="11">
        <v>43920</v>
      </c>
      <c r="G5044" s="14">
        <f t="array" ref="G5044">VLOOKUP(E5044,Produtos!$A:$E,5,FALSE)</f>
        <v>400</v>
      </c>
      <c r="H5044" s="14">
        <f>VLOOKUP(E5044,Produtos!$A:$E,4,FALSE)</f>
        <v>250</v>
      </c>
      <c r="I5044" s="2">
        <v>1</v>
      </c>
    </row>
    <row r="5045" spans="1:9" x14ac:dyDescent="0.25">
      <c r="A5045" s="2" t="str">
        <f>CONCATENATE(Códigos!S5044,Códigos!T5044,Códigos!U5044)</f>
        <v>svv5043v</v>
      </c>
      <c r="B5045" t="s">
        <v>374</v>
      </c>
      <c r="C5045" t="s">
        <v>380</v>
      </c>
      <c r="D5045" s="2" t="s">
        <v>381</v>
      </c>
      <c r="E5045" t="s">
        <v>382</v>
      </c>
      <c r="F5045" s="11">
        <v>43921</v>
      </c>
      <c r="G5045" s="14">
        <f t="array" ref="G5045">VLOOKUP(E5045,Produtos!$A:$E,5,FALSE)</f>
        <v>400</v>
      </c>
      <c r="H5045" s="14">
        <f>VLOOKUP(E5045,Produtos!$A:$E,4,FALSE)</f>
        <v>250</v>
      </c>
      <c r="I5045" s="2">
        <v>1</v>
      </c>
    </row>
    <row r="5046" spans="1:9" x14ac:dyDescent="0.25">
      <c r="A5046" s="2" t="str">
        <f>CONCATENATE(Códigos!S5045,Códigos!T5045,Códigos!U5045)</f>
        <v>svv5044v</v>
      </c>
      <c r="B5046" t="s">
        <v>374</v>
      </c>
      <c r="C5046" t="s">
        <v>380</v>
      </c>
      <c r="D5046" s="2" t="s">
        <v>381</v>
      </c>
      <c r="E5046" t="s">
        <v>382</v>
      </c>
      <c r="F5046" s="11">
        <v>43922</v>
      </c>
      <c r="G5046" s="14">
        <f t="array" ref="G5046">VLOOKUP(E5046,Produtos!$A:$E,5,FALSE)</f>
        <v>400</v>
      </c>
      <c r="H5046" s="14">
        <f>VLOOKUP(E5046,Produtos!$A:$E,4,FALSE)</f>
        <v>250</v>
      </c>
      <c r="I5046" s="2">
        <v>1</v>
      </c>
    </row>
    <row r="5047" spans="1:9" x14ac:dyDescent="0.25">
      <c r="A5047" s="2" t="str">
        <f>CONCATENATE(Códigos!S5046,Códigos!T5046,Códigos!U5046)</f>
        <v>svv5045v</v>
      </c>
      <c r="B5047" t="s">
        <v>374</v>
      </c>
      <c r="C5047" t="s">
        <v>380</v>
      </c>
      <c r="D5047" s="2" t="s">
        <v>381</v>
      </c>
      <c r="E5047" t="s">
        <v>382</v>
      </c>
      <c r="F5047" s="11">
        <v>43923</v>
      </c>
      <c r="G5047" s="14">
        <f t="array" ref="G5047">VLOOKUP(E5047,Produtos!$A:$E,5,FALSE)</f>
        <v>400</v>
      </c>
      <c r="H5047" s="14">
        <f>VLOOKUP(E5047,Produtos!$A:$E,4,FALSE)</f>
        <v>250</v>
      </c>
      <c r="I5047" s="2">
        <v>1</v>
      </c>
    </row>
    <row r="5048" spans="1:9" x14ac:dyDescent="0.25">
      <c r="A5048" s="2" t="str">
        <f>CONCATENATE(Códigos!S5047,Códigos!T5047,Códigos!U5047)</f>
        <v>svv5046v</v>
      </c>
      <c r="B5048" t="s">
        <v>374</v>
      </c>
      <c r="C5048" t="s">
        <v>380</v>
      </c>
      <c r="D5048" s="2" t="s">
        <v>381</v>
      </c>
      <c r="E5048" t="s">
        <v>382</v>
      </c>
      <c r="F5048" s="11">
        <v>43924</v>
      </c>
      <c r="G5048" s="14">
        <f t="array" ref="G5048">VLOOKUP(E5048,Produtos!$A:$E,5,FALSE)</f>
        <v>400</v>
      </c>
      <c r="H5048" s="14">
        <f>VLOOKUP(E5048,Produtos!$A:$E,4,FALSE)</f>
        <v>250</v>
      </c>
      <c r="I5048" s="2">
        <v>1</v>
      </c>
    </row>
    <row r="5049" spans="1:9" x14ac:dyDescent="0.25">
      <c r="A5049" s="2" t="str">
        <f>CONCATENATE(Códigos!S5048,Códigos!T5048,Códigos!U5048)</f>
        <v>svv5047v</v>
      </c>
      <c r="B5049" t="s">
        <v>374</v>
      </c>
      <c r="C5049" t="s">
        <v>380</v>
      </c>
      <c r="D5049" s="2" t="s">
        <v>381</v>
      </c>
      <c r="E5049" t="s">
        <v>355</v>
      </c>
      <c r="F5049" s="11">
        <v>43925</v>
      </c>
      <c r="G5049" s="14">
        <f t="array" ref="G5049">VLOOKUP(E5049,Produtos!$A:$E,5,FALSE)</f>
        <v>1300</v>
      </c>
      <c r="H5049" s="14">
        <f>VLOOKUP(E5049,Produtos!$A:$E,4,FALSE)</f>
        <v>1000</v>
      </c>
      <c r="I5049" s="2">
        <v>1</v>
      </c>
    </row>
    <row r="5050" spans="1:9" x14ac:dyDescent="0.25">
      <c r="A5050" s="2" t="str">
        <f>CONCATENATE(Códigos!S5049,Códigos!T5049,Códigos!U5049)</f>
        <v>svv5048v</v>
      </c>
      <c r="B5050" t="s">
        <v>374</v>
      </c>
      <c r="C5050" t="s">
        <v>380</v>
      </c>
      <c r="D5050" s="2" t="s">
        <v>381</v>
      </c>
      <c r="E5050" t="s">
        <v>355</v>
      </c>
      <c r="F5050" s="11">
        <v>43926</v>
      </c>
      <c r="G5050" s="14">
        <f t="array" ref="G5050">VLOOKUP(E5050,Produtos!$A:$E,5,FALSE)</f>
        <v>1300</v>
      </c>
      <c r="H5050" s="14">
        <f>VLOOKUP(E5050,Produtos!$A:$E,4,FALSE)</f>
        <v>1000</v>
      </c>
      <c r="I5050" s="2">
        <v>1</v>
      </c>
    </row>
    <row r="5051" spans="1:9" x14ac:dyDescent="0.25">
      <c r="A5051" s="2" t="str">
        <f>CONCATENATE(Códigos!S5050,Códigos!T5050,Códigos!U5050)</f>
        <v>svv5049v</v>
      </c>
      <c r="B5051" t="s">
        <v>374</v>
      </c>
      <c r="C5051" t="s">
        <v>380</v>
      </c>
      <c r="D5051" s="2" t="s">
        <v>381</v>
      </c>
      <c r="E5051" t="s">
        <v>355</v>
      </c>
      <c r="F5051" s="11">
        <v>43927</v>
      </c>
      <c r="G5051" s="14">
        <f t="array" ref="G5051">VLOOKUP(E5051,Produtos!$A:$E,5,FALSE)</f>
        <v>1300</v>
      </c>
      <c r="H5051" s="14">
        <f>VLOOKUP(E5051,Produtos!$A:$E,4,FALSE)</f>
        <v>1000</v>
      </c>
      <c r="I5051" s="2">
        <v>1</v>
      </c>
    </row>
    <row r="5052" spans="1:9" x14ac:dyDescent="0.25">
      <c r="A5052" s="2" t="str">
        <f>CONCATENATE(Códigos!S5051,Códigos!T5051,Códigos!U5051)</f>
        <v>svv5050v</v>
      </c>
      <c r="B5052" t="s">
        <v>374</v>
      </c>
      <c r="C5052" t="s">
        <v>380</v>
      </c>
      <c r="D5052" s="2" t="s">
        <v>381</v>
      </c>
      <c r="E5052" t="s">
        <v>355</v>
      </c>
      <c r="F5052" s="11">
        <v>43928</v>
      </c>
      <c r="G5052" s="14">
        <f t="array" ref="G5052">VLOOKUP(E5052,Produtos!$A:$E,5,FALSE)</f>
        <v>1300</v>
      </c>
      <c r="H5052" s="14">
        <f>VLOOKUP(E5052,Produtos!$A:$E,4,FALSE)</f>
        <v>1000</v>
      </c>
      <c r="I5052" s="2">
        <v>1</v>
      </c>
    </row>
    <row r="5053" spans="1:9" x14ac:dyDescent="0.25">
      <c r="A5053" s="2" t="str">
        <f>CONCATENATE(Códigos!S5052,Códigos!T5052,Códigos!U5052)</f>
        <v>svv5051v</v>
      </c>
      <c r="B5053" t="s">
        <v>374</v>
      </c>
      <c r="C5053" t="s">
        <v>380</v>
      </c>
      <c r="D5053" s="2" t="s">
        <v>381</v>
      </c>
      <c r="E5053" t="s">
        <v>355</v>
      </c>
      <c r="F5053" s="11">
        <v>43929</v>
      </c>
      <c r="G5053" s="14">
        <f t="array" ref="G5053">VLOOKUP(E5053,Produtos!$A:$E,5,FALSE)</f>
        <v>1300</v>
      </c>
      <c r="H5053" s="14">
        <f>VLOOKUP(E5053,Produtos!$A:$E,4,FALSE)</f>
        <v>1000</v>
      </c>
      <c r="I5053" s="2">
        <v>1</v>
      </c>
    </row>
    <row r="5054" spans="1:9" x14ac:dyDescent="0.25">
      <c r="A5054" s="2" t="str">
        <f>CONCATENATE(Códigos!S5053,Códigos!T5053,Códigos!U5053)</f>
        <v>svv5052v</v>
      </c>
      <c r="B5054" t="s">
        <v>374</v>
      </c>
      <c r="C5054" t="s">
        <v>380</v>
      </c>
      <c r="D5054" s="2" t="s">
        <v>381</v>
      </c>
      <c r="E5054" t="s">
        <v>355</v>
      </c>
      <c r="F5054" s="11">
        <v>43930</v>
      </c>
      <c r="G5054" s="14">
        <f t="array" ref="G5054">VLOOKUP(E5054,Produtos!$A:$E,5,FALSE)</f>
        <v>1300</v>
      </c>
      <c r="H5054" s="14">
        <f>VLOOKUP(E5054,Produtos!$A:$E,4,FALSE)</f>
        <v>1000</v>
      </c>
      <c r="I5054" s="2">
        <v>1</v>
      </c>
    </row>
    <row r="5055" spans="1:9" x14ac:dyDescent="0.25">
      <c r="A5055" s="2" t="str">
        <f>CONCATENATE(Códigos!S5054,Códigos!T5054,Códigos!U5054)</f>
        <v>svv5053v</v>
      </c>
      <c r="B5055" t="s">
        <v>374</v>
      </c>
      <c r="C5055" t="s">
        <v>380</v>
      </c>
      <c r="D5055" s="2" t="s">
        <v>381</v>
      </c>
      <c r="E5055" t="s">
        <v>355</v>
      </c>
      <c r="F5055" s="11">
        <v>43931</v>
      </c>
      <c r="G5055" s="14">
        <f t="array" ref="G5055">VLOOKUP(E5055,Produtos!$A:$E,5,FALSE)</f>
        <v>1300</v>
      </c>
      <c r="H5055" s="14">
        <f>VLOOKUP(E5055,Produtos!$A:$E,4,FALSE)</f>
        <v>1000</v>
      </c>
      <c r="I5055" s="2">
        <v>1</v>
      </c>
    </row>
    <row r="5056" spans="1:9" x14ac:dyDescent="0.25">
      <c r="A5056" s="2" t="str">
        <f>CONCATENATE(Códigos!S5055,Códigos!T5055,Códigos!U5055)</f>
        <v>svv5054v</v>
      </c>
      <c r="B5056" t="s">
        <v>374</v>
      </c>
      <c r="C5056" t="s">
        <v>360</v>
      </c>
      <c r="D5056" s="2" t="s">
        <v>361</v>
      </c>
      <c r="E5056" t="s">
        <v>355</v>
      </c>
      <c r="F5056" s="11">
        <v>43932</v>
      </c>
      <c r="G5056" s="14">
        <f t="array" ref="G5056">VLOOKUP(E5056,Produtos!$A:$E,5,FALSE)</f>
        <v>1300</v>
      </c>
      <c r="H5056" s="14">
        <f>VLOOKUP(E5056,Produtos!$A:$E,4,FALSE)</f>
        <v>1000</v>
      </c>
      <c r="I5056" s="2">
        <v>1</v>
      </c>
    </row>
    <row r="5057" spans="1:9" x14ac:dyDescent="0.25">
      <c r="A5057" s="2" t="str">
        <f>CONCATENATE(Códigos!S5056,Códigos!T5056,Códigos!U5056)</f>
        <v>svv5055v</v>
      </c>
      <c r="B5057" t="s">
        <v>374</v>
      </c>
      <c r="C5057" t="s">
        <v>360</v>
      </c>
      <c r="D5057" s="2" t="s">
        <v>361</v>
      </c>
      <c r="E5057" t="s">
        <v>355</v>
      </c>
      <c r="F5057" s="11">
        <v>43933</v>
      </c>
      <c r="G5057" s="14">
        <f t="array" ref="G5057">VLOOKUP(E5057,Produtos!$A:$E,5,FALSE)</f>
        <v>1300</v>
      </c>
      <c r="H5057" s="14">
        <f>VLOOKUP(E5057,Produtos!$A:$E,4,FALSE)</f>
        <v>1000</v>
      </c>
      <c r="I5057" s="2">
        <v>1</v>
      </c>
    </row>
    <row r="5058" spans="1:9" x14ac:dyDescent="0.25">
      <c r="A5058" s="2" t="str">
        <f>CONCATENATE(Códigos!S5057,Códigos!T5057,Códigos!U5057)</f>
        <v>svv5056v</v>
      </c>
      <c r="B5058" t="s">
        <v>374</v>
      </c>
      <c r="C5058" t="s">
        <v>360</v>
      </c>
      <c r="D5058" s="2" t="s">
        <v>361</v>
      </c>
      <c r="E5058" t="s">
        <v>355</v>
      </c>
      <c r="F5058" s="11">
        <v>43934</v>
      </c>
      <c r="G5058" s="14">
        <f t="array" ref="G5058">VLOOKUP(E5058,Produtos!$A:$E,5,FALSE)</f>
        <v>1300</v>
      </c>
      <c r="H5058" s="14">
        <f>VLOOKUP(E5058,Produtos!$A:$E,4,FALSE)</f>
        <v>1000</v>
      </c>
      <c r="I5058" s="2">
        <v>1</v>
      </c>
    </row>
    <row r="5059" spans="1:9" x14ac:dyDescent="0.25">
      <c r="A5059" s="2" t="str">
        <f>CONCATENATE(Códigos!S5058,Códigos!T5058,Códigos!U5058)</f>
        <v>svv5057v</v>
      </c>
      <c r="B5059" t="s">
        <v>374</v>
      </c>
      <c r="C5059" t="s">
        <v>360</v>
      </c>
      <c r="D5059" s="2" t="s">
        <v>361</v>
      </c>
      <c r="E5059" t="s">
        <v>355</v>
      </c>
      <c r="F5059" s="11">
        <v>43935</v>
      </c>
      <c r="G5059" s="14">
        <f t="array" ref="G5059">VLOOKUP(E5059,Produtos!$A:$E,5,FALSE)</f>
        <v>1300</v>
      </c>
      <c r="H5059" s="14">
        <f>VLOOKUP(E5059,Produtos!$A:$E,4,FALSE)</f>
        <v>1000</v>
      </c>
      <c r="I5059" s="2">
        <v>1</v>
      </c>
    </row>
    <row r="5060" spans="1:9" x14ac:dyDescent="0.25">
      <c r="A5060" s="2" t="str">
        <f>CONCATENATE(Códigos!S5059,Códigos!T5059,Códigos!U5059)</f>
        <v>svv5058v</v>
      </c>
      <c r="B5060" t="s">
        <v>374</v>
      </c>
      <c r="C5060" t="s">
        <v>372</v>
      </c>
      <c r="D5060" s="2" t="s">
        <v>373</v>
      </c>
      <c r="E5060" t="s">
        <v>355</v>
      </c>
      <c r="F5060" s="11">
        <v>43936</v>
      </c>
      <c r="G5060" s="14">
        <f t="array" ref="G5060">VLOOKUP(E5060,Produtos!$A:$E,5,FALSE)</f>
        <v>1300</v>
      </c>
      <c r="H5060" s="14">
        <f>VLOOKUP(E5060,Produtos!$A:$E,4,FALSE)</f>
        <v>1000</v>
      </c>
      <c r="I5060" s="2">
        <v>1</v>
      </c>
    </row>
    <row r="5061" spans="1:9" x14ac:dyDescent="0.25">
      <c r="A5061" s="2" t="str">
        <f>CONCATENATE(Códigos!S5060,Códigos!T5060,Códigos!U5060)</f>
        <v>svv5059v</v>
      </c>
      <c r="B5061" t="s">
        <v>374</v>
      </c>
      <c r="C5061" t="s">
        <v>372</v>
      </c>
      <c r="D5061" s="2" t="s">
        <v>373</v>
      </c>
      <c r="E5061" t="s">
        <v>355</v>
      </c>
      <c r="F5061" s="11">
        <v>43937</v>
      </c>
      <c r="G5061" s="14">
        <f t="array" ref="G5061">VLOOKUP(E5061,Produtos!$A:$E,5,FALSE)</f>
        <v>1300</v>
      </c>
      <c r="H5061" s="14">
        <f>VLOOKUP(E5061,Produtos!$A:$E,4,FALSE)</f>
        <v>1000</v>
      </c>
      <c r="I5061" s="2">
        <v>1</v>
      </c>
    </row>
    <row r="5062" spans="1:9" x14ac:dyDescent="0.25">
      <c r="A5062" s="2" t="str">
        <f>CONCATENATE(Códigos!S5061,Códigos!T5061,Códigos!U5061)</f>
        <v>svv5060v</v>
      </c>
      <c r="B5062" t="s">
        <v>374</v>
      </c>
      <c r="C5062" t="s">
        <v>372</v>
      </c>
      <c r="D5062" s="2" t="s">
        <v>373</v>
      </c>
      <c r="E5062" t="s">
        <v>355</v>
      </c>
      <c r="F5062" s="11">
        <v>43938</v>
      </c>
      <c r="G5062" s="14">
        <f t="array" ref="G5062">VLOOKUP(E5062,Produtos!$A:$E,5,FALSE)</f>
        <v>1300</v>
      </c>
      <c r="H5062" s="14">
        <f>VLOOKUP(E5062,Produtos!$A:$E,4,FALSE)</f>
        <v>1000</v>
      </c>
      <c r="I5062" s="2">
        <v>1</v>
      </c>
    </row>
    <row r="5063" spans="1:9" x14ac:dyDescent="0.25">
      <c r="A5063" s="2" t="str">
        <f>CONCATENATE(Códigos!S5062,Códigos!T5062,Códigos!U5062)</f>
        <v>svv5061v</v>
      </c>
      <c r="B5063" t="s">
        <v>374</v>
      </c>
      <c r="C5063" t="s">
        <v>372</v>
      </c>
      <c r="D5063" s="2" t="s">
        <v>373</v>
      </c>
      <c r="E5063" t="s">
        <v>355</v>
      </c>
      <c r="F5063" s="11">
        <v>43939</v>
      </c>
      <c r="G5063" s="14">
        <f t="array" ref="G5063">VLOOKUP(E5063,Produtos!$A:$E,5,FALSE)</f>
        <v>1300</v>
      </c>
      <c r="H5063" s="14">
        <f>VLOOKUP(E5063,Produtos!$A:$E,4,FALSE)</f>
        <v>1000</v>
      </c>
      <c r="I5063" s="2">
        <v>1</v>
      </c>
    </row>
    <row r="5064" spans="1:9" x14ac:dyDescent="0.25">
      <c r="A5064" s="2" t="str">
        <f>CONCATENATE(Códigos!S5063,Códigos!T5063,Códigos!U5063)</f>
        <v>svv5062v</v>
      </c>
      <c r="B5064" t="s">
        <v>374</v>
      </c>
      <c r="C5064" t="s">
        <v>372</v>
      </c>
      <c r="D5064" s="2" t="s">
        <v>373</v>
      </c>
      <c r="E5064" t="s">
        <v>377</v>
      </c>
      <c r="F5064" s="11">
        <v>43940</v>
      </c>
      <c r="G5064" s="14">
        <f t="array" ref="G5064">VLOOKUP(E5064,Produtos!$A:$E,5,FALSE)</f>
        <v>12</v>
      </c>
      <c r="H5064" s="14">
        <f>VLOOKUP(E5064,Produtos!$A:$E,4,FALSE)</f>
        <v>5</v>
      </c>
      <c r="I5064" s="2">
        <v>1</v>
      </c>
    </row>
    <row r="5065" spans="1:9" x14ac:dyDescent="0.25">
      <c r="A5065" s="2" t="str">
        <f>CONCATENATE(Códigos!S5064,Códigos!T5064,Códigos!U5064)</f>
        <v>svv5063v</v>
      </c>
      <c r="B5065" t="s">
        <v>374</v>
      </c>
      <c r="C5065" t="s">
        <v>372</v>
      </c>
      <c r="D5065" s="2" t="s">
        <v>373</v>
      </c>
      <c r="E5065" t="s">
        <v>377</v>
      </c>
      <c r="F5065" s="11">
        <v>43941</v>
      </c>
      <c r="G5065" s="14">
        <f t="array" ref="G5065">VLOOKUP(E5065,Produtos!$A:$E,5,FALSE)</f>
        <v>12</v>
      </c>
      <c r="H5065" s="14">
        <f>VLOOKUP(E5065,Produtos!$A:$E,4,FALSE)</f>
        <v>5</v>
      </c>
      <c r="I5065" s="2">
        <v>1</v>
      </c>
    </row>
    <row r="5066" spans="1:9" x14ac:dyDescent="0.25">
      <c r="A5066" s="2" t="str">
        <f>CONCATENATE(Códigos!S5065,Códigos!T5065,Códigos!U5065)</f>
        <v>svv5064v</v>
      </c>
      <c r="B5066" t="s">
        <v>374</v>
      </c>
      <c r="C5066" t="s">
        <v>372</v>
      </c>
      <c r="D5066" s="2" t="s">
        <v>373</v>
      </c>
      <c r="E5066" t="s">
        <v>377</v>
      </c>
      <c r="F5066" s="11">
        <v>43942</v>
      </c>
      <c r="G5066" s="14">
        <f t="array" ref="G5066">VLOOKUP(E5066,Produtos!$A:$E,5,FALSE)</f>
        <v>12</v>
      </c>
      <c r="H5066" s="14">
        <f>VLOOKUP(E5066,Produtos!$A:$E,4,FALSE)</f>
        <v>5</v>
      </c>
      <c r="I5066" s="2">
        <v>1</v>
      </c>
    </row>
    <row r="5067" spans="1:9" x14ac:dyDescent="0.25">
      <c r="A5067" s="2" t="str">
        <f>CONCATENATE(Códigos!S5066,Códigos!T5066,Códigos!U5066)</f>
        <v>svv5065v</v>
      </c>
      <c r="B5067" t="s">
        <v>374</v>
      </c>
      <c r="C5067" t="s">
        <v>372</v>
      </c>
      <c r="D5067" s="2" t="s">
        <v>373</v>
      </c>
      <c r="E5067" t="s">
        <v>377</v>
      </c>
      <c r="F5067" s="11">
        <v>43943</v>
      </c>
      <c r="G5067" s="14">
        <f t="array" ref="G5067">VLOOKUP(E5067,Produtos!$A:$E,5,FALSE)</f>
        <v>12</v>
      </c>
      <c r="H5067" s="14">
        <f>VLOOKUP(E5067,Produtos!$A:$E,4,FALSE)</f>
        <v>5</v>
      </c>
      <c r="I5067" s="2">
        <v>1</v>
      </c>
    </row>
    <row r="5068" spans="1:9" x14ac:dyDescent="0.25">
      <c r="A5068" s="2" t="str">
        <f>CONCATENATE(Códigos!S5067,Códigos!T5067,Códigos!U5067)</f>
        <v>svv5066v</v>
      </c>
      <c r="B5068" t="s">
        <v>374</v>
      </c>
      <c r="C5068" t="s">
        <v>372</v>
      </c>
      <c r="D5068" s="2" t="s">
        <v>373</v>
      </c>
      <c r="E5068" t="s">
        <v>377</v>
      </c>
      <c r="F5068" s="11">
        <v>43944</v>
      </c>
      <c r="G5068" s="14">
        <f t="array" ref="G5068">VLOOKUP(E5068,Produtos!$A:$E,5,FALSE)</f>
        <v>12</v>
      </c>
      <c r="H5068" s="14">
        <f>VLOOKUP(E5068,Produtos!$A:$E,4,FALSE)</f>
        <v>5</v>
      </c>
      <c r="I5068" s="2">
        <v>1</v>
      </c>
    </row>
    <row r="5069" spans="1:9" x14ac:dyDescent="0.25">
      <c r="A5069" s="2" t="str">
        <f>CONCATENATE(Códigos!S5068,Códigos!T5068,Códigos!U5068)</f>
        <v>svv5067v</v>
      </c>
      <c r="B5069" t="s">
        <v>374</v>
      </c>
      <c r="C5069" t="s">
        <v>372</v>
      </c>
      <c r="D5069" s="2" t="s">
        <v>373</v>
      </c>
      <c r="E5069" t="s">
        <v>377</v>
      </c>
      <c r="F5069" s="11">
        <v>43945</v>
      </c>
      <c r="G5069" s="14">
        <f t="array" ref="G5069">VLOOKUP(E5069,Produtos!$A:$E,5,FALSE)</f>
        <v>12</v>
      </c>
      <c r="H5069" s="14">
        <f>VLOOKUP(E5069,Produtos!$A:$E,4,FALSE)</f>
        <v>5</v>
      </c>
      <c r="I5069" s="2">
        <v>1</v>
      </c>
    </row>
    <row r="5070" spans="1:9" x14ac:dyDescent="0.25">
      <c r="A5070" s="2" t="str">
        <f>CONCATENATE(Códigos!S5069,Códigos!T5069,Códigos!U5069)</f>
        <v>svv5068v</v>
      </c>
      <c r="B5070" t="s">
        <v>374</v>
      </c>
      <c r="C5070" t="s">
        <v>372</v>
      </c>
      <c r="D5070" s="2" t="s">
        <v>373</v>
      </c>
      <c r="E5070" t="s">
        <v>377</v>
      </c>
      <c r="F5070" s="11">
        <v>43946</v>
      </c>
      <c r="G5070" s="14">
        <f t="array" ref="G5070">VLOOKUP(E5070,Produtos!$A:$E,5,FALSE)</f>
        <v>12</v>
      </c>
      <c r="H5070" s="14">
        <f>VLOOKUP(E5070,Produtos!$A:$E,4,FALSE)</f>
        <v>5</v>
      </c>
      <c r="I5070" s="2">
        <v>1</v>
      </c>
    </row>
    <row r="5071" spans="1:9" x14ac:dyDescent="0.25">
      <c r="A5071" s="2" t="str">
        <f>CONCATENATE(Códigos!S5070,Códigos!T5070,Códigos!U5070)</f>
        <v>svv5069v</v>
      </c>
      <c r="B5071" t="s">
        <v>374</v>
      </c>
      <c r="C5071" t="s">
        <v>372</v>
      </c>
      <c r="D5071" s="2" t="s">
        <v>373</v>
      </c>
      <c r="E5071" t="s">
        <v>376</v>
      </c>
      <c r="F5071" s="11">
        <v>43947</v>
      </c>
      <c r="G5071" s="14">
        <f t="array" ref="G5071">VLOOKUP(E5071,Produtos!$A:$E,5,FALSE)</f>
        <v>280</v>
      </c>
      <c r="H5071" s="14">
        <f>VLOOKUP(E5071,Produtos!$A:$E,4,FALSE)</f>
        <v>150</v>
      </c>
      <c r="I5071" s="2">
        <v>1</v>
      </c>
    </row>
    <row r="5072" spans="1:9" x14ac:dyDescent="0.25">
      <c r="A5072" s="2" t="str">
        <f>CONCATENATE(Códigos!S5071,Códigos!T5071,Códigos!U5071)</f>
        <v>svv5070v</v>
      </c>
      <c r="B5072" t="s">
        <v>374</v>
      </c>
      <c r="C5072" t="s">
        <v>372</v>
      </c>
      <c r="D5072" s="2" t="s">
        <v>373</v>
      </c>
      <c r="E5072" t="s">
        <v>376</v>
      </c>
      <c r="F5072" s="11">
        <v>43948</v>
      </c>
      <c r="G5072" s="14">
        <f t="array" ref="G5072">VLOOKUP(E5072,Produtos!$A:$E,5,FALSE)</f>
        <v>280</v>
      </c>
      <c r="H5072" s="14">
        <f>VLOOKUP(E5072,Produtos!$A:$E,4,FALSE)</f>
        <v>150</v>
      </c>
      <c r="I5072" s="2">
        <v>1</v>
      </c>
    </row>
    <row r="5073" spans="1:9" x14ac:dyDescent="0.25">
      <c r="A5073" s="2" t="str">
        <f>CONCATENATE(Códigos!S5072,Códigos!T5072,Códigos!U5072)</f>
        <v>svv5071v</v>
      </c>
      <c r="B5073" t="s">
        <v>374</v>
      </c>
      <c r="C5073" t="s">
        <v>372</v>
      </c>
      <c r="D5073" s="2" t="s">
        <v>373</v>
      </c>
      <c r="E5073" t="s">
        <v>376</v>
      </c>
      <c r="F5073" s="11">
        <v>43949</v>
      </c>
      <c r="G5073" s="14">
        <f t="array" ref="G5073">VLOOKUP(E5073,Produtos!$A:$E,5,FALSE)</f>
        <v>280</v>
      </c>
      <c r="H5073" s="14">
        <f>VLOOKUP(E5073,Produtos!$A:$E,4,FALSE)</f>
        <v>150</v>
      </c>
      <c r="I5073" s="2">
        <v>1</v>
      </c>
    </row>
    <row r="5074" spans="1:9" x14ac:dyDescent="0.25">
      <c r="A5074" s="2" t="str">
        <f>CONCATENATE(Códigos!S5073,Códigos!T5073,Códigos!U5073)</f>
        <v>svv5072v</v>
      </c>
      <c r="B5074" t="s">
        <v>374</v>
      </c>
      <c r="C5074" t="s">
        <v>372</v>
      </c>
      <c r="D5074" s="2" t="s">
        <v>373</v>
      </c>
      <c r="E5074" t="s">
        <v>376</v>
      </c>
      <c r="F5074" s="11">
        <v>43950</v>
      </c>
      <c r="G5074" s="14">
        <f t="array" ref="G5074">VLOOKUP(E5074,Produtos!$A:$E,5,FALSE)</f>
        <v>280</v>
      </c>
      <c r="H5074" s="14">
        <f>VLOOKUP(E5074,Produtos!$A:$E,4,FALSE)</f>
        <v>150</v>
      </c>
      <c r="I5074" s="2">
        <v>1</v>
      </c>
    </row>
    <row r="5075" spans="1:9" x14ac:dyDescent="0.25">
      <c r="A5075" s="2" t="str">
        <f>CONCATENATE(Códigos!S5074,Códigos!T5074,Códigos!U5074)</f>
        <v>svv5073v</v>
      </c>
      <c r="B5075" t="s">
        <v>374</v>
      </c>
      <c r="C5075" t="s">
        <v>372</v>
      </c>
      <c r="D5075" s="2" t="s">
        <v>373</v>
      </c>
      <c r="E5075" t="s">
        <v>376</v>
      </c>
      <c r="F5075" s="11">
        <v>43951</v>
      </c>
      <c r="G5075" s="14">
        <f t="array" ref="G5075">VLOOKUP(E5075,Produtos!$A:$E,5,FALSE)</f>
        <v>280</v>
      </c>
      <c r="H5075" s="14">
        <f>VLOOKUP(E5075,Produtos!$A:$E,4,FALSE)</f>
        <v>150</v>
      </c>
      <c r="I5075" s="2">
        <v>1</v>
      </c>
    </row>
    <row r="5076" spans="1:9" x14ac:dyDescent="0.25">
      <c r="A5076" s="2" t="str">
        <f>CONCATENATE(Códigos!S5075,Códigos!T5075,Códigos!U5075)</f>
        <v>svv5074v</v>
      </c>
      <c r="B5076" t="s">
        <v>374</v>
      </c>
      <c r="C5076" t="s">
        <v>372</v>
      </c>
      <c r="D5076" s="2" t="s">
        <v>373</v>
      </c>
      <c r="E5076" t="s">
        <v>376</v>
      </c>
      <c r="F5076" s="11">
        <v>43952</v>
      </c>
      <c r="G5076" s="14">
        <f t="array" ref="G5076">VLOOKUP(E5076,Produtos!$A:$E,5,FALSE)</f>
        <v>280</v>
      </c>
      <c r="H5076" s="14">
        <f>VLOOKUP(E5076,Produtos!$A:$E,4,FALSE)</f>
        <v>150</v>
      </c>
      <c r="I5076" s="2">
        <v>1</v>
      </c>
    </row>
    <row r="5077" spans="1:9" x14ac:dyDescent="0.25">
      <c r="A5077" s="2" t="str">
        <f>CONCATENATE(Códigos!S5076,Códigos!T5076,Códigos!U5076)</f>
        <v>svv5075v</v>
      </c>
      <c r="B5077" t="s">
        <v>374</v>
      </c>
      <c r="C5077" t="s">
        <v>372</v>
      </c>
      <c r="D5077" s="2" t="s">
        <v>373</v>
      </c>
      <c r="E5077" t="s">
        <v>376</v>
      </c>
      <c r="F5077" s="11">
        <v>43953</v>
      </c>
      <c r="G5077" s="14">
        <f t="array" ref="G5077">VLOOKUP(E5077,Produtos!$A:$E,5,FALSE)</f>
        <v>280</v>
      </c>
      <c r="H5077" s="14">
        <f>VLOOKUP(E5077,Produtos!$A:$E,4,FALSE)</f>
        <v>150</v>
      </c>
      <c r="I5077" s="2">
        <v>1</v>
      </c>
    </row>
    <row r="5078" spans="1:9" x14ac:dyDescent="0.25">
      <c r="A5078" s="2" t="str">
        <f>CONCATENATE(Códigos!S5077,Códigos!T5077,Códigos!U5077)</f>
        <v>svv5076v</v>
      </c>
      <c r="B5078" t="s">
        <v>374</v>
      </c>
      <c r="C5078" t="s">
        <v>372</v>
      </c>
      <c r="D5078" s="2" t="s">
        <v>373</v>
      </c>
      <c r="E5078" t="s">
        <v>376</v>
      </c>
      <c r="F5078" s="11">
        <v>43954</v>
      </c>
      <c r="G5078" s="14">
        <f t="array" ref="G5078">VLOOKUP(E5078,Produtos!$A:$E,5,FALSE)</f>
        <v>280</v>
      </c>
      <c r="H5078" s="14">
        <f>VLOOKUP(E5078,Produtos!$A:$E,4,FALSE)</f>
        <v>150</v>
      </c>
      <c r="I5078" s="2">
        <v>1</v>
      </c>
    </row>
    <row r="5079" spans="1:9" x14ac:dyDescent="0.25">
      <c r="A5079" s="2" t="str">
        <f>CONCATENATE(Códigos!S5078,Códigos!T5078,Códigos!U5078)</f>
        <v>svv5077v</v>
      </c>
      <c r="B5079" t="s">
        <v>374</v>
      </c>
      <c r="C5079" t="s">
        <v>372</v>
      </c>
      <c r="D5079" s="2" t="s">
        <v>373</v>
      </c>
      <c r="E5079" t="s">
        <v>376</v>
      </c>
      <c r="F5079" s="11">
        <v>43955</v>
      </c>
      <c r="G5079" s="14">
        <f t="array" ref="G5079">VLOOKUP(E5079,Produtos!$A:$E,5,FALSE)</f>
        <v>280</v>
      </c>
      <c r="H5079" s="14">
        <f>VLOOKUP(E5079,Produtos!$A:$E,4,FALSE)</f>
        <v>150</v>
      </c>
      <c r="I5079" s="2">
        <v>1</v>
      </c>
    </row>
    <row r="5080" spans="1:9" x14ac:dyDescent="0.25">
      <c r="A5080" s="2" t="str">
        <f>CONCATENATE(Códigos!S5079,Códigos!T5079,Códigos!U5079)</f>
        <v>svv5078v</v>
      </c>
      <c r="B5080" t="s">
        <v>374</v>
      </c>
      <c r="C5080" t="s">
        <v>372</v>
      </c>
      <c r="D5080" s="2" t="s">
        <v>373</v>
      </c>
      <c r="E5080" t="s">
        <v>375</v>
      </c>
      <c r="F5080" s="11">
        <v>43956</v>
      </c>
      <c r="G5080" s="14">
        <f t="array" ref="G5080">VLOOKUP(E5080,Produtos!$A:$E,5,FALSE)</f>
        <v>870</v>
      </c>
      <c r="H5080" s="14">
        <f>VLOOKUP(E5080,Produtos!$A:$E,4,FALSE)</f>
        <v>450</v>
      </c>
      <c r="I5080" s="2">
        <v>1</v>
      </c>
    </row>
    <row r="5081" spans="1:9" x14ac:dyDescent="0.25">
      <c r="A5081" s="2" t="str">
        <f>CONCATENATE(Códigos!S5080,Códigos!T5080,Códigos!U5080)</f>
        <v>svv5079v</v>
      </c>
      <c r="B5081" t="s">
        <v>374</v>
      </c>
      <c r="C5081" t="s">
        <v>372</v>
      </c>
      <c r="D5081" s="2" t="s">
        <v>373</v>
      </c>
      <c r="E5081" t="s">
        <v>375</v>
      </c>
      <c r="F5081" s="11">
        <v>43957</v>
      </c>
      <c r="G5081" s="14">
        <f t="array" ref="G5081">VLOOKUP(E5081,Produtos!$A:$E,5,FALSE)</f>
        <v>870</v>
      </c>
      <c r="H5081" s="14">
        <f>VLOOKUP(E5081,Produtos!$A:$E,4,FALSE)</f>
        <v>450</v>
      </c>
      <c r="I5081" s="2">
        <v>1</v>
      </c>
    </row>
    <row r="5082" spans="1:9" x14ac:dyDescent="0.25">
      <c r="A5082" s="2" t="str">
        <f>CONCATENATE(Códigos!S5081,Códigos!T5081,Códigos!U5081)</f>
        <v>svv5080v</v>
      </c>
      <c r="B5082" t="s">
        <v>374</v>
      </c>
      <c r="C5082" t="s">
        <v>372</v>
      </c>
      <c r="D5082" s="2" t="s">
        <v>373</v>
      </c>
      <c r="E5082" t="s">
        <v>327</v>
      </c>
      <c r="F5082" s="11">
        <v>43958</v>
      </c>
      <c r="G5082" s="14">
        <f t="array" ref="G5082">VLOOKUP(E5082,Produtos!$A:$E,5,FALSE)</f>
        <v>890</v>
      </c>
      <c r="H5082" s="14">
        <f>VLOOKUP(E5082,Produtos!$A:$E,4,FALSE)</f>
        <v>600</v>
      </c>
      <c r="I5082" s="2">
        <v>1</v>
      </c>
    </row>
    <row r="5083" spans="1:9" x14ac:dyDescent="0.25">
      <c r="A5083" s="2" t="str">
        <f>CONCATENATE(Códigos!S5082,Códigos!T5082,Códigos!U5082)</f>
        <v>svv5081v</v>
      </c>
      <c r="B5083" t="s">
        <v>374</v>
      </c>
      <c r="C5083" t="s">
        <v>372</v>
      </c>
      <c r="D5083" s="2" t="s">
        <v>373</v>
      </c>
      <c r="E5083" t="s">
        <v>327</v>
      </c>
      <c r="F5083" s="11">
        <v>43959</v>
      </c>
      <c r="G5083" s="14">
        <f t="array" ref="G5083">VLOOKUP(E5083,Produtos!$A:$E,5,FALSE)</f>
        <v>890</v>
      </c>
      <c r="H5083" s="14">
        <f>VLOOKUP(E5083,Produtos!$A:$E,4,FALSE)</f>
        <v>600</v>
      </c>
      <c r="I5083" s="2">
        <v>1</v>
      </c>
    </row>
    <row r="5084" spans="1:9" x14ac:dyDescent="0.25">
      <c r="A5084" s="2" t="str">
        <f>CONCATENATE(Códigos!S5083,Códigos!T5083,Códigos!U5083)</f>
        <v>svv5082v</v>
      </c>
      <c r="B5084" t="s">
        <v>374</v>
      </c>
      <c r="C5084" t="s">
        <v>372</v>
      </c>
      <c r="D5084" s="2" t="s">
        <v>373</v>
      </c>
      <c r="E5084" t="s">
        <v>327</v>
      </c>
      <c r="F5084" s="11">
        <v>43960</v>
      </c>
      <c r="G5084" s="14">
        <f t="array" ref="G5084">VLOOKUP(E5084,Produtos!$A:$E,5,FALSE)</f>
        <v>890</v>
      </c>
      <c r="H5084" s="14">
        <f>VLOOKUP(E5084,Produtos!$A:$E,4,FALSE)</f>
        <v>600</v>
      </c>
      <c r="I5084" s="2">
        <v>2</v>
      </c>
    </row>
    <row r="5085" spans="1:9" x14ac:dyDescent="0.25">
      <c r="A5085" s="2" t="str">
        <f>CONCATENATE(Códigos!S5084,Códigos!T5084,Códigos!U5084)</f>
        <v>svv5083v</v>
      </c>
      <c r="B5085" t="s">
        <v>374</v>
      </c>
      <c r="C5085" t="s">
        <v>372</v>
      </c>
      <c r="D5085" s="2" t="s">
        <v>373</v>
      </c>
      <c r="E5085" t="s">
        <v>327</v>
      </c>
      <c r="F5085" s="11">
        <v>43961</v>
      </c>
      <c r="G5085" s="14">
        <f t="array" ref="G5085">VLOOKUP(E5085,Produtos!$A:$E,5,FALSE)</f>
        <v>890</v>
      </c>
      <c r="H5085" s="14">
        <f>VLOOKUP(E5085,Produtos!$A:$E,4,FALSE)</f>
        <v>600</v>
      </c>
      <c r="I5085" s="2">
        <v>2</v>
      </c>
    </row>
    <row r="5086" spans="1:9" x14ac:dyDescent="0.25">
      <c r="A5086" s="2" t="str">
        <f>CONCATENATE(Códigos!S5085,Códigos!T5085,Códigos!U5085)</f>
        <v>svv5084v</v>
      </c>
      <c r="B5086" t="s">
        <v>374</v>
      </c>
      <c r="C5086" t="s">
        <v>372</v>
      </c>
      <c r="D5086" s="2" t="s">
        <v>373</v>
      </c>
      <c r="E5086" t="s">
        <v>327</v>
      </c>
      <c r="F5086" s="11">
        <v>43962</v>
      </c>
      <c r="G5086" s="14">
        <f t="array" ref="G5086">VLOOKUP(E5086,Produtos!$A:$E,5,FALSE)</f>
        <v>890</v>
      </c>
      <c r="H5086" s="14">
        <f>VLOOKUP(E5086,Produtos!$A:$E,4,FALSE)</f>
        <v>600</v>
      </c>
      <c r="I5086" s="2">
        <v>2</v>
      </c>
    </row>
    <row r="5087" spans="1:9" x14ac:dyDescent="0.25">
      <c r="A5087" s="2" t="str">
        <f>CONCATENATE(Códigos!S5086,Códigos!T5086,Códigos!U5086)</f>
        <v>svv5085v</v>
      </c>
      <c r="B5087" t="s">
        <v>371</v>
      </c>
      <c r="C5087" t="s">
        <v>372</v>
      </c>
      <c r="D5087" s="2" t="s">
        <v>373</v>
      </c>
      <c r="E5087" t="s">
        <v>327</v>
      </c>
      <c r="F5087" s="11">
        <v>43963</v>
      </c>
      <c r="G5087" s="14">
        <f t="array" ref="G5087">VLOOKUP(E5087,Produtos!$A:$E,5,FALSE)</f>
        <v>890</v>
      </c>
      <c r="H5087" s="14">
        <f>VLOOKUP(E5087,Produtos!$A:$E,4,FALSE)</f>
        <v>600</v>
      </c>
      <c r="I5087" s="2">
        <v>2</v>
      </c>
    </row>
    <row r="5088" spans="1:9" x14ac:dyDescent="0.25">
      <c r="A5088" s="2" t="str">
        <f>CONCATENATE(Códigos!S5087,Códigos!T5087,Códigos!U5087)</f>
        <v>svv5086v</v>
      </c>
      <c r="B5088" t="s">
        <v>371</v>
      </c>
      <c r="C5088" t="s">
        <v>372</v>
      </c>
      <c r="D5088" s="2" t="s">
        <v>373</v>
      </c>
      <c r="E5088" t="s">
        <v>327</v>
      </c>
      <c r="F5088" s="11">
        <v>43964</v>
      </c>
      <c r="G5088" s="14">
        <f t="array" ref="G5088">VLOOKUP(E5088,Produtos!$A:$E,5,FALSE)</f>
        <v>890</v>
      </c>
      <c r="H5088" s="14">
        <f>VLOOKUP(E5088,Produtos!$A:$E,4,FALSE)</f>
        <v>600</v>
      </c>
      <c r="I5088" s="2">
        <v>2</v>
      </c>
    </row>
    <row r="5089" spans="1:9" x14ac:dyDescent="0.25">
      <c r="A5089" s="2" t="str">
        <f>CONCATENATE(Códigos!S5088,Códigos!T5088,Códigos!U5088)</f>
        <v>svv5087v</v>
      </c>
      <c r="B5089" t="s">
        <v>371</v>
      </c>
      <c r="C5089" t="s">
        <v>372</v>
      </c>
      <c r="D5089" s="2" t="s">
        <v>373</v>
      </c>
      <c r="E5089" t="s">
        <v>327</v>
      </c>
      <c r="F5089" s="11">
        <v>43965</v>
      </c>
      <c r="G5089" s="14">
        <f t="array" ref="G5089">VLOOKUP(E5089,Produtos!$A:$E,5,FALSE)</f>
        <v>890</v>
      </c>
      <c r="H5089" s="14">
        <f>VLOOKUP(E5089,Produtos!$A:$E,4,FALSE)</f>
        <v>600</v>
      </c>
      <c r="I5089" s="2">
        <v>2</v>
      </c>
    </row>
    <row r="5090" spans="1:9" x14ac:dyDescent="0.25">
      <c r="A5090" s="2" t="str">
        <f>CONCATENATE(Códigos!S5089,Códigos!T5089,Códigos!U5089)</f>
        <v>svv5088v</v>
      </c>
      <c r="B5090" t="s">
        <v>371</v>
      </c>
      <c r="C5090" t="s">
        <v>372</v>
      </c>
      <c r="D5090" s="2" t="s">
        <v>373</v>
      </c>
      <c r="E5090" t="s">
        <v>327</v>
      </c>
      <c r="F5090" s="11">
        <v>43966</v>
      </c>
      <c r="G5090" s="14">
        <f t="array" ref="G5090">VLOOKUP(E5090,Produtos!$A:$E,5,FALSE)</f>
        <v>890</v>
      </c>
      <c r="H5090" s="14">
        <f>VLOOKUP(E5090,Produtos!$A:$E,4,FALSE)</f>
        <v>600</v>
      </c>
      <c r="I5090" s="2">
        <v>2</v>
      </c>
    </row>
    <row r="5091" spans="1:9" x14ac:dyDescent="0.25">
      <c r="A5091" s="2" t="str">
        <f>CONCATENATE(Códigos!S5090,Códigos!T5090,Códigos!U5090)</f>
        <v>svv5089v</v>
      </c>
      <c r="B5091" t="s">
        <v>371</v>
      </c>
      <c r="C5091" t="s">
        <v>372</v>
      </c>
      <c r="D5091" s="2" t="s">
        <v>373</v>
      </c>
      <c r="E5091" t="s">
        <v>327</v>
      </c>
      <c r="F5091" s="11">
        <v>43967</v>
      </c>
      <c r="G5091" s="14">
        <f t="array" ref="G5091">VLOOKUP(E5091,Produtos!$A:$E,5,FALSE)</f>
        <v>890</v>
      </c>
      <c r="H5091" s="14">
        <f>VLOOKUP(E5091,Produtos!$A:$E,4,FALSE)</f>
        <v>600</v>
      </c>
      <c r="I5091" s="2">
        <v>2</v>
      </c>
    </row>
    <row r="5092" spans="1:9" x14ac:dyDescent="0.25">
      <c r="A5092" s="2" t="str">
        <f>CONCATENATE(Códigos!S5091,Códigos!T5091,Códigos!U5091)</f>
        <v>svv5090v</v>
      </c>
      <c r="B5092" t="s">
        <v>371</v>
      </c>
      <c r="C5092" t="s">
        <v>372</v>
      </c>
      <c r="D5092" s="2" t="s">
        <v>373</v>
      </c>
      <c r="E5092" t="s">
        <v>327</v>
      </c>
      <c r="F5092" s="11">
        <v>43968</v>
      </c>
      <c r="G5092" s="14">
        <f t="array" ref="G5092">VLOOKUP(E5092,Produtos!$A:$E,5,FALSE)</f>
        <v>890</v>
      </c>
      <c r="H5092" s="14">
        <f>VLOOKUP(E5092,Produtos!$A:$E,4,FALSE)</f>
        <v>600</v>
      </c>
      <c r="I5092" s="2">
        <v>2</v>
      </c>
    </row>
    <row r="5093" spans="1:9" x14ac:dyDescent="0.25">
      <c r="A5093" s="2" t="str">
        <f>CONCATENATE(Códigos!S5092,Códigos!T5092,Códigos!U5092)</f>
        <v>svv5091v</v>
      </c>
      <c r="B5093" t="s">
        <v>371</v>
      </c>
      <c r="C5093" t="s">
        <v>372</v>
      </c>
      <c r="D5093" s="2" t="s">
        <v>373</v>
      </c>
      <c r="E5093" t="s">
        <v>327</v>
      </c>
      <c r="F5093" s="11">
        <v>43969</v>
      </c>
      <c r="G5093" s="14">
        <f t="array" ref="G5093">VLOOKUP(E5093,Produtos!$A:$E,5,FALSE)</f>
        <v>890</v>
      </c>
      <c r="H5093" s="14">
        <f>VLOOKUP(E5093,Produtos!$A:$E,4,FALSE)</f>
        <v>600</v>
      </c>
      <c r="I5093" s="2">
        <v>2</v>
      </c>
    </row>
    <row r="5094" spans="1:9" x14ac:dyDescent="0.25">
      <c r="A5094" s="2" t="str">
        <f>CONCATENATE(Códigos!S5093,Códigos!T5093,Códigos!U5093)</f>
        <v>svv5092v</v>
      </c>
      <c r="B5094" t="s">
        <v>371</v>
      </c>
      <c r="C5094" t="s">
        <v>372</v>
      </c>
      <c r="D5094" s="2" t="s">
        <v>373</v>
      </c>
      <c r="E5094" t="s">
        <v>327</v>
      </c>
      <c r="F5094" s="11">
        <v>43970</v>
      </c>
      <c r="G5094" s="14">
        <f t="array" ref="G5094">VLOOKUP(E5094,Produtos!$A:$E,5,FALSE)</f>
        <v>890</v>
      </c>
      <c r="H5094" s="14">
        <f>VLOOKUP(E5094,Produtos!$A:$E,4,FALSE)</f>
        <v>600</v>
      </c>
      <c r="I5094" s="2">
        <v>2</v>
      </c>
    </row>
    <row r="5095" spans="1:9" x14ac:dyDescent="0.25">
      <c r="A5095" s="2" t="str">
        <f>CONCATENATE(Códigos!S5094,Códigos!T5094,Códigos!U5094)</f>
        <v>svv5093v</v>
      </c>
      <c r="B5095" t="s">
        <v>371</v>
      </c>
      <c r="C5095" t="s">
        <v>372</v>
      </c>
      <c r="D5095" s="2" t="s">
        <v>373</v>
      </c>
      <c r="E5095" t="s">
        <v>327</v>
      </c>
      <c r="F5095" s="11">
        <v>43971</v>
      </c>
      <c r="G5095" s="14">
        <f t="array" ref="G5095">VLOOKUP(E5095,Produtos!$A:$E,5,FALSE)</f>
        <v>890</v>
      </c>
      <c r="H5095" s="14">
        <f>VLOOKUP(E5095,Produtos!$A:$E,4,FALSE)</f>
        <v>600</v>
      </c>
      <c r="I5095" s="2">
        <v>2</v>
      </c>
    </row>
    <row r="5096" spans="1:9" x14ac:dyDescent="0.25">
      <c r="A5096" s="2" t="str">
        <f>CONCATENATE(Códigos!S5095,Códigos!T5095,Códigos!U5095)</f>
        <v>svv5094v</v>
      </c>
      <c r="B5096" t="s">
        <v>371</v>
      </c>
      <c r="C5096" t="s">
        <v>372</v>
      </c>
      <c r="D5096" s="2" t="s">
        <v>373</v>
      </c>
      <c r="E5096" t="s">
        <v>324</v>
      </c>
      <c r="F5096" s="11">
        <v>43972</v>
      </c>
      <c r="G5096" s="14">
        <f t="array" ref="G5096">VLOOKUP(E5096,Produtos!$A:$E,5,FALSE)</f>
        <v>2600</v>
      </c>
      <c r="H5096" s="14">
        <f>VLOOKUP(E5096,Produtos!$A:$E,4,FALSE)</f>
        <v>2000</v>
      </c>
      <c r="I5096" s="2">
        <v>2</v>
      </c>
    </row>
    <row r="5097" spans="1:9" x14ac:dyDescent="0.25">
      <c r="A5097" s="2" t="str">
        <f>CONCATENATE(Códigos!S5096,Códigos!T5096,Códigos!U5096)</f>
        <v>svv5095v</v>
      </c>
      <c r="B5097" t="s">
        <v>371</v>
      </c>
      <c r="C5097" t="s">
        <v>372</v>
      </c>
      <c r="D5097" s="2" t="s">
        <v>373</v>
      </c>
      <c r="E5097" t="s">
        <v>324</v>
      </c>
      <c r="F5097" s="11">
        <v>43973</v>
      </c>
      <c r="G5097" s="14">
        <f t="array" ref="G5097">VLOOKUP(E5097,Produtos!$A:$E,5,FALSE)</f>
        <v>2600</v>
      </c>
      <c r="H5097" s="14">
        <f>VLOOKUP(E5097,Produtos!$A:$E,4,FALSE)</f>
        <v>2000</v>
      </c>
      <c r="I5097" s="2">
        <v>2</v>
      </c>
    </row>
    <row r="5098" spans="1:9" x14ac:dyDescent="0.25">
      <c r="A5098" s="2" t="str">
        <f>CONCATENATE(Códigos!S5097,Códigos!T5097,Códigos!U5097)</f>
        <v>svv5096v</v>
      </c>
      <c r="B5098" t="s">
        <v>371</v>
      </c>
      <c r="C5098" t="s">
        <v>369</v>
      </c>
      <c r="D5098" s="2" t="s">
        <v>370</v>
      </c>
      <c r="E5098" t="s">
        <v>324</v>
      </c>
      <c r="F5098" s="11">
        <v>43974</v>
      </c>
      <c r="G5098" s="14">
        <f t="array" ref="G5098">VLOOKUP(E5098,Produtos!$A:$E,5,FALSE)</f>
        <v>2600</v>
      </c>
      <c r="H5098" s="14">
        <f>VLOOKUP(E5098,Produtos!$A:$E,4,FALSE)</f>
        <v>2000</v>
      </c>
      <c r="I5098" s="2">
        <v>2</v>
      </c>
    </row>
    <row r="5099" spans="1:9" x14ac:dyDescent="0.25">
      <c r="A5099" s="2" t="str">
        <f>CONCATENATE(Códigos!S5098,Códigos!T5098,Códigos!U5098)</f>
        <v>svv5097v</v>
      </c>
      <c r="B5099" t="s">
        <v>371</v>
      </c>
      <c r="C5099" t="s">
        <v>369</v>
      </c>
      <c r="D5099" s="2" t="s">
        <v>370</v>
      </c>
      <c r="E5099" t="s">
        <v>324</v>
      </c>
      <c r="F5099" s="11">
        <v>43975</v>
      </c>
      <c r="G5099" s="14">
        <f t="array" ref="G5099">VLOOKUP(E5099,Produtos!$A:$E,5,FALSE)</f>
        <v>2600</v>
      </c>
      <c r="H5099" s="14">
        <f>VLOOKUP(E5099,Produtos!$A:$E,4,FALSE)</f>
        <v>2000</v>
      </c>
      <c r="I5099" s="2">
        <v>2</v>
      </c>
    </row>
    <row r="5100" spans="1:9" x14ac:dyDescent="0.25">
      <c r="A5100" s="2" t="str">
        <f>CONCATENATE(Códigos!S5099,Códigos!T5099,Códigos!U5099)</f>
        <v>svv5098v</v>
      </c>
      <c r="B5100" t="s">
        <v>371</v>
      </c>
      <c r="C5100" t="s">
        <v>369</v>
      </c>
      <c r="D5100" s="2" t="s">
        <v>370</v>
      </c>
      <c r="E5100" t="s">
        <v>324</v>
      </c>
      <c r="F5100" s="11">
        <v>43976</v>
      </c>
      <c r="G5100" s="14">
        <f t="array" ref="G5100">VLOOKUP(E5100,Produtos!$A:$E,5,FALSE)</f>
        <v>2600</v>
      </c>
      <c r="H5100" s="14">
        <f>VLOOKUP(E5100,Produtos!$A:$E,4,FALSE)</f>
        <v>2000</v>
      </c>
      <c r="I5100" s="2">
        <v>2</v>
      </c>
    </row>
    <row r="5101" spans="1:9" x14ac:dyDescent="0.25">
      <c r="A5101" s="2" t="str">
        <f>CONCATENATE(Códigos!S5100,Códigos!T5100,Códigos!U5100)</f>
        <v>svv5099v</v>
      </c>
      <c r="B5101" t="s">
        <v>371</v>
      </c>
      <c r="C5101" t="s">
        <v>369</v>
      </c>
      <c r="D5101" s="2" t="s">
        <v>370</v>
      </c>
      <c r="E5101" t="s">
        <v>324</v>
      </c>
      <c r="F5101" s="11">
        <v>43977</v>
      </c>
      <c r="G5101" s="14">
        <f t="array" ref="G5101">VLOOKUP(E5101,Produtos!$A:$E,5,FALSE)</f>
        <v>2600</v>
      </c>
      <c r="H5101" s="14">
        <f>VLOOKUP(E5101,Produtos!$A:$E,4,FALSE)</f>
        <v>2000</v>
      </c>
      <c r="I5101" s="2">
        <v>2</v>
      </c>
    </row>
    <row r="5102" spans="1:9" x14ac:dyDescent="0.25">
      <c r="A5102" s="2" t="str">
        <f>CONCATENATE(Códigos!S5101,Códigos!T5101,Códigos!U5101)</f>
        <v>svv5100v</v>
      </c>
      <c r="B5102" t="s">
        <v>371</v>
      </c>
      <c r="C5102" t="s">
        <v>369</v>
      </c>
      <c r="D5102" s="2" t="s">
        <v>370</v>
      </c>
      <c r="E5102" t="s">
        <v>324</v>
      </c>
      <c r="F5102" s="11">
        <v>43978</v>
      </c>
      <c r="G5102" s="14">
        <f t="array" ref="G5102">VLOOKUP(E5102,Produtos!$A:$E,5,FALSE)</f>
        <v>2600</v>
      </c>
      <c r="H5102" s="14">
        <f>VLOOKUP(E5102,Produtos!$A:$E,4,FALSE)</f>
        <v>2000</v>
      </c>
      <c r="I5102" s="2">
        <v>2</v>
      </c>
    </row>
    <row r="5103" spans="1:9" x14ac:dyDescent="0.25">
      <c r="A5103" s="2" t="str">
        <f>CONCATENATE(Códigos!S5102,Códigos!T5102,Códigos!U5102)</f>
        <v>svv5101v</v>
      </c>
      <c r="B5103" t="s">
        <v>371</v>
      </c>
      <c r="C5103" t="s">
        <v>369</v>
      </c>
      <c r="D5103" s="2" t="s">
        <v>370</v>
      </c>
      <c r="E5103" t="s">
        <v>324</v>
      </c>
      <c r="F5103" s="11">
        <v>43979</v>
      </c>
      <c r="G5103" s="14">
        <f t="array" ref="G5103">VLOOKUP(E5103,Produtos!$A:$E,5,FALSE)</f>
        <v>2600</v>
      </c>
      <c r="H5103" s="14">
        <f>VLOOKUP(E5103,Produtos!$A:$E,4,FALSE)</f>
        <v>2000</v>
      </c>
      <c r="I5103" s="2">
        <v>2</v>
      </c>
    </row>
    <row r="5104" spans="1:9" x14ac:dyDescent="0.25">
      <c r="A5104" s="2" t="str">
        <f>CONCATENATE(Códigos!S5103,Códigos!T5103,Códigos!U5103)</f>
        <v>svv5102v</v>
      </c>
      <c r="B5104" t="s">
        <v>371</v>
      </c>
      <c r="C5104" t="s">
        <v>369</v>
      </c>
      <c r="D5104" s="2" t="s">
        <v>370</v>
      </c>
      <c r="E5104" t="s">
        <v>324</v>
      </c>
      <c r="F5104" s="11">
        <v>43980</v>
      </c>
      <c r="G5104" s="14">
        <f t="array" ref="G5104">VLOOKUP(E5104,Produtos!$A:$E,5,FALSE)</f>
        <v>2600</v>
      </c>
      <c r="H5104" s="14">
        <f>VLOOKUP(E5104,Produtos!$A:$E,4,FALSE)</f>
        <v>2000</v>
      </c>
      <c r="I5104" s="2">
        <v>2</v>
      </c>
    </row>
    <row r="5105" spans="1:9" x14ac:dyDescent="0.25">
      <c r="A5105" s="2" t="str">
        <f>CONCATENATE(Códigos!S5104,Códigos!T5104,Códigos!U5104)</f>
        <v>svv5103v</v>
      </c>
      <c r="B5105" t="s">
        <v>345</v>
      </c>
      <c r="C5105" t="s">
        <v>369</v>
      </c>
      <c r="D5105" s="2" t="s">
        <v>370</v>
      </c>
      <c r="E5105" t="s">
        <v>324</v>
      </c>
      <c r="F5105" s="11">
        <v>43981</v>
      </c>
      <c r="G5105" s="14">
        <f t="array" ref="G5105">VLOOKUP(E5105,Produtos!$A:$E,5,FALSE)</f>
        <v>2600</v>
      </c>
      <c r="H5105" s="14">
        <f>VLOOKUP(E5105,Produtos!$A:$E,4,FALSE)</f>
        <v>2000</v>
      </c>
      <c r="I5105" s="2">
        <v>2</v>
      </c>
    </row>
    <row r="5106" spans="1:9" x14ac:dyDescent="0.25">
      <c r="A5106" s="2" t="str">
        <f>CONCATENATE(Códigos!S5105,Códigos!T5105,Códigos!U5105)</f>
        <v>svv5104v</v>
      </c>
      <c r="B5106" t="s">
        <v>345</v>
      </c>
      <c r="C5106" t="s">
        <v>369</v>
      </c>
      <c r="D5106" s="2" t="s">
        <v>370</v>
      </c>
      <c r="E5106" t="s">
        <v>324</v>
      </c>
      <c r="F5106" s="11">
        <v>43982</v>
      </c>
      <c r="G5106" s="14">
        <f t="array" ref="G5106">VLOOKUP(E5106,Produtos!$A:$E,5,FALSE)</f>
        <v>2600</v>
      </c>
      <c r="H5106" s="14">
        <f>VLOOKUP(E5106,Produtos!$A:$E,4,FALSE)</f>
        <v>2000</v>
      </c>
      <c r="I5106" s="2">
        <v>2</v>
      </c>
    </row>
    <row r="5107" spans="1:9" x14ac:dyDescent="0.25">
      <c r="A5107" s="2" t="str">
        <f>CONCATENATE(Códigos!S5106,Códigos!T5106,Códigos!U5106)</f>
        <v>svv5105v</v>
      </c>
      <c r="B5107" t="s">
        <v>345</v>
      </c>
      <c r="C5107" t="s">
        <v>369</v>
      </c>
      <c r="D5107" s="2" t="s">
        <v>370</v>
      </c>
      <c r="E5107" t="s">
        <v>334</v>
      </c>
      <c r="F5107" s="11">
        <v>43983</v>
      </c>
      <c r="G5107" s="14">
        <f t="array" ref="G5107">VLOOKUP(E5107,Produtos!$A:$E,5,FALSE)</f>
        <v>1900</v>
      </c>
      <c r="H5107" s="14">
        <f>VLOOKUP(E5107,Produtos!$A:$E,4,FALSE)</f>
        <v>1250</v>
      </c>
      <c r="I5107" s="2">
        <v>2</v>
      </c>
    </row>
    <row r="5108" spans="1:9" x14ac:dyDescent="0.25">
      <c r="A5108" s="2" t="str">
        <f>CONCATENATE(Códigos!S5107,Códigos!T5107,Códigos!U5107)</f>
        <v>svv5106v</v>
      </c>
      <c r="B5108" t="s">
        <v>345</v>
      </c>
      <c r="C5108" t="s">
        <v>369</v>
      </c>
      <c r="D5108" s="2" t="s">
        <v>370</v>
      </c>
      <c r="E5108" t="s">
        <v>334</v>
      </c>
      <c r="F5108" s="11">
        <v>43984</v>
      </c>
      <c r="G5108" s="14">
        <f t="array" ref="G5108">VLOOKUP(E5108,Produtos!$A:$E,5,FALSE)</f>
        <v>1900</v>
      </c>
      <c r="H5108" s="14">
        <f>VLOOKUP(E5108,Produtos!$A:$E,4,FALSE)</f>
        <v>1250</v>
      </c>
      <c r="I5108" s="2">
        <v>2</v>
      </c>
    </row>
    <row r="5109" spans="1:9" x14ac:dyDescent="0.25">
      <c r="A5109" s="2" t="str">
        <f>CONCATENATE(Códigos!S5108,Códigos!T5108,Códigos!U5108)</f>
        <v>svv5107v</v>
      </c>
      <c r="B5109" t="s">
        <v>345</v>
      </c>
      <c r="C5109" t="s">
        <v>369</v>
      </c>
      <c r="D5109" s="2" t="s">
        <v>370</v>
      </c>
      <c r="E5109" t="s">
        <v>334</v>
      </c>
      <c r="F5109" s="11">
        <v>43985</v>
      </c>
      <c r="G5109" s="14">
        <f t="array" ref="G5109">VLOOKUP(E5109,Produtos!$A:$E,5,FALSE)</f>
        <v>1900</v>
      </c>
      <c r="H5109" s="14">
        <f>VLOOKUP(E5109,Produtos!$A:$E,4,FALSE)</f>
        <v>1250</v>
      </c>
      <c r="I5109" s="2">
        <v>2</v>
      </c>
    </row>
    <row r="5110" spans="1:9" x14ac:dyDescent="0.25">
      <c r="A5110" s="2" t="str">
        <f>CONCATENATE(Códigos!S5109,Códigos!T5109,Códigos!U5109)</f>
        <v>svv5108v</v>
      </c>
      <c r="B5110" t="s">
        <v>345</v>
      </c>
      <c r="C5110" t="s">
        <v>369</v>
      </c>
      <c r="D5110" s="2" t="s">
        <v>370</v>
      </c>
      <c r="E5110" t="s">
        <v>334</v>
      </c>
      <c r="F5110" s="11">
        <v>43986</v>
      </c>
      <c r="G5110" s="14">
        <f t="array" ref="G5110">VLOOKUP(E5110,Produtos!$A:$E,5,FALSE)</f>
        <v>1900</v>
      </c>
      <c r="H5110" s="14">
        <f>VLOOKUP(E5110,Produtos!$A:$E,4,FALSE)</f>
        <v>1250</v>
      </c>
      <c r="I5110" s="2">
        <v>3</v>
      </c>
    </row>
    <row r="5111" spans="1:9" x14ac:dyDescent="0.25">
      <c r="A5111" s="2" t="str">
        <f>CONCATENATE(Códigos!S5110,Códigos!T5110,Códigos!U5110)</f>
        <v>svv5109v</v>
      </c>
      <c r="B5111" t="s">
        <v>345</v>
      </c>
      <c r="C5111" t="s">
        <v>369</v>
      </c>
      <c r="D5111" s="2" t="s">
        <v>370</v>
      </c>
      <c r="E5111" t="s">
        <v>334</v>
      </c>
      <c r="F5111" s="11">
        <v>43987</v>
      </c>
      <c r="G5111" s="14">
        <f t="array" ref="G5111">VLOOKUP(E5111,Produtos!$A:$E,5,FALSE)</f>
        <v>1900</v>
      </c>
      <c r="H5111" s="14">
        <f>VLOOKUP(E5111,Produtos!$A:$E,4,FALSE)</f>
        <v>1250</v>
      </c>
      <c r="I5111" s="2">
        <v>3</v>
      </c>
    </row>
    <row r="5112" spans="1:9" x14ac:dyDescent="0.25">
      <c r="A5112" s="2" t="str">
        <f>CONCATENATE(Códigos!S5111,Códigos!T5111,Códigos!U5111)</f>
        <v>svv5110v</v>
      </c>
      <c r="B5112" t="s">
        <v>345</v>
      </c>
      <c r="C5112" t="s">
        <v>369</v>
      </c>
      <c r="D5112" s="2" t="s">
        <v>370</v>
      </c>
      <c r="E5112" t="s">
        <v>334</v>
      </c>
      <c r="F5112" s="11">
        <v>43988</v>
      </c>
      <c r="G5112" s="14">
        <f t="array" ref="G5112">VLOOKUP(E5112,Produtos!$A:$E,5,FALSE)</f>
        <v>1900</v>
      </c>
      <c r="H5112" s="14">
        <f>VLOOKUP(E5112,Produtos!$A:$E,4,FALSE)</f>
        <v>1250</v>
      </c>
      <c r="I5112" s="2">
        <v>3</v>
      </c>
    </row>
    <row r="5113" spans="1:9" x14ac:dyDescent="0.25">
      <c r="A5113" s="2" t="str">
        <f>CONCATENATE(Códigos!S5112,Códigos!T5112,Códigos!U5112)</f>
        <v>svv5111v</v>
      </c>
      <c r="B5113" t="s">
        <v>345</v>
      </c>
      <c r="C5113" t="s">
        <v>369</v>
      </c>
      <c r="D5113" s="2" t="s">
        <v>370</v>
      </c>
      <c r="E5113" t="s">
        <v>334</v>
      </c>
      <c r="F5113" s="11">
        <v>43989</v>
      </c>
      <c r="G5113" s="14">
        <f t="array" ref="G5113">VLOOKUP(E5113,Produtos!$A:$E,5,FALSE)</f>
        <v>1900</v>
      </c>
      <c r="H5113" s="14">
        <f>VLOOKUP(E5113,Produtos!$A:$E,4,FALSE)</f>
        <v>1250</v>
      </c>
      <c r="I5113" s="2">
        <v>3</v>
      </c>
    </row>
    <row r="5114" spans="1:9" x14ac:dyDescent="0.25">
      <c r="A5114" s="2" t="str">
        <f>CONCATENATE(Códigos!S5113,Códigos!T5113,Códigos!U5113)</f>
        <v>svv5112v</v>
      </c>
      <c r="B5114" t="s">
        <v>345</v>
      </c>
      <c r="C5114" t="s">
        <v>369</v>
      </c>
      <c r="D5114" s="2" t="s">
        <v>370</v>
      </c>
      <c r="E5114" t="s">
        <v>334</v>
      </c>
      <c r="F5114" s="11">
        <v>43990</v>
      </c>
      <c r="G5114" s="14">
        <f t="array" ref="G5114">VLOOKUP(E5114,Produtos!$A:$E,5,FALSE)</f>
        <v>1900</v>
      </c>
      <c r="H5114" s="14">
        <f>VLOOKUP(E5114,Produtos!$A:$E,4,FALSE)</f>
        <v>1250</v>
      </c>
      <c r="I5114" s="2">
        <v>3</v>
      </c>
    </row>
    <row r="5115" spans="1:9" x14ac:dyDescent="0.25">
      <c r="A5115" s="2" t="str">
        <f>CONCATENATE(Códigos!S5114,Códigos!T5114,Códigos!U5114)</f>
        <v>svv5113v</v>
      </c>
      <c r="B5115" t="s">
        <v>345</v>
      </c>
      <c r="C5115" t="s">
        <v>369</v>
      </c>
      <c r="D5115" s="2" t="s">
        <v>370</v>
      </c>
      <c r="E5115" t="s">
        <v>334</v>
      </c>
      <c r="F5115" s="11">
        <v>43991</v>
      </c>
      <c r="G5115" s="14">
        <f t="array" ref="G5115">VLOOKUP(E5115,Produtos!$A:$E,5,FALSE)</f>
        <v>1900</v>
      </c>
      <c r="H5115" s="14">
        <f>VLOOKUP(E5115,Produtos!$A:$E,4,FALSE)</f>
        <v>1250</v>
      </c>
      <c r="I5115" s="2">
        <v>3</v>
      </c>
    </row>
    <row r="5116" spans="1:9" x14ac:dyDescent="0.25">
      <c r="A5116" s="2" t="str">
        <f>CONCATENATE(Códigos!S5115,Códigos!T5115,Códigos!U5115)</f>
        <v>svv5114v</v>
      </c>
      <c r="B5116" t="s">
        <v>345</v>
      </c>
      <c r="C5116" t="s">
        <v>369</v>
      </c>
      <c r="D5116" s="2" t="s">
        <v>370</v>
      </c>
      <c r="E5116" t="s">
        <v>334</v>
      </c>
      <c r="F5116" s="11">
        <v>43992</v>
      </c>
      <c r="G5116" s="14">
        <f t="array" ref="G5116">VLOOKUP(E5116,Produtos!$A:$E,5,FALSE)</f>
        <v>1900</v>
      </c>
      <c r="H5116" s="14">
        <f>VLOOKUP(E5116,Produtos!$A:$E,4,FALSE)</f>
        <v>1250</v>
      </c>
      <c r="I5116" s="2">
        <v>3</v>
      </c>
    </row>
    <row r="5117" spans="1:9" x14ac:dyDescent="0.25">
      <c r="A5117" s="2" t="str">
        <f>CONCATENATE(Códigos!S5116,Códigos!T5116,Códigos!U5116)</f>
        <v>svv5115v</v>
      </c>
      <c r="B5117" t="s">
        <v>345</v>
      </c>
      <c r="C5117" t="s">
        <v>362</v>
      </c>
      <c r="D5117" s="2" t="s">
        <v>363</v>
      </c>
      <c r="E5117" t="s">
        <v>334</v>
      </c>
      <c r="F5117" s="11">
        <v>43993</v>
      </c>
      <c r="G5117" s="14">
        <f t="array" ref="G5117">VLOOKUP(E5117,Produtos!$A:$E,5,FALSE)</f>
        <v>1900</v>
      </c>
      <c r="H5117" s="14">
        <f>VLOOKUP(E5117,Produtos!$A:$E,4,FALSE)</f>
        <v>1250</v>
      </c>
      <c r="I5117" s="2">
        <v>3</v>
      </c>
    </row>
    <row r="5118" spans="1:9" x14ac:dyDescent="0.25">
      <c r="A5118" s="2" t="str">
        <f>CONCATENATE(Códigos!S5117,Códigos!T5117,Códigos!U5117)</f>
        <v>svv5116v</v>
      </c>
      <c r="B5118" t="s">
        <v>345</v>
      </c>
      <c r="C5118" t="s">
        <v>362</v>
      </c>
      <c r="D5118" s="2" t="s">
        <v>363</v>
      </c>
      <c r="E5118" t="s">
        <v>334</v>
      </c>
      <c r="F5118" s="11">
        <v>43994</v>
      </c>
      <c r="G5118" s="14">
        <f t="array" ref="G5118">VLOOKUP(E5118,Produtos!$A:$E,5,FALSE)</f>
        <v>1900</v>
      </c>
      <c r="H5118" s="14">
        <f>VLOOKUP(E5118,Produtos!$A:$E,4,FALSE)</f>
        <v>1250</v>
      </c>
      <c r="I5118" s="2">
        <v>3</v>
      </c>
    </row>
    <row r="5119" spans="1:9" x14ac:dyDescent="0.25">
      <c r="A5119" s="2" t="str">
        <f>CONCATENATE(Códigos!S5118,Códigos!T5118,Códigos!U5118)</f>
        <v>svv5117v</v>
      </c>
      <c r="B5119" t="s">
        <v>345</v>
      </c>
      <c r="C5119" t="s">
        <v>362</v>
      </c>
      <c r="D5119" s="2" t="s">
        <v>363</v>
      </c>
      <c r="E5119" t="s">
        <v>334</v>
      </c>
      <c r="F5119" s="11">
        <v>43995</v>
      </c>
      <c r="G5119" s="14">
        <f t="array" ref="G5119">VLOOKUP(E5119,Produtos!$A:$E,5,FALSE)</f>
        <v>1900</v>
      </c>
      <c r="H5119" s="14">
        <f>VLOOKUP(E5119,Produtos!$A:$E,4,FALSE)</f>
        <v>1250</v>
      </c>
      <c r="I5119" s="2">
        <v>3</v>
      </c>
    </row>
    <row r="5120" spans="1:9" x14ac:dyDescent="0.25">
      <c r="A5120" s="2" t="str">
        <f>CONCATENATE(Códigos!S5119,Códigos!T5119,Códigos!U5119)</f>
        <v>svv5118v</v>
      </c>
      <c r="B5120" t="s">
        <v>345</v>
      </c>
      <c r="C5120" t="s">
        <v>362</v>
      </c>
      <c r="D5120" s="2" t="s">
        <v>363</v>
      </c>
      <c r="E5120" t="s">
        <v>334</v>
      </c>
      <c r="F5120" s="11">
        <v>43996</v>
      </c>
      <c r="G5120" s="14">
        <f t="array" ref="G5120">VLOOKUP(E5120,Produtos!$A:$E,5,FALSE)</f>
        <v>1900</v>
      </c>
      <c r="H5120" s="14">
        <f>VLOOKUP(E5120,Produtos!$A:$E,4,FALSE)</f>
        <v>1250</v>
      </c>
      <c r="I5120" s="2">
        <v>3</v>
      </c>
    </row>
    <row r="5121" spans="1:9" x14ac:dyDescent="0.25">
      <c r="A5121" s="2" t="str">
        <f>CONCATENATE(Códigos!S5120,Códigos!T5120,Códigos!U5120)</f>
        <v>svv5119v</v>
      </c>
      <c r="B5121" t="s">
        <v>345</v>
      </c>
      <c r="C5121" t="s">
        <v>362</v>
      </c>
      <c r="D5121" s="2" t="s">
        <v>363</v>
      </c>
      <c r="E5121" t="s">
        <v>337</v>
      </c>
      <c r="F5121" s="11">
        <v>43997</v>
      </c>
      <c r="G5121" s="14">
        <f t="array" ref="G5121">VLOOKUP(E5121,Produtos!$A:$E,5,FALSE)</f>
        <v>110</v>
      </c>
      <c r="H5121" s="14">
        <f>VLOOKUP(E5121,Produtos!$A:$E,4,FALSE)</f>
        <v>50</v>
      </c>
      <c r="I5121" s="2">
        <v>3</v>
      </c>
    </row>
    <row r="5122" spans="1:9" x14ac:dyDescent="0.25">
      <c r="A5122" s="2" t="str">
        <f>CONCATENATE(Códigos!S5121,Códigos!T5121,Códigos!U5121)</f>
        <v>svv5120v</v>
      </c>
      <c r="B5122" t="s">
        <v>345</v>
      </c>
      <c r="C5122" t="s">
        <v>362</v>
      </c>
      <c r="D5122" s="2" t="s">
        <v>363</v>
      </c>
      <c r="E5122" t="s">
        <v>337</v>
      </c>
      <c r="F5122" s="11">
        <v>43998</v>
      </c>
      <c r="G5122" s="14">
        <f t="array" ref="G5122">VLOOKUP(E5122,Produtos!$A:$E,5,FALSE)</f>
        <v>110</v>
      </c>
      <c r="H5122" s="14">
        <f>VLOOKUP(E5122,Produtos!$A:$E,4,FALSE)</f>
        <v>50</v>
      </c>
      <c r="I5122" s="2">
        <v>3</v>
      </c>
    </row>
    <row r="5123" spans="1:9" x14ac:dyDescent="0.25">
      <c r="A5123" s="2" t="str">
        <f>CONCATENATE(Códigos!S5122,Códigos!T5122,Códigos!U5122)</f>
        <v>svv5121v</v>
      </c>
      <c r="B5123" t="s">
        <v>345</v>
      </c>
      <c r="C5123" t="s">
        <v>362</v>
      </c>
      <c r="D5123" s="2" t="s">
        <v>363</v>
      </c>
      <c r="E5123" t="s">
        <v>364</v>
      </c>
      <c r="F5123" s="11">
        <v>43999</v>
      </c>
      <c r="G5123" s="14">
        <f t="array" ref="G5123">VLOOKUP(E5123,Produtos!$A:$E,5,FALSE)</f>
        <v>200</v>
      </c>
      <c r="H5123" s="14">
        <f>VLOOKUP(E5123,Produtos!$A:$E,4,FALSE)</f>
        <v>100</v>
      </c>
      <c r="I5123" s="2">
        <v>3</v>
      </c>
    </row>
    <row r="5124" spans="1:9" x14ac:dyDescent="0.25">
      <c r="A5124" s="2" t="str">
        <f>CONCATENATE(Códigos!S5123,Códigos!T5123,Códigos!U5123)</f>
        <v>svv5122v</v>
      </c>
      <c r="B5124" t="s">
        <v>345</v>
      </c>
      <c r="C5124" t="s">
        <v>362</v>
      </c>
      <c r="D5124" s="2" t="s">
        <v>363</v>
      </c>
      <c r="E5124" t="s">
        <v>364</v>
      </c>
      <c r="F5124" s="11">
        <v>44000</v>
      </c>
      <c r="G5124" s="14">
        <f t="array" ref="G5124">VLOOKUP(E5124,Produtos!$A:$E,5,FALSE)</f>
        <v>200</v>
      </c>
      <c r="H5124" s="14">
        <f>VLOOKUP(E5124,Produtos!$A:$E,4,FALSE)</f>
        <v>100</v>
      </c>
      <c r="I5124" s="2">
        <v>3</v>
      </c>
    </row>
    <row r="5125" spans="1:9" x14ac:dyDescent="0.25">
      <c r="A5125" s="2" t="str">
        <f>CONCATENATE(Códigos!S5124,Códigos!T5124,Códigos!U5124)</f>
        <v>svv5123v</v>
      </c>
      <c r="B5125" t="s">
        <v>345</v>
      </c>
      <c r="C5125" t="s">
        <v>362</v>
      </c>
      <c r="D5125" s="2" t="s">
        <v>363</v>
      </c>
      <c r="E5125" t="s">
        <v>364</v>
      </c>
      <c r="F5125" s="11">
        <v>44001</v>
      </c>
      <c r="G5125" s="14">
        <f t="array" ref="G5125">VLOOKUP(E5125,Produtos!$A:$E,5,FALSE)</f>
        <v>200</v>
      </c>
      <c r="H5125" s="14">
        <f>VLOOKUP(E5125,Produtos!$A:$E,4,FALSE)</f>
        <v>100</v>
      </c>
      <c r="I5125" s="2">
        <v>3</v>
      </c>
    </row>
    <row r="5126" spans="1:9" x14ac:dyDescent="0.25">
      <c r="A5126" s="2" t="str">
        <f>CONCATENATE(Códigos!S5125,Códigos!T5125,Códigos!U5125)</f>
        <v>svv5124v</v>
      </c>
      <c r="B5126" t="s">
        <v>345</v>
      </c>
      <c r="C5126" t="s">
        <v>362</v>
      </c>
      <c r="D5126" s="2" t="s">
        <v>363</v>
      </c>
      <c r="E5126" t="s">
        <v>364</v>
      </c>
      <c r="F5126" s="11">
        <v>44002</v>
      </c>
      <c r="G5126" s="14">
        <f t="array" ref="G5126">VLOOKUP(E5126,Produtos!$A:$E,5,FALSE)</f>
        <v>200</v>
      </c>
      <c r="H5126" s="14">
        <f>VLOOKUP(E5126,Produtos!$A:$E,4,FALSE)</f>
        <v>100</v>
      </c>
      <c r="I5126" s="2">
        <v>3</v>
      </c>
    </row>
    <row r="5127" spans="1:9" x14ac:dyDescent="0.25">
      <c r="A5127" s="2" t="str">
        <f>CONCATENATE(Códigos!S5126,Códigos!T5126,Códigos!U5126)</f>
        <v>svv5125v</v>
      </c>
      <c r="B5127" t="s">
        <v>345</v>
      </c>
      <c r="C5127" t="s">
        <v>362</v>
      </c>
      <c r="D5127" s="2" t="s">
        <v>363</v>
      </c>
      <c r="E5127" t="s">
        <v>364</v>
      </c>
      <c r="F5127" s="11">
        <v>44003</v>
      </c>
      <c r="G5127" s="14">
        <f t="array" ref="G5127">VLOOKUP(E5127,Produtos!$A:$E,5,FALSE)</f>
        <v>200</v>
      </c>
      <c r="H5127" s="14">
        <f>VLOOKUP(E5127,Produtos!$A:$E,4,FALSE)</f>
        <v>100</v>
      </c>
      <c r="I5127" s="2">
        <v>3</v>
      </c>
    </row>
    <row r="5128" spans="1:9" x14ac:dyDescent="0.25">
      <c r="A5128" s="2" t="str">
        <f>CONCATENATE(Códigos!S5127,Códigos!T5127,Códigos!U5127)</f>
        <v>svv5126v</v>
      </c>
      <c r="B5128" t="s">
        <v>345</v>
      </c>
      <c r="C5128" t="s">
        <v>362</v>
      </c>
      <c r="D5128" s="2" t="s">
        <v>363</v>
      </c>
      <c r="E5128" t="s">
        <v>327</v>
      </c>
      <c r="F5128" s="11">
        <v>44004</v>
      </c>
      <c r="G5128" s="14">
        <f t="array" ref="G5128">VLOOKUP(E5128,Produtos!$A:$E,5,FALSE)</f>
        <v>890</v>
      </c>
      <c r="H5128" s="14">
        <f>VLOOKUP(E5128,Produtos!$A:$E,4,FALSE)</f>
        <v>600</v>
      </c>
      <c r="I5128" s="2">
        <v>3</v>
      </c>
    </row>
    <row r="5129" spans="1:9" x14ac:dyDescent="0.25">
      <c r="A5129" s="2" t="str">
        <f>CONCATENATE(Códigos!S5128,Códigos!T5128,Códigos!U5128)</f>
        <v>svv5127v</v>
      </c>
      <c r="B5129" t="s">
        <v>345</v>
      </c>
      <c r="C5129" t="s">
        <v>362</v>
      </c>
      <c r="D5129" s="2" t="s">
        <v>363</v>
      </c>
      <c r="E5129" t="s">
        <v>327</v>
      </c>
      <c r="F5129" s="11">
        <v>44005</v>
      </c>
      <c r="G5129" s="14">
        <f t="array" ref="G5129">VLOOKUP(E5129,Produtos!$A:$E,5,FALSE)</f>
        <v>890</v>
      </c>
      <c r="H5129" s="14">
        <f>VLOOKUP(E5129,Produtos!$A:$E,4,FALSE)</f>
        <v>600</v>
      </c>
      <c r="I5129" s="2">
        <v>3</v>
      </c>
    </row>
    <row r="5130" spans="1:9" x14ac:dyDescent="0.25">
      <c r="A5130" s="2" t="str">
        <f>CONCATENATE(Códigos!S5129,Códigos!T5129,Códigos!U5129)</f>
        <v>svv5128v</v>
      </c>
      <c r="B5130" t="s">
        <v>345</v>
      </c>
      <c r="C5130" t="s">
        <v>362</v>
      </c>
      <c r="D5130" s="2" t="s">
        <v>363</v>
      </c>
      <c r="E5130" t="s">
        <v>327</v>
      </c>
      <c r="F5130" s="11">
        <v>44006</v>
      </c>
      <c r="G5130" s="14">
        <f t="array" ref="G5130">VLOOKUP(E5130,Produtos!$A:$E,5,FALSE)</f>
        <v>890</v>
      </c>
      <c r="H5130" s="14">
        <f>VLOOKUP(E5130,Produtos!$A:$E,4,FALSE)</f>
        <v>600</v>
      </c>
      <c r="I5130" s="2">
        <v>3</v>
      </c>
    </row>
    <row r="5131" spans="1:9" x14ac:dyDescent="0.25">
      <c r="A5131" s="2" t="str">
        <f>CONCATENATE(Códigos!S5130,Códigos!T5130,Códigos!U5130)</f>
        <v>svv5129v</v>
      </c>
      <c r="B5131" t="s">
        <v>345</v>
      </c>
      <c r="C5131" t="s">
        <v>362</v>
      </c>
      <c r="D5131" s="2" t="s">
        <v>363</v>
      </c>
      <c r="E5131" t="s">
        <v>327</v>
      </c>
      <c r="F5131" s="11">
        <v>44007</v>
      </c>
      <c r="G5131" s="14">
        <f t="array" ref="G5131">VLOOKUP(E5131,Produtos!$A:$E,5,FALSE)</f>
        <v>890</v>
      </c>
      <c r="H5131" s="14">
        <f>VLOOKUP(E5131,Produtos!$A:$E,4,FALSE)</f>
        <v>600</v>
      </c>
      <c r="I5131" s="2">
        <v>3</v>
      </c>
    </row>
    <row r="5132" spans="1:9" x14ac:dyDescent="0.25">
      <c r="A5132" s="2" t="str">
        <f>CONCATENATE(Códigos!S5131,Códigos!T5131,Códigos!U5131)</f>
        <v>svv5130v</v>
      </c>
      <c r="B5132" t="s">
        <v>345</v>
      </c>
      <c r="C5132" t="s">
        <v>362</v>
      </c>
      <c r="D5132" s="2" t="s">
        <v>363</v>
      </c>
      <c r="E5132" t="s">
        <v>327</v>
      </c>
      <c r="F5132" s="11">
        <v>44008</v>
      </c>
      <c r="G5132" s="14">
        <f t="array" ref="G5132">VLOOKUP(E5132,Produtos!$A:$E,5,FALSE)</f>
        <v>890</v>
      </c>
      <c r="H5132" s="14">
        <f>VLOOKUP(E5132,Produtos!$A:$E,4,FALSE)</f>
        <v>600</v>
      </c>
      <c r="I5132" s="2">
        <v>3</v>
      </c>
    </row>
    <row r="5133" spans="1:9" x14ac:dyDescent="0.25">
      <c r="A5133" s="2" t="str">
        <f>CONCATENATE(Códigos!S5132,Códigos!T5132,Códigos!U5132)</f>
        <v>svv5131v</v>
      </c>
      <c r="B5133" t="s">
        <v>345</v>
      </c>
      <c r="C5133" t="s">
        <v>362</v>
      </c>
      <c r="D5133" s="2" t="s">
        <v>363</v>
      </c>
      <c r="E5133" t="s">
        <v>327</v>
      </c>
      <c r="F5133" s="11">
        <v>44009</v>
      </c>
      <c r="G5133" s="14">
        <f t="array" ref="G5133">VLOOKUP(E5133,Produtos!$A:$E,5,FALSE)</f>
        <v>890</v>
      </c>
      <c r="H5133" s="14">
        <f>VLOOKUP(E5133,Produtos!$A:$E,4,FALSE)</f>
        <v>600</v>
      </c>
      <c r="I5133" s="2">
        <v>3</v>
      </c>
    </row>
    <row r="5134" spans="1:9" x14ac:dyDescent="0.25">
      <c r="A5134" s="2" t="str">
        <f>CONCATENATE(Códigos!S5133,Códigos!T5133,Códigos!U5133)</f>
        <v>svv5132v</v>
      </c>
      <c r="B5134" t="s">
        <v>345</v>
      </c>
      <c r="C5134" t="s">
        <v>362</v>
      </c>
      <c r="D5134" s="2" t="s">
        <v>363</v>
      </c>
      <c r="E5134" t="s">
        <v>327</v>
      </c>
      <c r="F5134" s="11">
        <v>44010</v>
      </c>
      <c r="G5134" s="14">
        <f t="array" ref="G5134">VLOOKUP(E5134,Produtos!$A:$E,5,FALSE)</f>
        <v>890</v>
      </c>
      <c r="H5134" s="14">
        <f>VLOOKUP(E5134,Produtos!$A:$E,4,FALSE)</f>
        <v>600</v>
      </c>
      <c r="I5134" s="2">
        <v>3</v>
      </c>
    </row>
    <row r="5135" spans="1:9" x14ac:dyDescent="0.25">
      <c r="A5135" s="2" t="str">
        <f>CONCATENATE(Códigos!S5134,Códigos!T5134,Códigos!U5134)</f>
        <v>svv5133v</v>
      </c>
      <c r="B5135" t="s">
        <v>345</v>
      </c>
      <c r="C5135" t="s">
        <v>360</v>
      </c>
      <c r="D5135" s="2" t="s">
        <v>361</v>
      </c>
      <c r="E5135" t="s">
        <v>327</v>
      </c>
      <c r="F5135" s="11">
        <v>44011</v>
      </c>
      <c r="G5135" s="14">
        <f t="array" ref="G5135">VLOOKUP(E5135,Produtos!$A:$E,5,FALSE)</f>
        <v>890</v>
      </c>
      <c r="H5135" s="14">
        <f>VLOOKUP(E5135,Produtos!$A:$E,4,FALSE)</f>
        <v>600</v>
      </c>
      <c r="I5135" s="2">
        <v>3</v>
      </c>
    </row>
    <row r="5136" spans="1:9" x14ac:dyDescent="0.25">
      <c r="A5136" s="2" t="str">
        <f>CONCATENATE(Códigos!S5135,Códigos!T5135,Códigos!U5135)</f>
        <v>svv5134v</v>
      </c>
      <c r="B5136" t="s">
        <v>345</v>
      </c>
      <c r="C5136" t="s">
        <v>360</v>
      </c>
      <c r="D5136" s="2" t="s">
        <v>361</v>
      </c>
      <c r="E5136" t="s">
        <v>327</v>
      </c>
      <c r="F5136" s="11">
        <v>44012</v>
      </c>
      <c r="G5136" s="14">
        <f t="array" ref="G5136">VLOOKUP(E5136,Produtos!$A:$E,5,FALSE)</f>
        <v>890</v>
      </c>
      <c r="H5136" s="14">
        <f>VLOOKUP(E5136,Produtos!$A:$E,4,FALSE)</f>
        <v>600</v>
      </c>
      <c r="I5136" s="2">
        <v>3</v>
      </c>
    </row>
    <row r="5137" spans="1:9" x14ac:dyDescent="0.25">
      <c r="A5137" s="2" t="str">
        <f>CONCATENATE(Códigos!S5136,Códigos!T5136,Códigos!U5136)</f>
        <v>svv5135v</v>
      </c>
      <c r="B5137" t="s">
        <v>345</v>
      </c>
      <c r="C5137" t="s">
        <v>360</v>
      </c>
      <c r="D5137" s="2" t="s">
        <v>361</v>
      </c>
      <c r="E5137" t="s">
        <v>327</v>
      </c>
      <c r="F5137" s="11">
        <v>44013</v>
      </c>
      <c r="G5137" s="14">
        <f t="array" ref="G5137">VLOOKUP(E5137,Produtos!$A:$E,5,FALSE)</f>
        <v>890</v>
      </c>
      <c r="H5137" s="14">
        <f>VLOOKUP(E5137,Produtos!$A:$E,4,FALSE)</f>
        <v>600</v>
      </c>
      <c r="I5137" s="2">
        <v>3</v>
      </c>
    </row>
    <row r="5138" spans="1:9" x14ac:dyDescent="0.25">
      <c r="A5138" s="2" t="str">
        <f>CONCATENATE(Códigos!S5137,Códigos!T5137,Códigos!U5137)</f>
        <v>svv5136v</v>
      </c>
      <c r="B5138" t="s">
        <v>345</v>
      </c>
      <c r="C5138" t="s">
        <v>360</v>
      </c>
      <c r="D5138" s="2" t="s">
        <v>361</v>
      </c>
      <c r="E5138" t="s">
        <v>327</v>
      </c>
      <c r="F5138" s="11">
        <v>44014</v>
      </c>
      <c r="G5138" s="14">
        <f t="array" ref="G5138">VLOOKUP(E5138,Produtos!$A:$E,5,FALSE)</f>
        <v>890</v>
      </c>
      <c r="H5138" s="14">
        <f>VLOOKUP(E5138,Produtos!$A:$E,4,FALSE)</f>
        <v>600</v>
      </c>
      <c r="I5138" s="2">
        <v>3</v>
      </c>
    </row>
    <row r="5139" spans="1:9" x14ac:dyDescent="0.25">
      <c r="A5139" s="2" t="str">
        <f>CONCATENATE(Códigos!S5138,Códigos!T5138,Códigos!U5138)</f>
        <v>svv5137v</v>
      </c>
      <c r="B5139" t="s">
        <v>345</v>
      </c>
      <c r="C5139" t="s">
        <v>360</v>
      </c>
      <c r="D5139" s="2" t="s">
        <v>361</v>
      </c>
      <c r="E5139" t="s">
        <v>327</v>
      </c>
      <c r="F5139" s="11">
        <v>44015</v>
      </c>
      <c r="G5139" s="14">
        <f t="array" ref="G5139">VLOOKUP(E5139,Produtos!$A:$E,5,FALSE)</f>
        <v>890</v>
      </c>
      <c r="H5139" s="14">
        <f>VLOOKUP(E5139,Produtos!$A:$E,4,FALSE)</f>
        <v>600</v>
      </c>
      <c r="I5139" s="2">
        <v>3</v>
      </c>
    </row>
    <row r="5140" spans="1:9" x14ac:dyDescent="0.25">
      <c r="A5140" s="2" t="str">
        <f>CONCATENATE(Códigos!S5139,Códigos!T5139,Códigos!U5139)</f>
        <v>svv5138v</v>
      </c>
      <c r="B5140" t="s">
        <v>345</v>
      </c>
      <c r="C5140" t="s">
        <v>360</v>
      </c>
      <c r="D5140" s="2" t="s">
        <v>361</v>
      </c>
      <c r="E5140" t="s">
        <v>327</v>
      </c>
      <c r="F5140" s="11">
        <v>44016</v>
      </c>
      <c r="G5140" s="14">
        <f t="array" ref="G5140">VLOOKUP(E5140,Produtos!$A:$E,5,FALSE)</f>
        <v>890</v>
      </c>
      <c r="H5140" s="14">
        <f>VLOOKUP(E5140,Produtos!$A:$E,4,FALSE)</f>
        <v>600</v>
      </c>
      <c r="I5140" s="2">
        <v>3</v>
      </c>
    </row>
    <row r="5141" spans="1:9" x14ac:dyDescent="0.25">
      <c r="A5141" s="2" t="str">
        <f>CONCATENATE(Códigos!S5140,Códigos!T5140,Códigos!U5140)</f>
        <v>svv5139v</v>
      </c>
      <c r="B5141" t="s">
        <v>345</v>
      </c>
      <c r="C5141" t="s">
        <v>360</v>
      </c>
      <c r="D5141" s="2" t="s">
        <v>361</v>
      </c>
      <c r="E5141" t="s">
        <v>327</v>
      </c>
      <c r="F5141" s="11">
        <v>44017</v>
      </c>
      <c r="G5141" s="14">
        <f t="array" ref="G5141">VLOOKUP(E5141,Produtos!$A:$E,5,FALSE)</f>
        <v>890</v>
      </c>
      <c r="H5141" s="14">
        <f>VLOOKUP(E5141,Produtos!$A:$E,4,FALSE)</f>
        <v>600</v>
      </c>
      <c r="I5141" s="2">
        <v>3</v>
      </c>
    </row>
    <row r="5142" spans="1:9" x14ac:dyDescent="0.25">
      <c r="A5142" s="2" t="str">
        <f>CONCATENATE(Códigos!S5141,Códigos!T5141,Códigos!U5141)</f>
        <v>svv5140v</v>
      </c>
      <c r="B5142" t="s">
        <v>345</v>
      </c>
      <c r="C5142" t="s">
        <v>360</v>
      </c>
      <c r="D5142" s="2" t="s">
        <v>361</v>
      </c>
      <c r="E5142" t="s">
        <v>327</v>
      </c>
      <c r="F5142" s="11">
        <v>44018</v>
      </c>
      <c r="G5142" s="14">
        <f t="array" ref="G5142">VLOOKUP(E5142,Produtos!$A:$E,5,FALSE)</f>
        <v>890</v>
      </c>
      <c r="H5142" s="14">
        <f>VLOOKUP(E5142,Produtos!$A:$E,4,FALSE)</f>
        <v>600</v>
      </c>
      <c r="I5142" s="2">
        <v>3</v>
      </c>
    </row>
    <row r="5143" spans="1:9" x14ac:dyDescent="0.25">
      <c r="A5143" s="2" t="str">
        <f>CONCATENATE(Códigos!S5142,Códigos!T5142,Códigos!U5142)</f>
        <v>svv5141v</v>
      </c>
      <c r="B5143" t="s">
        <v>345</v>
      </c>
      <c r="C5143" t="s">
        <v>360</v>
      </c>
      <c r="D5143" s="2" t="s">
        <v>361</v>
      </c>
      <c r="E5143" t="s">
        <v>334</v>
      </c>
      <c r="F5143" s="11">
        <v>44019</v>
      </c>
      <c r="G5143" s="14">
        <f t="array" ref="G5143">VLOOKUP(E5143,Produtos!$A:$E,5,FALSE)</f>
        <v>1900</v>
      </c>
      <c r="H5143" s="14">
        <f>VLOOKUP(E5143,Produtos!$A:$E,4,FALSE)</f>
        <v>1250</v>
      </c>
      <c r="I5143" s="2">
        <v>3</v>
      </c>
    </row>
    <row r="5144" spans="1:9" x14ac:dyDescent="0.25">
      <c r="A5144" s="2" t="str">
        <f>CONCATENATE(Códigos!S5143,Códigos!T5143,Códigos!U5143)</f>
        <v>svv5142v</v>
      </c>
      <c r="B5144" t="s">
        <v>345</v>
      </c>
      <c r="C5144" t="s">
        <v>360</v>
      </c>
      <c r="D5144" s="2" t="s">
        <v>361</v>
      </c>
      <c r="E5144" t="s">
        <v>334</v>
      </c>
      <c r="F5144" s="11">
        <v>44020</v>
      </c>
      <c r="G5144" s="14">
        <f t="array" ref="G5144">VLOOKUP(E5144,Produtos!$A:$E,5,FALSE)</f>
        <v>1900</v>
      </c>
      <c r="H5144" s="14">
        <f>VLOOKUP(E5144,Produtos!$A:$E,4,FALSE)</f>
        <v>1250</v>
      </c>
      <c r="I5144" s="2">
        <v>3</v>
      </c>
    </row>
    <row r="5145" spans="1:9" x14ac:dyDescent="0.25">
      <c r="A5145" s="2" t="str">
        <f>CONCATENATE(Códigos!S5144,Códigos!T5144,Códigos!U5144)</f>
        <v>svv5143v</v>
      </c>
      <c r="B5145" t="s">
        <v>345</v>
      </c>
      <c r="C5145" t="s">
        <v>360</v>
      </c>
      <c r="D5145" s="2" t="s">
        <v>361</v>
      </c>
      <c r="E5145" t="s">
        <v>334</v>
      </c>
      <c r="F5145" s="11">
        <v>44021</v>
      </c>
      <c r="G5145" s="14">
        <f t="array" ref="G5145">VLOOKUP(E5145,Produtos!$A:$E,5,FALSE)</f>
        <v>1900</v>
      </c>
      <c r="H5145" s="14">
        <f>VLOOKUP(E5145,Produtos!$A:$E,4,FALSE)</f>
        <v>1250</v>
      </c>
      <c r="I5145" s="2">
        <v>2</v>
      </c>
    </row>
    <row r="5146" spans="1:9" x14ac:dyDescent="0.25">
      <c r="A5146" s="2" t="str">
        <f>CONCATENATE(Códigos!S5145,Códigos!T5145,Códigos!U5145)</f>
        <v>svv5144v</v>
      </c>
      <c r="B5146" t="s">
        <v>345</v>
      </c>
      <c r="C5146" t="s">
        <v>360</v>
      </c>
      <c r="D5146" s="2" t="s">
        <v>361</v>
      </c>
      <c r="E5146" t="s">
        <v>334</v>
      </c>
      <c r="F5146" s="11">
        <v>44022</v>
      </c>
      <c r="G5146" s="14">
        <f t="array" ref="G5146">VLOOKUP(E5146,Produtos!$A:$E,5,FALSE)</f>
        <v>1900</v>
      </c>
      <c r="H5146" s="14">
        <f>VLOOKUP(E5146,Produtos!$A:$E,4,FALSE)</f>
        <v>1250</v>
      </c>
      <c r="I5146" s="2">
        <v>2</v>
      </c>
    </row>
    <row r="5147" spans="1:9" x14ac:dyDescent="0.25">
      <c r="A5147" s="2" t="str">
        <f>CONCATENATE(Códigos!S5146,Códigos!T5146,Códigos!U5146)</f>
        <v>svv5145v</v>
      </c>
      <c r="B5147" t="s">
        <v>345</v>
      </c>
      <c r="C5147" t="s">
        <v>360</v>
      </c>
      <c r="D5147" s="2" t="s">
        <v>361</v>
      </c>
      <c r="E5147" t="s">
        <v>334</v>
      </c>
      <c r="F5147" s="11">
        <v>44023</v>
      </c>
      <c r="G5147" s="14">
        <f t="array" ref="G5147">VLOOKUP(E5147,Produtos!$A:$E,5,FALSE)</f>
        <v>1900</v>
      </c>
      <c r="H5147" s="14">
        <f>VLOOKUP(E5147,Produtos!$A:$E,4,FALSE)</f>
        <v>1250</v>
      </c>
      <c r="I5147" s="2">
        <v>2</v>
      </c>
    </row>
    <row r="5148" spans="1:9" x14ac:dyDescent="0.25">
      <c r="A5148" s="2" t="str">
        <f>CONCATENATE(Códigos!S5147,Códigos!T5147,Códigos!U5147)</f>
        <v>svv5146v</v>
      </c>
      <c r="B5148" t="s">
        <v>345</v>
      </c>
      <c r="C5148" t="s">
        <v>358</v>
      </c>
      <c r="D5148" s="2" t="s">
        <v>359</v>
      </c>
      <c r="E5148" t="s">
        <v>334</v>
      </c>
      <c r="F5148" s="11">
        <v>44024</v>
      </c>
      <c r="G5148" s="14">
        <f t="array" ref="G5148">VLOOKUP(E5148,Produtos!$A:$E,5,FALSE)</f>
        <v>1900</v>
      </c>
      <c r="H5148" s="14">
        <f>VLOOKUP(E5148,Produtos!$A:$E,4,FALSE)</f>
        <v>1250</v>
      </c>
      <c r="I5148" s="2">
        <v>2</v>
      </c>
    </row>
    <row r="5149" spans="1:9" x14ac:dyDescent="0.25">
      <c r="A5149" s="2" t="str">
        <f>CONCATENATE(Códigos!S5148,Códigos!T5148,Códigos!U5148)</f>
        <v>svv5147v</v>
      </c>
      <c r="B5149" t="s">
        <v>345</v>
      </c>
      <c r="C5149" t="s">
        <v>358</v>
      </c>
      <c r="D5149" s="2" t="s">
        <v>359</v>
      </c>
      <c r="E5149" t="s">
        <v>334</v>
      </c>
      <c r="F5149" s="11">
        <v>44025</v>
      </c>
      <c r="G5149" s="14">
        <f t="array" ref="G5149">VLOOKUP(E5149,Produtos!$A:$E,5,FALSE)</f>
        <v>1900</v>
      </c>
      <c r="H5149" s="14">
        <f>VLOOKUP(E5149,Produtos!$A:$E,4,FALSE)</f>
        <v>1250</v>
      </c>
      <c r="I5149" s="2">
        <v>2</v>
      </c>
    </row>
    <row r="5150" spans="1:9" x14ac:dyDescent="0.25">
      <c r="A5150" s="2" t="str">
        <f>CONCATENATE(Códigos!S5149,Códigos!T5149,Códigos!U5149)</f>
        <v>svv5148v</v>
      </c>
      <c r="B5150" t="s">
        <v>346</v>
      </c>
      <c r="C5150" t="s">
        <v>358</v>
      </c>
      <c r="D5150" s="2" t="s">
        <v>359</v>
      </c>
      <c r="E5150" t="s">
        <v>334</v>
      </c>
      <c r="F5150" s="11">
        <v>44026</v>
      </c>
      <c r="G5150" s="14">
        <f t="array" ref="G5150">VLOOKUP(E5150,Produtos!$A:$E,5,FALSE)</f>
        <v>1900</v>
      </c>
      <c r="H5150" s="14">
        <f>VLOOKUP(E5150,Produtos!$A:$E,4,FALSE)</f>
        <v>1250</v>
      </c>
      <c r="I5150" s="2">
        <v>2</v>
      </c>
    </row>
    <row r="5151" spans="1:9" x14ac:dyDescent="0.25">
      <c r="A5151" s="2" t="str">
        <f>CONCATENATE(Códigos!S5150,Códigos!T5150,Códigos!U5150)</f>
        <v>svv5149v</v>
      </c>
      <c r="B5151" t="s">
        <v>346</v>
      </c>
      <c r="C5151" t="s">
        <v>358</v>
      </c>
      <c r="D5151" s="2" t="s">
        <v>359</v>
      </c>
      <c r="E5151" t="s">
        <v>334</v>
      </c>
      <c r="F5151" s="11">
        <v>44027</v>
      </c>
      <c r="G5151" s="14">
        <f t="array" ref="G5151">VLOOKUP(E5151,Produtos!$A:$E,5,FALSE)</f>
        <v>1900</v>
      </c>
      <c r="H5151" s="14">
        <f>VLOOKUP(E5151,Produtos!$A:$E,4,FALSE)</f>
        <v>1250</v>
      </c>
      <c r="I5151" s="2">
        <v>2</v>
      </c>
    </row>
    <row r="5152" spans="1:9" x14ac:dyDescent="0.25">
      <c r="A5152" s="2" t="str">
        <f>CONCATENATE(Códigos!S5151,Códigos!T5151,Códigos!U5151)</f>
        <v>svv5150v</v>
      </c>
      <c r="B5152" t="s">
        <v>346</v>
      </c>
      <c r="C5152" t="s">
        <v>358</v>
      </c>
      <c r="D5152" s="2" t="s">
        <v>359</v>
      </c>
      <c r="E5152" t="s">
        <v>334</v>
      </c>
      <c r="F5152" s="11">
        <v>44028</v>
      </c>
      <c r="G5152" s="14">
        <f t="array" ref="G5152">VLOOKUP(E5152,Produtos!$A:$E,5,FALSE)</f>
        <v>1900</v>
      </c>
      <c r="H5152" s="14">
        <f>VLOOKUP(E5152,Produtos!$A:$E,4,FALSE)</f>
        <v>1250</v>
      </c>
      <c r="I5152" s="2">
        <v>2</v>
      </c>
    </row>
    <row r="5153" spans="1:9" x14ac:dyDescent="0.25">
      <c r="A5153" s="2" t="str">
        <f>CONCATENATE(Códigos!S5152,Códigos!T5152,Códigos!U5152)</f>
        <v>svv5151v</v>
      </c>
      <c r="B5153" t="s">
        <v>346</v>
      </c>
      <c r="C5153" t="s">
        <v>358</v>
      </c>
      <c r="D5153" s="2" t="s">
        <v>359</v>
      </c>
      <c r="E5153" t="s">
        <v>334</v>
      </c>
      <c r="F5153" s="11">
        <v>44029</v>
      </c>
      <c r="G5153" s="14">
        <f t="array" ref="G5153">VLOOKUP(E5153,Produtos!$A:$E,5,FALSE)</f>
        <v>1900</v>
      </c>
      <c r="H5153" s="14">
        <f>VLOOKUP(E5153,Produtos!$A:$E,4,FALSE)</f>
        <v>1250</v>
      </c>
      <c r="I5153" s="2">
        <v>2</v>
      </c>
    </row>
    <row r="5154" spans="1:9" x14ac:dyDescent="0.25">
      <c r="A5154" s="2" t="str">
        <f>CONCATENATE(Códigos!S5153,Códigos!T5153,Códigos!U5153)</f>
        <v>svv5152v</v>
      </c>
      <c r="B5154" t="s">
        <v>346</v>
      </c>
      <c r="C5154" t="s">
        <v>358</v>
      </c>
      <c r="D5154" s="2" t="s">
        <v>359</v>
      </c>
      <c r="E5154" t="s">
        <v>355</v>
      </c>
      <c r="F5154" s="11">
        <v>44030</v>
      </c>
      <c r="G5154" s="14">
        <f t="array" ref="G5154">VLOOKUP(E5154,Produtos!$A:$E,5,FALSE)</f>
        <v>1300</v>
      </c>
      <c r="H5154" s="14">
        <f>VLOOKUP(E5154,Produtos!$A:$E,4,FALSE)</f>
        <v>1000</v>
      </c>
      <c r="I5154" s="2">
        <v>2</v>
      </c>
    </row>
    <row r="5155" spans="1:9" x14ac:dyDescent="0.25">
      <c r="A5155" s="2" t="str">
        <f>CONCATENATE(Códigos!S5154,Códigos!T5154,Códigos!U5154)</f>
        <v>svv5153v</v>
      </c>
      <c r="B5155" t="s">
        <v>346</v>
      </c>
      <c r="C5155" t="s">
        <v>358</v>
      </c>
      <c r="D5155" s="2" t="s">
        <v>359</v>
      </c>
      <c r="E5155" t="s">
        <v>355</v>
      </c>
      <c r="F5155" s="11">
        <v>44031</v>
      </c>
      <c r="G5155" s="14">
        <f t="array" ref="G5155">VLOOKUP(E5155,Produtos!$A:$E,5,FALSE)</f>
        <v>1300</v>
      </c>
      <c r="H5155" s="14">
        <f>VLOOKUP(E5155,Produtos!$A:$E,4,FALSE)</f>
        <v>1000</v>
      </c>
      <c r="I5155" s="2">
        <v>2</v>
      </c>
    </row>
    <row r="5156" spans="1:9" x14ac:dyDescent="0.25">
      <c r="A5156" s="2" t="str">
        <f>CONCATENATE(Códigos!S5155,Códigos!T5155,Códigos!U5155)</f>
        <v>svv5154v</v>
      </c>
      <c r="B5156" t="s">
        <v>346</v>
      </c>
      <c r="C5156" t="s">
        <v>358</v>
      </c>
      <c r="D5156" s="2" t="s">
        <v>359</v>
      </c>
      <c r="E5156" t="s">
        <v>355</v>
      </c>
      <c r="F5156" s="11">
        <v>44032</v>
      </c>
      <c r="G5156" s="14">
        <f t="array" ref="G5156">VLOOKUP(E5156,Produtos!$A:$E,5,FALSE)</f>
        <v>1300</v>
      </c>
      <c r="H5156" s="14">
        <f>VLOOKUP(E5156,Produtos!$A:$E,4,FALSE)</f>
        <v>1000</v>
      </c>
      <c r="I5156" s="2">
        <v>2</v>
      </c>
    </row>
    <row r="5157" spans="1:9" x14ac:dyDescent="0.25">
      <c r="A5157" s="2" t="str">
        <f>CONCATENATE(Códigos!S5156,Códigos!T5156,Códigos!U5156)</f>
        <v>svv5155v</v>
      </c>
      <c r="B5157" t="s">
        <v>346</v>
      </c>
      <c r="C5157" t="s">
        <v>358</v>
      </c>
      <c r="D5157" s="2" t="s">
        <v>359</v>
      </c>
      <c r="E5157" t="s">
        <v>355</v>
      </c>
      <c r="F5157" s="11">
        <v>44033</v>
      </c>
      <c r="G5157" s="14">
        <f t="array" ref="G5157">VLOOKUP(E5157,Produtos!$A:$E,5,FALSE)</f>
        <v>1300</v>
      </c>
      <c r="H5157" s="14">
        <f>VLOOKUP(E5157,Produtos!$A:$E,4,FALSE)</f>
        <v>1000</v>
      </c>
      <c r="I5157" s="2">
        <v>2</v>
      </c>
    </row>
    <row r="5158" spans="1:9" x14ac:dyDescent="0.25">
      <c r="A5158" s="2" t="str">
        <f>CONCATENATE(Códigos!S5157,Códigos!T5157,Códigos!U5157)</f>
        <v>svv5156v</v>
      </c>
      <c r="B5158" t="s">
        <v>346</v>
      </c>
      <c r="C5158" t="s">
        <v>358</v>
      </c>
      <c r="D5158" s="2" t="s">
        <v>359</v>
      </c>
      <c r="E5158" t="s">
        <v>355</v>
      </c>
      <c r="F5158" s="11">
        <v>44034</v>
      </c>
      <c r="G5158" s="14">
        <f t="array" ref="G5158">VLOOKUP(E5158,Produtos!$A:$E,5,FALSE)</f>
        <v>1300</v>
      </c>
      <c r="H5158" s="14">
        <f>VLOOKUP(E5158,Produtos!$A:$E,4,FALSE)</f>
        <v>1000</v>
      </c>
      <c r="I5158" s="2">
        <v>2</v>
      </c>
    </row>
    <row r="5159" spans="1:9" x14ac:dyDescent="0.25">
      <c r="A5159" s="2" t="str">
        <f>CONCATENATE(Códigos!S5158,Códigos!T5158,Códigos!U5158)</f>
        <v>svv5157v</v>
      </c>
      <c r="B5159" t="s">
        <v>346</v>
      </c>
      <c r="C5159" t="s">
        <v>358</v>
      </c>
      <c r="D5159" s="2" t="s">
        <v>359</v>
      </c>
      <c r="E5159" t="s">
        <v>355</v>
      </c>
      <c r="F5159" s="11">
        <v>44035</v>
      </c>
      <c r="G5159" s="14">
        <f t="array" ref="G5159">VLOOKUP(E5159,Produtos!$A:$E,5,FALSE)</f>
        <v>1300</v>
      </c>
      <c r="H5159" s="14">
        <f>VLOOKUP(E5159,Produtos!$A:$E,4,FALSE)</f>
        <v>1000</v>
      </c>
      <c r="I5159" s="2">
        <v>2</v>
      </c>
    </row>
    <row r="5160" spans="1:9" x14ac:dyDescent="0.25">
      <c r="A5160" s="2" t="str">
        <f>CONCATENATE(Códigos!S5159,Códigos!T5159,Códigos!U5159)</f>
        <v>svv5158v</v>
      </c>
      <c r="B5160" t="s">
        <v>346</v>
      </c>
      <c r="C5160" t="s">
        <v>358</v>
      </c>
      <c r="D5160" s="2" t="s">
        <v>359</v>
      </c>
      <c r="E5160" t="s">
        <v>355</v>
      </c>
      <c r="F5160" s="11">
        <v>44036</v>
      </c>
      <c r="G5160" s="14">
        <f t="array" ref="G5160">VLOOKUP(E5160,Produtos!$A:$E,5,FALSE)</f>
        <v>1300</v>
      </c>
      <c r="H5160" s="14">
        <f>VLOOKUP(E5160,Produtos!$A:$E,4,FALSE)</f>
        <v>1000</v>
      </c>
      <c r="I5160" s="2">
        <v>2</v>
      </c>
    </row>
    <row r="5161" spans="1:9" x14ac:dyDescent="0.25">
      <c r="A5161" s="2" t="str">
        <f>CONCATENATE(Códigos!S5160,Códigos!T5160,Códigos!U5160)</f>
        <v>svv5159v</v>
      </c>
      <c r="B5161" t="s">
        <v>344</v>
      </c>
      <c r="C5161" t="s">
        <v>358</v>
      </c>
      <c r="D5161" s="2" t="s">
        <v>359</v>
      </c>
      <c r="E5161" t="s">
        <v>355</v>
      </c>
      <c r="F5161" s="11">
        <v>44037</v>
      </c>
      <c r="G5161" s="14">
        <f t="array" ref="G5161">VLOOKUP(E5161,Produtos!$A:$E,5,FALSE)</f>
        <v>1300</v>
      </c>
      <c r="H5161" s="14">
        <f>VLOOKUP(E5161,Produtos!$A:$E,4,FALSE)</f>
        <v>1000</v>
      </c>
      <c r="I5161" s="2">
        <v>2</v>
      </c>
    </row>
    <row r="5162" spans="1:9" x14ac:dyDescent="0.25">
      <c r="A5162" s="2" t="str">
        <f>CONCATENATE(Códigos!S5161,Códigos!T5161,Códigos!U5161)</f>
        <v>svv5160v</v>
      </c>
      <c r="B5162" t="s">
        <v>344</v>
      </c>
      <c r="C5162" t="s">
        <v>358</v>
      </c>
      <c r="D5162" s="2" t="s">
        <v>359</v>
      </c>
      <c r="E5162" t="s">
        <v>355</v>
      </c>
      <c r="F5162" s="11">
        <v>44038</v>
      </c>
      <c r="G5162" s="14">
        <f t="array" ref="G5162">VLOOKUP(E5162,Produtos!$A:$E,5,FALSE)</f>
        <v>1300</v>
      </c>
      <c r="H5162" s="14">
        <f>VLOOKUP(E5162,Produtos!$A:$E,4,FALSE)</f>
        <v>1000</v>
      </c>
      <c r="I5162" s="2">
        <v>2</v>
      </c>
    </row>
    <row r="5163" spans="1:9" x14ac:dyDescent="0.25">
      <c r="A5163" s="2" t="str">
        <f>CONCATENATE(Códigos!S5162,Códigos!T5162,Códigos!U5162)</f>
        <v>svv5161v</v>
      </c>
      <c r="B5163" t="s">
        <v>344</v>
      </c>
      <c r="C5163" t="s">
        <v>358</v>
      </c>
      <c r="D5163" s="2" t="s">
        <v>359</v>
      </c>
      <c r="E5163" t="s">
        <v>355</v>
      </c>
      <c r="F5163" s="11">
        <v>44039</v>
      </c>
      <c r="G5163" s="14">
        <f t="array" ref="G5163">VLOOKUP(E5163,Produtos!$A:$E,5,FALSE)</f>
        <v>1300</v>
      </c>
      <c r="H5163" s="14">
        <f>VLOOKUP(E5163,Produtos!$A:$E,4,FALSE)</f>
        <v>1000</v>
      </c>
      <c r="I5163" s="2">
        <v>2</v>
      </c>
    </row>
    <row r="5164" spans="1:9" x14ac:dyDescent="0.25">
      <c r="A5164" s="2" t="str">
        <f>CONCATENATE(Códigos!S5163,Códigos!T5163,Códigos!U5163)</f>
        <v>svv5162v</v>
      </c>
      <c r="B5164" t="s">
        <v>344</v>
      </c>
      <c r="C5164" t="s">
        <v>358</v>
      </c>
      <c r="D5164" s="2" t="s">
        <v>359</v>
      </c>
      <c r="E5164" t="s">
        <v>355</v>
      </c>
      <c r="F5164" s="11">
        <v>44040</v>
      </c>
      <c r="G5164" s="14">
        <f t="array" ref="G5164">VLOOKUP(E5164,Produtos!$A:$E,5,FALSE)</f>
        <v>1300</v>
      </c>
      <c r="H5164" s="14">
        <f>VLOOKUP(E5164,Produtos!$A:$E,4,FALSE)</f>
        <v>1000</v>
      </c>
      <c r="I5164" s="2">
        <v>2</v>
      </c>
    </row>
    <row r="5165" spans="1:9" x14ac:dyDescent="0.25">
      <c r="A5165" s="2" t="str">
        <f>CONCATENATE(Códigos!S5164,Códigos!T5164,Códigos!U5164)</f>
        <v>svv5163v</v>
      </c>
      <c r="B5165" t="s">
        <v>344</v>
      </c>
      <c r="C5165" t="s">
        <v>356</v>
      </c>
      <c r="D5165" s="2" t="s">
        <v>357</v>
      </c>
      <c r="E5165" t="s">
        <v>355</v>
      </c>
      <c r="F5165" s="11">
        <v>44041</v>
      </c>
      <c r="G5165" s="14">
        <f t="array" ref="G5165">VLOOKUP(E5165,Produtos!$A:$E,5,FALSE)</f>
        <v>1300</v>
      </c>
      <c r="H5165" s="14">
        <f>VLOOKUP(E5165,Produtos!$A:$E,4,FALSE)</f>
        <v>1000</v>
      </c>
      <c r="I5165" s="2">
        <v>2</v>
      </c>
    </row>
    <row r="5166" spans="1:9" x14ac:dyDescent="0.25">
      <c r="A5166" s="2" t="str">
        <f>CONCATENATE(Códigos!S5165,Códigos!T5165,Códigos!U5165)</f>
        <v>svv5164v</v>
      </c>
      <c r="B5166" t="s">
        <v>344</v>
      </c>
      <c r="C5166" t="s">
        <v>356</v>
      </c>
      <c r="D5166" s="2" t="s">
        <v>357</v>
      </c>
      <c r="E5166" t="s">
        <v>355</v>
      </c>
      <c r="F5166" s="11">
        <v>44042</v>
      </c>
      <c r="G5166" s="14">
        <f t="array" ref="G5166">VLOOKUP(E5166,Produtos!$A:$E,5,FALSE)</f>
        <v>1300</v>
      </c>
      <c r="H5166" s="14">
        <f>VLOOKUP(E5166,Produtos!$A:$E,4,FALSE)</f>
        <v>1000</v>
      </c>
      <c r="I5166" s="2">
        <v>1</v>
      </c>
    </row>
    <row r="5167" spans="1:9" x14ac:dyDescent="0.25">
      <c r="A5167" s="2" t="str">
        <f>CONCATENATE(Códigos!S5166,Códigos!T5166,Códigos!U5166)</f>
        <v>svv5165v</v>
      </c>
      <c r="B5167" t="s">
        <v>344</v>
      </c>
      <c r="C5167" t="s">
        <v>356</v>
      </c>
      <c r="D5167" s="2" t="s">
        <v>357</v>
      </c>
      <c r="E5167" t="s">
        <v>355</v>
      </c>
      <c r="F5167" s="11">
        <v>44043</v>
      </c>
      <c r="G5167" s="14">
        <f t="array" ref="G5167">VLOOKUP(E5167,Produtos!$A:$E,5,FALSE)</f>
        <v>1300</v>
      </c>
      <c r="H5167" s="14">
        <f>VLOOKUP(E5167,Produtos!$A:$E,4,FALSE)</f>
        <v>1000</v>
      </c>
      <c r="I5167" s="2">
        <v>1</v>
      </c>
    </row>
    <row r="5168" spans="1:9" x14ac:dyDescent="0.25">
      <c r="A5168" s="2" t="str">
        <f>CONCATENATE(Códigos!S5167,Códigos!T5167,Códigos!U5167)</f>
        <v>svv5166v</v>
      </c>
      <c r="B5168" t="s">
        <v>344</v>
      </c>
      <c r="C5168" t="s">
        <v>353</v>
      </c>
      <c r="D5168" s="2" t="s">
        <v>354</v>
      </c>
      <c r="E5168" t="s">
        <v>355</v>
      </c>
      <c r="F5168" s="11">
        <v>44044</v>
      </c>
      <c r="G5168" s="14">
        <f t="array" ref="G5168">VLOOKUP(E5168,Produtos!$A:$E,5,FALSE)</f>
        <v>1300</v>
      </c>
      <c r="H5168" s="14">
        <f>VLOOKUP(E5168,Produtos!$A:$E,4,FALSE)</f>
        <v>1000</v>
      </c>
      <c r="I5168" s="2">
        <v>1</v>
      </c>
    </row>
    <row r="5169" spans="1:9" x14ac:dyDescent="0.25">
      <c r="A5169" s="2" t="str">
        <f>CONCATENATE(Códigos!S5168,Códigos!T5168,Códigos!U5168)</f>
        <v>svv5167v</v>
      </c>
      <c r="B5169" t="s">
        <v>344</v>
      </c>
      <c r="C5169" t="s">
        <v>353</v>
      </c>
      <c r="D5169" s="2" t="s">
        <v>354</v>
      </c>
      <c r="E5169" t="s">
        <v>355</v>
      </c>
      <c r="F5169" s="11">
        <v>44045</v>
      </c>
      <c r="G5169" s="14">
        <f t="array" ref="G5169">VLOOKUP(E5169,Produtos!$A:$E,5,FALSE)</f>
        <v>1300</v>
      </c>
      <c r="H5169" s="14">
        <f>VLOOKUP(E5169,Produtos!$A:$E,4,FALSE)</f>
        <v>1000</v>
      </c>
      <c r="I5169" s="2">
        <v>1</v>
      </c>
    </row>
    <row r="5170" spans="1:9" x14ac:dyDescent="0.25">
      <c r="A5170" s="2" t="str">
        <f>CONCATENATE(Códigos!S5169,Códigos!T5169,Códigos!U5169)</f>
        <v>svv5168v</v>
      </c>
      <c r="B5170" t="s">
        <v>344</v>
      </c>
      <c r="C5170" t="s">
        <v>353</v>
      </c>
      <c r="D5170" s="2" t="s">
        <v>354</v>
      </c>
      <c r="E5170" t="s">
        <v>355</v>
      </c>
      <c r="F5170" s="11">
        <v>44046</v>
      </c>
      <c r="G5170" s="14">
        <f t="array" ref="G5170">VLOOKUP(E5170,Produtos!$A:$E,5,FALSE)</f>
        <v>1300</v>
      </c>
      <c r="H5170" s="14">
        <f>VLOOKUP(E5170,Produtos!$A:$E,4,FALSE)</f>
        <v>1000</v>
      </c>
      <c r="I5170" s="2">
        <v>1</v>
      </c>
    </row>
    <row r="5171" spans="1:9" x14ac:dyDescent="0.25">
      <c r="A5171" s="2" t="str">
        <f>CONCATENATE(Códigos!S5170,Códigos!T5170,Códigos!U5170)</f>
        <v>svv5169v</v>
      </c>
      <c r="B5171" t="s">
        <v>344</v>
      </c>
      <c r="C5171" t="s">
        <v>353</v>
      </c>
      <c r="D5171" s="2" t="s">
        <v>354</v>
      </c>
      <c r="E5171" t="s">
        <v>348</v>
      </c>
      <c r="F5171" s="11">
        <v>44047</v>
      </c>
      <c r="G5171" s="14">
        <f t="array" ref="G5171">VLOOKUP(E5171,Produtos!$A:$E,5,FALSE)</f>
        <v>2</v>
      </c>
      <c r="H5171" s="14">
        <f>VLOOKUP(E5171,Produtos!$A:$E,4,FALSE)</f>
        <v>1</v>
      </c>
      <c r="I5171" s="2">
        <v>1</v>
      </c>
    </row>
    <row r="5172" spans="1:9" x14ac:dyDescent="0.25">
      <c r="A5172" s="2" t="str">
        <f>CONCATENATE(Códigos!S5171,Códigos!T5171,Códigos!U5171)</f>
        <v>svv5170v</v>
      </c>
      <c r="B5172" t="s">
        <v>344</v>
      </c>
      <c r="C5172" t="s">
        <v>353</v>
      </c>
      <c r="D5172" s="2" t="s">
        <v>354</v>
      </c>
      <c r="E5172" t="s">
        <v>348</v>
      </c>
      <c r="F5172" s="11">
        <v>44048</v>
      </c>
      <c r="G5172" s="14">
        <f t="array" ref="G5172">VLOOKUP(E5172,Produtos!$A:$E,5,FALSE)</f>
        <v>2</v>
      </c>
      <c r="H5172" s="14">
        <f>VLOOKUP(E5172,Produtos!$A:$E,4,FALSE)</f>
        <v>1</v>
      </c>
      <c r="I5172" s="2">
        <v>1</v>
      </c>
    </row>
    <row r="5173" spans="1:9" x14ac:dyDescent="0.25">
      <c r="A5173" s="2" t="str">
        <f>CONCATENATE(Códigos!S5172,Códigos!T5172,Códigos!U5172)</f>
        <v>svv5171v</v>
      </c>
      <c r="B5173" t="s">
        <v>344</v>
      </c>
      <c r="C5173" t="s">
        <v>353</v>
      </c>
      <c r="D5173" s="2" t="s">
        <v>354</v>
      </c>
      <c r="E5173" t="s">
        <v>348</v>
      </c>
      <c r="F5173" s="11">
        <v>44049</v>
      </c>
      <c r="G5173" s="14">
        <f t="array" ref="G5173">VLOOKUP(E5173,Produtos!$A:$E,5,FALSE)</f>
        <v>2</v>
      </c>
      <c r="H5173" s="14">
        <f>VLOOKUP(E5173,Produtos!$A:$E,4,FALSE)</f>
        <v>1</v>
      </c>
      <c r="I5173" s="2">
        <v>1</v>
      </c>
    </row>
    <row r="5174" spans="1:9" x14ac:dyDescent="0.25">
      <c r="A5174" s="2" t="str">
        <f>CONCATENATE(Códigos!S5173,Códigos!T5173,Códigos!U5173)</f>
        <v>svv5172v</v>
      </c>
      <c r="B5174" t="s">
        <v>344</v>
      </c>
      <c r="C5174" t="s">
        <v>353</v>
      </c>
      <c r="D5174" s="2" t="s">
        <v>354</v>
      </c>
      <c r="E5174" t="s">
        <v>348</v>
      </c>
      <c r="F5174" s="11">
        <v>44050</v>
      </c>
      <c r="G5174" s="14">
        <f t="array" ref="G5174">VLOOKUP(E5174,Produtos!$A:$E,5,FALSE)</f>
        <v>2</v>
      </c>
      <c r="H5174" s="14">
        <f>VLOOKUP(E5174,Produtos!$A:$E,4,FALSE)</f>
        <v>1</v>
      </c>
      <c r="I5174" s="2">
        <v>1</v>
      </c>
    </row>
    <row r="5175" spans="1:9" x14ac:dyDescent="0.25">
      <c r="A5175" s="2" t="str">
        <f>CONCATENATE(Códigos!S5174,Códigos!T5174,Códigos!U5174)</f>
        <v>svv5173v</v>
      </c>
      <c r="B5175" t="s">
        <v>344</v>
      </c>
      <c r="C5175" t="s">
        <v>353</v>
      </c>
      <c r="D5175" s="2" t="s">
        <v>354</v>
      </c>
      <c r="E5175" t="s">
        <v>348</v>
      </c>
      <c r="F5175" s="11">
        <v>44051</v>
      </c>
      <c r="G5175" s="14">
        <f t="array" ref="G5175">VLOOKUP(E5175,Produtos!$A:$E,5,FALSE)</f>
        <v>2</v>
      </c>
      <c r="H5175" s="14">
        <f>VLOOKUP(E5175,Produtos!$A:$E,4,FALSE)</f>
        <v>1</v>
      </c>
      <c r="I5175" s="2">
        <v>1</v>
      </c>
    </row>
    <row r="5176" spans="1:9" x14ac:dyDescent="0.25">
      <c r="A5176" s="2" t="str">
        <f>CONCATENATE(Códigos!S5175,Códigos!T5175,Códigos!U5175)</f>
        <v>svv5174v</v>
      </c>
      <c r="B5176" t="s">
        <v>344</v>
      </c>
      <c r="C5176" t="s">
        <v>353</v>
      </c>
      <c r="D5176" s="2" t="s">
        <v>354</v>
      </c>
      <c r="E5176" t="s">
        <v>348</v>
      </c>
      <c r="F5176" s="11">
        <v>44052</v>
      </c>
      <c r="G5176" s="14">
        <f t="array" ref="G5176">VLOOKUP(E5176,Produtos!$A:$E,5,FALSE)</f>
        <v>2</v>
      </c>
      <c r="H5176" s="14">
        <f>VLOOKUP(E5176,Produtos!$A:$E,4,FALSE)</f>
        <v>1</v>
      </c>
      <c r="I5176" s="2">
        <v>1</v>
      </c>
    </row>
    <row r="5177" spans="1:9" x14ac:dyDescent="0.25">
      <c r="A5177" s="2" t="str">
        <f>CONCATENATE(Códigos!S5176,Códigos!T5176,Códigos!U5176)</f>
        <v>svv5175v</v>
      </c>
      <c r="B5177" t="s">
        <v>344</v>
      </c>
      <c r="C5177" t="s">
        <v>353</v>
      </c>
      <c r="D5177" s="2" t="s">
        <v>354</v>
      </c>
      <c r="E5177" t="s">
        <v>348</v>
      </c>
      <c r="F5177" s="11">
        <v>44053</v>
      </c>
      <c r="G5177" s="14">
        <f t="array" ref="G5177">VLOOKUP(E5177,Produtos!$A:$E,5,FALSE)</f>
        <v>2</v>
      </c>
      <c r="H5177" s="14">
        <f>VLOOKUP(E5177,Produtos!$A:$E,4,FALSE)</f>
        <v>1</v>
      </c>
      <c r="I5177" s="2">
        <v>1</v>
      </c>
    </row>
    <row r="5178" spans="1:9" x14ac:dyDescent="0.25">
      <c r="A5178" s="2" t="str">
        <f>CONCATENATE(Códigos!S5177,Códigos!T5177,Códigos!U5177)</f>
        <v>svv5176v</v>
      </c>
      <c r="B5178" t="s">
        <v>344</v>
      </c>
      <c r="C5178" t="s">
        <v>353</v>
      </c>
      <c r="D5178" s="2" t="s">
        <v>354</v>
      </c>
      <c r="E5178" t="s">
        <v>348</v>
      </c>
      <c r="F5178" s="11">
        <v>44054</v>
      </c>
      <c r="G5178" s="14">
        <f t="array" ref="G5178">VLOOKUP(E5178,Produtos!$A:$E,5,FALSE)</f>
        <v>2</v>
      </c>
      <c r="H5178" s="14">
        <f>VLOOKUP(E5178,Produtos!$A:$E,4,FALSE)</f>
        <v>1</v>
      </c>
      <c r="I5178" s="2">
        <v>1</v>
      </c>
    </row>
    <row r="5179" spans="1:9" x14ac:dyDescent="0.25">
      <c r="A5179" s="2" t="str">
        <f>CONCATENATE(Códigos!S5178,Códigos!T5178,Códigos!U5178)</f>
        <v>svv5177v</v>
      </c>
      <c r="B5179" t="s">
        <v>344</v>
      </c>
      <c r="C5179" t="s">
        <v>351</v>
      </c>
      <c r="D5179" s="2" t="s">
        <v>352</v>
      </c>
      <c r="E5179" t="s">
        <v>348</v>
      </c>
      <c r="F5179" s="11">
        <v>44055</v>
      </c>
      <c r="G5179" s="14">
        <f t="array" ref="G5179">VLOOKUP(E5179,Produtos!$A:$E,5,FALSE)</f>
        <v>2</v>
      </c>
      <c r="H5179" s="14">
        <f>VLOOKUP(E5179,Produtos!$A:$E,4,FALSE)</f>
        <v>1</v>
      </c>
      <c r="I5179" s="2">
        <v>1</v>
      </c>
    </row>
    <row r="5180" spans="1:9" x14ac:dyDescent="0.25">
      <c r="A5180" s="2" t="str">
        <f>CONCATENATE(Códigos!S5179,Códigos!T5179,Códigos!U5179)</f>
        <v>svv5178v</v>
      </c>
      <c r="B5180" t="s">
        <v>344</v>
      </c>
      <c r="C5180" t="s">
        <v>351</v>
      </c>
      <c r="D5180" s="2" t="s">
        <v>352</v>
      </c>
      <c r="E5180" t="s">
        <v>348</v>
      </c>
      <c r="F5180" s="11">
        <v>44056</v>
      </c>
      <c r="G5180" s="14">
        <f t="array" ref="G5180">VLOOKUP(E5180,Produtos!$A:$E,5,FALSE)</f>
        <v>2</v>
      </c>
      <c r="H5180" s="14">
        <f>VLOOKUP(E5180,Produtos!$A:$E,4,FALSE)</f>
        <v>1</v>
      </c>
      <c r="I5180" s="2">
        <v>1</v>
      </c>
    </row>
    <row r="5181" spans="1:9" x14ac:dyDescent="0.25">
      <c r="A5181" s="2" t="str">
        <f>CONCATENATE(Códigos!S5180,Códigos!T5180,Códigos!U5180)</f>
        <v>svv5179v</v>
      </c>
      <c r="B5181" t="s">
        <v>344</v>
      </c>
      <c r="C5181" t="s">
        <v>351</v>
      </c>
      <c r="D5181" s="2" t="s">
        <v>352</v>
      </c>
      <c r="E5181" t="s">
        <v>348</v>
      </c>
      <c r="F5181" s="11">
        <v>44057</v>
      </c>
      <c r="G5181" s="14">
        <f t="array" ref="G5181">VLOOKUP(E5181,Produtos!$A:$E,5,FALSE)</f>
        <v>2</v>
      </c>
      <c r="H5181" s="14">
        <f>VLOOKUP(E5181,Produtos!$A:$E,4,FALSE)</f>
        <v>1</v>
      </c>
      <c r="I5181" s="2">
        <v>1</v>
      </c>
    </row>
    <row r="5182" spans="1:9" x14ac:dyDescent="0.25">
      <c r="A5182" s="2" t="str">
        <f>CONCATENATE(Códigos!S5181,Códigos!T5181,Códigos!U5181)</f>
        <v>svv5180v</v>
      </c>
      <c r="B5182" t="s">
        <v>344</v>
      </c>
      <c r="C5182" t="s">
        <v>351</v>
      </c>
      <c r="D5182" s="2" t="s">
        <v>352</v>
      </c>
      <c r="E5182" t="s">
        <v>348</v>
      </c>
      <c r="F5182" s="11">
        <v>44058</v>
      </c>
      <c r="G5182" s="14">
        <f t="array" ref="G5182">VLOOKUP(E5182,Produtos!$A:$E,5,FALSE)</f>
        <v>2</v>
      </c>
      <c r="H5182" s="14">
        <f>VLOOKUP(E5182,Produtos!$A:$E,4,FALSE)</f>
        <v>1</v>
      </c>
      <c r="I5182" s="2">
        <v>1</v>
      </c>
    </row>
    <row r="5183" spans="1:9" x14ac:dyDescent="0.25">
      <c r="A5183" s="2" t="str">
        <f>CONCATENATE(Códigos!S5182,Códigos!T5182,Códigos!U5182)</f>
        <v>svv5181v</v>
      </c>
      <c r="B5183" t="s">
        <v>344</v>
      </c>
      <c r="C5183" t="s">
        <v>351</v>
      </c>
      <c r="D5183" s="2" t="s">
        <v>352</v>
      </c>
      <c r="E5183" t="s">
        <v>348</v>
      </c>
      <c r="F5183" s="11">
        <v>44059</v>
      </c>
      <c r="G5183" s="14">
        <f t="array" ref="G5183">VLOOKUP(E5183,Produtos!$A:$E,5,FALSE)</f>
        <v>2</v>
      </c>
      <c r="H5183" s="14">
        <f>VLOOKUP(E5183,Produtos!$A:$E,4,FALSE)</f>
        <v>1</v>
      </c>
      <c r="I5183" s="2">
        <v>1</v>
      </c>
    </row>
    <row r="5184" spans="1:9" x14ac:dyDescent="0.25">
      <c r="A5184" s="2" t="str">
        <f>CONCATENATE(Códigos!S5183,Códigos!T5183,Códigos!U5183)</f>
        <v>svv5182v</v>
      </c>
      <c r="B5184" t="s">
        <v>344</v>
      </c>
      <c r="C5184" t="s">
        <v>349</v>
      </c>
      <c r="D5184" s="2" t="s">
        <v>350</v>
      </c>
      <c r="E5184" t="s">
        <v>348</v>
      </c>
      <c r="F5184" s="11">
        <v>44060</v>
      </c>
      <c r="G5184" s="14">
        <f t="array" ref="G5184">VLOOKUP(E5184,Produtos!$A:$E,5,FALSE)</f>
        <v>2</v>
      </c>
      <c r="H5184" s="14">
        <f>VLOOKUP(E5184,Produtos!$A:$E,4,FALSE)</f>
        <v>1</v>
      </c>
      <c r="I5184" s="2">
        <v>1</v>
      </c>
    </row>
    <row r="5185" spans="1:9" x14ac:dyDescent="0.25">
      <c r="A5185" s="2" t="str">
        <f>CONCATENATE(Códigos!S5184,Códigos!T5184,Códigos!U5184)</f>
        <v>svv5183v</v>
      </c>
      <c r="B5185" t="s">
        <v>344</v>
      </c>
      <c r="C5185" t="s">
        <v>349</v>
      </c>
      <c r="D5185" s="2" t="s">
        <v>350</v>
      </c>
      <c r="E5185" t="s">
        <v>348</v>
      </c>
      <c r="F5185" s="11">
        <v>44061</v>
      </c>
      <c r="G5185" s="14">
        <f t="array" ref="G5185">VLOOKUP(E5185,Produtos!$A:$E,5,FALSE)</f>
        <v>2</v>
      </c>
      <c r="H5185" s="14">
        <f>VLOOKUP(E5185,Produtos!$A:$E,4,FALSE)</f>
        <v>1</v>
      </c>
      <c r="I5185" s="2">
        <v>1</v>
      </c>
    </row>
    <row r="5186" spans="1:9" x14ac:dyDescent="0.25">
      <c r="A5186" s="2" t="str">
        <f>CONCATENATE(Códigos!S5185,Códigos!T5185,Códigos!U5185)</f>
        <v>svv5184v</v>
      </c>
      <c r="B5186" t="s">
        <v>344</v>
      </c>
      <c r="C5186" t="s">
        <v>349</v>
      </c>
      <c r="D5186" s="2" t="s">
        <v>350</v>
      </c>
      <c r="E5186" t="s">
        <v>348</v>
      </c>
      <c r="F5186" s="11">
        <v>44062</v>
      </c>
      <c r="G5186" s="14">
        <f t="array" ref="G5186">VLOOKUP(E5186,Produtos!$A:$E,5,FALSE)</f>
        <v>2</v>
      </c>
      <c r="H5186" s="14">
        <f>VLOOKUP(E5186,Produtos!$A:$E,4,FALSE)</f>
        <v>1</v>
      </c>
      <c r="I5186" s="2">
        <v>1</v>
      </c>
    </row>
    <row r="5187" spans="1:9" x14ac:dyDescent="0.25">
      <c r="A5187" s="2" t="str">
        <f>CONCATENATE(Códigos!S5186,Códigos!T5186,Códigos!U5186)</f>
        <v>svv5185v</v>
      </c>
      <c r="B5187" t="s">
        <v>344</v>
      </c>
      <c r="C5187" t="s">
        <v>349</v>
      </c>
      <c r="D5187" s="2" t="s">
        <v>350</v>
      </c>
      <c r="E5187" t="s">
        <v>348</v>
      </c>
      <c r="F5187" s="11">
        <v>44063</v>
      </c>
      <c r="G5187" s="14">
        <f t="array" ref="G5187">VLOOKUP(E5187,Produtos!$A:$E,5,FALSE)</f>
        <v>2</v>
      </c>
      <c r="H5187" s="14">
        <f>VLOOKUP(E5187,Produtos!$A:$E,4,FALSE)</f>
        <v>1</v>
      </c>
      <c r="I5187" s="2">
        <v>1</v>
      </c>
    </row>
    <row r="5188" spans="1:9" x14ac:dyDescent="0.25">
      <c r="A5188" s="2" t="str">
        <f>CONCATENATE(Códigos!S5187,Códigos!T5187,Códigos!U5187)</f>
        <v>svv5186v</v>
      </c>
      <c r="B5188" t="s">
        <v>344</v>
      </c>
      <c r="C5188" t="s">
        <v>349</v>
      </c>
      <c r="D5188" s="2" t="s">
        <v>350</v>
      </c>
      <c r="E5188" t="s">
        <v>348</v>
      </c>
      <c r="F5188" s="11">
        <v>44064</v>
      </c>
      <c r="G5188" s="14">
        <f t="array" ref="G5188">VLOOKUP(E5188,Produtos!$A:$E,5,FALSE)</f>
        <v>2</v>
      </c>
      <c r="H5188" s="14">
        <f>VLOOKUP(E5188,Produtos!$A:$E,4,FALSE)</f>
        <v>1</v>
      </c>
      <c r="I5188" s="2">
        <v>1</v>
      </c>
    </row>
    <row r="5189" spans="1:9" x14ac:dyDescent="0.25">
      <c r="A5189" s="2" t="str">
        <f>CONCATENATE(Códigos!S5188,Códigos!T5188,Códigos!U5188)</f>
        <v>svv5187v</v>
      </c>
      <c r="B5189" t="s">
        <v>336</v>
      </c>
      <c r="C5189" t="s">
        <v>329</v>
      </c>
      <c r="D5189" s="2" t="s">
        <v>331</v>
      </c>
      <c r="E5189" t="s">
        <v>337</v>
      </c>
      <c r="F5189" s="11">
        <v>43917</v>
      </c>
      <c r="G5189" s="14">
        <f t="array" ref="G5189">VLOOKUP(E5189,Produtos!$A:$E,5,FALSE)</f>
        <v>110</v>
      </c>
      <c r="H5189" s="14">
        <f>VLOOKUP(E5189,Produtos!$A:$E,4,FALSE)</f>
        <v>50</v>
      </c>
      <c r="I5189" s="2">
        <v>1</v>
      </c>
    </row>
    <row r="5190" spans="1:9" x14ac:dyDescent="0.25">
      <c r="A5190" s="2" t="str">
        <f>CONCATENATE(Códigos!S5189,Códigos!T5189,Códigos!U5189)</f>
        <v>svv5188v</v>
      </c>
      <c r="B5190" t="s">
        <v>336</v>
      </c>
      <c r="C5190" t="s">
        <v>329</v>
      </c>
      <c r="D5190" s="2" t="s">
        <v>331</v>
      </c>
      <c r="E5190" t="s">
        <v>337</v>
      </c>
      <c r="F5190" s="11">
        <v>43918</v>
      </c>
      <c r="G5190" s="14">
        <f t="array" ref="G5190">VLOOKUP(E5190,Produtos!$A:$E,5,FALSE)</f>
        <v>110</v>
      </c>
      <c r="H5190" s="14">
        <f>VLOOKUP(E5190,Produtos!$A:$E,4,FALSE)</f>
        <v>50</v>
      </c>
      <c r="I5190" s="2">
        <v>1</v>
      </c>
    </row>
    <row r="5191" spans="1:9" x14ac:dyDescent="0.25">
      <c r="A5191" s="2" t="str">
        <f>CONCATENATE(Códigos!S5190,Códigos!T5190,Códigos!U5190)</f>
        <v>svv5189v</v>
      </c>
      <c r="B5191" t="s">
        <v>336</v>
      </c>
      <c r="C5191" t="s">
        <v>329</v>
      </c>
      <c r="D5191" s="2" t="s">
        <v>331</v>
      </c>
      <c r="E5191" t="s">
        <v>337</v>
      </c>
      <c r="F5191" s="11">
        <v>43919</v>
      </c>
      <c r="G5191" s="14">
        <f t="array" ref="G5191">VLOOKUP(E5191,Produtos!$A:$E,5,FALSE)</f>
        <v>110</v>
      </c>
      <c r="H5191" s="14">
        <f>VLOOKUP(E5191,Produtos!$A:$E,4,FALSE)</f>
        <v>50</v>
      </c>
      <c r="I5191" s="2">
        <v>1</v>
      </c>
    </row>
    <row r="5192" spans="1:9" x14ac:dyDescent="0.25">
      <c r="A5192" s="2" t="str">
        <f>CONCATENATE(Códigos!S5191,Códigos!T5191,Códigos!U5191)</f>
        <v>svv5190v</v>
      </c>
      <c r="B5192" t="s">
        <v>336</v>
      </c>
      <c r="C5192" t="s">
        <v>329</v>
      </c>
      <c r="D5192" s="2" t="s">
        <v>331</v>
      </c>
      <c r="E5192" t="s">
        <v>328</v>
      </c>
      <c r="F5192" s="11">
        <v>43920</v>
      </c>
      <c r="G5192" s="14">
        <f t="array" ref="G5192">VLOOKUP(E5192,Produtos!$A:$E,5,FALSE)</f>
        <v>900</v>
      </c>
      <c r="H5192" s="14">
        <f>VLOOKUP(E5192,Produtos!$A:$E,4,FALSE)</f>
        <v>500</v>
      </c>
      <c r="I5192" s="2">
        <v>1</v>
      </c>
    </row>
    <row r="5193" spans="1:9" x14ac:dyDescent="0.25">
      <c r="A5193" s="2" t="str">
        <f>CONCATENATE(Códigos!S5192,Códigos!T5192,Códigos!U5192)</f>
        <v>svv5191v</v>
      </c>
      <c r="B5193" t="s">
        <v>336</v>
      </c>
      <c r="C5193" t="s">
        <v>329</v>
      </c>
      <c r="D5193" s="2" t="s">
        <v>331</v>
      </c>
      <c r="E5193" t="s">
        <v>335</v>
      </c>
      <c r="F5193" s="11">
        <v>43921</v>
      </c>
      <c r="G5193" s="14">
        <f t="array" ref="G5193">VLOOKUP(E5193,Produtos!$A:$E,5,FALSE)</f>
        <v>3000</v>
      </c>
      <c r="H5193" s="14">
        <f>VLOOKUP(E5193,Produtos!$A:$E,4,FALSE)</f>
        <v>2200</v>
      </c>
      <c r="I5193" s="2">
        <v>1</v>
      </c>
    </row>
    <row r="5194" spans="1:9" x14ac:dyDescent="0.25">
      <c r="A5194" s="2" t="str">
        <f>CONCATENATE(Códigos!S5193,Códigos!T5193,Códigos!U5193)</f>
        <v>svv5192v</v>
      </c>
      <c r="B5194" t="s">
        <v>332</v>
      </c>
      <c r="C5194" t="s">
        <v>329</v>
      </c>
      <c r="D5194" s="2" t="s">
        <v>331</v>
      </c>
      <c r="E5194" t="s">
        <v>335</v>
      </c>
      <c r="F5194" s="11">
        <v>43922</v>
      </c>
      <c r="G5194" s="14">
        <f t="array" ref="G5194">VLOOKUP(E5194,Produtos!$A:$E,5,FALSE)</f>
        <v>3000</v>
      </c>
      <c r="H5194" s="14">
        <f>VLOOKUP(E5194,Produtos!$A:$E,4,FALSE)</f>
        <v>2200</v>
      </c>
      <c r="I5194" s="2">
        <v>1</v>
      </c>
    </row>
    <row r="5195" spans="1:9" x14ac:dyDescent="0.25">
      <c r="A5195" s="2" t="str">
        <f>CONCATENATE(Códigos!S5194,Códigos!T5194,Códigos!U5194)</f>
        <v>svv5193v</v>
      </c>
      <c r="B5195" t="s">
        <v>332</v>
      </c>
      <c r="C5195" t="s">
        <v>329</v>
      </c>
      <c r="D5195" s="2" t="s">
        <v>331</v>
      </c>
      <c r="E5195" t="s">
        <v>335</v>
      </c>
      <c r="F5195" s="11">
        <v>43923</v>
      </c>
      <c r="G5195" s="14">
        <f t="array" ref="G5195">VLOOKUP(E5195,Produtos!$A:$E,5,FALSE)</f>
        <v>3000</v>
      </c>
      <c r="H5195" s="14">
        <f>VLOOKUP(E5195,Produtos!$A:$E,4,FALSE)</f>
        <v>2200</v>
      </c>
      <c r="I5195" s="2">
        <v>1</v>
      </c>
    </row>
    <row r="5196" spans="1:9" x14ac:dyDescent="0.25">
      <c r="A5196" s="2" t="str">
        <f>CONCATENATE(Códigos!S5195,Códigos!T5195,Códigos!U5195)</f>
        <v>svv5194v</v>
      </c>
      <c r="B5196" t="s">
        <v>332</v>
      </c>
      <c r="C5196" t="s">
        <v>329</v>
      </c>
      <c r="D5196" s="2" t="s">
        <v>331</v>
      </c>
      <c r="E5196" t="s">
        <v>335</v>
      </c>
      <c r="F5196" s="11">
        <v>43924</v>
      </c>
      <c r="G5196" s="14">
        <f t="array" ref="G5196">VLOOKUP(E5196,Produtos!$A:$E,5,FALSE)</f>
        <v>3000</v>
      </c>
      <c r="H5196" s="14">
        <f>VLOOKUP(E5196,Produtos!$A:$E,4,FALSE)</f>
        <v>2200</v>
      </c>
      <c r="I5196" s="2">
        <v>1</v>
      </c>
    </row>
    <row r="5197" spans="1:9" x14ac:dyDescent="0.25">
      <c r="A5197" s="2" t="str">
        <f>CONCATENATE(Códigos!S5196,Códigos!T5196,Códigos!U5196)</f>
        <v>svv5195v</v>
      </c>
      <c r="B5197" t="s">
        <v>322</v>
      </c>
      <c r="C5197" t="s">
        <v>329</v>
      </c>
      <c r="D5197" s="2" t="s">
        <v>331</v>
      </c>
      <c r="E5197" t="s">
        <v>330</v>
      </c>
      <c r="F5197" s="11">
        <v>43925</v>
      </c>
      <c r="G5197" s="14">
        <f t="array" ref="G5197">VLOOKUP(E5197,Produtos!$A:$E,5,FALSE)</f>
        <v>1600</v>
      </c>
      <c r="H5197" s="14">
        <f>VLOOKUP(E5197,Produtos!$A:$E,4,FALSE)</f>
        <v>800</v>
      </c>
      <c r="I5197" s="2">
        <v>1</v>
      </c>
    </row>
    <row r="5198" spans="1:9" x14ac:dyDescent="0.25">
      <c r="A5198" s="2" t="str">
        <f>CONCATENATE(Códigos!S5197,Códigos!T5197,Códigos!U5197)</f>
        <v>svv5196v</v>
      </c>
      <c r="B5198" t="s">
        <v>322</v>
      </c>
      <c r="C5198" t="s">
        <v>329</v>
      </c>
      <c r="D5198" s="2" t="s">
        <v>331</v>
      </c>
      <c r="E5198" t="s">
        <v>330</v>
      </c>
      <c r="F5198" s="11">
        <v>43926</v>
      </c>
      <c r="G5198" s="14">
        <f t="array" ref="G5198">VLOOKUP(E5198,Produtos!$A:$E,5,FALSE)</f>
        <v>1600</v>
      </c>
      <c r="H5198" s="14">
        <f>VLOOKUP(E5198,Produtos!$A:$E,4,FALSE)</f>
        <v>800</v>
      </c>
      <c r="I5198" s="2">
        <v>1</v>
      </c>
    </row>
    <row r="5199" spans="1:9" x14ac:dyDescent="0.25">
      <c r="A5199" s="2" t="str">
        <f>CONCATENATE(Códigos!S5198,Códigos!T5198,Códigos!U5198)</f>
        <v>svv5197v</v>
      </c>
      <c r="B5199" t="s">
        <v>320</v>
      </c>
      <c r="C5199" t="s">
        <v>323</v>
      </c>
      <c r="D5199" s="2" t="s">
        <v>325</v>
      </c>
      <c r="E5199" t="s">
        <v>328</v>
      </c>
      <c r="F5199" s="11">
        <v>43927</v>
      </c>
      <c r="G5199" s="14">
        <f t="array" ref="G5199">VLOOKUP(E5199,Produtos!$A:$E,5,FALSE)</f>
        <v>900</v>
      </c>
      <c r="H5199" s="14">
        <f>VLOOKUP(E5199,Produtos!$A:$E,4,FALSE)</f>
        <v>500</v>
      </c>
      <c r="I5199" s="2">
        <v>1</v>
      </c>
    </row>
    <row r="5200" spans="1:9" x14ac:dyDescent="0.25">
      <c r="A5200" s="2" t="str">
        <f>CONCATENATE(Códigos!S5199,Códigos!T5199,Códigos!U5199)</f>
        <v>svv5198v</v>
      </c>
      <c r="B5200" t="s">
        <v>320</v>
      </c>
      <c r="C5200" t="s">
        <v>323</v>
      </c>
      <c r="D5200" s="2" t="s">
        <v>325</v>
      </c>
      <c r="E5200" t="s">
        <v>328</v>
      </c>
      <c r="F5200" s="11">
        <v>43928</v>
      </c>
      <c r="G5200" s="14">
        <f t="array" ref="G5200">VLOOKUP(E5200,Produtos!$A:$E,5,FALSE)</f>
        <v>900</v>
      </c>
      <c r="H5200" s="14">
        <f>VLOOKUP(E5200,Produtos!$A:$E,4,FALSE)</f>
        <v>500</v>
      </c>
      <c r="I5200" s="2">
        <v>1</v>
      </c>
    </row>
    <row r="5201" spans="1:9" x14ac:dyDescent="0.25">
      <c r="A5201" s="2" t="str">
        <f>CONCATENATE(Códigos!S5200,Códigos!T5200,Códigos!U5200)</f>
        <v>svv5199v</v>
      </c>
      <c r="B5201" t="s">
        <v>320</v>
      </c>
      <c r="C5201" t="s">
        <v>323</v>
      </c>
      <c r="D5201" s="2" t="s">
        <v>325</v>
      </c>
      <c r="E5201" t="s">
        <v>328</v>
      </c>
      <c r="F5201" s="11">
        <v>43929</v>
      </c>
      <c r="G5201" s="14">
        <f t="array" ref="G5201">VLOOKUP(E5201,Produtos!$A:$E,5,FALSE)</f>
        <v>900</v>
      </c>
      <c r="H5201" s="14">
        <f>VLOOKUP(E5201,Produtos!$A:$E,4,FALSE)</f>
        <v>500</v>
      </c>
      <c r="I5201" s="2">
        <v>1</v>
      </c>
    </row>
    <row r="5202" spans="1:9" x14ac:dyDescent="0.25">
      <c r="A5202" s="2" t="str">
        <f>CONCATENATE(Códigos!S5201,Códigos!T5201,Códigos!U5201)</f>
        <v>svv5200v</v>
      </c>
      <c r="B5202" t="s">
        <v>320</v>
      </c>
      <c r="C5202" t="s">
        <v>323</v>
      </c>
      <c r="D5202" s="2" t="s">
        <v>325</v>
      </c>
      <c r="E5202" t="s">
        <v>328</v>
      </c>
      <c r="F5202" s="11">
        <v>43930</v>
      </c>
      <c r="G5202" s="14">
        <f t="array" ref="G5202">VLOOKUP(E5202,Produtos!$A:$E,5,FALSE)</f>
        <v>900</v>
      </c>
      <c r="H5202" s="14">
        <f>VLOOKUP(E5202,Produtos!$A:$E,4,FALSE)</f>
        <v>500</v>
      </c>
      <c r="I5202" s="2">
        <v>1</v>
      </c>
    </row>
    <row r="5203" spans="1:9" x14ac:dyDescent="0.25">
      <c r="A5203" s="2" t="str">
        <f>CONCATENATE(Códigos!S5202,Códigos!T5202,Códigos!U5202)</f>
        <v>svv5201v</v>
      </c>
      <c r="B5203" t="s">
        <v>320</v>
      </c>
      <c r="C5203" t="s">
        <v>323</v>
      </c>
      <c r="D5203" s="2" t="s">
        <v>325</v>
      </c>
      <c r="E5203" t="s">
        <v>327</v>
      </c>
      <c r="F5203" s="11">
        <v>43931</v>
      </c>
      <c r="G5203" s="14">
        <f t="array" ref="G5203">VLOOKUP(E5203,Produtos!$A:$E,5,FALSE)</f>
        <v>890</v>
      </c>
      <c r="H5203" s="14">
        <f>VLOOKUP(E5203,Produtos!$A:$E,4,FALSE)</f>
        <v>600</v>
      </c>
      <c r="I5203" s="2">
        <v>1</v>
      </c>
    </row>
    <row r="5204" spans="1:9" x14ac:dyDescent="0.25">
      <c r="A5204" s="2" t="str">
        <f>CONCATENATE(Códigos!S5203,Códigos!T5203,Códigos!U5203)</f>
        <v>svv5202v</v>
      </c>
      <c r="B5204" t="s">
        <v>320</v>
      </c>
      <c r="C5204" t="s">
        <v>323</v>
      </c>
      <c r="D5204" s="2" t="s">
        <v>325</v>
      </c>
      <c r="E5204" t="s">
        <v>327</v>
      </c>
      <c r="F5204" s="11">
        <v>43932</v>
      </c>
      <c r="G5204" s="14">
        <f t="array" ref="G5204">VLOOKUP(E5204,Produtos!$A:$E,5,FALSE)</f>
        <v>890</v>
      </c>
      <c r="H5204" s="14">
        <f>VLOOKUP(E5204,Produtos!$A:$E,4,FALSE)</f>
        <v>600</v>
      </c>
      <c r="I5204" s="2">
        <v>1</v>
      </c>
    </row>
    <row r="5205" spans="1:9" x14ac:dyDescent="0.25">
      <c r="A5205" s="2" t="str">
        <f>CONCATENATE(Códigos!S5204,Códigos!T5204,Códigos!U5204)</f>
        <v>svv5203v</v>
      </c>
      <c r="B5205" t="s">
        <v>315</v>
      </c>
      <c r="C5205" t="s">
        <v>323</v>
      </c>
      <c r="D5205" s="2" t="s">
        <v>325</v>
      </c>
      <c r="E5205" t="s">
        <v>327</v>
      </c>
      <c r="F5205" s="11">
        <v>43933</v>
      </c>
      <c r="G5205" s="14">
        <f t="array" ref="G5205">VLOOKUP(E5205,Produtos!$A:$E,5,FALSE)</f>
        <v>890</v>
      </c>
      <c r="H5205" s="14">
        <f>VLOOKUP(E5205,Produtos!$A:$E,4,FALSE)</f>
        <v>600</v>
      </c>
      <c r="I5205" s="2">
        <v>1</v>
      </c>
    </row>
    <row r="5206" spans="1:9" x14ac:dyDescent="0.25">
      <c r="A5206" s="2" t="str">
        <f>CONCATENATE(Códigos!S5205,Códigos!T5205,Códigos!U5205)</f>
        <v>svv5204v</v>
      </c>
      <c r="B5206" t="s">
        <v>315</v>
      </c>
      <c r="C5206" t="s">
        <v>323</v>
      </c>
      <c r="D5206" s="2" t="s">
        <v>325</v>
      </c>
      <c r="E5206" t="s">
        <v>327</v>
      </c>
      <c r="F5206" s="11">
        <v>43934</v>
      </c>
      <c r="G5206" s="14">
        <f t="array" ref="G5206">VLOOKUP(E5206,Produtos!$A:$E,5,FALSE)</f>
        <v>890</v>
      </c>
      <c r="H5206" s="14">
        <f>VLOOKUP(E5206,Produtos!$A:$E,4,FALSE)</f>
        <v>600</v>
      </c>
      <c r="I5206" s="2">
        <v>1</v>
      </c>
    </row>
    <row r="5207" spans="1:9" x14ac:dyDescent="0.25">
      <c r="A5207" s="2" t="str">
        <f>CONCATENATE(Códigos!S5206,Códigos!T5206,Códigos!U5206)</f>
        <v>svv5205v</v>
      </c>
      <c r="B5207" t="s">
        <v>315</v>
      </c>
      <c r="C5207" t="s">
        <v>323</v>
      </c>
      <c r="D5207" s="2" t="s">
        <v>325</v>
      </c>
      <c r="E5207" t="s">
        <v>326</v>
      </c>
      <c r="F5207" s="11">
        <v>43935</v>
      </c>
      <c r="G5207" s="14">
        <f t="array" ref="G5207">VLOOKUP(E5207,Produtos!$A:$E,5,FALSE)</f>
        <v>3300</v>
      </c>
      <c r="H5207" s="14">
        <f>VLOOKUP(E5207,Produtos!$A:$E,4,FALSE)</f>
        <v>2500</v>
      </c>
      <c r="I5207" s="2">
        <v>1</v>
      </c>
    </row>
    <row r="5208" spans="1:9" x14ac:dyDescent="0.25">
      <c r="A5208" s="2" t="str">
        <f>CONCATENATE(Códigos!S5207,Códigos!T5207,Códigos!U5207)</f>
        <v>svv5206v</v>
      </c>
      <c r="B5208" t="s">
        <v>322</v>
      </c>
      <c r="C5208" t="s">
        <v>323</v>
      </c>
      <c r="D5208" s="2" t="s">
        <v>325</v>
      </c>
      <c r="E5208" t="s">
        <v>326</v>
      </c>
      <c r="F5208" s="11">
        <v>43936</v>
      </c>
      <c r="G5208" s="14">
        <f t="array" ref="G5208">VLOOKUP(E5208,Produtos!$A:$E,5,FALSE)</f>
        <v>3300</v>
      </c>
      <c r="H5208" s="14">
        <f>VLOOKUP(E5208,Produtos!$A:$E,4,FALSE)</f>
        <v>2500</v>
      </c>
      <c r="I5208" s="2">
        <v>1</v>
      </c>
    </row>
    <row r="5209" spans="1:9" x14ac:dyDescent="0.25">
      <c r="A5209" s="2" t="str">
        <f>CONCATENATE(Códigos!S5208,Códigos!T5208,Códigos!U5208)</f>
        <v>svv5207v</v>
      </c>
      <c r="B5209" t="s">
        <v>322</v>
      </c>
      <c r="C5209" t="s">
        <v>323</v>
      </c>
      <c r="D5209" s="2" t="s">
        <v>325</v>
      </c>
      <c r="E5209" t="s">
        <v>326</v>
      </c>
      <c r="F5209" s="11">
        <v>43937</v>
      </c>
      <c r="G5209" s="14">
        <f t="array" ref="G5209">VLOOKUP(E5209,Produtos!$A:$E,5,FALSE)</f>
        <v>3300</v>
      </c>
      <c r="H5209" s="14">
        <f>VLOOKUP(E5209,Produtos!$A:$E,4,FALSE)</f>
        <v>2500</v>
      </c>
      <c r="I5209" s="2">
        <v>1</v>
      </c>
    </row>
    <row r="5210" spans="1:9" x14ac:dyDescent="0.25">
      <c r="A5210" s="2" t="str">
        <f>CONCATENATE(Códigos!S5209,Códigos!T5209,Códigos!U5209)</f>
        <v>svv5208v</v>
      </c>
      <c r="B5210" t="s">
        <v>322</v>
      </c>
      <c r="C5210" t="s">
        <v>323</v>
      </c>
      <c r="D5210" s="2" t="s">
        <v>325</v>
      </c>
      <c r="E5210" t="s">
        <v>326</v>
      </c>
      <c r="F5210" s="11">
        <v>43938</v>
      </c>
      <c r="G5210" s="14">
        <f t="array" ref="G5210">VLOOKUP(E5210,Produtos!$A:$E,5,FALSE)</f>
        <v>3300</v>
      </c>
      <c r="H5210" s="14">
        <f>VLOOKUP(E5210,Produtos!$A:$E,4,FALSE)</f>
        <v>2500</v>
      </c>
      <c r="I5210" s="2">
        <v>1</v>
      </c>
    </row>
    <row r="5211" spans="1:9" x14ac:dyDescent="0.25">
      <c r="A5211" s="2" t="str">
        <f>CONCATENATE(Códigos!S5210,Códigos!T5210,Códigos!U5210)</f>
        <v>svv5209v</v>
      </c>
      <c r="B5211" t="s">
        <v>322</v>
      </c>
      <c r="C5211" t="s">
        <v>323</v>
      </c>
      <c r="D5211" s="2" t="s">
        <v>325</v>
      </c>
      <c r="E5211" t="s">
        <v>326</v>
      </c>
      <c r="F5211" s="11">
        <v>43939</v>
      </c>
      <c r="G5211" s="14">
        <f t="array" ref="G5211">VLOOKUP(E5211,Produtos!$A:$E,5,FALSE)</f>
        <v>3300</v>
      </c>
      <c r="H5211" s="14">
        <f>VLOOKUP(E5211,Produtos!$A:$E,4,FALSE)</f>
        <v>2500</v>
      </c>
      <c r="I5211" s="2">
        <v>1</v>
      </c>
    </row>
    <row r="5212" spans="1:9" x14ac:dyDescent="0.25">
      <c r="A5212" s="2" t="str">
        <f>CONCATENATE(Códigos!S5211,Códigos!T5211,Códigos!U5211)</f>
        <v>svv5210v</v>
      </c>
      <c r="B5212" t="s">
        <v>322</v>
      </c>
      <c r="C5212" t="s">
        <v>323</v>
      </c>
      <c r="D5212" s="2" t="s">
        <v>325</v>
      </c>
      <c r="E5212" t="s">
        <v>324</v>
      </c>
      <c r="F5212" s="11">
        <v>43940</v>
      </c>
      <c r="G5212" s="14">
        <f t="array" ref="G5212">VLOOKUP(E5212,Produtos!$A:$E,5,FALSE)</f>
        <v>2600</v>
      </c>
      <c r="H5212" s="14">
        <f>VLOOKUP(E5212,Produtos!$A:$E,4,FALSE)</f>
        <v>2000</v>
      </c>
      <c r="I5212" s="2">
        <v>1</v>
      </c>
    </row>
    <row r="5213" spans="1:9" x14ac:dyDescent="0.25">
      <c r="A5213" s="2" t="str">
        <f>CONCATENATE(Códigos!S5212,Códigos!T5212,Códigos!U5212)</f>
        <v>svv5211v</v>
      </c>
      <c r="B5213" t="s">
        <v>322</v>
      </c>
      <c r="C5213" t="s">
        <v>323</v>
      </c>
      <c r="D5213" s="2" t="s">
        <v>325</v>
      </c>
      <c r="E5213" t="s">
        <v>324</v>
      </c>
      <c r="F5213" s="11">
        <v>43941</v>
      </c>
      <c r="G5213" s="14">
        <f t="array" ref="G5213">VLOOKUP(E5213,Produtos!$A:$E,5,FALSE)</f>
        <v>2600</v>
      </c>
      <c r="H5213" s="14">
        <f>VLOOKUP(E5213,Produtos!$A:$E,4,FALSE)</f>
        <v>2000</v>
      </c>
      <c r="I5213" s="2">
        <v>1</v>
      </c>
    </row>
    <row r="5214" spans="1:9" x14ac:dyDescent="0.25">
      <c r="A5214" s="2" t="str">
        <f>CONCATENATE(Códigos!S5213,Códigos!T5213,Códigos!U5213)</f>
        <v>svv5212v</v>
      </c>
      <c r="B5214" t="s">
        <v>320</v>
      </c>
      <c r="C5214" t="s">
        <v>323</v>
      </c>
      <c r="D5214" s="2" t="s">
        <v>325</v>
      </c>
      <c r="E5214" t="s">
        <v>324</v>
      </c>
      <c r="F5214" s="11">
        <v>43942</v>
      </c>
      <c r="G5214" s="14">
        <f t="array" ref="G5214">VLOOKUP(E5214,Produtos!$A:$E,5,FALSE)</f>
        <v>2600</v>
      </c>
      <c r="H5214" s="14">
        <f>VLOOKUP(E5214,Produtos!$A:$E,4,FALSE)</f>
        <v>2000</v>
      </c>
      <c r="I5214" s="2">
        <v>1</v>
      </c>
    </row>
    <row r="5215" spans="1:9" x14ac:dyDescent="0.25">
      <c r="A5215" s="2" t="str">
        <f>CONCATENATE(Códigos!S5214,Códigos!T5214,Códigos!U5214)</f>
        <v>svv5213v</v>
      </c>
      <c r="B5215" t="s">
        <v>320</v>
      </c>
      <c r="C5215" t="s">
        <v>323</v>
      </c>
      <c r="D5215" s="2" t="s">
        <v>325</v>
      </c>
      <c r="E5215" t="s">
        <v>324</v>
      </c>
      <c r="F5215" s="11">
        <v>43943</v>
      </c>
      <c r="G5215" s="14">
        <f t="array" ref="G5215">VLOOKUP(E5215,Produtos!$A:$E,5,FALSE)</f>
        <v>2600</v>
      </c>
      <c r="H5215" s="14">
        <f>VLOOKUP(E5215,Produtos!$A:$E,4,FALSE)</f>
        <v>2000</v>
      </c>
      <c r="I5215" s="2">
        <v>3</v>
      </c>
    </row>
    <row r="5216" spans="1:9" x14ac:dyDescent="0.25">
      <c r="A5216" s="2" t="str">
        <f>CONCATENATE(Códigos!S5215,Códigos!T5215,Códigos!U5215)</f>
        <v>svv5214v</v>
      </c>
      <c r="B5216" t="s">
        <v>316</v>
      </c>
      <c r="C5216" t="s">
        <v>317</v>
      </c>
      <c r="D5216" s="2" t="s">
        <v>318</v>
      </c>
      <c r="E5216" t="s">
        <v>319</v>
      </c>
      <c r="F5216" s="11">
        <v>43944</v>
      </c>
      <c r="G5216" s="14">
        <f t="array" ref="G5216">VLOOKUP(E5216,Produtos!$A:$E,5,FALSE)</f>
        <v>20</v>
      </c>
      <c r="H5216" s="14">
        <f>VLOOKUP(E5216,Produtos!$A:$E,4,FALSE)</f>
        <v>10</v>
      </c>
      <c r="I5216" s="2">
        <v>3</v>
      </c>
    </row>
    <row r="5217" spans="1:9" x14ac:dyDescent="0.25">
      <c r="A5217" s="2" t="str">
        <f>CONCATENATE(Códigos!S5216,Códigos!T5216,Códigos!U5216)</f>
        <v>svv5215v</v>
      </c>
      <c r="B5217" t="s">
        <v>316</v>
      </c>
      <c r="C5217" t="s">
        <v>317</v>
      </c>
      <c r="D5217" s="2" t="s">
        <v>318</v>
      </c>
      <c r="E5217" t="s">
        <v>319</v>
      </c>
      <c r="F5217" s="11">
        <v>43945</v>
      </c>
      <c r="G5217" s="14">
        <f t="array" ref="G5217">VLOOKUP(E5217,Produtos!$A:$E,5,FALSE)</f>
        <v>20</v>
      </c>
      <c r="H5217" s="14">
        <f>VLOOKUP(E5217,Produtos!$A:$E,4,FALSE)</f>
        <v>10</v>
      </c>
      <c r="I5217" s="2">
        <v>3</v>
      </c>
    </row>
    <row r="5218" spans="1:9" x14ac:dyDescent="0.25">
      <c r="A5218" s="2" t="str">
        <f>CONCATENATE(Códigos!S5217,Códigos!T5217,Códigos!U5217)</f>
        <v>svv5216v</v>
      </c>
      <c r="B5218" t="s">
        <v>316</v>
      </c>
      <c r="C5218" t="s">
        <v>317</v>
      </c>
      <c r="D5218" s="2" t="s">
        <v>318</v>
      </c>
      <c r="E5218" t="s">
        <v>319</v>
      </c>
      <c r="F5218" s="11">
        <v>43946</v>
      </c>
      <c r="G5218" s="14">
        <f t="array" ref="G5218">VLOOKUP(E5218,Produtos!$A:$E,5,FALSE)</f>
        <v>20</v>
      </c>
      <c r="H5218" s="14">
        <f>VLOOKUP(E5218,Produtos!$A:$E,4,FALSE)</f>
        <v>10</v>
      </c>
      <c r="I5218" s="2">
        <v>3</v>
      </c>
    </row>
    <row r="5219" spans="1:9" x14ac:dyDescent="0.25">
      <c r="A5219" s="2"/>
      <c r="D5219" s="2"/>
      <c r="F5219" s="2"/>
      <c r="G5219" s="2"/>
      <c r="H5219" s="2"/>
      <c r="I5219" s="2"/>
    </row>
    <row r="5220" spans="1:9" x14ac:dyDescent="0.25">
      <c r="A5220" s="2"/>
      <c r="B5220" s="2"/>
      <c r="C5220" s="2"/>
      <c r="D5220" s="2"/>
      <c r="E5220" s="2"/>
      <c r="F5220" s="2"/>
      <c r="G5220" s="2"/>
      <c r="H5220" s="2"/>
      <c r="I5220" s="2"/>
    </row>
    <row r="5221" spans="1:9" x14ac:dyDescent="0.25">
      <c r="A5221" s="2"/>
      <c r="B5221" s="2"/>
      <c r="C5221" s="2"/>
      <c r="D5221" s="2"/>
      <c r="E5221" s="2"/>
      <c r="F5221" s="2"/>
      <c r="G5221" s="2"/>
      <c r="H5221" s="2"/>
      <c r="I5221" s="2"/>
    </row>
    <row r="5222" spans="1:9" x14ac:dyDescent="0.25">
      <c r="A5222" s="2"/>
      <c r="B5222" s="2"/>
      <c r="C5222" s="2"/>
      <c r="D5222" s="2"/>
      <c r="E5222" s="2"/>
      <c r="F5222" s="2"/>
      <c r="G5222" s="2"/>
      <c r="H5222" s="2"/>
      <c r="I5222" s="2"/>
    </row>
    <row r="5223" spans="1:9" x14ac:dyDescent="0.25">
      <c r="A5223" s="2"/>
      <c r="B5223" s="2"/>
      <c r="C5223" s="2"/>
      <c r="D5223" s="2"/>
      <c r="E5223" s="2"/>
      <c r="F5223" s="2"/>
      <c r="G5223" s="2"/>
      <c r="H5223" s="2"/>
      <c r="I5223" s="2"/>
    </row>
    <row r="5224" spans="1:9" x14ac:dyDescent="0.25">
      <c r="A5224" s="2"/>
      <c r="B5224" s="2"/>
      <c r="C5224" s="2"/>
      <c r="D5224" s="2"/>
      <c r="E5224" s="2"/>
      <c r="F5224" s="2"/>
      <c r="G5224" s="2"/>
      <c r="H5224" s="2"/>
      <c r="I5224" s="2"/>
    </row>
    <row r="5225" spans="1:9" x14ac:dyDescent="0.25">
      <c r="A5225" s="2"/>
      <c r="B5225" s="2"/>
      <c r="C5225" s="2"/>
      <c r="D5225" s="2"/>
      <c r="E5225" s="2"/>
      <c r="F5225" s="2"/>
      <c r="G5225" s="2"/>
      <c r="H5225" s="2"/>
      <c r="I5225" s="2"/>
    </row>
    <row r="5226" spans="1:9" x14ac:dyDescent="0.25">
      <c r="A5226" s="2"/>
      <c r="B5226" s="2"/>
      <c r="C5226" s="2"/>
      <c r="D5226" s="2"/>
      <c r="E5226" s="2"/>
      <c r="F5226" s="2"/>
      <c r="G5226" s="2"/>
      <c r="H5226" s="2"/>
      <c r="I5226" s="2"/>
    </row>
    <row r="5227" spans="1:9" x14ac:dyDescent="0.25">
      <c r="A5227" s="2"/>
      <c r="B5227" s="2"/>
      <c r="C5227" s="2"/>
      <c r="D5227" s="2"/>
      <c r="E5227" s="2"/>
      <c r="F5227" s="2"/>
      <c r="G5227" s="2"/>
      <c r="H5227" s="2"/>
      <c r="I5227" s="2"/>
    </row>
    <row r="5228" spans="1:9" x14ac:dyDescent="0.25">
      <c r="A5228" s="2"/>
      <c r="B5228" s="2"/>
      <c r="C5228" s="2"/>
      <c r="D5228" s="2"/>
      <c r="E5228" s="2"/>
      <c r="F5228" s="2"/>
      <c r="G5228" s="2"/>
      <c r="H5228" s="2"/>
      <c r="I5228" s="2"/>
    </row>
  </sheetData>
  <autoFilter ref="A1:I5228" xr:uid="{E7ADB173-27CE-4272-B331-BEDAD45264A3}"/>
  <dataValidations count="1">
    <dataValidation allowBlank="1" showInputMessage="1" showErrorMessage="1" sqref="D5220:E5224 B3:E5218" xr:uid="{29F95768-2C44-4840-BF23-EC55588DA979}"/>
  </dataValidation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5C7A16A-BB19-4AB5-B033-E67FA0079961}">
  <ds:schemaRefs/>
</ds:datastoreItem>
</file>

<file path=customXml/itemProps2.xml><?xml version="1.0" encoding="utf-8"?>
<ds:datastoreItem xmlns:ds="http://schemas.openxmlformats.org/officeDocument/2006/customXml" ds:itemID="{1A3B23D3-9C64-45E6-9A2E-453438E36318}">
  <ds:schemaRefs/>
</ds:datastoreItem>
</file>

<file path=customXml/itemProps3.xml><?xml version="1.0" encoding="utf-8"?>
<ds:datastoreItem xmlns:ds="http://schemas.openxmlformats.org/officeDocument/2006/customXml" ds:itemID="{D2566464-F00C-466B-87C2-D9E48317E93F}">
  <ds:schemaRefs/>
</ds:datastoreItem>
</file>

<file path=customXml/itemProps4.xml><?xml version="1.0" encoding="utf-8"?>
<ds:datastoreItem xmlns:ds="http://schemas.openxmlformats.org/officeDocument/2006/customXml" ds:itemID="{88A9ACFB-01AB-4378-B7B3-BA742408A37F}">
  <ds:schemaRefs/>
</ds:datastoreItem>
</file>

<file path=customXml/itemProps5.xml><?xml version="1.0" encoding="utf-8"?>
<ds:datastoreItem xmlns:ds="http://schemas.openxmlformats.org/officeDocument/2006/customXml" ds:itemID="{BEDD11CB-FA99-4F83-94B0-C58E62B6EE27}">
  <ds:schemaRefs/>
</ds:datastoreItem>
</file>

<file path=customXml/itemProps6.xml><?xml version="1.0" encoding="utf-8"?>
<ds:datastoreItem xmlns:ds="http://schemas.openxmlformats.org/officeDocument/2006/customXml" ds:itemID="{0BBC3AC3-7AB9-406D-B02E-818383FAEB2D}">
  <ds:schemaRefs/>
</ds:datastoreItem>
</file>

<file path=customXml/itemProps7.xml><?xml version="1.0" encoding="utf-8"?>
<ds:datastoreItem xmlns:ds="http://schemas.openxmlformats.org/officeDocument/2006/customXml" ds:itemID="{AD332B39-1452-4B36-9343-BA75272143EB}">
  <ds:schemaRefs/>
</ds:datastoreItem>
</file>

<file path=customXml/itemProps8.xml><?xml version="1.0" encoding="utf-8"?>
<ds:datastoreItem xmlns:ds="http://schemas.openxmlformats.org/officeDocument/2006/customXml" ds:itemID="{4DD6783D-CF38-4A0F-A06B-9548361E2747}">
  <ds:schemaRefs/>
</ds:datastoreItem>
</file>

<file path=customXml/itemProps9.xml><?xml version="1.0" encoding="utf-8"?>
<ds:datastoreItem xmlns:ds="http://schemas.openxmlformats.org/officeDocument/2006/customXml" ds:itemID="{73774D90-12E8-4AE8-84C6-54E6981EAEAE}">
  <ds:schemaRefs/>
</ds:datastoreItem>
</file>

<file path=customXml/itemProps10.xml><?xml version="1.0" encoding="utf-8"?>
<ds:datastoreItem xmlns:ds="http://schemas.openxmlformats.org/officeDocument/2006/customXml" ds:itemID="{EE922E5F-6DBC-4AD9-972E-6AD712A9A473}">
  <ds:schemaRefs/>
</ds:datastoreItem>
</file>

<file path=customXml/itemProps11.xml><?xml version="1.0" encoding="utf-8"?>
<ds:datastoreItem xmlns:ds="http://schemas.openxmlformats.org/officeDocument/2006/customXml" ds:itemID="{FFB56ECE-92D1-45C6-B558-187338DB41CD}">
  <ds:schemaRefs/>
</ds:datastoreItem>
</file>

<file path=customXml/itemProps12.xml><?xml version="1.0" encoding="utf-8"?>
<ds:datastoreItem xmlns:ds="http://schemas.openxmlformats.org/officeDocument/2006/customXml" ds:itemID="{3A4FBCBF-7C8C-4F34-9634-892EB9FB3C0A}">
  <ds:schemaRefs/>
</ds:datastoreItem>
</file>

<file path=customXml/itemProps13.xml><?xml version="1.0" encoding="utf-8"?>
<ds:datastoreItem xmlns:ds="http://schemas.openxmlformats.org/officeDocument/2006/customXml" ds:itemID="{7EA39D36-FD57-4059-9385-DFE2E57CDBA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D13B9721-897C-49B3-9FEC-819636911BA2}">
  <ds:schemaRefs/>
</ds:datastoreItem>
</file>

<file path=customXml/itemProps15.xml><?xml version="1.0" encoding="utf-8"?>
<ds:datastoreItem xmlns:ds="http://schemas.openxmlformats.org/officeDocument/2006/customXml" ds:itemID="{C36ED9D9-EAA3-4F82-92C9-7096993F7AC5}">
  <ds:schemaRefs/>
</ds:datastoreItem>
</file>

<file path=customXml/itemProps16.xml><?xml version="1.0" encoding="utf-8"?>
<ds:datastoreItem xmlns:ds="http://schemas.openxmlformats.org/officeDocument/2006/customXml" ds:itemID="{797A3AD5-AD40-429D-BA46-B9C520C71500}">
  <ds:schemaRefs/>
</ds:datastoreItem>
</file>

<file path=customXml/itemProps17.xml><?xml version="1.0" encoding="utf-8"?>
<ds:datastoreItem xmlns:ds="http://schemas.openxmlformats.org/officeDocument/2006/customXml" ds:itemID="{483DB5C6-D16D-4744-8D85-7849154F93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Códigos</vt:lpstr>
      <vt:lpstr>Registro_Vendas</vt:lpstr>
      <vt:lpstr>Clientes</vt:lpstr>
      <vt:lpstr>Vendedores</vt:lpstr>
      <vt:lpstr>Lojas</vt:lpstr>
      <vt:lpstr>Produtos</vt:lpstr>
      <vt:lpstr>Vendas</vt:lpstr>
      <vt:lpstr>Registro_Vendas!Area_de_extracao</vt:lpstr>
      <vt:lpstr>Registro_Vendas!Criterios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BRITES</dc:creator>
  <cp:lastModifiedBy>DOUGLAS BRITES</cp:lastModifiedBy>
  <dcterms:created xsi:type="dcterms:W3CDTF">2021-09-12T19:12:58Z</dcterms:created>
  <dcterms:modified xsi:type="dcterms:W3CDTF">2021-09-18T15:20:14Z</dcterms:modified>
</cp:coreProperties>
</file>